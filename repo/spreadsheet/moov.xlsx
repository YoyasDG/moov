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 MENSUAL" sheetId="1" r:id="rId5"/>
    <sheet state="visible" name="BASE DE DATOSS" sheetId="2" r:id="rId6"/>
    <sheet state="visible" name="PAGOS" sheetId="3" r:id="rId7"/>
    <sheet state="visible" name="RECIBO" sheetId="4" r:id="rId8"/>
    <sheet state="visible" name="EGRESOS" sheetId="5" r:id="rId9"/>
    <sheet state="visible" name="OTROS INGRESOS" sheetId="6" r:id="rId10"/>
    <sheet state="visible" name="DASHBOARD GENERAL" sheetId="7" r:id="rId11"/>
    <sheet state="visible" name="COSTOS" sheetId="8" r:id="rId12"/>
    <sheet state="visible" name="ESTADO CONTABLE" sheetId="9" r:id="rId13"/>
    <sheet state="visible" name="DADAS DE BAJA" sheetId="10" r:id="rId14"/>
    <sheet state="visible" name="GASTOS FIJOS" sheetId="11" r:id="rId15"/>
    <sheet state="visible" name="CAPACIDAD GRUPOS" sheetId="12" r:id="rId16"/>
    <sheet state="visible" name="CONTROL DE CUENTAS" sheetId="13" r:id="rId17"/>
    <sheet state="visible" name="RETIROS PROPIETARIA" sheetId="14" r:id="rId18"/>
    <sheet state="visible" name="RESUMEN HISTÓRICO" sheetId="15" r:id="rId19"/>
    <sheet state="visible" name="HISTORIAL APP" sheetId="16" r:id="rId20"/>
    <sheet state="visible" name="ABONOS MENSUALIDADES" sheetId="17" r:id="rId21"/>
    <sheet state="visible" name="PAUSAS MENSUALIDADES" sheetId="18" r:id="rId22"/>
  </sheets>
  <definedNames>
    <definedName hidden="1" localSheetId="1" name="_xlnm._FilterDatabase">'BASE DE DATOSS'!$A$1:$I$88</definedName>
    <definedName hidden="1" localSheetId="2" name="_xlnm._FilterDatabase">PAGOS!$A$1:$AO$1014</definedName>
    <definedName hidden="1" localSheetId="4" name="_xlnm._FilterDatabase">EGRESOS!$A$4:$J$625</definedName>
    <definedName hidden="1" localSheetId="5" name="_xlnm._FilterDatabase">'OTROS INGRESOS'!$A$4:$J$499</definedName>
    <definedName hidden="1" localSheetId="12" name="_xlnm._FilterDatabase">'CONTROL DE CUENTAS'!$A$13:$F$500</definedName>
    <definedName hidden="1" localSheetId="13" name="_xlnm._FilterDatabase">'RETIROS PROPIETARIA'!$A$4:$F$500</definedName>
    <definedName hidden="1" localSheetId="14" name="_xlnm._FilterDatabase">'RESUMEN HISTÓRICO'!$A$4:$K$33</definedName>
    <definedName hidden="1" localSheetId="15" name="_xlnm._FilterDatabase">'HISTORIAL APP'!$A$4:$N$2375</definedName>
    <definedName hidden="1" localSheetId="16" name="_xlnm._FilterDatabase">'ABONOS MENSUALIDADES'!$A$4:$H$500</definedName>
    <definedName hidden="1" localSheetId="17" name="_xlnm._FilterDatabase">'PAUSAS MENSUALIDADES'!$A$4:$D$500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Mensualidad del grupo menos $150 de bonificación; al resultado se le retira el IVA dividiéndolo entre 1.16.</t>
      </text>
    </comment>
    <comment authorId="0" ref="A11">
      <text>
        <t xml:space="preserve">Ingreso neto registrado del mes menos los gastos fijos presupuestados. No es la utilidad final hasta capturar todos los egresos reales.</t>
      </text>
    </comment>
    <comment authorId="0" ref="A7">
      <text>
        <t xml:space="preserve">Suma de las mensualidades bonificadas divididas entre 1.16. Excluye alumnas pausadas y alumnas que aún no inician en el mes seleccionado.</t>
      </text>
    </comment>
    <comment authorId="0" ref="E11">
      <text>
        <t xml:space="preserve">Ingreso esperado neto de IVA de las mensualidades activas, menos los gastos fijos presupuestados. Excluye pausas; no considera egresos variables.</t>
      </text>
    </comment>
    <comment authorId="0" ref="F11">
      <text>
        <t xml:space="preserve">Ingreso esperado bonificado menos gastos fijos presupuestados.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Este bloque corresponde a la mensualidad de NOVIEMBRE. Escribe aquí la fecha real en que recibiste el pago, aunque haya sido en un mes anterior. La bonificación aplica si la fecha es igual o anterior al día 5 de NOVIEMBRE.</t>
      </text>
    </comment>
    <comment authorId="0" ref="D1">
      <text>
        <t xml:space="preserve">Este bloque corresponde a la mensualidad de ENERO. Escribe aquí la fecha real en que recibiste el pago, aunque haya sido en un mes anterior. La bonificación aplica si la fecha es igual o anterior al día 5 de ENERO.</t>
      </text>
    </comment>
    <comment authorId="0" ref="AJ1">
      <text>
        <t xml:space="preserve">Este bloque corresponde a la mensualidad de DICIEMBRE. Escribe aquí la fecha real en que recibiste el pago, aunque haya sido en un mes anterior. La bonificación aplica si la fecha es igual o anterior al día 5 de DICIEMBRE.</t>
      </text>
    </comment>
    <comment authorId="0" ref="F1">
      <text>
        <t xml:space="preserve">Este bloque corresponde a la mensualidad de FEBRERO. Escribe aquí la fecha real en que recibiste el pago, aunque haya sido en un mes anterior. La bonificación aplica si la fecha es igual o anterior al día 5 de FEBRERO.</t>
      </text>
    </comment>
    <comment authorId="0" ref="AA54">
      <text>
        <t xml:space="preserve">La mensualidad de septiembre de Melany se pagó en dos abonos. Las fechas reales están en ABONOS MENSUALIDADES: $550 el 31/08/2026 y $400 el 01/09/2026.</t>
      </text>
    </comment>
    <comment authorId="0" ref="I1">
      <text>
        <t xml:space="preserve">Este bloque corresponde a la mensualidad de MARZO. Escribe aquí la fecha real en que recibiste el pago, aunque haya sido en un mes anterior. La bonificación aplica si la fecha es igual o anterior al día 5 de MARZO.</t>
      </text>
    </comment>
    <comment authorId="0" ref="L1">
      <text>
        <t xml:space="preserve">Este bloque corresponde a la mensualidad de ABRIL. Escribe aquí la fecha real en que recibiste el pago, aunque haya sido en un mes anterior. La bonificación aplica si la fecha es igual o anterior al día 5 de ABRIL.</t>
      </text>
    </comment>
    <comment authorId="0" ref="O1">
      <text>
        <t xml:space="preserve">Este bloque corresponde a la mensualidad de MAYO. Escribe aquí la fecha real en que recibiste el pago, aunque haya sido en un mes anterior. La bonificación aplica si la fecha es igual o anterior al día 5 de MAYO.</t>
      </text>
    </comment>
    <comment authorId="0" ref="R1">
      <text>
        <t xml:space="preserve">Este bloque corresponde a la mensualidad de JUNIO. Escribe aquí la fecha real en que recibiste el pago, aunque haya sido en un mes anterior. La bonificación aplica si la fecha es igual o anterior al día 5 de JUNIO.</t>
      </text>
    </comment>
    <comment authorId="0" ref="U1">
      <text>
        <t xml:space="preserve">Este bloque corresponde a la mensualidad de JULIO. Escribe aquí la fecha real en que recibiste el pago, aunque haya sido en un mes anterior. La bonificación aplica si la fecha es igual o anterior al día 5 de JULIO.</t>
      </text>
    </comment>
    <comment authorId="0" ref="X1">
      <text>
        <t xml:space="preserve">Este bloque corresponde a la mensualidad de AGOSTO. Escribe aquí la fecha real en que recibiste el pago, aunque haya sido en un mes anterior. La bonificación aplica si la fecha es igual o anterior al día 5 de AGOSTO.</t>
      </text>
    </comment>
    <comment authorId="0" ref="AA1">
      <text>
        <t xml:space="preserve">Este bloque corresponde a la mensualidad de SEPTIEMBRE. Escribe aquí la fecha real en que recibiste el pago, aunque haya sido en un mes anterior. La bonificación aplica si la fecha es igual o anterior al día 5 de SEPTIEMBRE.</t>
      </text>
    </comment>
    <comment authorId="0" ref="AD1">
      <text>
        <t xml:space="preserve">Este bloque corresponde a la mensualidad de OCTUBRE. Escribe aquí la fecha real en que recibiste el pago, aunque haya sido en un mes anterior. La bonificación aplica si la fecha es igual o anterior al día 5 de OCTUBRE.</t>
      </text>
    </comment>
    <comment authorId="0" ref="AE34">
      <text>
        <t xml:space="preserve">Mensualidad liquidada: $800 por transferencia el 09/10/2026 y $150 en efectivo el 13/10/2026. Este es el resumen de PAGOS. El Estado Contable toma únicamente los movimientos de ABONOS MENSUALIDADES para conservar fechas, métodos e IVA sin duplicar el total.</t>
      </text>
    </comment>
    <comment authorId="0" ref="AE33">
      <text>
        <t xml:space="preserve">Mensualidad liquidada: $800 por transferencia el 09/10/2026 y $150 en efectivo el 13/10/2026. Este es el resumen de PAGOS. El Estado Contable toma únicamente los movimientos de ABONOS MENSUALIDADES para conservar fechas, métodos e IVA sin duplicar el total.</t>
      </text>
    </comment>
    <comment authorId="0" ref="AF34">
      <text>
        <t xml:space="preserve">Mensualidad liquidada: $800 por transferencia el 09/10/2026 y $150 en efectivo el 13/10/2026. Este es el resumen de PAGOS. El Estado Contable toma únicamente los movimientos de ABONOS MENSUALIDADES para conservar fechas, métodos e IVA sin duplicar el total.</t>
      </text>
    </comment>
    <comment authorId="0" ref="AF33">
      <text>
        <t xml:space="preserve">Mensualidad liquidada: $800 por transferencia el 09/10/2026 y $150 en efectivo el 13/10/2026. Este es el resumen de PAGOS. El Estado Contable toma únicamente los movimientos de ABONOS MENSUALIDADES para conservar fechas, métodos e IVA sin duplicar el total.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Al marcar esta casilla, el tablero estimará el IVA acreditable suponiendo una tasa del 16% incluida en el monto. Úsala solo para gastos del negocio con CFDI válido; revisa por separado tasa 0%, exentos, importes mixtos y gastos personales.</t>
      </text>
    </comment>
    <comment authorId="0" ref="B3">
      <text>
        <t xml:space="preserve">Abre la flecha del encabezado MES en B4, marca el mes que quieras ver o usa Seleccionar todo para consultar el historial completo.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Calcula el IVA de cobros por transferencia o terminal. Queda en $0 cuando el concepto contiene RENDIMIENTO o INVERSIÓN.</t>
      </text>
    </comment>
    <comment authorId="0" ref="B3">
      <text>
        <t xml:space="preserve">Abre la flecha del encabezado MES en B4, marca el mes que quieras ver o usa Seleccionar todo para consultar el historial completo.</t>
      </text>
    </comment>
    <comment authorId="0" ref="C4">
      <text>
        <t xml:space="preserve">Elige RENDIMIENTOS DE INVERSIÓN para intereses o rendimientos digitales que no deben generar IVA.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Saldo digital después de separar la reserva acumulada de IVA trasladado.</t>
      </text>
    </comment>
    <comment authorId="0" ref="A5">
      <text>
        <t xml:space="preserve">Suma del digital disponible y el efectivo. Excluye la reserva de IVA trasladado.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Estimación automática al 16% sobre los egresos marcados como facturados. Revisa por separado CFDI con tasa 0%, exentos o importes mixtos.</t>
      </text>
    </comment>
    <comment authorId="0" ref="P4">
      <text>
        <t xml:space="preserve">IVA digital trasladado menos IVA acreditable estimado. Si el resultado es negativo, representa un saldo estimado a favor.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El IVA se mantiene separado como reserva, aunque permanezca físicamente dentro de Mercado Pago u otra cuenta digital.</t>
      </text>
    </comment>
    <comment authorId="0" ref="H16">
      <text>
        <t xml:space="preserve">IVA trasladado menos IVA acreditable. Si es negativo, indica saldo estimado a favor.</t>
      </text>
    </comment>
    <comment authorId="0" ref="B9">
      <text>
        <t xml:space="preserve">Saldo inicial de IVA: $5,856.86 acumulado de agosto y separado previamente, más el IVA de septiembre que ya estaba incluido en los cobros al momento del corte.</t>
      </text>
    </comment>
    <comment authorId="0" ref="H15">
      <text>
        <t xml:space="preserve">Estimación al 16% de los egresos marcados como facturados.</t>
      </text>
    </comment>
    <comment authorId="0" ref="H14">
      <text>
        <t xml:space="preserve">IVA separado de los ingresos digitales del mes.</t>
      </text>
    </comment>
    <comment authorId="0" ref="G9">
      <text>
        <t xml:space="preserve">No registres el pago de IVA en EGRESOS: usa la tabla inferior para evitar descontarlo dos veces de la utilidad.</t>
      </text>
    </comment>
    <comment authorId="0" ref="H10">
      <text>
        <t xml:space="preserve">Reserva de IVA anterior al inicio del control en Sheets; no forma parte del saldo DIGITAL reportado.</t>
      </text>
    </comment>
    <comment authorId="0" ref="I10">
      <text>
        <t xml:space="preserve">IVA trasladado acumulado de agosto de 2026, ya separado antes del corte.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Cálculo informativo sobre el ingreso digital. No se resta otra vez del flujo neto real.</t>
      </text>
    </comment>
    <comment authorId="0" ref="F4">
      <text>
        <t xml:space="preserve">Referencia informativa. El flujo neto real se calcula con ingresos brutos menos egresos pagados.</t>
      </text>
    </comment>
    <comment authorId="0" ref="H4">
      <text>
        <t xml:space="preserve">Ingresos brutos menos todos los egresos pagados. Esta cifra coincide con el flujo de efectivo de la app.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Captura el primer día del mes correspondiente. Ejemplo: 01/09/2026 para la mensualidad de septiembre.</t>
      </text>
    </comment>
  </commentList>
</comments>
</file>

<file path=xl/sharedStrings.xml><?xml version="1.0" encoding="utf-8"?>
<sst xmlns="http://schemas.openxmlformats.org/spreadsheetml/2006/main" count="20972" uniqueCount="3238">
  <si>
    <t xml:space="preserve"> </t>
  </si>
  <si>
    <t>MES A EVALUAR</t>
  </si>
  <si>
    <t>ANNA LUCIA GAITAN VILLALOBOS</t>
  </si>
  <si>
    <t>OCTUBRE</t>
  </si>
  <si>
    <t>AÑO</t>
  </si>
  <si>
    <t>MENSUALIDADES ESPERADAS</t>
  </si>
  <si>
    <t>MENSUALIDADES COBRADAS</t>
  </si>
  <si>
    <t>MENSUALIDADES FALTANTES</t>
  </si>
  <si>
    <t xml:space="preserve">FECHA DE PAGO </t>
  </si>
  <si>
    <t>INGRESO ESPERADO NETO (SIN IVA)</t>
  </si>
  <si>
    <t>INGRESO REGISTRADO BRUTO</t>
  </si>
  <si>
    <t xml:space="preserve">ALUMNA </t>
  </si>
  <si>
    <t>NOTA DE VENTA</t>
  </si>
  <si>
    <t>INGRESO NETO (IVA DIGITAL)</t>
  </si>
  <si>
    <t xml:space="preserve">MAMÁ / PAPÁ </t>
  </si>
  <si>
    <t>GRUPO</t>
  </si>
  <si>
    <t>PRODUCTOS</t>
  </si>
  <si>
    <t xml:space="preserve">FECHA DE NACIMIENTO </t>
  </si>
  <si>
    <t>CORREO</t>
  </si>
  <si>
    <t>IMPORTE</t>
  </si>
  <si>
    <t>EGRESOS DEL MES</t>
  </si>
  <si>
    <t xml:space="preserve">CELULAR </t>
  </si>
  <si>
    <t xml:space="preserve">FECHA DE INSCRIPCIÓN </t>
  </si>
  <si>
    <t xml:space="preserve">REGLAMENTO </t>
  </si>
  <si>
    <t>UTILIDAD REAL</t>
  </si>
  <si>
    <t>COBRAR DESDE</t>
  </si>
  <si>
    <t>GASTOS FIJOS PRESUP.</t>
  </si>
  <si>
    <t>NOMBRE</t>
  </si>
  <si>
    <t>AMEYALI MARTÍNEZ I. MORALES</t>
  </si>
  <si>
    <t>RESULTADO ACTUAL VS FIJOS</t>
  </si>
  <si>
    <t>MARIA ISABEL MORALES</t>
  </si>
  <si>
    <t>KIDS 3</t>
  </si>
  <si>
    <t>RESULTADO PRESUPUESTADO</t>
  </si>
  <si>
    <t>maisamorade@gmail.com</t>
  </si>
  <si>
    <t>RE-INSCRIPCIÓN 2026</t>
  </si>
  <si>
    <t>DETALLE DE MENSUALIDADES DEL MES SELECCIONADO</t>
  </si>
  <si>
    <t xml:space="preserve">ENERO </t>
  </si>
  <si>
    <t>ALUMNA</t>
  </si>
  <si>
    <t>MENSUALIDAD ESPERADA NETA (BONIFICACIÓN E IVA)</t>
  </si>
  <si>
    <t xml:space="preserve">PAGO </t>
  </si>
  <si>
    <t>PAGO REGISTRADO</t>
  </si>
  <si>
    <t>MÉTODO</t>
  </si>
  <si>
    <t>ESTATUS</t>
  </si>
  <si>
    <t>MENSUALIDAD OCTUBRE</t>
  </si>
  <si>
    <t>FEBRERO</t>
  </si>
  <si>
    <t>PAGO  2</t>
  </si>
  <si>
    <t xml:space="preserve">MÉTODO </t>
  </si>
  <si>
    <t>MARZO</t>
  </si>
  <si>
    <t>PAGO  3</t>
  </si>
  <si>
    <t xml:space="preserve">TOTAL </t>
  </si>
  <si>
    <t>ANA PAULA GUTIERREZ MENESES</t>
  </si>
  <si>
    <t>ANA MENESES</t>
  </si>
  <si>
    <t>LR.GUTIERREZ.R@gmail.com</t>
  </si>
  <si>
    <t>ABRIL</t>
  </si>
  <si>
    <t>PAGO  4</t>
  </si>
  <si>
    <t>MÉTODO 2</t>
  </si>
  <si>
    <t>ANA VICTORIA REVUELTA LARA</t>
  </si>
  <si>
    <t xml:space="preserve">ANA BEATRIZ LARA </t>
  </si>
  <si>
    <t>MAYO</t>
  </si>
  <si>
    <t>JR 2</t>
  </si>
  <si>
    <t>PAGO  5</t>
  </si>
  <si>
    <t>anabeatrizlara@hotmail.com</t>
  </si>
  <si>
    <t>MÉTODO 3</t>
  </si>
  <si>
    <t>JUNIO</t>
  </si>
  <si>
    <t>PAGO  6</t>
  </si>
  <si>
    <t>ATENAS KORHEIMI FIGEROA FIGUEROA</t>
  </si>
  <si>
    <t>MÉTODO 4</t>
  </si>
  <si>
    <t>x</t>
  </si>
  <si>
    <t>JULIO</t>
  </si>
  <si>
    <t>ADULTS 2</t>
  </si>
  <si>
    <t>PAGO</t>
  </si>
  <si>
    <t>koryfigueroa1@gmail.com</t>
  </si>
  <si>
    <t>MÉTODO 5</t>
  </si>
  <si>
    <t>AGOSTO</t>
  </si>
  <si>
    <t>PAGO 2</t>
  </si>
  <si>
    <t>MÉTODO  2</t>
  </si>
  <si>
    <t>SEPTIEMBRE</t>
  </si>
  <si>
    <t>PAGO 3</t>
  </si>
  <si>
    <t>CARLA VALENTINA GUZMÁN DELGADO</t>
  </si>
  <si>
    <t>ACELA DELGADO</t>
  </si>
  <si>
    <t>MÉTODO 6</t>
  </si>
  <si>
    <t>5 DIAS KIDS</t>
  </si>
  <si>
    <t>nautique7@hotmail.com</t>
  </si>
  <si>
    <t>PAGO 4</t>
  </si>
  <si>
    <t>312 155 2942</t>
  </si>
  <si>
    <t>MÉTODO 7</t>
  </si>
  <si>
    <t>NOVIEMBRE</t>
  </si>
  <si>
    <t>PAGO 5</t>
  </si>
  <si>
    <t>MÉTODO 8</t>
  </si>
  <si>
    <t>DICIEMBRE</t>
  </si>
  <si>
    <t>PAGO 6</t>
  </si>
  <si>
    <t>DANIELA AGUILAR CAZORLA</t>
  </si>
  <si>
    <t>LIZETTE CAZORLA</t>
  </si>
  <si>
    <t>MÉTODO 9</t>
  </si>
  <si>
    <t>TOTAL MES</t>
  </si>
  <si>
    <t>lizettecazorla@gmail.com</t>
  </si>
  <si>
    <t>TOTAL $</t>
  </si>
  <si>
    <t>SIN IVA</t>
  </si>
  <si>
    <t>DARIANA RODRIGUEZ SANCHEZ</t>
  </si>
  <si>
    <t>MATUTINO</t>
  </si>
  <si>
    <t>darianarodriguezsanchez2005@gmail.com</t>
  </si>
  <si>
    <t>SEPT 2024</t>
  </si>
  <si>
    <t>NOVIEMBRE 2025</t>
  </si>
  <si>
    <t>MIA ISABELLA CHAVEZ ARELLANO</t>
  </si>
  <si>
    <t>SONIA TORRES SANCHEZ</t>
  </si>
  <si>
    <t>SABATINO</t>
  </si>
  <si>
    <r>
      <rPr>
        <rFont val="&quot;Aptos Narrow&quot;, sans-serif"/>
        <color rgb="FF1155CC"/>
        <sz val="11.0"/>
        <u/>
      </rPr>
      <t>torresoni@hotmail.com</t>
    </r>
  </si>
  <si>
    <t>REGISTRO DE EGRESOS</t>
  </si>
  <si>
    <t>Usa la flecha de filtro ▼ del encabezado MES (B4) para elegir un mes o mostrar TODOS. El historial se conserva y las filas vacías siguen disponibles para registrar egresos nuevos.</t>
  </si>
  <si>
    <t>FILTRAR MES</t>
  </si>
  <si>
    <t>USA ▼ EN MES (B4)</t>
  </si>
  <si>
    <t>FECHA</t>
  </si>
  <si>
    <t>transferencia</t>
  </si>
  <si>
    <t>MES</t>
  </si>
  <si>
    <t>CONCEPTO</t>
  </si>
  <si>
    <t>CATEGORÍA</t>
  </si>
  <si>
    <t>NOTA</t>
  </si>
  <si>
    <t>MONTO</t>
  </si>
  <si>
    <t>¿FACTURADO?</t>
  </si>
  <si>
    <t>TIPO</t>
  </si>
  <si>
    <t>CUENTA</t>
  </si>
  <si>
    <t>OXANA VILLALOBOS</t>
  </si>
  <si>
    <t>X</t>
  </si>
  <si>
    <t>ADULTS 1</t>
  </si>
  <si>
    <t>ovillalobos504@gmail.com</t>
  </si>
  <si>
    <t>COMPRA</t>
  </si>
  <si>
    <t>EQUIPO</t>
  </si>
  <si>
    <t>TAPETE</t>
  </si>
  <si>
    <t>TRANSFERENCIA</t>
  </si>
  <si>
    <t>VARIABLE</t>
  </si>
  <si>
    <t>REGINA GUADALUPE RODRIGUEZ CHAVEZ</t>
  </si>
  <si>
    <t>gabriela_chadea@hotmail.com</t>
  </si>
  <si>
    <t>REGINA J CHAVEZ ALCARAZ</t>
  </si>
  <si>
    <t>GABRIELA CHAVEZ</t>
  </si>
  <si>
    <t>TELAS</t>
  </si>
  <si>
    <t>kgasaucedo1980@gmail.com</t>
  </si>
  <si>
    <t>OTRO</t>
  </si>
  <si>
    <t>EFECTIVO</t>
  </si>
  <si>
    <t>SOFIA HERMAYONIE AVILA GUERRERO</t>
  </si>
  <si>
    <t>CARLOL ITZEL GUERREO</t>
  </si>
  <si>
    <t>TRANSPORTE</t>
  </si>
  <si>
    <t>3121660418sofia@gmail.com</t>
  </si>
  <si>
    <t>VISITAS AL TEATRO</t>
  </si>
  <si>
    <t>IMPUESTOS</t>
  </si>
  <si>
    <t xml:space="preserve">IMPUESTOS JULIO </t>
  </si>
  <si>
    <t xml:space="preserve">VALENTINA GÓMEZ NEGRETE </t>
  </si>
  <si>
    <t>AYLEEN NEGRETE</t>
  </si>
  <si>
    <t>SERVICIOS</t>
  </si>
  <si>
    <t>SUSCRIPCIÓN</t>
  </si>
  <si>
    <t>ayleennegreted@gmail.com</t>
  </si>
  <si>
    <t>MANTENIMIENTO</t>
  </si>
  <si>
    <t xml:space="preserve">RECEPCIÓN </t>
  </si>
  <si>
    <t xml:space="preserve"> MAGNESIA, OCHOS</t>
  </si>
  <si>
    <t xml:space="preserve">DANNA VALERIA DE LA CRUZ HEREDIA </t>
  </si>
  <si>
    <t xml:space="preserve">VIRIDIANA HEREDIA </t>
  </si>
  <si>
    <t>virihc0104@hotmail.com</t>
  </si>
  <si>
    <t xml:space="preserve">LUCES Y MOSQUETON </t>
  </si>
  <si>
    <t>FINANCIAMIENTO</t>
  </si>
  <si>
    <t xml:space="preserve">GASOLINA </t>
  </si>
  <si>
    <t xml:space="preserve">VIVIANA MONTES CÁRDENAS </t>
  </si>
  <si>
    <t>FIJO</t>
  </si>
  <si>
    <t>ENERO</t>
  </si>
  <si>
    <t>INSUMOS</t>
  </si>
  <si>
    <t>WALMART</t>
  </si>
  <si>
    <t>viviana.mc99@gmail.com</t>
  </si>
  <si>
    <t>AGUA</t>
  </si>
  <si>
    <t>SUSCRIPCIONES</t>
  </si>
  <si>
    <t>CHATGPT</t>
  </si>
  <si>
    <t>GRETA ATENEA ALMANZA RAMOS</t>
  </si>
  <si>
    <t xml:space="preserve">GRETA RAMOS CARVAJAL </t>
  </si>
  <si>
    <t>SALDO</t>
  </si>
  <si>
    <t>carvajalgreta@gmail.com</t>
  </si>
  <si>
    <t>CANVA</t>
  </si>
  <si>
    <t>OTROS</t>
  </si>
  <si>
    <t>DIEZMO</t>
  </si>
  <si>
    <t>MARZO 2026</t>
  </si>
  <si>
    <t>ARMIDA GABRIELA DE LA CRUZ ALCALA</t>
  </si>
  <si>
    <t xml:space="preserve">ARAMIDA OCHOA AMEZCUA </t>
  </si>
  <si>
    <t>EMMA Y JOIA</t>
  </si>
  <si>
    <t>gabimica.25@icloud.com</t>
  </si>
  <si>
    <t xml:space="preserve">NADIA MIREYA MORENO CARRILLO </t>
  </si>
  <si>
    <t>FALTANTE</t>
  </si>
  <si>
    <t>CORTE CAJA</t>
  </si>
  <si>
    <t>nadiamireya22@gmail.com</t>
  </si>
  <si>
    <t xml:space="preserve">ARIADNA KATINA MORENO ROSENDO </t>
  </si>
  <si>
    <t>MARILUZ ROSENDO LEON</t>
  </si>
  <si>
    <t>KIDS 2</t>
  </si>
  <si>
    <t>psicologamariluzleon@gmail.com</t>
  </si>
  <si>
    <t>AGUAS WALMART</t>
  </si>
  <si>
    <t xml:space="preserve">ANIELA SIBEL ORDOÑEZ RAMÍREZ </t>
  </si>
  <si>
    <t>LIMPIEZA WALMART</t>
  </si>
  <si>
    <t>anielaord@gmail.com</t>
  </si>
  <si>
    <t>RENTA</t>
  </si>
  <si>
    <t>RENTA LOCAL</t>
  </si>
  <si>
    <t xml:space="preserve">DENYS GUALINO PERALTA </t>
  </si>
  <si>
    <t>denys.gualino@outlook.es</t>
  </si>
  <si>
    <t xml:space="preserve">LUZ </t>
  </si>
  <si>
    <t>MARÍA SOFIA CÁRDENAS MENDOZA</t>
  </si>
  <si>
    <t xml:space="preserve">INTERNET </t>
  </si>
  <si>
    <t xml:space="preserve">ARELY MENDOZA </t>
  </si>
  <si>
    <t>op.lupiyo@gmail.com</t>
  </si>
  <si>
    <t>ROPA DEPORTIVA</t>
  </si>
  <si>
    <t>MARKETING</t>
  </si>
  <si>
    <t>PUBLICIDAD KIDS AGOSTO</t>
  </si>
  <si>
    <t>MARTHA IVONNE CRUZ TORRES</t>
  </si>
  <si>
    <t>MARTHA IVONNE TORRES RIVAS</t>
  </si>
  <si>
    <t>JR 1</t>
  </si>
  <si>
    <t>bonytr@hotmail.com</t>
  </si>
  <si>
    <t>GAS</t>
  </si>
  <si>
    <t>GABRIELA GUADALUPE CRUZ TORRES</t>
  </si>
  <si>
    <t xml:space="preserve">RECEPCION </t>
  </si>
  <si>
    <t>IMPRESORA</t>
  </si>
  <si>
    <t>IVANNA ESPINOZA JACINTO</t>
  </si>
  <si>
    <t>CITLALLI ANAHI JACINTO ESTRADA</t>
  </si>
  <si>
    <t>HOJAS</t>
  </si>
  <si>
    <t>KIDS 1</t>
  </si>
  <si>
    <t>flakiiz230588@gmail.com</t>
  </si>
  <si>
    <t>ISABELA ESTEFANIA CASTILLO LLAMAS</t>
  </si>
  <si>
    <t>ANA ROSA LLAMAS ALCARAZ</t>
  </si>
  <si>
    <t>SALARIOS</t>
  </si>
  <si>
    <t>PAU QUINCENA</t>
  </si>
  <si>
    <t>laykaira@hotmail.com</t>
  </si>
  <si>
    <t>EFECTIVO MÖOV</t>
  </si>
  <si>
    <t xml:space="preserve">DIANA MARISOL OCHOA CORONA </t>
  </si>
  <si>
    <t>dianam8a.14@gmail.com</t>
  </si>
  <si>
    <t>EVA REGINA FUENTES VEGA</t>
  </si>
  <si>
    <t>AGOSTO 2027</t>
  </si>
  <si>
    <t>TOALLITAS HUMEDAS</t>
  </si>
  <si>
    <t>KAORY VEGA CHAVIRA</t>
  </si>
  <si>
    <t>kaory2189@gmail.com</t>
  </si>
  <si>
    <t>UGG IA FEA</t>
  </si>
  <si>
    <t>JESSICA FERNANDEZ GUTIERREZ</t>
  </si>
  <si>
    <t>KARELY</t>
  </si>
  <si>
    <t>jsscfernandezg@gmail.com</t>
  </si>
  <si>
    <t xml:space="preserve">BOLSAS DE BASURA </t>
  </si>
  <si>
    <t>CINTHIA MICHELLE CAZARES GUTIERREZ</t>
  </si>
  <si>
    <t>MIGUEL ANGEL CAZARES RUIZ</t>
  </si>
  <si>
    <t>cazaresruiz5@gmail.com</t>
  </si>
  <si>
    <t>ALLISON AMEZCUA LUNA</t>
  </si>
  <si>
    <t>ALEJANDRA ELIZABETH LUNA LLAMAS</t>
  </si>
  <si>
    <t>alejandraelizabethlunallamas@gmail.com</t>
  </si>
  <si>
    <t>RENATA AMEZCUA LUNA</t>
  </si>
  <si>
    <t>IRIS SAORI LOZANO PADILLA</t>
  </si>
  <si>
    <t>ESTHER ARACELI PADILLA FARIAS</t>
  </si>
  <si>
    <t>eapf271089@gmail.com</t>
  </si>
  <si>
    <t>IRKA VICTORIA GARCIA NAVARRO</t>
  </si>
  <si>
    <t>GENESIS NAVARRO NARANJO</t>
  </si>
  <si>
    <t>26/09/</t>
  </si>
  <si>
    <t>genesis.navarron@gmail.com</t>
  </si>
  <si>
    <t>BRENDA YUDITH CASTELL MARTINEZ</t>
  </si>
  <si>
    <t>castellyudith9@gmail.com</t>
  </si>
  <si>
    <t>AMERICA ALVAREZ SEPULVEDA</t>
  </si>
  <si>
    <t>amefotografiart@gmail.com</t>
  </si>
  <si>
    <t>MAIA VICTORIA OCHOA COBIAN</t>
  </si>
  <si>
    <t>CYNTIA ALEJANDRA COBIAN ALCARAZ</t>
  </si>
  <si>
    <t>cyndy-2710@hotmail.com</t>
  </si>
  <si>
    <t>ISABELLA ZOE CASTAÑEDA LUNA</t>
  </si>
  <si>
    <t>MARISOL LUNA LLAMAS</t>
  </si>
  <si>
    <t>OCTUBRE 2026</t>
  </si>
  <si>
    <t>NOVA RAMIREZ</t>
  </si>
  <si>
    <t>GRISELDA MAGANA GUIZAR</t>
  </si>
  <si>
    <t>grismgl988@icloud.com</t>
  </si>
  <si>
    <t>efectivo</t>
  </si>
  <si>
    <t>ANDREA FERNANDA</t>
  </si>
  <si>
    <t>DIANA VALENTINA CONTRERAS GARCIA</t>
  </si>
  <si>
    <t>ROCIO GARCIA</t>
  </si>
  <si>
    <t>acalifa882@gmail.com</t>
  </si>
  <si>
    <t>KARLA ELIZABETH CERNAS GARCÍA</t>
  </si>
  <si>
    <t>karlacrns@gmail.com</t>
  </si>
  <si>
    <t>XIMENA SARAHI MONTES CRUZ</t>
  </si>
  <si>
    <t>MARTHA SARAHI CRUZ FUENTES</t>
  </si>
  <si>
    <t>sarafu_02@hotmail.com</t>
  </si>
  <si>
    <t>CAROLINA MAGANA REBOLLEDO</t>
  </si>
  <si>
    <t>TANIA REBOLLEDO QUINTERO</t>
  </si>
  <si>
    <t>LUCIANA ANGEL MACIAS</t>
  </si>
  <si>
    <t>STEPHANIE VIVIANA MACIAS RAMIREZ</t>
  </si>
  <si>
    <t>viviana_bobii@hotmail.com</t>
  </si>
  <si>
    <t>AITANA PADILLA VARGAS</t>
  </si>
  <si>
    <t>DULCE MARIA VARGAS LUNA</t>
  </si>
  <si>
    <t>dulcemariavargasluna5@gmail.com</t>
  </si>
  <si>
    <t xml:space="preserve">Sophie Dannae Estrada Solorzano </t>
  </si>
  <si>
    <t xml:space="preserve">Karen Gabriela Solorzano </t>
  </si>
  <si>
    <t>karensessence@gmail.com</t>
  </si>
  <si>
    <t>ITZIA AQUETZALLI CERVANTES OLIVO</t>
  </si>
  <si>
    <t>GABRIELA ALVAREZ</t>
  </si>
  <si>
    <t>gabota13@live.com.mx</t>
  </si>
  <si>
    <t>SEPTIEMBRE 2026</t>
  </si>
  <si>
    <t>MARIA JOSE MORENO OLIVERA</t>
  </si>
  <si>
    <t>JOSEFINA OLIVERA TORRES</t>
  </si>
  <si>
    <t>MariaJoseMorenoOlivera93@gmail.com</t>
  </si>
  <si>
    <t>FABIOLA VILLALOBOS PEREZ</t>
  </si>
  <si>
    <t>chaus_20@hotmail.com</t>
  </si>
  <si>
    <t>TERMINAL</t>
  </si>
  <si>
    <t>MELANY MILAGROS NINO</t>
  </si>
  <si>
    <t>ALEJANDRA TORRES</t>
  </si>
  <si>
    <t>mnino@ucol.mx</t>
  </si>
  <si>
    <t>PAOLA ARIANA CONTRERAS SUAREZ</t>
  </si>
  <si>
    <t>aripaocons@gmail.com</t>
  </si>
  <si>
    <t xml:space="preserve">ISABELA CASTAÑEDA BALTAZAR </t>
  </si>
  <si>
    <t>icastaneda2@ucol.mx</t>
  </si>
  <si>
    <t>REBECA ESCOBAR CEBALLOS</t>
  </si>
  <si>
    <t>DAISY ESCOBAR CEBALLOS</t>
  </si>
  <si>
    <t>daisy_esba@hotmail.com</t>
  </si>
  <si>
    <t>RUTH GABRIELA AVILA TERRONES</t>
  </si>
  <si>
    <t>gabriela_avl@icloud.com</t>
  </si>
  <si>
    <t>PAOLA REGINA GARCIA CONTRERAS</t>
  </si>
  <si>
    <t>MARCOS DAVID GARCIA GARCIA</t>
  </si>
  <si>
    <t>pgarcia54@ucol.mx</t>
  </si>
  <si>
    <t>ISABELLA ASCENCIO DIAZ</t>
  </si>
  <si>
    <t>ARIEL DIAZ CAMARENA</t>
  </si>
  <si>
    <t xml:space="preserve">JUNIO </t>
  </si>
  <si>
    <t>isaribows@icloud.com</t>
  </si>
  <si>
    <t>NAVABI IZEL ARREGUIN CARRILLO</t>
  </si>
  <si>
    <t>MARIAM LIZETH CARRILLO CARDENAS</t>
  </si>
  <si>
    <t>mcarrillofer1@gmail.com</t>
  </si>
  <si>
    <t>ANA PAULA ARCE GARCIA</t>
  </si>
  <si>
    <t>CITLALLYH DEL SAGRARIO GARCIA VARGAS</t>
  </si>
  <si>
    <t>SEPTIEMBRE 2025</t>
  </si>
  <si>
    <t>laly_62@hotmail.com</t>
  </si>
  <si>
    <t xml:space="preserve">NAOMI CAMPOS GONZALES </t>
  </si>
  <si>
    <t>nao.c.glez@gmail.com</t>
  </si>
  <si>
    <t>EMILIA MARTINEZ MIRANDA</t>
  </si>
  <si>
    <t>MARIA GUADALUPE MIRANDA MARTINEZ</t>
  </si>
  <si>
    <t>lumi_20@hotmail.com</t>
  </si>
  <si>
    <t>CAROLINA POLANCO RAMOS</t>
  </si>
  <si>
    <t xml:space="preserve">CAROLY APOLONIA RAMOS CARVAJAL </t>
  </si>
  <si>
    <t>caroly_042486@hotmail.com</t>
  </si>
  <si>
    <t>LOURDES EMILIA LOBATO FERNANDEZ</t>
  </si>
  <si>
    <t>AURORA IXAPELTZIN FERNANDEZ SERRANO</t>
  </si>
  <si>
    <t>lobatoFernandezemi@gmail.com</t>
  </si>
  <si>
    <t>FERNANDA VALERIA MARIN GARCIA</t>
  </si>
  <si>
    <t>BLANCA JANETH GARCIA RODRIGUEZ</t>
  </si>
  <si>
    <t>Janeth26@outlook.com</t>
  </si>
  <si>
    <t>ARELY ESTEFANIA ROJAS ROBLADA</t>
  </si>
  <si>
    <t>MARTHA TORRES</t>
  </si>
  <si>
    <t>arojas28@ucol.mx</t>
  </si>
  <si>
    <t>TANIA ROMINA BENAVIDES VÁZQUEZ</t>
  </si>
  <si>
    <t>tbenavides@ucol.mx</t>
  </si>
  <si>
    <t>FALSO</t>
  </si>
  <si>
    <t>RENATA VICTORIA AMARAL VENEGAS</t>
  </si>
  <si>
    <t>ENRIQUE AMARAL GONZALEZ</t>
  </si>
  <si>
    <t>enrique.amaral.glez@gmail.com</t>
  </si>
  <si>
    <t xml:space="preserve">DANIELA LIZETH DÍAZ VEGA </t>
  </si>
  <si>
    <t>ALEJANDRA FABIOLA VEGA ALCARAZ</t>
  </si>
  <si>
    <t>ale_vega22@hotmail.com</t>
  </si>
  <si>
    <t>MARIANA ESTRADA MONTES</t>
  </si>
  <si>
    <t>VIANNEY AZUCENA MONTES VELAZQUEZ</t>
  </si>
  <si>
    <t>1 DIA KIDS</t>
  </si>
  <si>
    <t>vianneymontes80@gmail.com</t>
  </si>
  <si>
    <t>MIREYA SAMANTHA LOPEZ GUEVARA</t>
  </si>
  <si>
    <t>HECTOR MANUEL LOPEZ GALVAN</t>
  </si>
  <si>
    <t>mlopez166@ucol.mx</t>
  </si>
  <si>
    <t>ALEXA KARELLI VALDOVINOS IÑIGUEZ</t>
  </si>
  <si>
    <t xml:space="preserve">TANIA KARELLI IÑIGUEZ HEREDIA </t>
  </si>
  <si>
    <t>taniainiher@gmail.com</t>
  </si>
  <si>
    <t>MIRANDA VALENTINA HERNÁNDEZ CERVANTES</t>
  </si>
  <si>
    <t>GABRIELA CERVANTES GUTIÉRREZ</t>
  </si>
  <si>
    <t>facturasmirlyg@gmail.com</t>
  </si>
  <si>
    <t xml:space="preserve">JOHARI ODDETE MURGUIA VELASCO </t>
  </si>
  <si>
    <t>CECILIA PAOLA VELASCO TORRES</t>
  </si>
  <si>
    <t>paolavelasco2105@gmail.com</t>
  </si>
  <si>
    <t>LUNA TERESA PELAYO HERNANDEZ</t>
  </si>
  <si>
    <t>JOSE LUIS PELAYO</t>
  </si>
  <si>
    <t>oyalep99@gmail.com</t>
  </si>
  <si>
    <t xml:space="preserve">EDURNE TERRONES </t>
  </si>
  <si>
    <t>libarra1@ucol.mx</t>
  </si>
  <si>
    <t xml:space="preserve">NATALIA </t>
  </si>
  <si>
    <t>IVANNA  ESTEFANÍA SOTELO MACÍAS</t>
  </si>
  <si>
    <t>ALICIA MACÍAS SERRATOS</t>
  </si>
  <si>
    <t>maciasivanna952@gmail.com</t>
  </si>
  <si>
    <t>FEBRERO 2027</t>
  </si>
  <si>
    <t>Miranda Florentina Mora Alcalá</t>
  </si>
  <si>
    <t xml:space="preserve">Martha Elizabeth Mora </t>
  </si>
  <si>
    <t>Marthamora191274@gmail.com</t>
  </si>
  <si>
    <t xml:space="preserve">ROMINA </t>
  </si>
  <si>
    <t>terminal</t>
  </si>
  <si>
    <t>OTROS INGRESOS</t>
  </si>
  <si>
    <t>Usa la flecha de filtro ▼ del encabezado MES (B4) para elegir un mes o mostrar TODOS. El historial se conserva y las filas vacías siguen disponibles para registrar ingresos nuevos.</t>
  </si>
  <si>
    <t>ALUMNA / CLIENTE</t>
  </si>
  <si>
    <t>IMPORTE BRUTO</t>
  </si>
  <si>
    <t>IVA DIGITAL</t>
  </si>
  <si>
    <t>IMPORTE NETO</t>
  </si>
  <si>
    <t>NOTAS</t>
  </si>
  <si>
    <t>PLAYERAS</t>
  </si>
  <si>
    <t xml:space="preserve">TOTAL AGOSTO </t>
  </si>
  <si>
    <t>AGUAS</t>
  </si>
  <si>
    <t>INSCRIPCIONES</t>
  </si>
  <si>
    <t xml:space="preserve">CAROLINA POLANCO </t>
  </si>
  <si>
    <t xml:space="preserve">ATENEA </t>
  </si>
  <si>
    <t>NAVABI</t>
  </si>
  <si>
    <t>ISABELLA ASCENCIO</t>
  </si>
  <si>
    <t>VARIAS</t>
  </si>
  <si>
    <t xml:space="preserve">VARIAS </t>
  </si>
  <si>
    <t xml:space="preserve">EMILIA </t>
  </si>
  <si>
    <t>FERNANDA VALERIA</t>
  </si>
  <si>
    <t xml:space="preserve">FERNANDA VALERIA </t>
  </si>
  <si>
    <t xml:space="preserve">ISABELA </t>
  </si>
  <si>
    <t>RENDIMIENTOS DE INVERSIÓN</t>
  </si>
  <si>
    <t>mercado pago</t>
  </si>
  <si>
    <t xml:space="preserve">rendimientos </t>
  </si>
  <si>
    <t xml:space="preserve">RENATA VICTORIA </t>
  </si>
  <si>
    <t xml:space="preserve">DANIELA LIZETH </t>
  </si>
  <si>
    <t>VARIOS</t>
  </si>
  <si>
    <t>MARIANA ESTRADA</t>
  </si>
  <si>
    <t xml:space="preserve">NOVIEMBRE </t>
  </si>
  <si>
    <t>CLASE SUELTA</t>
  </si>
  <si>
    <t>VIVI</t>
  </si>
  <si>
    <t xml:space="preserve">sobrante caja digital </t>
  </si>
  <si>
    <t>naomi</t>
  </si>
  <si>
    <t>AITANA</t>
  </si>
  <si>
    <t>AGOSTO 2026</t>
  </si>
  <si>
    <t>ALEXA</t>
  </si>
  <si>
    <t xml:space="preserve">JOHARI </t>
  </si>
  <si>
    <t>MIRANDA</t>
  </si>
  <si>
    <t>ISABELA LLAMAS</t>
  </si>
  <si>
    <t xml:space="preserve">Recargo mensualidad, abono 950 en transferencia y 150 en digital </t>
  </si>
  <si>
    <t xml:space="preserve">maria </t>
  </si>
  <si>
    <t xml:space="preserve">Miranda </t>
  </si>
  <si>
    <t>LIZ</t>
  </si>
  <si>
    <t xml:space="preserve">VARIOS </t>
  </si>
  <si>
    <t>SOBRANTE</t>
  </si>
  <si>
    <t>MP</t>
  </si>
  <si>
    <t>Romina</t>
  </si>
  <si>
    <t xml:space="preserve">DICIEMBRE </t>
  </si>
  <si>
    <t>BREA</t>
  </si>
  <si>
    <t>ISA</t>
  </si>
  <si>
    <t xml:space="preserve">ISA ASENCIO FALTANTE </t>
  </si>
  <si>
    <t>Sobrante ??</t>
  </si>
  <si>
    <t>agua</t>
  </si>
  <si>
    <t>ROMINA</t>
  </si>
  <si>
    <t>Pago de inscripción</t>
  </si>
  <si>
    <t>REBECA</t>
  </si>
  <si>
    <t>María Sofía</t>
  </si>
  <si>
    <t>Ingreso a caja diaria: playera de María Sofía</t>
  </si>
  <si>
    <t>AGOSTO2027</t>
  </si>
  <si>
    <t>SEPTIEMBRE 2027</t>
  </si>
  <si>
    <t xml:space="preserve">REGINA ALANY PELAYO GARCÍA </t>
  </si>
  <si>
    <t xml:space="preserve">gasolina joia </t>
  </si>
  <si>
    <t xml:space="preserve">PAU QUINCENA </t>
  </si>
  <si>
    <t>PRESTAMO MAMÁ</t>
  </si>
  <si>
    <t xml:space="preserve">REGINA </t>
  </si>
  <si>
    <t xml:space="preserve">SALARIOS </t>
  </si>
  <si>
    <t xml:space="preserve">DANI </t>
  </si>
  <si>
    <t xml:space="preserve">DIEZMO </t>
  </si>
  <si>
    <t>STARBUCKS Y PIZZA</t>
  </si>
  <si>
    <t>alva</t>
  </si>
  <si>
    <t>aguas</t>
  </si>
  <si>
    <t>didi</t>
  </si>
  <si>
    <t>monster</t>
  </si>
  <si>
    <t>Salario Joia</t>
  </si>
  <si>
    <t>CAJA DIARIA</t>
  </si>
  <si>
    <t>Apoyo personal a un señor en la calle</t>
  </si>
  <si>
    <t>Pago Regina</t>
  </si>
  <si>
    <t xml:space="preserve">ENERO 2027 </t>
  </si>
  <si>
    <t>ENERO 2027</t>
  </si>
  <si>
    <t>INTERNET</t>
  </si>
  <si>
    <t>GAS JOIA</t>
  </si>
  <si>
    <t>corte</t>
  </si>
  <si>
    <t>regina</t>
  </si>
  <si>
    <t>ADMINISTRACIÓN</t>
  </si>
  <si>
    <t>Contadora</t>
  </si>
  <si>
    <t xml:space="preserve">Pau jueves </t>
  </si>
  <si>
    <t>Salario Dani</t>
  </si>
  <si>
    <t>Sueldo Pau</t>
  </si>
  <si>
    <t>KARELY OCTUBRE</t>
  </si>
  <si>
    <t>DIGITAL</t>
  </si>
  <si>
    <t xml:space="preserve">JOIA </t>
  </si>
  <si>
    <t>DIDIS</t>
  </si>
  <si>
    <t>MAMA GAS</t>
  </si>
  <si>
    <t xml:space="preserve">terminal </t>
  </si>
  <si>
    <t>DASHBOARD GENERAL · MOOV</t>
  </si>
  <si>
    <t>Saldos desde el corte del 02/09/2026. TOTAL DISPONIBLE y DIGITAL excluyen el IVA trasladado; la reserva de IVA permanece controlada por separado. La utilidad contable también conserva los ingresos digitales sin IVA.</t>
  </si>
  <si>
    <t/>
  </si>
  <si>
    <t>TOTAL DISPONIBLE</t>
  </si>
  <si>
    <t>DIGITAL DISPONIBLE</t>
  </si>
  <si>
    <t>EFECTIVO TOTAL</t>
  </si>
  <si>
    <t>ALUMNAS ACTIVAS HOY</t>
  </si>
  <si>
    <t>INGRESOS DEL MES</t>
  </si>
  <si>
    <t>SALIDAS DEL MES</t>
  </si>
  <si>
    <t>UTILIDAD CONTABLE DEL MES</t>
  </si>
  <si>
    <t>GASTOS FIJOS PRESUPUESTADOS</t>
  </si>
  <si>
    <t>DIFERENCIA VS FIJOS</t>
  </si>
  <si>
    <t>MES ACTUAL</t>
  </si>
  <si>
    <t>MENSUALIDAD</t>
  </si>
  <si>
    <t>ESTADO CONTABLE MENSUAL · MOOV</t>
  </si>
  <si>
    <t>Los ingresos se asignan al mes de la fecha real de cobro. La mensualidad queda cubierta en su bloque correspondiente; efectivo se conserva completo y terminal/transferencia van sin IVA (÷ 1.16).</t>
  </si>
  <si>
    <t>INGRESO BRUTO</t>
  </si>
  <si>
    <t>TERMINAL BRUTO</t>
  </si>
  <si>
    <t>TERMINAL SIN IVA</t>
  </si>
  <si>
    <t>TRANSFERENCIA BRUTO</t>
  </si>
  <si>
    <t>TRANSFERENCIA SIN IVA</t>
  </si>
  <si>
    <t>POR CLASIFICAR</t>
  </si>
  <si>
    <t>INGRESO NETO TOTAL</t>
  </si>
  <si>
    <t>EGRESOS REALES</t>
  </si>
  <si>
    <t>UTILIDAD PROYECTADA</t>
  </si>
  <si>
    <t>IVA ACREDITABLE</t>
  </si>
  <si>
    <t>IVA ESTIMADO POR PAGAR</t>
  </si>
  <si>
    <t>MARZO 2027</t>
  </si>
  <si>
    <t>MIXTO (ABONOS)</t>
  </si>
  <si>
    <t>MAYO 2027</t>
  </si>
  <si>
    <t>JUNIO 2027</t>
  </si>
  <si>
    <t>JULIO 2027</t>
  </si>
  <si>
    <t>MAMÁ</t>
  </si>
  <si>
    <t>FECHA DE NACIMIETNO</t>
  </si>
  <si>
    <t>CELULAR</t>
  </si>
  <si>
    <t>MOTIVO</t>
  </si>
  <si>
    <t>REGLAMENTO</t>
  </si>
  <si>
    <t>INSCRIPCIÓN</t>
  </si>
  <si>
    <t>BAJA</t>
  </si>
  <si>
    <t>KARLA ITZEL OROZCO MARTINEZ</t>
  </si>
  <si>
    <t>AERIAL &amp; FLEX 1</t>
  </si>
  <si>
    <t>itzelorozco011@gmail.com</t>
  </si>
  <si>
    <t>horario</t>
  </si>
  <si>
    <t>LIA FRANCO VERDUZCO</t>
  </si>
  <si>
    <t>Angélica Verduzco Silva</t>
  </si>
  <si>
    <t>KIDS A</t>
  </si>
  <si>
    <t>efrancov@contepsa.com</t>
  </si>
  <si>
    <t>no se sabe</t>
  </si>
  <si>
    <t>LUCIANA BELEN MUÑOZ GUZMAN</t>
  </si>
  <si>
    <t>natyguzman2909@gmail.com</t>
  </si>
  <si>
    <t>tiempo</t>
  </si>
  <si>
    <t>ROSA ANGELICA TRILLO</t>
  </si>
  <si>
    <t>AERIAL &amp; FLEX 2</t>
  </si>
  <si>
    <t>rosatrillo111@gmail.com</t>
  </si>
  <si>
    <t>distancia</t>
  </si>
  <si>
    <t>STEPH VAZQUEZ TOSCANO</t>
  </si>
  <si>
    <t>YADIRA TOSCANO</t>
  </si>
  <si>
    <t>yadiraetf91@gmail.com</t>
  </si>
  <si>
    <t>VALENTINA QUINTERO ROLÓN</t>
  </si>
  <si>
    <t>YADIRA ROLÓN</t>
  </si>
  <si>
    <t>yadirarolon@icloud.com</t>
  </si>
  <si>
    <t>VICTORIA QUINTERO ROLÓN</t>
  </si>
  <si>
    <t>yayarj1516@gmail.com</t>
  </si>
  <si>
    <t>julieta</t>
  </si>
  <si>
    <t>KIDS B</t>
  </si>
  <si>
    <t>IBIS ATENEA AGUILAR COBARRUBIAS</t>
  </si>
  <si>
    <t>TERESA COBARRUBIAS</t>
  </si>
  <si>
    <t xml:space="preserve">teresa4coba@gmail.com </t>
  </si>
  <si>
    <t>MARIANA DENISSE NOVELA CHÁVEZ</t>
  </si>
  <si>
    <t>SAMANTHA DENISSE CHÁVEZ PEÑA</t>
  </si>
  <si>
    <t>samanthachavez.pena@gmail.com</t>
  </si>
  <si>
    <t>RAQUEL SILVA</t>
  </si>
  <si>
    <t>operacion@lsibarita.mx</t>
  </si>
  <si>
    <t>MARIAN FERNANDA MONDRAGON SANCHEZ</t>
  </si>
  <si>
    <t>ARIANNA SANCHEZ ESPINOZA</t>
  </si>
  <si>
    <t>arysanchez@gmail.com</t>
  </si>
  <si>
    <t>SOPHIA VALENTINA CÁRDENAS BEDOLLA</t>
  </si>
  <si>
    <t>Edith Bedolla</t>
  </si>
  <si>
    <t>eedith.bedolla.v@gmail.com</t>
  </si>
  <si>
    <t>VALERIA DANAE CHAVEZ CRUZ</t>
  </si>
  <si>
    <t xml:space="preserve">ALLAN FRANCISCO CHAVEZ MARTINEZ </t>
  </si>
  <si>
    <t>AÉREO JR 2</t>
  </si>
  <si>
    <t>allanfranp@gmail.com</t>
  </si>
  <si>
    <t>ANNIA VENTURA RODRIGUEZ</t>
  </si>
  <si>
    <t>AÉREO 2</t>
  </si>
  <si>
    <t>anniaventura16@gmail.com</t>
  </si>
  <si>
    <t>KARLA JAHEL OLMOS ESPINOSA</t>
  </si>
  <si>
    <t>AZUCENA ESPINOSA CRUZ</t>
  </si>
  <si>
    <t>azucena.espinosacruz@gmail.com</t>
  </si>
  <si>
    <t>SHELMAR YOLOTZIN PRECIADO IBARRA</t>
  </si>
  <si>
    <t>preciadoshelmar@gmail.com</t>
  </si>
  <si>
    <t>NOVALY VÁZQUEZ MENDOZA</t>
  </si>
  <si>
    <t xml:space="preserve">NORA MENDONZA </t>
  </si>
  <si>
    <t>lizzi.clothes0@gmail.com</t>
  </si>
  <si>
    <t>DIANA ELIZABETH REYNA RAMIREZ</t>
  </si>
  <si>
    <t>derr2003@outlook.com</t>
  </si>
  <si>
    <t>MARIA JOSE VAZQUEZ PREZAS</t>
  </si>
  <si>
    <t>CINDY PAMELA PREZAS LUNA</t>
  </si>
  <si>
    <t>pamelabb_2710@hotmail.com</t>
  </si>
  <si>
    <t xml:space="preserve">BELLA VICTORIA AYALA RODRIGUEZ </t>
  </si>
  <si>
    <t xml:space="preserve">JORGE AYALA </t>
  </si>
  <si>
    <t>heorhe.4512@gmail.com</t>
  </si>
  <si>
    <t xml:space="preserve">DEUDA 1350 </t>
  </si>
  <si>
    <t>BRITTANY JIMENEZ TORRES</t>
  </si>
  <si>
    <t>NORMA JIMENEZ TORRES</t>
  </si>
  <si>
    <t>AÉREO 1</t>
  </si>
  <si>
    <t>jr.brittanyjimenez.25@inba.edu.mx</t>
  </si>
  <si>
    <t>DIANA JOCELYNE CENTENO CRUZ</t>
  </si>
  <si>
    <t>dcenteno0.ele@gmail.com</t>
  </si>
  <si>
    <t>VICTORIA NAOMI AGUILERA VILLALPANDO</t>
  </si>
  <si>
    <t>EVA VILLALPANDO</t>
  </si>
  <si>
    <t>Ana Gonzales</t>
  </si>
  <si>
    <t>REBECA ORNELAS VARELA</t>
  </si>
  <si>
    <t>CECILIA VARELA AGUILAR</t>
  </si>
  <si>
    <t>varela1211@hotmail.com</t>
  </si>
  <si>
    <t xml:space="preserve">CYNTHIA YAMILET RUIZ PABLO </t>
  </si>
  <si>
    <t>VERONICA GEORGINA DIAZ CUEVAS</t>
  </si>
  <si>
    <t>veronica.ginadc@gmail.com</t>
  </si>
  <si>
    <t>DYLVA GARCÍA</t>
  </si>
  <si>
    <t>dylva01gar@icloud.com</t>
  </si>
  <si>
    <t>PRESUPUESTO DEL MES ACTUAL</t>
  </si>
  <si>
    <t>Sólo presupuesto; la utilidad real se descuenta al registrar el pago en EGRESOS.</t>
  </si>
  <si>
    <t>PRESUPUESTO MENSUAL</t>
  </si>
  <si>
    <t>DÍA DE PAGO</t>
  </si>
  <si>
    <t>MÉTODO PREVISTO</t>
  </si>
  <si>
    <t>¿INCLUIR EN PRESUPUESTO?</t>
  </si>
  <si>
    <t>ÚLTIMA REVISIÓN</t>
  </si>
  <si>
    <t>VIGENTE DESDE</t>
  </si>
  <si>
    <t>VIGENTE HASTA</t>
  </si>
  <si>
    <t>Renta</t>
  </si>
  <si>
    <t>Renta vigente hasta agosto de 2026.</t>
  </si>
  <si>
    <t>Internet</t>
  </si>
  <si>
    <t>Suscripciones</t>
  </si>
  <si>
    <t>Luz</t>
  </si>
  <si>
    <t>RECURRENTE VARIABLE</t>
  </si>
  <si>
    <t>Presupuesto base; sustituir por el recibo real.</t>
  </si>
  <si>
    <t>Insumos Walmart</t>
  </si>
  <si>
    <t>Presupuesto base mensual.</t>
  </si>
  <si>
    <t>Préstamo</t>
  </si>
  <si>
    <t>POR DEFINIR</t>
  </si>
  <si>
    <t>Pago total mensual a mamá. La gasolina pagada por su cuenta forma parte de este préstamo; regístrala en EGRESOS como FINANCIAMIENTO, no como gasolina de Möov.</t>
  </si>
  <si>
    <t>HONORARIOS</t>
  </si>
  <si>
    <t>NÓMINA</t>
  </si>
  <si>
    <t>Sueldo Karely</t>
  </si>
  <si>
    <t>$9,000 + IVA = $10,440 desde septiembre de 2026.</t>
  </si>
  <si>
    <t xml:space="preserve">PAGO MONITORAS </t>
  </si>
  <si>
    <t>CAPACIDAD E INGRESO POR GRUPO</t>
  </si>
  <si>
    <t>La proyección usa la mensualidad con bonificación de $150 por pago del día 1 al 5. Capacidad máxima: 10 alumnas por grupo.</t>
  </si>
  <si>
    <t>ALUMNAS ACTIVAS</t>
  </si>
  <si>
    <t>CAPACIDAD MÁXIMA</t>
  </si>
  <si>
    <t>ESPACIOS DISPONIBLES</t>
  </si>
  <si>
    <t>OCUPACIÓN</t>
  </si>
  <si>
    <t>MENSUALIDAD BONIFICADA</t>
  </si>
  <si>
    <t>INGRESO ESPERADO ACTUAL</t>
  </si>
  <si>
    <t>INGRESO ESPERADO A CUPO LLENO</t>
  </si>
  <si>
    <t>OPORTUNIDAD ESPERADA</t>
  </si>
  <si>
    <t>TOTAL</t>
  </si>
  <si>
    <t>CONTROL DE CUENTAS · MOOV</t>
  </si>
  <si>
    <t>Saldos iniciales al 02/09/2026. El IVA acumulado de agosto se reportó por separado del saldo DIGITAL. Desde septiembre, el IVA generado se separa automáticamente en IVA TRASLADADO. Registra los retiros personales en RETIROS PROPIETARIA: reducen la cuenta elegida sin afectar egresos ni utilidad. Para pagar IVA usa PAGO IVA, origen IVA TRASLADADO y destino SAT.</t>
  </si>
  <si>
    <t>SALDOS ACTUALES</t>
  </si>
  <si>
    <t>DATOS DEL CORTE</t>
  </si>
  <si>
    <t>SALDO AL CORTE</t>
  </si>
  <si>
    <t>INGRESOS NUEVOS</t>
  </si>
  <si>
    <t>EGRESOS NUEVOS</t>
  </si>
  <si>
    <t>MOVIMIENTOS NETOS</t>
  </si>
  <si>
    <t>SALDO ACTUAL</t>
  </si>
  <si>
    <t>VALOR</t>
  </si>
  <si>
    <t>Dinero digital disponible sin IVA. DIGITAL + IVA TRASLADADO coincide con el dinero digital físico.</t>
  </si>
  <si>
    <t>FECHA DEL CORTE</t>
  </si>
  <si>
    <t>Efectivo operativo del estudio</t>
  </si>
  <si>
    <t>INGRESO DIGITAL YA INCLUIDO</t>
  </si>
  <si>
    <t>Efectivo acumulado guardado en casa</t>
  </si>
  <si>
    <t>INGRESO EFECTIVO YA INCLUIDO</t>
  </si>
  <si>
    <t>IVA TRASLADADO</t>
  </si>
  <si>
    <t>Reserva acumulada; los pagos reales al SAT salen de aquí y cualquier excedente permanece ahorrado.</t>
  </si>
  <si>
    <t>EGRESOS YA INCLUIDOS</t>
  </si>
  <si>
    <t>TOTAL CONTROLADO</t>
  </si>
  <si>
    <t>IVA ACUMULADO ANTERIOR</t>
  </si>
  <si>
    <t>SALDO DIGITAL REPORTADO AL CORTE</t>
  </si>
  <si>
    <t>TRASPASOS, AJUSTES Y PAGOS DE IVA</t>
  </si>
  <si>
    <t>IVA SEPT. YA INCLUIDO AL CORTE</t>
  </si>
  <si>
    <t>ORIGEN</t>
  </si>
  <si>
    <t>DESTINO</t>
  </si>
  <si>
    <t>CONTROL DE IVA · MES ACTUAL</t>
  </si>
  <si>
    <t>TRASPASO</t>
  </si>
  <si>
    <t xml:space="preserve">Diezmo agosto </t>
  </si>
  <si>
    <t xml:space="preserve">CORTE CAJA </t>
  </si>
  <si>
    <t>DIFERENCIA IVA</t>
  </si>
  <si>
    <t xml:space="preserve">MAMÁ </t>
  </si>
  <si>
    <t>Estimación con IVA incluido al 16% en egresos facturados. Confirma CFDI, tasa y acreditamiento con tu contadora.</t>
  </si>
  <si>
    <t xml:space="preserve">impuestos karely </t>
  </si>
  <si>
    <t xml:space="preserve">impuestos karely pago sept </t>
  </si>
  <si>
    <t xml:space="preserve">gasolina </t>
  </si>
  <si>
    <t xml:space="preserve">Corte caja </t>
  </si>
  <si>
    <t>PAGO IVA</t>
  </si>
  <si>
    <t>SAT</t>
  </si>
  <si>
    <t>IMPUESTOS AGOSTO</t>
  </si>
  <si>
    <t>CORTE CAJA OCT</t>
  </si>
  <si>
    <t xml:space="preserve">GAS JOIA </t>
  </si>
  <si>
    <t>corte caja</t>
  </si>
  <si>
    <t>PAGO KARELY</t>
  </si>
  <si>
    <t>Nota: “Por clasificar” conserva el importe bruto de pagos que no tienen método capturado. En enero, PAGOS no tiene columna de método; por eso aparecerá ahí.</t>
  </si>
  <si>
    <t>RETIROS DE PROPIETARIA</t>
  </si>
  <si>
    <t>Registra aquí únicamente dinero de Möov destinado a uso personal. Reduce el saldo de la cuenta elegida, pero no afecta los egresos ni la utilidad del estudio.</t>
  </si>
  <si>
    <t>TOTAL RETIRADO</t>
  </si>
  <si>
    <t>RETIROS DEL MES</t>
  </si>
  <si>
    <t>CUENTA DE ORIGEN</t>
  </si>
  <si>
    <t xml:space="preserve">CASA PAU </t>
  </si>
  <si>
    <t xml:space="preserve">INHALADOR </t>
  </si>
  <si>
    <t>RESUMEN FINANCIERO HISTÓRICO · MOOV</t>
  </si>
  <si>
    <t>Histórico APP hasta agosto de 2026; septiembre en adelante se alimenta del Sheet. FLUJO NETO REAL = ingresos brutos menos egresos pagados, por lo que los impuestos registrados como gasto no se descuentan otra vez.</t>
  </si>
  <si>
    <t>PERIODO</t>
  </si>
  <si>
    <t>INGRESOS BRUTOS</t>
  </si>
  <si>
    <t>DIGITAL BRUTO</t>
  </si>
  <si>
    <t>IVA DIGITAL EST. (INFO)</t>
  </si>
  <si>
    <t>INGRESO SIN IVA EST. (INFO)</t>
  </si>
  <si>
    <t>EGRESOS</t>
  </si>
  <si>
    <t>FLUJO NETO REAL</t>
  </si>
  <si>
    <t>MENSUALIDADES REGISTRADAS</t>
  </si>
  <si>
    <t>FUENTE</t>
  </si>
  <si>
    <t>APP</t>
  </si>
  <si>
    <t>IVA estimado solo informativo; no se resta del flujo. Los impuestos pagados ya están incluidos en EGRESOS.</t>
  </si>
  <si>
    <t>SHEETS</t>
  </si>
  <si>
    <t>Mes en curso; los pagos anticipados se reconocen por su fecha. El IVA estimado no se resta del flujo.</t>
  </si>
  <si>
    <t>HISTORIAL FINANCIERO IMPORTADO · APP</t>
  </si>
  <si>
    <t>Movimientos del 03/08/2024 al 31/08/2026. Los traspasos internos se conservan como referencia, pero no cuentan como ingreso ni egreso.</t>
  </si>
  <si>
    <t>CANAL</t>
  </si>
  <si>
    <t>¿TRASPASO?</t>
  </si>
  <si>
    <t>IMPORTE CONTABLE</t>
  </si>
  <si>
    <t>ARCHIVO ORIGEN</t>
  </si>
  <si>
    <t>FECHA/HORA ORIGINAL</t>
  </si>
  <si>
    <t>2024-08</t>
  </si>
  <si>
    <t>Mercado Pago</t>
  </si>
  <si>
    <t>Gasto</t>
  </si>
  <si>
    <t>Software, aplicaciones, juegos</t>
  </si>
  <si>
    <t>FACEBOOK</t>
  </si>
  <si>
    <t>wallet_records (2).xlsx</t>
  </si>
  <si>
    <t>2024-08-03T22:00:00.000Z</t>
  </si>
  <si>
    <t>FACEBOOK PUBLICIDAD</t>
  </si>
  <si>
    <t>2024-08-15T22:00:00.000Z</t>
  </si>
  <si>
    <t>Efectivo Moov</t>
  </si>
  <si>
    <t>Ingreso</t>
  </si>
  <si>
    <t>Venta</t>
  </si>
  <si>
    <t>2024-08-24T21:15:00.000Z</t>
  </si>
  <si>
    <t>2024-08-24T21:30:00.000Z</t>
  </si>
  <si>
    <t>Möov</t>
  </si>
  <si>
    <t>escuela</t>
  </si>
  <si>
    <t>2024-08-24T21:45:00.000Z</t>
  </si>
  <si>
    <t>cine</t>
  </si>
  <si>
    <t>apoyo iglesia</t>
  </si>
  <si>
    <t>baño mimi</t>
  </si>
  <si>
    <t>infeccion</t>
  </si>
  <si>
    <t>ingles</t>
  </si>
  <si>
    <t>Caja diaria</t>
  </si>
  <si>
    <t>Transferir, retirar</t>
  </si>
  <si>
    <t>FONDO 24-08-24</t>
  </si>
  <si>
    <t>2024-08-24T22:00:00.000Z</t>
  </si>
  <si>
    <t>dinero de inscripciones</t>
  </si>
  <si>
    <t>2024-08-25T05:00:00.000Z</t>
  </si>
  <si>
    <t>Ingresos por préstamo o alquiler</t>
  </si>
  <si>
    <t>Inversiones</t>
  </si>
  <si>
    <t>2024-08-25T05:15:00.000Z</t>
  </si>
  <si>
    <t>Compras</t>
  </si>
  <si>
    <t>2024-08-25T22:00:00.000Z</t>
  </si>
  <si>
    <t>clase suelta</t>
  </si>
  <si>
    <t>Clase Atenas af1</t>
  </si>
  <si>
    <t>2024-08-27T21:51:50.076Z</t>
  </si>
  <si>
    <t>Inscripción</t>
  </si>
  <si>
    <t>Primer abono Atenas</t>
  </si>
  <si>
    <t>2024-08-27T21:52:47.202Z</t>
  </si>
  <si>
    <t>Agua</t>
  </si>
  <si>
    <t>2024-08-27T21:53:11.887Z</t>
  </si>
  <si>
    <t>Gasto Pau escuela</t>
  </si>
  <si>
    <t>2024-08-27T21:53:26.363Z</t>
  </si>
  <si>
    <t>Hogar, jardín</t>
  </si>
  <si>
    <t>SILLAS MERCADO LIBRE</t>
  </si>
  <si>
    <t>2024-08-27T22:00:00.000Z</t>
  </si>
  <si>
    <t>Salario, facturas</t>
  </si>
  <si>
    <t>$120 clase suelta
$200 Pago de inscripción</t>
  </si>
  <si>
    <t>2024-08-27T23:45:00.000Z</t>
  </si>
  <si>
    <t>Ingresos</t>
  </si>
  <si>
    <t>Agua chica</t>
  </si>
  <si>
    <t>2024-08-28T01:00:00.000Z</t>
  </si>
  <si>
    <t>agua ch</t>
  </si>
  <si>
    <t>2024-08-28T03:00:00.000Z</t>
  </si>
  <si>
    <t>clase suelta livier</t>
  </si>
  <si>
    <t>GUARDADO NU DE INSCRIPCIONES</t>
  </si>
  <si>
    <t>2024-08-28T22:00:00.000Z</t>
  </si>
  <si>
    <t>2024-08-29T21:45:00.000Z</t>
  </si>
  <si>
    <t>2024-08-29T22:00:00.000Z</t>
  </si>
  <si>
    <t>sistema</t>
  </si>
  <si>
    <t>2024-08-30T01:45:00.000Z</t>
  </si>
  <si>
    <t>agua gd</t>
  </si>
  <si>
    <t>clase regina tweens</t>
  </si>
  <si>
    <t>fondo 29-08</t>
  </si>
  <si>
    <t>2024-08-30T02:00:00.000Z</t>
  </si>
  <si>
    <t>2024-08-30T21:30:00.000Z</t>
  </si>
  <si>
    <t>Mensualidad</t>
  </si>
  <si>
    <t>pago karely</t>
  </si>
  <si>
    <t>Alquiler</t>
  </si>
  <si>
    <t>renta Septiembre</t>
  </si>
  <si>
    <t>2024-08-30T21:45:00.000Z</t>
  </si>
  <si>
    <t>ABONOS DE MENSUALIDADES</t>
  </si>
  <si>
    <t>Caridad, regalos</t>
  </si>
  <si>
    <t>Registra aquí cada pago parcial con su fecha real. Cuando la mensualidad quede liquidada y la captures completa en PAGOS, agrega “CONSOLIDADO EN PAGOS” en la nota de sus abonos para conservar el historial sin sumarlo dos veces.</t>
  </si>
  <si>
    <t>diezmo</t>
  </si>
  <si>
    <t>FECHA DE ABONO</t>
  </si>
  <si>
    <t>MES DE INGRESO</t>
  </si>
  <si>
    <t>2024-08-31T21:30:00.000Z</t>
  </si>
  <si>
    <t>MENSUALIDAD QUE PAGA</t>
  </si>
  <si>
    <t>MONTO DEL ABONO</t>
  </si>
  <si>
    <t>TOTAL ACUMULADO</t>
  </si>
  <si>
    <t>clase de vale sábados</t>
  </si>
  <si>
    <t>Cargos, comisiones</t>
  </si>
  <si>
    <t>sueldo mami</t>
  </si>
  <si>
    <t>2024-08-31T22:30:00.000Z</t>
  </si>
  <si>
    <t>SALARIO</t>
  </si>
  <si>
    <t>Primer abono de septiembre</t>
  </si>
  <si>
    <t>2024-09</t>
  </si>
  <si>
    <t>2024-09-01T22:00:00.000Z</t>
  </si>
  <si>
    <t>Segundo abono; mensualidad liquidada</t>
  </si>
  <si>
    <t>Comestibles</t>
  </si>
  <si>
    <t>AGUAS SAMS 
PAPITAS SAMS</t>
  </si>
  <si>
    <t>Abono de mensualidad octubre 2026</t>
  </si>
  <si>
    <t>Abono octubre 2026; pendientes $150 (mensualidad total $1,300)</t>
  </si>
  <si>
    <t>2024-09-01T22:30:00.000Z</t>
  </si>
  <si>
    <t>Abono octubre 2026; pendientes $200 (mensualidad total $1,300) | CONSOLIDADO EN PAGOS</t>
  </si>
  <si>
    <t>Energía, servicios</t>
  </si>
  <si>
    <t>Abono inicial $800 transferencia; liquidado con $150 efectivo el 13/10/2026.</t>
  </si>
  <si>
    <t>2024-09-02T23:45:00.000Z</t>
  </si>
  <si>
    <t>raquel kids</t>
  </si>
  <si>
    <t>Segundo abono de octubre 2026; mensualidad liquidada | CONSOLIDADO EN PAGOS</t>
  </si>
  <si>
    <t>Abono octubre 2026; pendientes $150 (mensualidad total $950)</t>
  </si>
  <si>
    <t>raquel kids septiembre</t>
  </si>
  <si>
    <t>MENSUALIDAD LIQUIDADA: $950 ($800 transferencia + $150 efectivo).</t>
  </si>
  <si>
    <t>2024-09-03T00:00:00.000Z</t>
  </si>
  <si>
    <t>Bar, cafetería</t>
  </si>
  <si>
    <t>2024-09-03T01:00:00.000Z</t>
  </si>
  <si>
    <t>Abono anticipado para mensualidad de noviembre 2026; recibido el 14/10/2026.</t>
  </si>
  <si>
    <t>Abono octubre 2026; pendientes $100 (mensualidad total $1,100)</t>
  </si>
  <si>
    <t>Mensualidad Septiembre Rosa af2</t>
  </si>
  <si>
    <t>2024-09-03T03:15:00.000Z</t>
  </si>
  <si>
    <t>atenas mensualidad septiembre</t>
  </si>
  <si>
    <t>2024-09-03T03:30:00.000Z</t>
  </si>
  <si>
    <t>erma clase lunes af1</t>
  </si>
  <si>
    <t>4pack sabados</t>
  </si>
  <si>
    <t>Luna first class</t>
  </si>
  <si>
    <t>fondo 02 de sep</t>
  </si>
  <si>
    <t>2024-09-03T03:45:00.000Z</t>
  </si>
  <si>
    <t>Ana Pau Tweens 
clase suelta</t>
  </si>
  <si>
    <t>2024-09-04T03:45:00.000Z</t>
  </si>
  <si>
    <t>Mensualidad Regina Tweens</t>
  </si>
  <si>
    <t>2do abono incsirpcion</t>
  </si>
  <si>
    <t>sofi tweens</t>
  </si>
  <si>
    <t>2024-09-04T04:00:00.000Z</t>
  </si>
  <si>
    <t>Clase Senior</t>
  </si>
  <si>
    <t>agua gd regina tweens</t>
  </si>
  <si>
    <t>fondo 03</t>
  </si>
  <si>
    <t>2024-09-04T04:15:00.000Z</t>
  </si>
  <si>
    <t>Mensualidad Septieembre Kids</t>
  </si>
  <si>
    <t>2024-09-04T22:30:00.000Z</t>
  </si>
  <si>
    <t>inscripcion promo septiembre kids</t>
  </si>
  <si>
    <t>2024-09-04T23:30:00.000Z</t>
  </si>
  <si>
    <t>mens sep</t>
  </si>
  <si>
    <t>2024-09-04T23:45:00.000Z</t>
  </si>
  <si>
    <t>kids septiembre</t>
  </si>
  <si>
    <t>inscripcion y mensualidad af1 septiembre</t>
  </si>
  <si>
    <t>2024-09-05T05:15:00.000Z</t>
  </si>
  <si>
    <t>clase de sabado 07</t>
  </si>
  <si>
    <t>sabados septiembre</t>
  </si>
  <si>
    <t>jessi clase prueba</t>
  </si>
  <si>
    <t>2/3 inscripcion</t>
  </si>
  <si>
    <t>septiembre</t>
  </si>
  <si>
    <t>faltante mensualidad karely</t>
  </si>
  <si>
    <t>pago 2/3 inscripción karely</t>
  </si>
  <si>
    <t>2024-09-05T05:30:00.000Z</t>
  </si>
  <si>
    <t>sep</t>
  </si>
  <si>
    <t>mens septiembre</t>
  </si>
  <si>
    <t>2024-09-05T18:15:00.000Z</t>
  </si>
  <si>
    <t>fondo</t>
  </si>
  <si>
    <t>2024-09-05T22:15:00.000Z</t>
  </si>
  <si>
    <t>JOhana Senior</t>
  </si>
  <si>
    <t>2024-09-06T01:30:00.000Z</t>
  </si>
  <si>
    <t>vale clase sábado 07</t>
  </si>
  <si>
    <t>Sarahi first class af2</t>
  </si>
  <si>
    <t>2024-09-06T18:15:00.000Z</t>
  </si>
  <si>
    <t>mensualidad septiembre</t>
  </si>
  <si>
    <t>3 papas</t>
  </si>
  <si>
    <t>2024-09-07T02:00:00.000Z</t>
  </si>
  <si>
    <t>2024-09-07T02:15:00.000Z</t>
  </si>
  <si>
    <t>Men’s septiembre af 1</t>
  </si>
  <si>
    <t>2024-09-09T13:36:40.273Z</t>
  </si>
  <si>
    <t>nose ajuste de cajas</t>
  </si>
  <si>
    <t>2024-09-10T00:15:00.000Z</t>
  </si>
  <si>
    <t>GASTO CORTE</t>
  </si>
  <si>
    <t>GASTO FINDE</t>
  </si>
  <si>
    <t>clase suelta af1</t>
  </si>
  <si>
    <t>2024-09-10T02:00:00.000Z</t>
  </si>
  <si>
    <t>flex 2</t>
  </si>
  <si>
    <t>pago de oxana inscripción</t>
  </si>
  <si>
    <t>2024-09-10T02:15:00.000Z</t>
  </si>
  <si>
    <t>corte del día 9 de septiembre</t>
  </si>
  <si>
    <t>2024-09-10T23:00:00.000Z</t>
  </si>
  <si>
    <t>2024-09-11T01:30:00.000Z</t>
  </si>
  <si>
    <t>2024-09-11T03:00:00.000Z</t>
  </si>
  <si>
    <t>clase af2</t>
  </si>
  <si>
    <t>2024-09-11T03:25:02.137Z</t>
  </si>
  <si>
    <t>2024-09-12T02:08:59.803Z</t>
  </si>
  <si>
    <t>2024-09-12T02:09:17.215Z</t>
  </si>
  <si>
    <t>2024-09-13T00:45:00.000Z</t>
  </si>
  <si>
    <t>PAGO 5 CLASE, LA DE HOY 12 DE SEPTIEMBRE Y  LAS QUE RESTAN EN EL MES</t>
  </si>
  <si>
    <t>PAGO DE CLASE PRUEBA PARA EL SÁBADO 14 SEP 24</t>
  </si>
  <si>
    <t>2024-09-13T02:15:00.000Z</t>
  </si>
  <si>
    <t>2024-09-17T03:30:00.000Z</t>
  </si>
  <si>
    <t>2024-09-17T03:45:00.000Z</t>
  </si>
  <si>
    <t>2 papas
1 agua ch sabado</t>
  </si>
  <si>
    <t>2024-09-18T01:45:00.000Z</t>
  </si>
  <si>
    <t>PAGO PENDIENTE DE AGUA</t>
  </si>
  <si>
    <t>2024-09-18T03:00:00.000Z</t>
  </si>
  <si>
    <t>2024-09-20T03:00:00.000Z</t>
  </si>
  <si>
    <t>2024-09-20T03:15:00.000Z</t>
  </si>
  <si>
    <t>First Class</t>
  </si>
  <si>
    <t>inscripcion + clase suelta</t>
  </si>
  <si>
    <t>2024-09-20T03:45:00.000Z</t>
  </si>
  <si>
    <t>clases sabado Manuel 
Karenina 
+ 1 first class</t>
  </si>
  <si>
    <t>2024-09-20T04:00:00.000Z</t>
  </si>
  <si>
    <t>2024-09-21T00:30:00.000Z</t>
  </si>
  <si>
    <t>agua + papitas</t>
  </si>
  <si>
    <t>2024-09-22T22:15:00.000Z</t>
  </si>
  <si>
    <t>2024-09-22T22:30:00.000Z</t>
  </si>
  <si>
    <t>shampoo y baño mimi</t>
  </si>
  <si>
    <t>salsa</t>
  </si>
  <si>
    <t>2024-09-22T23:00:00.000Z</t>
  </si>
  <si>
    <t>curso strech</t>
  </si>
  <si>
    <t>mamá</t>
  </si>
  <si>
    <t>2024-09-22T23:15:00.000Z</t>
  </si>
  <si>
    <t>Préstamos, intereses</t>
  </si>
  <si>
    <t>abono papá</t>
  </si>
  <si>
    <t>2024-09-25T02:00:00.000Z</t>
  </si>
  <si>
    <t>2024-09-25T02:15:00.000Z</t>
  </si>
  <si>
    <t>Papelería, herramientas</t>
  </si>
  <si>
    <t>bolsas de basura</t>
  </si>
  <si>
    <t>2024-09-25T23:30:00.000Z</t>
  </si>
  <si>
    <t>2024-09-28T00:00:00.000Z</t>
  </si>
  <si>
    <t>2024-09-28T18:37:13.216Z</t>
  </si>
  <si>
    <t>2024-09-30T23:30:00.000Z</t>
  </si>
  <si>
    <t>2024-10</t>
  </si>
  <si>
    <t>2024-10-01T22:15:50.000Z</t>
  </si>
  <si>
    <t>renta octubre</t>
  </si>
  <si>
    <t>2024-10-01T23:30:00.000Z</t>
  </si>
  <si>
    <t>occtubre</t>
  </si>
  <si>
    <t>2024-10-02T00:00:00.000Z</t>
  </si>
  <si>
    <t>INSCRIPCION LIQUIDADA</t>
  </si>
  <si>
    <t>2024-10-04T03:30:00.000Z</t>
  </si>
  <si>
    <t>octubre</t>
  </si>
  <si>
    <t>950</t>
  </si>
  <si>
    <t>2024-10-04T03:45:00.000Z</t>
  </si>
  <si>
    <t>Comunicación, PC</t>
  </si>
  <si>
    <t>publicidad facebook</t>
  </si>
  <si>
    <t>03/10</t>
  </si>
  <si>
    <t>2024-10-04T04:15:00.000Z</t>
  </si>
  <si>
    <t>2024-10-04T04:45:00.000Z</t>
  </si>
  <si>
    <t>2024-10-04T22:30:00.000Z</t>
  </si>
  <si>
    <t>Comida y bebidas</t>
  </si>
  <si>
    <t>viernes</t>
  </si>
  <si>
    <t>2024-10-05T00:00:00.000Z</t>
  </si>
  <si>
    <t>sabado 05</t>
  </si>
  <si>
    <t>first classs sabado 05</t>
  </si>
  <si>
    <t>2024-10-05T03:00:00.000Z</t>
  </si>
  <si>
    <t>02/03</t>
  </si>
  <si>
    <t>2024-10-05T03:15:00.000Z</t>
  </si>
  <si>
    <t>2024-10-05T03:30:00.000Z</t>
  </si>
  <si>
    <t>faltante octubre</t>
  </si>
  <si>
    <t>2024-10-05T19:00:00.000Z</t>
  </si>
  <si>
    <t>2024-10-07T03:45:00.000Z</t>
  </si>
  <si>
    <t>empanadas y contacto</t>
  </si>
  <si>
    <t>2024-10-07T04:15:00.000Z</t>
  </si>
  <si>
    <t>2024-10-08T23:15:00.000Z</t>
  </si>
  <si>
    <t>2024-10-09T03:15:00.000Z</t>
  </si>
  <si>
    <t>250 inscripción
665 mensualidad</t>
  </si>
  <si>
    <t>luciana octubre</t>
  </si>
  <si>
    <t>2024-10-09T23:45:00.000Z</t>
  </si>
  <si>
    <t>Octubre</t>
  </si>
  <si>
    <t>2024-10-10T00:30:00.000Z</t>
  </si>
  <si>
    <t>2024-10-10T23:15:00.000Z</t>
  </si>
  <si>
    <t>2024-10-11T03:45:00.000Z</t>
  </si>
  <si>
    <t>2024-10-11T04:00:00.000Z</t>
  </si>
  <si>
    <t>2024-10-12T18:30:00.000Z</t>
  </si>
  <si>
    <t>sabados</t>
  </si>
  <si>
    <t>2024-10-14T15:45:00.000Z</t>
  </si>
  <si>
    <t>2024-10-14T23:45:00.000Z</t>
  </si>
  <si>
    <t>2024-10-15T14:00:00.000Z</t>
  </si>
  <si>
    <t>2024-10-16T01:30:00.000Z</t>
  </si>
  <si>
    <t>2024-10-16T03:07:33.693Z</t>
  </si>
  <si>
    <t>2024-10-16T03:07:43.799Z</t>
  </si>
  <si>
    <t>fabuloso</t>
  </si>
  <si>
    <t>2024-10-16T04:45:00.000Z</t>
  </si>
  <si>
    <t>2024-10-16T05:00:00.000Z</t>
  </si>
  <si>
    <t>2024-10-16T05:15:00.000Z</t>
  </si>
  <si>
    <t>2024-10-16T05:30:00.000Z</t>
  </si>
  <si>
    <t>PAUSAS DE MENSUALIDADES · MOOV</t>
  </si>
  <si>
    <t>Agrega una fila por alumna y mes. Usa el día 1 del mes; APLICAR excluye esa mensualidad del presupuesto y CANCELADA la vuelve a incluir.</t>
  </si>
  <si>
    <t>MES PAUSADO</t>
  </si>
  <si>
    <t>MOTIVO / NOTA</t>
  </si>
  <si>
    <t>ESTADO</t>
  </si>
  <si>
    <t>Cuestiones personales</t>
  </si>
  <si>
    <t>APLICAR</t>
  </si>
  <si>
    <t>2024-10-16T17:00:33.365Z</t>
  </si>
  <si>
    <t>Electrónica, accesorios</t>
  </si>
  <si>
    <t>Aromatizante y público Facebook</t>
  </si>
  <si>
    <t>2024-10-16T17:15:10.856Z</t>
  </si>
  <si>
    <t>2024-10-16T17:18:21.634Z</t>
  </si>
  <si>
    <t>2024-10-17T00:15:00.000Z</t>
  </si>
  <si>
    <t>2024-10-18T00:30:00.000Z</t>
  </si>
  <si>
    <t>2024-10-18T00:45:00.000Z</t>
  </si>
  <si>
    <t>2024-10-18T01:30:00.000Z</t>
  </si>
  <si>
    <t>2024-10-18T12:04:13.451Z</t>
  </si>
  <si>
    <t>2024-10-19T02:00:00.000Z</t>
  </si>
  <si>
    <t>aniela</t>
  </si>
  <si>
    <t>celeste</t>
  </si>
  <si>
    <t>2024-10-22T14:45:59.113Z</t>
  </si>
  <si>
    <t>Servicios</t>
  </si>
  <si>
    <t>2024-10-23T00:00:00.000Z</t>
  </si>
  <si>
    <t>2024-10-23T01:30:00.000Z</t>
  </si>
  <si>
    <t>Ame Kids</t>
  </si>
  <si>
    <t>2024-10-23T02:15:00.000Z</t>
  </si>
  <si>
    <t>2024-10-25T00:45:00.000Z</t>
  </si>
  <si>
    <t>sofia sabado</t>
  </si>
  <si>
    <t>ana pau</t>
  </si>
  <si>
    <t>2024-10-25T02:15:00.000Z</t>
  </si>
  <si>
    <t>2024-10-25T23:15:00.000Z</t>
  </si>
  <si>
    <t>2024-10-25T23:30:00.000Z</t>
  </si>
  <si>
    <t>2024-10-25T23:45:00.000Z</t>
  </si>
  <si>
    <t>papá</t>
  </si>
  <si>
    <t>2024-10-30T00:30:00.000Z</t>
  </si>
  <si>
    <t>sofi sab</t>
  </si>
  <si>
    <t>dariana</t>
  </si>
  <si>
    <t>nov</t>
  </si>
  <si>
    <t>2024-10-31T23:30:00.000Z</t>
  </si>
  <si>
    <t>2024-11</t>
  </si>
  <si>
    <t>sofia</t>
  </si>
  <si>
    <t>2024-11-02T17:45:00.000Z</t>
  </si>
  <si>
    <t>regina y andy</t>
  </si>
  <si>
    <t>2024-11-05T01:00:00.000Z</t>
  </si>
  <si>
    <t>sophia</t>
  </si>
  <si>
    <t>raquel</t>
  </si>
  <si>
    <t>karlita tweens</t>
  </si>
  <si>
    <t>ame</t>
  </si>
  <si>
    <t>carlita</t>
  </si>
  <si>
    <t>2024-11-05T01:15:00.000Z</t>
  </si>
  <si>
    <t>atenas</t>
  </si>
  <si>
    <t>2024-11-05T02:00:00.000Z</t>
  </si>
  <si>
    <t>oxana</t>
  </si>
  <si>
    <t>2024-11-05T23:15:00.000Z</t>
  </si>
  <si>
    <t>jessi romero</t>
  </si>
  <si>
    <t>dani</t>
  </si>
  <si>
    <t>vale y vic</t>
  </si>
  <si>
    <t>2024-11-06T00:00:00.000Z</t>
  </si>
  <si>
    <t>2024-11-06T00:15:00.000Z</t>
  </si>
  <si>
    <t>vico</t>
  </si>
  <si>
    <t>2024-11-06T01:30:00.000Z</t>
  </si>
  <si>
    <t>rosa</t>
  </si>
  <si>
    <t>2024-11-06T19:45:00.000Z</t>
  </si>
  <si>
    <t>internet y luz</t>
  </si>
  <si>
    <t>Sept 2027</t>
  </si>
  <si>
    <t>stpeh</t>
  </si>
  <si>
    <t>2024-11-06T23:30:00.000Z</t>
  </si>
  <si>
    <t>lia</t>
  </si>
  <si>
    <t>2024-11-06T23:45:00.000Z</t>
  </si>
  <si>
    <t>2024-11-09T02:24:28.716Z</t>
  </si>
  <si>
    <t>2024-11-09T02:25:07.364Z</t>
  </si>
  <si>
    <t>2024-11-09T02:25:47.129Z</t>
  </si>
  <si>
    <t>2024-11-09T02:26:13.912Z</t>
  </si>
  <si>
    <t>2024-11-09T02:26:22.078Z</t>
  </si>
  <si>
    <t>2024-11-09T18:49:46.256Z</t>
  </si>
  <si>
    <t>2024-11-09T18:50:19.967Z</t>
  </si>
  <si>
    <t>2024-11-09T19:06:50.666Z</t>
  </si>
  <si>
    <t>2024-11-09T19:07:36.112Z</t>
  </si>
  <si>
    <t>2024-11-10T03:30:00.000Z</t>
  </si>
  <si>
    <t>2024-11-13T00:23:59.125Z</t>
  </si>
  <si>
    <t>2024-11-13T00:24:12.140Z</t>
  </si>
  <si>
    <t>2024-11-13T01:28:38.498Z</t>
  </si>
  <si>
    <t>2024-11-13T01:28:53.963Z</t>
  </si>
  <si>
    <t>2024-11-13T01:29:23.861Z</t>
  </si>
  <si>
    <t>2024-11-13T01:29:48.926Z</t>
  </si>
  <si>
    <t>Deporte activo, fitness</t>
  </si>
  <si>
    <t>2024-11-15T00:45:00.000Z</t>
  </si>
  <si>
    <t>2024-11-15T01:00:00.000Z</t>
  </si>
  <si>
    <t>2024-11-20T21:45:46.864Z</t>
  </si>
  <si>
    <t>2024-11-20T21:46:57.268Z</t>
  </si>
  <si>
    <t>2024-11-20T21:47:34.049Z</t>
  </si>
  <si>
    <t>2024-11-20T21:47:46.365Z</t>
  </si>
  <si>
    <t>2024-11-20T21:47:55.164Z</t>
  </si>
  <si>
    <t>2024-11-21T00:13:03.686Z</t>
  </si>
  <si>
    <t>2024-11-21T00:17:41.756Z</t>
  </si>
  <si>
    <t>2024-11-21T00:21:00.670Z</t>
  </si>
  <si>
    <t>2024-11-21T00:25:16.916Z</t>
  </si>
  <si>
    <t>2024-11-22T00:30:00.000Z</t>
  </si>
  <si>
    <t>2024-11-22T00:45:00.000Z</t>
  </si>
  <si>
    <t>2024-11-22T18:30:00.000Z</t>
  </si>
  <si>
    <t>2024-11-22T20:30:00.000Z</t>
  </si>
  <si>
    <t>2024-11-23T17:00:38.088Z</t>
  </si>
  <si>
    <t>2024-11-23T17:00:45.518Z</t>
  </si>
  <si>
    <t>2024-11-23T17:01:00.234Z</t>
  </si>
  <si>
    <t>2024-11-23T17:02:07.983Z</t>
  </si>
  <si>
    <t>2024-11-27T01:09:46.429Z</t>
  </si>
  <si>
    <t>2024-11-27T01:09:57.842Z</t>
  </si>
  <si>
    <t>2024-11-27T04:15:12.791Z</t>
  </si>
  <si>
    <t>2024-11-27T04:16:40.586Z</t>
  </si>
  <si>
    <t>2024-11-28T23:15:00.000Z</t>
  </si>
  <si>
    <t>2024-11-29T00:30:00.000Z</t>
  </si>
  <si>
    <t>2024-11-29T23:45:00.000Z</t>
  </si>
  <si>
    <t>2024-12-01T00:45:00.000Z</t>
  </si>
  <si>
    <t>2024-12-01T01:00:00.000Z</t>
  </si>
  <si>
    <t>2024-12</t>
  </si>
  <si>
    <t>2024-12-03T15:24:51.595Z</t>
  </si>
  <si>
    <t>2024-12-03T15:24:59.543Z</t>
  </si>
  <si>
    <t>2024-12-03T15:25:10.192Z</t>
  </si>
  <si>
    <t>2024-12-03T15:25:40.492Z</t>
  </si>
  <si>
    <t>2024-12-03T15:25:50.325Z</t>
  </si>
  <si>
    <t>2024-12-04T00:45:00.000Z</t>
  </si>
  <si>
    <t>2024-12-05T19:00:00.000Z</t>
  </si>
  <si>
    <t>Sept 2026</t>
  </si>
  <si>
    <t>steph</t>
  </si>
  <si>
    <t>emma</t>
  </si>
  <si>
    <t>2024-12-05T19:15:00.000Z</t>
  </si>
  <si>
    <t>2024-12-05T23:08:15.922Z</t>
  </si>
  <si>
    <t>2024-12-06T00:30:00.000Z</t>
  </si>
  <si>
    <t>2024-12-06T01:15:00.000Z</t>
  </si>
  <si>
    <t>2024-12-07T18:48:49.417Z</t>
  </si>
  <si>
    <t>2024-12-07T18:49:02.582Z</t>
  </si>
  <si>
    <t>2024-12-07T18:49:19.281Z</t>
  </si>
  <si>
    <t>2024-12-07T18:49:27.631Z</t>
  </si>
  <si>
    <t>2024-12-07T18:49:38.497Z</t>
  </si>
  <si>
    <t>2024-12-07T18:52:43.734Z</t>
  </si>
  <si>
    <t>2024-12-07T18:52:58.848Z</t>
  </si>
  <si>
    <t>2024-12-07T18:54:01.430Z</t>
  </si>
  <si>
    <t>2024-12-07T18:55:06.711Z</t>
  </si>
  <si>
    <t>2024-12-07T19:05:35.805Z</t>
  </si>
  <si>
    <t>2024-12-07T19:23:19.176Z</t>
  </si>
  <si>
    <t>2024-12-08T18:39:33.563Z</t>
  </si>
  <si>
    <t>2024-12-11T18:00:00.000Z</t>
  </si>
  <si>
    <t>2024-12-11T18:15:00.000Z</t>
  </si>
  <si>
    <t>navidad</t>
  </si>
  <si>
    <t>2024-12-11T18:30:00.000Z</t>
  </si>
  <si>
    <t>2024-12-18T00:30:00.000Z</t>
  </si>
  <si>
    <t>2024-12-18T01:15:00.000Z</t>
  </si>
  <si>
    <t>2024-12-22T18:45:00.000Z</t>
  </si>
  <si>
    <t>2024-12-22T19:00:00.000Z</t>
  </si>
  <si>
    <t>2025-01</t>
  </si>
  <si>
    <t>wallet_records (1).xlsx</t>
  </si>
  <si>
    <t>2025-01-01T19:30:00.000Z</t>
  </si>
  <si>
    <t>compras mantenimiento</t>
  </si>
  <si>
    <t>2025-01-04T02:45:00.000Z</t>
  </si>
  <si>
    <t>reparaciones moov</t>
  </si>
  <si>
    <t>2025-01-04T03:00:00.000Z</t>
  </si>
  <si>
    <t>KARLA</t>
  </si>
  <si>
    <t>DARIANA</t>
  </si>
  <si>
    <t>2025-01-07T04:30:00.000Z</t>
  </si>
  <si>
    <t>JESSI</t>
  </si>
  <si>
    <t>2025-01-07T04:45:00.000Z</t>
  </si>
  <si>
    <t>RENE</t>
  </si>
  <si>
    <t>ANA PAU</t>
  </si>
  <si>
    <t>ATENAS</t>
  </si>
  <si>
    <t>MARIANA</t>
  </si>
  <si>
    <t>DANI</t>
  </si>
  <si>
    <t>ITZEL</t>
  </si>
  <si>
    <t>2025-01-10T21:15:00.000Z</t>
  </si>
  <si>
    <t>REGINA</t>
  </si>
  <si>
    <t>VICO</t>
  </si>
  <si>
    <t>JULIA</t>
  </si>
  <si>
    <t>AME</t>
  </si>
  <si>
    <t>CARLITA</t>
  </si>
  <si>
    <t>RAQUEL</t>
  </si>
  <si>
    <t>2025-01-10T21:30:00.000Z</t>
  </si>
  <si>
    <t>2025-01-10T21:40:06.561Z</t>
  </si>
  <si>
    <t>Diana</t>
  </si>
  <si>
    <t>2025-01-11T02:21:49.039Z</t>
  </si>
  <si>
    <t>Danna</t>
  </si>
  <si>
    <t>2025-01-11T02:23:00.059Z</t>
  </si>
  <si>
    <t>2025-01-11T15:39:17.358Z</t>
  </si>
  <si>
    <t>SOFI</t>
  </si>
  <si>
    <t>2025-01-11T18:45:00.000Z</t>
  </si>
  <si>
    <t>REGINA Y ANDY</t>
  </si>
  <si>
    <t>GABY</t>
  </si>
  <si>
    <t>2025-01-11T19:00:00.000Z</t>
  </si>
  <si>
    <t>Luzzzz</t>
  </si>
  <si>
    <t>2025-01-14T00:17:12.306Z</t>
  </si>
  <si>
    <t>2025-01-14T00:18:24.420Z</t>
  </si>
  <si>
    <t>2025-01-15T00:45:00.000Z</t>
  </si>
  <si>
    <t>Marian</t>
  </si>
  <si>
    <t>2025-01-15T00:50:20.418Z</t>
  </si>
  <si>
    <t>2025-01-15T00:52:06.913Z</t>
  </si>
  <si>
    <t>2025-01-15T00:52:28.762Z</t>
  </si>
  <si>
    <t>Oxana</t>
  </si>
  <si>
    <t>2025-01-15T00:52:42.729Z</t>
  </si>
  <si>
    <t>2025-01-17T00:30:00.000Z</t>
  </si>
  <si>
    <t>2025-01-18T02:15:16.701Z</t>
  </si>
  <si>
    <t>2025-01-18T02:15:26.748Z</t>
  </si>
  <si>
    <t>2025-01-18T02:15:37.348Z</t>
  </si>
  <si>
    <t>Marely</t>
  </si>
  <si>
    <t>2025-01-18T02:15:44.331Z</t>
  </si>
  <si>
    <t>2025-01-18T02:26:11.220Z</t>
  </si>
  <si>
    <t>2025-01-20T20:30:00.000Z</t>
  </si>
  <si>
    <t>mimi</t>
  </si>
  <si>
    <t>2025-01-20T20:45:00.000Z</t>
  </si>
  <si>
    <t>2025-01-20T21:00:00.000Z</t>
  </si>
  <si>
    <t>2025-01-22T04:36:25.316Z</t>
  </si>
  <si>
    <t>2025-01-22T04:36:36.163Z</t>
  </si>
  <si>
    <t>2025-01-23T16:26:34.885Z</t>
  </si>
  <si>
    <t>2025-01-23T16:26:48.685Z</t>
  </si>
  <si>
    <t>2025-01-23T16:26:58.483Z</t>
  </si>
  <si>
    <t>2025-01-25T18:41:36.792Z</t>
  </si>
  <si>
    <t>2025-01-25T18:41:56.873Z</t>
  </si>
  <si>
    <t>Mía</t>
  </si>
  <si>
    <t>2025-01-25T18:42:10.123Z</t>
  </si>
  <si>
    <t>2025-01-25T18:44:41.668Z</t>
  </si>
  <si>
    <t>2025-01-25T18:46:41.546Z</t>
  </si>
  <si>
    <t>2025-01-28T03:00:00.000Z</t>
  </si>
  <si>
    <t>2025-01-28T03:15:00.000Z</t>
  </si>
  <si>
    <t>Julia</t>
  </si>
  <si>
    <t>2025-01-29T03:06:52.179Z</t>
  </si>
  <si>
    <t>2025-01-29T03:07:53.943Z</t>
  </si>
  <si>
    <t>2025-01-29T03:08:03.759Z</t>
  </si>
  <si>
    <t>2025-01-29T03:08:10.076Z</t>
  </si>
  <si>
    <t>2025-01-29T03:08:15.391Z</t>
  </si>
  <si>
    <t>2025-01-29T03:08:42.742Z</t>
  </si>
  <si>
    <t>Regina</t>
  </si>
  <si>
    <t>2025-01-29T03:08:49.124Z</t>
  </si>
  <si>
    <t>Julieta</t>
  </si>
  <si>
    <t>2025-01-30T23:41:57.710Z</t>
  </si>
  <si>
    <t>2025-01-30T23:42:16.656Z</t>
  </si>
  <si>
    <t>2025-01-30T23:43:13.686Z</t>
  </si>
  <si>
    <t>2025-01-31T03:08:55.982Z</t>
  </si>
  <si>
    <t>2025-01-31T03:15:20.893Z</t>
  </si>
  <si>
    <t>2025-01-31T03:20:05.282Z</t>
  </si>
  <si>
    <t>2025-02</t>
  </si>
  <si>
    <t>2025-02-01T22:25:50.970Z</t>
  </si>
  <si>
    <t>2025-02-01T22:26:01.252Z</t>
  </si>
  <si>
    <t>2025-02-04T01:36:00.597Z</t>
  </si>
  <si>
    <t>2025-02-04T01:36:19.394Z</t>
  </si>
  <si>
    <t>Vida y entretenimiento</t>
  </si>
  <si>
    <t>2025-02-04T01:38:10.204Z</t>
  </si>
  <si>
    <t>Gaby</t>
  </si>
  <si>
    <t>2025-02-04T01:47:21.611Z</t>
  </si>
  <si>
    <t>2025-02-04T01:48:17.284Z</t>
  </si>
  <si>
    <t>Yuri</t>
  </si>
  <si>
    <t>2025-02-04T01:49:33.878Z</t>
  </si>
  <si>
    <t>Ana pau</t>
  </si>
  <si>
    <t>2025-02-05T00:48:27.190Z</t>
  </si>
  <si>
    <t>2025-02-05T00:48:47.387Z</t>
  </si>
  <si>
    <t>Rene</t>
  </si>
  <si>
    <t>2025-02-05T00:49:01.420Z</t>
  </si>
  <si>
    <t>2025-02-05T03:13:14.272Z</t>
  </si>
  <si>
    <t>Jessi</t>
  </si>
  <si>
    <t>2025-02-05T03:14:11.528Z</t>
  </si>
  <si>
    <t>2025-02-05T03:14:26.428Z</t>
  </si>
  <si>
    <t>2025-02-05T23:40:57.676Z</t>
  </si>
  <si>
    <t>2025-02-05T23:42:19.035Z</t>
  </si>
  <si>
    <t>2025-02-05T23:45:34.492Z</t>
  </si>
  <si>
    <t>Dariana</t>
  </si>
  <si>
    <t>2025-02-06T17:06:19.775Z</t>
  </si>
  <si>
    <t>Atenas</t>
  </si>
  <si>
    <t>2025-02-06T17:07:49.465Z</t>
  </si>
  <si>
    <t>2025-02-06T17:08:09.678Z</t>
  </si>
  <si>
    <t>Karely</t>
  </si>
  <si>
    <t>2025-02-06T17:08:19.094Z</t>
  </si>
  <si>
    <t>Ame</t>
  </si>
  <si>
    <t>2025-02-06T17:18:14.205Z</t>
  </si>
  <si>
    <t>2025-02-07T03:43:00.165Z</t>
  </si>
  <si>
    <t>Vico</t>
  </si>
  <si>
    <t>2025-02-07T03:43:12.495Z</t>
  </si>
  <si>
    <t>2025-02-07T03:43:28.711Z</t>
  </si>
  <si>
    <t>Raquel</t>
  </si>
  <si>
    <t>2025-02-07T03:45:41.256Z</t>
  </si>
  <si>
    <t>2025-02-07T03:46:07.756Z</t>
  </si>
  <si>
    <t>Dani</t>
  </si>
  <si>
    <t>2025-02-07T04:28:55.259Z</t>
  </si>
  <si>
    <t>Carlita</t>
  </si>
  <si>
    <t>2025-02-07T04:29:10.875Z</t>
  </si>
  <si>
    <t>2025-02-07T04:30:30.408Z</t>
  </si>
  <si>
    <t>2025-02-07T04:30:39.022Z</t>
  </si>
  <si>
    <t>2025-02-07T04:30:49.621Z</t>
  </si>
  <si>
    <t>Ale Kids</t>
  </si>
  <si>
    <t>2025-02-07T22:30:39.531Z</t>
  </si>
  <si>
    <t>Meli</t>
  </si>
  <si>
    <t>2025-02-07T22:30:51.029Z</t>
  </si>
  <si>
    <t>Marianita</t>
  </si>
  <si>
    <t>2025-02-07T22:31:09.128Z</t>
  </si>
  <si>
    <t>2025-02-07T22:35:25.375Z</t>
  </si>
  <si>
    <t>2025-02-08T15:45:40.394Z</t>
  </si>
  <si>
    <t>2025-02-08T18:43:02.463Z</t>
  </si>
  <si>
    <t>2025-02-08T18:43:24.795Z</t>
  </si>
  <si>
    <t>2025-02-08T18:43:36.478Z</t>
  </si>
  <si>
    <t>2025-02-08T18:44:16.293Z</t>
  </si>
  <si>
    <t>Andy</t>
  </si>
  <si>
    <t>2025-02-08T19:00:47.158Z</t>
  </si>
  <si>
    <t>2025-02-08T20:12:58.239Z</t>
  </si>
  <si>
    <t>2025-02-08T21:03:41.447Z</t>
  </si>
  <si>
    <t>Septiembre 2027</t>
  </si>
  <si>
    <t>2025-02-10T13:28:43.165Z</t>
  </si>
  <si>
    <t>2025-02-10T13:29:00.180Z</t>
  </si>
  <si>
    <t>2025-02-11T02:18:57.682Z</t>
  </si>
  <si>
    <t>2025-02-11T02:19:24.029Z</t>
  </si>
  <si>
    <t>Sofi</t>
  </si>
  <si>
    <t>2025-02-12T21:52:35.804Z</t>
  </si>
  <si>
    <t>2025-02-12T21:52:45.735Z</t>
  </si>
  <si>
    <t>2025-02-14T21:30:00.000Z</t>
  </si>
  <si>
    <t>2025-02-14T21:45:00.000Z</t>
  </si>
  <si>
    <t>karlita</t>
  </si>
  <si>
    <t>14 FEB NIÑAS</t>
  </si>
  <si>
    <t>2025-02-14T22:00:00.000Z</t>
  </si>
  <si>
    <t>2025-02-16T05:27:40.142Z</t>
  </si>
  <si>
    <t>2025-02-17T03:48:26.065Z</t>
  </si>
  <si>
    <t>2025-02-17T03:50:35.256Z</t>
  </si>
  <si>
    <t>2025-02-21T00:40:01.840Z</t>
  </si>
  <si>
    <t>2025-02-21T00:40:11.604Z</t>
  </si>
  <si>
    <t>2025-02-21T00:45:28.992Z</t>
  </si>
  <si>
    <t>2025-02-21T00:47:38.885Z</t>
  </si>
  <si>
    <t>Oct 27</t>
  </si>
  <si>
    <t>2025-02-21T00:49:31.800Z</t>
  </si>
  <si>
    <t>2025-02-21T00:50:56.028Z</t>
  </si>
  <si>
    <t>2025-02-22T18:42:39.001Z</t>
  </si>
  <si>
    <t>2025-02-24T02:10:50.677Z</t>
  </si>
  <si>
    <t>2025-02-24T02:11:00.039Z</t>
  </si>
  <si>
    <t>2025-02-25T00:01:12.533Z</t>
  </si>
  <si>
    <t>2025-02-25T00:02:02.963Z</t>
  </si>
  <si>
    <t>Regis</t>
  </si>
  <si>
    <t>2025-02-25T23:30:00.237Z</t>
  </si>
  <si>
    <t>2025-02-26T14:57:28.635Z</t>
  </si>
  <si>
    <t>2025-02-26T14:57:44.432Z</t>
  </si>
  <si>
    <t>2025-02-26T22:08:19.936Z</t>
  </si>
  <si>
    <t>2025-02-26T22:09:47.032Z</t>
  </si>
  <si>
    <t>2025-02-26T23:56:10.850Z</t>
  </si>
  <si>
    <t>2025-02-27T00:03:41.986Z</t>
  </si>
  <si>
    <t>2025-02-27T00:09:29.315Z</t>
  </si>
  <si>
    <t>2025-03</t>
  </si>
  <si>
    <t>2025-03-03T12:02:46.881Z</t>
  </si>
  <si>
    <t>2025-03-03T12:03:06.863Z</t>
  </si>
  <si>
    <t>2025-03-03T14:25:07.506Z</t>
  </si>
  <si>
    <t>2025-03-03T14:25:17.253Z</t>
  </si>
  <si>
    <t>2025-03-03T20:45:00.000Z</t>
  </si>
  <si>
    <t>mia</t>
  </si>
  <si>
    <t>julia</t>
  </si>
  <si>
    <t>2025-03-03T21:30:00.000Z</t>
  </si>
  <si>
    <t>2025-03-03T21:45:00.000Z</t>
  </si>
  <si>
    <t>2025-03-03T21:51:23.438Z</t>
  </si>
  <si>
    <t>2025-03-04T15:36:55.563Z</t>
  </si>
  <si>
    <t>2025-03-04T15:37:31.392Z</t>
  </si>
  <si>
    <t>2025-03-04T15:37:59.091Z</t>
  </si>
  <si>
    <t>Paloma</t>
  </si>
  <si>
    <t>2025-03-10T19:12:18.270Z</t>
  </si>
  <si>
    <t>Nat</t>
  </si>
  <si>
    <t>2025-03-10T19:12:31.302Z</t>
  </si>
  <si>
    <t>Jessi romero</t>
  </si>
  <si>
    <t>2025-03-10T19:13:25.465Z</t>
  </si>
  <si>
    <t>Karlita</t>
  </si>
  <si>
    <t>2025-03-10T19:13:53.564Z</t>
  </si>
  <si>
    <t>2025-03-10T19:14:18.697Z</t>
  </si>
  <si>
    <t>2025-03-10T19:15:16.477Z</t>
  </si>
  <si>
    <t>2025-03-10T19:15:34.708Z</t>
  </si>
  <si>
    <t>2025-03-10T19:15:56.942Z</t>
  </si>
  <si>
    <t>2025-03-10T19:16:06.407Z</t>
  </si>
  <si>
    <t>2025-03-10T19:17:08.423Z</t>
  </si>
  <si>
    <t>2025-03-10T19:17:26.553Z</t>
  </si>
  <si>
    <t>2025-03-10T19:19:34.434Z</t>
  </si>
  <si>
    <t>2025-03-10T19:29:17.318Z</t>
  </si>
  <si>
    <t>Ana Pau Arce</t>
  </si>
  <si>
    <t>2025-03-11T00:00:00.000Z</t>
  </si>
  <si>
    <t>2025-03-11T00:15:00.000Z</t>
  </si>
  <si>
    <t>2025-03-12T01:10:22.977Z</t>
  </si>
  <si>
    <t>2025-03-13T00:22:01.415Z</t>
  </si>
  <si>
    <t>2025-03-13T00:22:14.245Z</t>
  </si>
  <si>
    <t>Danna faltan $250</t>
  </si>
  <si>
    <t>2025-03-14T14:57:37.575Z</t>
  </si>
  <si>
    <t>2025-03-14T14:57:56.656Z</t>
  </si>
  <si>
    <t>2025-03-14T14:58:06.139Z</t>
  </si>
  <si>
    <t>2025-03-14T14:59:30.618Z</t>
  </si>
  <si>
    <t>Ibis</t>
  </si>
  <si>
    <t>2025-03-15T03:26:27.062Z</t>
  </si>
  <si>
    <t>Ale</t>
  </si>
  <si>
    <t>2025-03-15T03:26:40.543Z</t>
  </si>
  <si>
    <t>2025-03-15T03:26:51.976Z</t>
  </si>
  <si>
    <t>2025-03-15T19:05:36.434Z</t>
  </si>
  <si>
    <t>2025-03-15T19:06:12.614Z</t>
  </si>
  <si>
    <t>2025-03-15T19:06:18.630Z</t>
  </si>
  <si>
    <t>2025-03-15T19:17:40.276Z</t>
  </si>
  <si>
    <t>2025-03-15T19:20:00.619Z</t>
  </si>
  <si>
    <t>2025-03-19T01:14:13.784Z</t>
  </si>
  <si>
    <t>2025-03-19T01:14:55.715Z</t>
  </si>
  <si>
    <t>2025-03-24T14:46:45.003Z</t>
  </si>
  <si>
    <t>2025-03-24T14:46:55.031Z</t>
  </si>
  <si>
    <t>2025-03-24T14:47:09.880Z</t>
  </si>
  <si>
    <t>2025-03-24T14:47:59.295Z</t>
  </si>
  <si>
    <t>2025-03-24T14:48:59.408Z</t>
  </si>
  <si>
    <t>2025-03-24T23:45:00.000Z</t>
  </si>
  <si>
    <t>2025-04-01T01:30:00.000Z</t>
  </si>
  <si>
    <t>Mia</t>
  </si>
  <si>
    <t>2025-04-01T02:15:18.377Z</t>
  </si>
  <si>
    <t>2025-04-01T02:15:25.322Z</t>
  </si>
  <si>
    <t>2025-04-01T02:15:58.820Z</t>
  </si>
  <si>
    <t>Luciana</t>
  </si>
  <si>
    <t>2025-04-01T02:18:39.129Z</t>
  </si>
  <si>
    <t>2025-04-01T02:21:50.952Z</t>
  </si>
  <si>
    <t>2025-04</t>
  </si>
  <si>
    <t>2025-04-01T14:10:47.130Z</t>
  </si>
  <si>
    <t>2025-04-01T14:11:25.941Z</t>
  </si>
  <si>
    <t>2025-04-01T23:01:34.653Z</t>
  </si>
  <si>
    <t>2025-04-02T23:42:32.530Z</t>
  </si>
  <si>
    <t>2025-04-02T23:44:54.303Z</t>
  </si>
  <si>
    <t>2025-04-04T01:15:00.000Z</t>
  </si>
  <si>
    <t>rene</t>
  </si>
  <si>
    <t>2025-04-04T01:30:00.000Z</t>
  </si>
  <si>
    <t>2025-04-05T02:14:16.304Z</t>
  </si>
  <si>
    <t>2025-04-05T02:14:26.950Z</t>
  </si>
  <si>
    <t>2025-04-05T02:14:35.033Z</t>
  </si>
  <si>
    <t>2025-04-05T02:14:46.132Z</t>
  </si>
  <si>
    <t>2025-04-05T02:15:31.366Z</t>
  </si>
  <si>
    <t>2025-04-05T02:15:45.347Z</t>
  </si>
  <si>
    <t>2025-04-05T02:16:16.129Z</t>
  </si>
  <si>
    <t>2025-04-05T02:16:24.662Z</t>
  </si>
  <si>
    <t>2025-04-05T02:24:34.275Z</t>
  </si>
  <si>
    <t>Andy y Regina</t>
  </si>
  <si>
    <t>2025-04-05T18:41:21.979Z</t>
  </si>
  <si>
    <t>2025-04-05T18:41:35.676Z</t>
  </si>
  <si>
    <t>2025-04-05T18:41:44.875Z</t>
  </si>
  <si>
    <t>Karla olmos</t>
  </si>
  <si>
    <t>2025-04-07T19:43:27.086Z</t>
  </si>
  <si>
    <t>2025-04-08T00:12:21.406Z</t>
  </si>
  <si>
    <t>2025-04-08T00:13:44.050Z</t>
  </si>
  <si>
    <t>2025-04-08T17:23:00.231Z</t>
  </si>
  <si>
    <t>2025-04-09T01:25:52.277Z</t>
  </si>
  <si>
    <t>2025-04-09T01:26:24.133Z</t>
  </si>
  <si>
    <t>2025-04-10T01:17:42.079Z</t>
  </si>
  <si>
    <t>2025-04-11T22:07:29.598Z</t>
  </si>
  <si>
    <t>Meli y Ale</t>
  </si>
  <si>
    <t>2025-04-11T22:07:42.212Z</t>
  </si>
  <si>
    <t>2025-04-12T00:00:00.000Z</t>
  </si>
  <si>
    <t>telas</t>
  </si>
  <si>
    <t>2025-04-12T00:15:00.000Z</t>
  </si>
  <si>
    <t>yoga wheel</t>
  </si>
  <si>
    <t>mecánica</t>
  </si>
  <si>
    <t>2025-04-12T18:46:21.231Z</t>
  </si>
  <si>
    <t>2025-04-12T18:46:32.430Z</t>
  </si>
  <si>
    <t>2025-04-12T18:46:44.880Z</t>
  </si>
  <si>
    <t>Aniela</t>
  </si>
  <si>
    <t>2025-04-12T18:47:17.761Z</t>
  </si>
  <si>
    <t>TELCEL</t>
  </si>
  <si>
    <t>2025-04-13T00:06:26.344Z</t>
  </si>
  <si>
    <t>2025-04-22T04:24:29.498Z</t>
  </si>
  <si>
    <t>2025-04-22T04:26:27.842Z</t>
  </si>
  <si>
    <t>2025-04-23T02:24:04.371Z</t>
  </si>
  <si>
    <t>2025-04-23T02:24:48.697Z</t>
  </si>
  <si>
    <t>CLINIQUE</t>
  </si>
  <si>
    <t>2025-04-26T04:30:00.000Z</t>
  </si>
  <si>
    <t>2025-04-29T22:34:48.978Z</t>
  </si>
  <si>
    <t>Danna abril</t>
  </si>
  <si>
    <t>2025-04-29T22:34:57.193Z</t>
  </si>
  <si>
    <t>Dani abril</t>
  </si>
  <si>
    <t>2025-04-29T22:35:39.373Z</t>
  </si>
  <si>
    <t>2025-04-29T22:36:01.639Z</t>
  </si>
  <si>
    <t>LUZ</t>
  </si>
  <si>
    <t>2025-04-30T04:30:00.000Z</t>
  </si>
  <si>
    <t>RAMO BB</t>
  </si>
  <si>
    <t>STRECHING MAYO</t>
  </si>
  <si>
    <t>Andy kids</t>
  </si>
  <si>
    <t>2025-04-30T17:48:14.661Z</t>
  </si>
  <si>
    <t>2025-05-01T04:00:00.000Z</t>
  </si>
  <si>
    <t>2025-05-01T04:45:00.000Z</t>
  </si>
  <si>
    <t>2025-05</t>
  </si>
  <si>
    <t>RAMO</t>
  </si>
  <si>
    <t>2025-05-02T04:30:00.000Z</t>
  </si>
  <si>
    <t>2025-05-03T02:09:11.906Z</t>
  </si>
  <si>
    <t>2025-05-03T02:09:31.436Z</t>
  </si>
  <si>
    <t>Ale y Meli</t>
  </si>
  <si>
    <t>2025-05-03T02:09:40.270Z</t>
  </si>
  <si>
    <t>2025-05-03T02:10:02.852Z</t>
  </si>
  <si>
    <t>2025-05-03T04:15:00.000Z</t>
  </si>
  <si>
    <t>2025-05-03T04:37:00.189Z</t>
  </si>
  <si>
    <t>2025-05-05T12:51:57.819Z</t>
  </si>
  <si>
    <t>2025-05-05T12:52:11.766Z</t>
  </si>
  <si>
    <t>2025-05-05T12:52:23.466Z</t>
  </si>
  <si>
    <t>2025-05-05T12:53:02.881Z</t>
  </si>
  <si>
    <t>Ana Pau</t>
  </si>
  <si>
    <t>2025-05-05T13:04:24.225Z</t>
  </si>
  <si>
    <t>2025-05-05T17:01:39.301Z</t>
  </si>
  <si>
    <t>2025-05-06T02:15:12.577Z</t>
  </si>
  <si>
    <t>2025-05-06T02:15:37.489Z</t>
  </si>
  <si>
    <t>2025-05-06T02:18:15.463Z</t>
  </si>
  <si>
    <t>Regina y Andy</t>
  </si>
  <si>
    <t>2025-05-06T02:18:39.010Z</t>
  </si>
  <si>
    <t>2025-05-06T02:19:02.508Z</t>
  </si>
  <si>
    <t>2025-05-06T02:20:36.704Z</t>
  </si>
  <si>
    <t>2025-05-06T02:20:49.452Z</t>
  </si>
  <si>
    <t>2025-05-06T02:21:17.335Z</t>
  </si>
  <si>
    <t>2025-05-06T02:26:02.176Z</t>
  </si>
  <si>
    <t>Karla</t>
  </si>
  <si>
    <t>2025-05-06T04:26:15.344Z</t>
  </si>
  <si>
    <t>RAMO MARU</t>
  </si>
  <si>
    <t>2025-05-06T04:30:00.000Z</t>
  </si>
  <si>
    <t>ACREDITAR</t>
  </si>
  <si>
    <t>2025-05-06T04:45:00.000Z</t>
  </si>
  <si>
    <t>2025-05-07T16:56:44.541Z</t>
  </si>
  <si>
    <t>Rosa</t>
  </si>
  <si>
    <t>2025-05-07T16:56:55.038Z</t>
  </si>
  <si>
    <t>Shein</t>
  </si>
  <si>
    <t>2025-05-09T03:20:00.598Z</t>
  </si>
  <si>
    <t>2025-05-09T03:20:18.261Z</t>
  </si>
  <si>
    <t>Sendera Mercado</t>
  </si>
  <si>
    <t>2025-05-13T04:33:12.355Z</t>
  </si>
  <si>
    <t>Carlota</t>
  </si>
  <si>
    <t>2025-05-13T04:33:26.003Z</t>
  </si>
  <si>
    <t>2025-05-13T04:38:20.464Z</t>
  </si>
  <si>
    <t>Dennys</t>
  </si>
  <si>
    <t>2025-05-13T04:38:30.130Z</t>
  </si>
  <si>
    <t>2025-05-13T04:38:40.263Z</t>
  </si>
  <si>
    <t>2025-05-15T19:32:48.580Z</t>
  </si>
  <si>
    <t>2025-05-15T19:33:07.026Z</t>
  </si>
  <si>
    <t>Paloma abril</t>
  </si>
  <si>
    <t>2025-05-15T19:33:21.808Z</t>
  </si>
  <si>
    <t>Temu</t>
  </si>
  <si>
    <t>2025-05-15T19:44:23.144Z</t>
  </si>
  <si>
    <t>Regalo mamá</t>
  </si>
  <si>
    <t>2025-05-15T19:44:40.745Z</t>
  </si>
  <si>
    <t>Cambio santiii</t>
  </si>
  <si>
    <t>2025-05-15T19:45:15.343Z</t>
  </si>
  <si>
    <t>2025-05-15T19:45:32.043Z</t>
  </si>
  <si>
    <t>2025-05-15T19:46:13.989Z</t>
  </si>
  <si>
    <t>2025-05-15T19:46:18.989Z</t>
  </si>
  <si>
    <t>2025-05-15T19:50:09.905Z</t>
  </si>
  <si>
    <t>2025-05-15T19:56:25.563Z</t>
  </si>
  <si>
    <t>2025-05-15T19:58:34.806Z</t>
  </si>
  <si>
    <t>Falta dinero :(</t>
  </si>
  <si>
    <t>2025-05-15T20:42:48.480Z</t>
  </si>
  <si>
    <t>2025-05-15T20:51:51.373Z</t>
  </si>
  <si>
    <t>Tdc</t>
  </si>
  <si>
    <t>2025-05-15T20:51:59.505Z</t>
  </si>
  <si>
    <t>Denys</t>
  </si>
  <si>
    <t>2025-05-17T19:16:07.196Z</t>
  </si>
  <si>
    <t>2025-05-17T19:16:42.893Z</t>
  </si>
  <si>
    <t>2025-05-17T19:16:51.375Z</t>
  </si>
  <si>
    <t>2025-05-17T19:17:01.225Z</t>
  </si>
  <si>
    <t>2025-05-17T19:17:17.557Z</t>
  </si>
  <si>
    <t>Sofi abril</t>
  </si>
  <si>
    <t>2025-05-17T19:17:39.906Z</t>
  </si>
  <si>
    <t>2025-05-17T19:36:23.842Z</t>
  </si>
  <si>
    <t>2025-05-17T19:48:47.486Z</t>
  </si>
  <si>
    <t>2025-05-20T00:14:58.622Z</t>
  </si>
  <si>
    <t>2025-05-20T03:21:14.377Z</t>
  </si>
  <si>
    <t>2025-05-21T15:14:32.702Z</t>
  </si>
  <si>
    <t>Mariana</t>
  </si>
  <si>
    <t>2025-05-21T15:14:48.400Z</t>
  </si>
  <si>
    <t>2025-05-21T15:15:07.515Z</t>
  </si>
  <si>
    <t>2025-05-21T20:06:56.127Z</t>
  </si>
  <si>
    <t>Vale</t>
  </si>
  <si>
    <t>2025-05-22T02:09:50.411Z</t>
  </si>
  <si>
    <t>2025-05-22T02:16:11.483Z</t>
  </si>
  <si>
    <t>2025-05-22T02:16:30.051Z</t>
  </si>
  <si>
    <t>2025-05-24T03:32:46.655Z</t>
  </si>
  <si>
    <t>2025-05-24T03:32:54.769Z</t>
  </si>
  <si>
    <t>2025-05-24T03:33:18.285Z</t>
  </si>
  <si>
    <t>2025-05-24T03:34:30.267Z</t>
  </si>
  <si>
    <t>2025-05-26T23:53:03.370Z</t>
  </si>
  <si>
    <t>2025-05-26T23:53:30.832Z</t>
  </si>
  <si>
    <t>2025-05-26T23:57:16.707Z</t>
  </si>
  <si>
    <t>2025-05-26T23:58:34.667Z</t>
  </si>
  <si>
    <t>2025-05-27T00:01:44.841Z</t>
  </si>
  <si>
    <t>Inscripción más mensualidad Regina</t>
  </si>
  <si>
    <t>2025-05-29T02:23:26.720Z</t>
  </si>
  <si>
    <t>2025-05-29T02:24:15.715Z</t>
  </si>
  <si>
    <t>2025-05-29T05:19:01.142Z</t>
  </si>
  <si>
    <t>2025-05-29T05:23:17.780Z</t>
  </si>
  <si>
    <t>2025-05-29T05:26:02.587Z</t>
  </si>
  <si>
    <t>2025-05-29T05:28:38.702Z</t>
  </si>
  <si>
    <t>2025-05-29T05:36:29.387Z</t>
  </si>
  <si>
    <t>2025-05-29T05:38:33.610Z</t>
  </si>
  <si>
    <t>2025-05-29T05:44:53.283Z</t>
  </si>
  <si>
    <t>Saldo</t>
  </si>
  <si>
    <t>2025-05-29T05:52:00.604Z</t>
  </si>
  <si>
    <t>Cafe edward</t>
  </si>
  <si>
    <t>2025-05-29T05:56:32.548Z</t>
  </si>
  <si>
    <t>2025-05-29T06:04:08.810Z</t>
  </si>
  <si>
    <t>Mimi</t>
  </si>
  <si>
    <t>2025-05-29T20:04:12.110Z</t>
  </si>
  <si>
    <t>2025-06-01T03:41:00.000Z</t>
  </si>
  <si>
    <t>2025-06</t>
  </si>
  <si>
    <t>2025-06-02T14:29:36.094Z</t>
  </si>
  <si>
    <t>2025-06-02T14:29:55.356Z</t>
  </si>
  <si>
    <t>2025-06-02T14:30:03.489Z</t>
  </si>
  <si>
    <t>2025-06-03T03:52:36.875Z</t>
  </si>
  <si>
    <t>2025-06-03T03:52:45.921Z</t>
  </si>
  <si>
    <t>Valeria</t>
  </si>
  <si>
    <t>2025-06-03T03:53:22.671Z</t>
  </si>
  <si>
    <t>2025-06-03T03:58:42.396Z</t>
  </si>
  <si>
    <t>2025-06-03T04:00:16.310Z</t>
  </si>
  <si>
    <t>2025-06-03T04:02:07.874Z</t>
  </si>
  <si>
    <t>2025-06-03T04:05:12.326Z</t>
  </si>
  <si>
    <t>Karelyyyy</t>
  </si>
  <si>
    <t>2025-06-04T03:20:41.974Z</t>
  </si>
  <si>
    <t>2025-06-04T03:20:54.003Z</t>
  </si>
  <si>
    <t>2025-06-04T03:21:02.086Z</t>
  </si>
  <si>
    <t>2025-06-05T18:59:59.730Z</t>
  </si>
  <si>
    <t>2025-06-05T19:00:12.028Z</t>
  </si>
  <si>
    <t>2025-06-05T19:01:40.061Z</t>
  </si>
  <si>
    <t>2025-06-05T19:01:49.260Z</t>
  </si>
  <si>
    <t>2025-06-05T19:10:17.623Z</t>
  </si>
  <si>
    <t>2025-06-05T20:25:41.226Z</t>
  </si>
  <si>
    <t>2025-06-05T20:26:04.789Z</t>
  </si>
  <si>
    <t>2025-06-06T05:00:40.684Z</t>
  </si>
  <si>
    <t>2025-06-06T05:00:49.993Z</t>
  </si>
  <si>
    <t>2025-06-06T05:01:37.057Z</t>
  </si>
  <si>
    <t>2025-06-06T05:01:45.640Z</t>
  </si>
  <si>
    <t>2025-06-06T05:05:45.725Z</t>
  </si>
  <si>
    <t>2025-06-06T05:06:23.473Z</t>
  </si>
  <si>
    <t>2025-06-06T05:12:41.635Z</t>
  </si>
  <si>
    <t>Cámara</t>
  </si>
  <si>
    <t>2025-06-06T05:18:34.449Z</t>
  </si>
  <si>
    <t>2025-06-07T00:10:00.119Z</t>
  </si>
  <si>
    <t>2025-06-07T00:10:12.599Z</t>
  </si>
  <si>
    <t>2025-06-07T00:10:38.447Z</t>
  </si>
  <si>
    <t>2025-06-07T02:22:49.461Z</t>
  </si>
  <si>
    <t>2025-06-07T02:22:59.924Z</t>
  </si>
  <si>
    <t>2025-06-07T02:23:36.511Z</t>
  </si>
  <si>
    <t>2025-06-07T19:49:28.314Z</t>
  </si>
  <si>
    <t>2025-06-07T19:49:46.795Z</t>
  </si>
  <si>
    <t>2025-06-09T18:02:17.901Z</t>
  </si>
  <si>
    <t>2025-06-09T18:02:50.516Z</t>
  </si>
  <si>
    <t>Desparasitante Mimi</t>
  </si>
  <si>
    <t>2025-06-09T18:03:10.482Z</t>
  </si>
  <si>
    <t>2025-06-09T18:05:37.727Z</t>
  </si>
  <si>
    <t>Ropa y calzado</t>
  </si>
  <si>
    <t>Uniformes</t>
  </si>
  <si>
    <t>2025-06-09T18:06:05.660Z</t>
  </si>
  <si>
    <t>Telefonía, móvil</t>
  </si>
  <si>
    <t>2025-06-09T18:08:21.288Z</t>
  </si>
  <si>
    <t>2025-06-09T18:09:31.886Z</t>
  </si>
  <si>
    <t>2025-06-09T18:13:57.878Z</t>
  </si>
  <si>
    <t>Pollo Mimi</t>
  </si>
  <si>
    <t>2025-06-09T18:16:30.055Z</t>
  </si>
  <si>
    <t>2025-06-10T23:01:49.989Z</t>
  </si>
  <si>
    <t>Uni</t>
  </si>
  <si>
    <t>2025-06-10T23:02:07.085Z</t>
  </si>
  <si>
    <t>2025-06-10T23:05:01.425Z</t>
  </si>
  <si>
    <t>2025-06-10T23:07:09.650Z</t>
  </si>
  <si>
    <t>2025-06-11T03:23:07.132Z</t>
  </si>
  <si>
    <t>2025-06-12T00:08:00.093Z</t>
  </si>
  <si>
    <t>2025-06-13T03:18:04.476Z</t>
  </si>
  <si>
    <t>Nao e Isa</t>
  </si>
  <si>
    <t>2025-06-13T03:19:23.909Z</t>
  </si>
  <si>
    <t>2025-06-16T01:31:16.094Z</t>
  </si>
  <si>
    <t>2025-06-16T01:31:29.407Z</t>
  </si>
  <si>
    <t>Mariana dip</t>
  </si>
  <si>
    <t>2025-06-16T01:37:35.703Z</t>
  </si>
  <si>
    <t>Desayuno papá</t>
  </si>
  <si>
    <t>2025-06-16T01:38:49.348Z</t>
  </si>
  <si>
    <t>2025-06-16T01:40:40.095Z</t>
  </si>
  <si>
    <t>2025-06-16T01:42:24.822Z</t>
  </si>
  <si>
    <t>2025-06-16T01:44:21.014Z</t>
  </si>
  <si>
    <t>2025-06-16T01:50:41.832Z</t>
  </si>
  <si>
    <t>2025-06-16T02:06:52.168Z</t>
  </si>
  <si>
    <t>2025-06-16T02:08:58.544Z</t>
  </si>
  <si>
    <t>TDC</t>
  </si>
  <si>
    <t>2025-06-16T02:15:00.000Z</t>
  </si>
  <si>
    <t>2025-06-17T04:30:00.000Z</t>
  </si>
  <si>
    <t>2025-06-18T03:21:42.794Z</t>
  </si>
  <si>
    <t>2025-06-18T03:21:55.360Z</t>
  </si>
  <si>
    <t>2025-06-18T22:26:29.010Z</t>
  </si>
  <si>
    <t>2025-06-18T23:48:47.001Z</t>
  </si>
  <si>
    <t>Dani kids</t>
  </si>
  <si>
    <t>2025-06-20T03:30:01.211Z</t>
  </si>
  <si>
    <t>2025-06-20T03:30:13.444Z</t>
  </si>
  <si>
    <t>2025-06-20T03:30:21.011Z</t>
  </si>
  <si>
    <t>2025-06-20T03:30:53.044Z</t>
  </si>
  <si>
    <t>Yeri</t>
  </si>
  <si>
    <t>2025-06-20T03:31:05.160Z</t>
  </si>
  <si>
    <t>2025-06-20T03:32:50.825Z</t>
  </si>
  <si>
    <t>Gym</t>
  </si>
  <si>
    <t>2025-06-20T04:06:59.697Z</t>
  </si>
  <si>
    <t>2025-06-20T04:11:56.277Z</t>
  </si>
  <si>
    <t>2025-06-20T04:15:22.080Z</t>
  </si>
  <si>
    <t>2025-06-20T04:19:35.527Z</t>
  </si>
  <si>
    <t>2025-06-20T04:21:24.598Z</t>
  </si>
  <si>
    <t>2025-06-20T15:09:42.638Z</t>
  </si>
  <si>
    <t>2025-06-20T18:48:00.073Z</t>
  </si>
  <si>
    <t>2025-06-21T02:26:34.254Z</t>
  </si>
  <si>
    <t>Caro</t>
  </si>
  <si>
    <t>2025-06-21T07:04:23.342Z</t>
  </si>
  <si>
    <t>Diezmo</t>
  </si>
  <si>
    <t>2025-06-23T04:53:16.178Z</t>
  </si>
  <si>
    <t>2025-06-23T18:50:49.730Z</t>
  </si>
  <si>
    <t>2025-06-23T18:55:36.766Z</t>
  </si>
  <si>
    <t>2025-06-23T18:56:09.648Z</t>
  </si>
  <si>
    <t>2025-06-23T18:59:03.826Z</t>
  </si>
  <si>
    <t>2025-06-23T19:03:32.818Z</t>
  </si>
  <si>
    <t>2025-06-25T22:42:14.590Z</t>
  </si>
  <si>
    <t>Llaves</t>
  </si>
  <si>
    <t>2025-06-27T22:28:30.483Z</t>
  </si>
  <si>
    <t>2025-06-28T16:37:10.471Z</t>
  </si>
  <si>
    <t>2025-06-29T04:26:00.000Z</t>
  </si>
  <si>
    <t>Streching</t>
  </si>
  <si>
    <t>2025-07-01T04:30:00.000Z</t>
  </si>
  <si>
    <t>Manuel</t>
  </si>
  <si>
    <t>2025-07-01T04:31:00.000Z</t>
  </si>
  <si>
    <t>Asesoría</t>
  </si>
  <si>
    <t>2025-07-01T05:04:00.000Z</t>
  </si>
  <si>
    <t>Papá</t>
  </si>
  <si>
    <t>2025-07-01T05:11:00.000Z</t>
  </si>
  <si>
    <t>2025-07</t>
  </si>
  <si>
    <t>2025-07-04T04:32:23.206Z</t>
  </si>
  <si>
    <t>2025-07-04T04:32:42.354Z</t>
  </si>
  <si>
    <t>2025-07-04T04:32:50.653Z</t>
  </si>
  <si>
    <t>2025-07-04T04:42:30.101Z</t>
  </si>
  <si>
    <t>2025-07-04T04:44:10.013Z</t>
  </si>
  <si>
    <t>2025-07-04T04:47:10.789Z</t>
  </si>
  <si>
    <t>2025-07-04T04:58:31.379Z</t>
  </si>
  <si>
    <t>2025-07-04T05:06:47.476Z</t>
  </si>
  <si>
    <t>2025-07-04T05:09:11.622Z</t>
  </si>
  <si>
    <t>2025-07-04T05:09:34.637Z</t>
  </si>
  <si>
    <t>2025-07-04T05:26:16.543Z</t>
  </si>
  <si>
    <t>2025-07-04T05:30:13.800Z</t>
  </si>
  <si>
    <t>2025-07-07T00:29:53.743Z</t>
  </si>
  <si>
    <t>2025-07-07T00:30:01.609Z</t>
  </si>
  <si>
    <t>2025-07-07T00:30:28.291Z</t>
  </si>
  <si>
    <t>2025-07-07T00:30:38.708Z</t>
  </si>
  <si>
    <t>2025-07-07T00:30:43.791Z</t>
  </si>
  <si>
    <t>2025-07-07T00:32:45.487Z</t>
  </si>
  <si>
    <t>2025-07-07T00:33:13.386Z</t>
  </si>
  <si>
    <t>2025-07-07T17:16:48.361Z</t>
  </si>
  <si>
    <t>2025-07-07T17:22:22.139Z</t>
  </si>
  <si>
    <t>2025-07-07T17:22:31.055Z</t>
  </si>
  <si>
    <t>2025-07-07T17:25:19.865Z</t>
  </si>
  <si>
    <t>2025-07-07T17:26:10.247Z</t>
  </si>
  <si>
    <t>2025-07-07T17:30:11.936Z</t>
  </si>
  <si>
    <t>2025-07-07T17:35:45.306Z</t>
  </si>
  <si>
    <t>2025-07-09T04:24:01.100Z</t>
  </si>
  <si>
    <t>Oxanna</t>
  </si>
  <si>
    <t>2025-07-09T04:24:47.330Z</t>
  </si>
  <si>
    <t>Ana pau agosto</t>
  </si>
  <si>
    <t>2025-07-09T04:25:38.365Z</t>
  </si>
  <si>
    <t>2025-07-09T23:57:40.042Z</t>
  </si>
  <si>
    <t>2025-07-09T23:57:49.221Z</t>
  </si>
  <si>
    <t>2025-07-10T05:28:46.878Z</t>
  </si>
  <si>
    <t>2025-07-10T05:29:00.373Z</t>
  </si>
  <si>
    <t>2025-07-11T00:37:45.502Z</t>
  </si>
  <si>
    <t>2025-07-11T18:32:53.581Z</t>
  </si>
  <si>
    <t>2025-07-11T18:33:04.596Z</t>
  </si>
  <si>
    <t>2025-07-12T02:59:47.528Z</t>
  </si>
  <si>
    <t>2025-07-12T03:02:41.190Z</t>
  </si>
  <si>
    <t>2025-07-12T03:23:00.666Z</t>
  </si>
  <si>
    <t>2025-07-12T03:26:32.954Z</t>
  </si>
  <si>
    <t>2025-07-12T03:26:44.237Z</t>
  </si>
  <si>
    <t>2025-07-12T03:32:50.937Z</t>
  </si>
  <si>
    <t>2025-07-12T04:05:33.502Z</t>
  </si>
  <si>
    <t>2025-07-17T23:28:23.262Z</t>
  </si>
  <si>
    <t>2025-07-17T23:28:57.207Z</t>
  </si>
  <si>
    <t>2025-07-17T23:29:09.755Z</t>
  </si>
  <si>
    <t>Dani junio</t>
  </si>
  <si>
    <t>2025-07-17T23:29:21.088Z</t>
  </si>
  <si>
    <t>2025-07-18T03:13:07.968Z</t>
  </si>
  <si>
    <t>2025-07-18T04:28:23.669Z</t>
  </si>
  <si>
    <t>Competencia</t>
  </si>
  <si>
    <t>2025-07-18T04:32:11.411Z</t>
  </si>
  <si>
    <t>2025-07-18T04:38:11.826Z</t>
  </si>
  <si>
    <t>2025-07-19T18:41:08.201Z</t>
  </si>
  <si>
    <t>2025-07-19T18:41:22.677Z</t>
  </si>
  <si>
    <t>2025-07-19T18:46:54.129Z</t>
  </si>
  <si>
    <t>2025-07-22T16:41:02.023Z</t>
  </si>
  <si>
    <t>2025-07-22T16:41:11.186Z</t>
  </si>
  <si>
    <t>2025-07-28T17:27:42.317Z</t>
  </si>
  <si>
    <t>2025-07-28T17:27:49.381Z</t>
  </si>
  <si>
    <t>2025-07-28T17:27:58.865Z</t>
  </si>
  <si>
    <t>2025-07-28T17:28:28.147Z</t>
  </si>
  <si>
    <t>2025-07-28T17:28:42.796Z</t>
  </si>
  <si>
    <t>2025-07-31T19:45:00.000Z</t>
  </si>
  <si>
    <t>almacen sams y aguas</t>
  </si>
  <si>
    <t>2025-07-31T20:30:00.000Z</t>
  </si>
  <si>
    <t>acuarelas y libreta</t>
  </si>
  <si>
    <t>twister</t>
  </si>
  <si>
    <t>2025-07-31T20:45:00.000Z</t>
  </si>
  <si>
    <t>resto de pago mes</t>
  </si>
  <si>
    <t>2025-08</t>
  </si>
  <si>
    <t>2025-08-08T20:15:00.000Z</t>
  </si>
  <si>
    <t>engargolado</t>
  </si>
  <si>
    <t>Sarahí</t>
  </si>
  <si>
    <t>2025-08-12T02:13:14.035Z</t>
  </si>
  <si>
    <t>Yanaí</t>
  </si>
  <si>
    <t>2025-08-12T02:13:41.181Z</t>
  </si>
  <si>
    <t>Toño</t>
  </si>
  <si>
    <t>2025-08-12T02:14:26.080Z</t>
  </si>
  <si>
    <t>2025-08-12T02:14:35.413Z</t>
  </si>
  <si>
    <t>2025-08-13T01:51:40.198Z</t>
  </si>
  <si>
    <t>2025-08-13T01:53:02.109Z</t>
  </si>
  <si>
    <t>2025-08-13T03:44:33.215Z</t>
  </si>
  <si>
    <t>2025-08-13T03:44:59.666Z</t>
  </si>
  <si>
    <t>2025-08-13T22:13:35.209Z</t>
  </si>
  <si>
    <t>Balón</t>
  </si>
  <si>
    <t>2025-08-14T01:43:00.000Z</t>
  </si>
  <si>
    <t>2025-08-14T02:09:00.246Z</t>
  </si>
  <si>
    <t>2025-08-14T02:09:42.194Z</t>
  </si>
  <si>
    <t>2025-08-14T02:10:47.642Z</t>
  </si>
  <si>
    <t>Dani julio</t>
  </si>
  <si>
    <t>2025-08-15T23:42:05.184Z</t>
  </si>
  <si>
    <t>2025-08-15T23:51:02.356Z</t>
  </si>
  <si>
    <t>2025-08-18T06:05:46.287Z</t>
  </si>
  <si>
    <t>Sofiiii</t>
  </si>
  <si>
    <t>2025-08-18T23:26:39.249Z</t>
  </si>
  <si>
    <t>2025-08-18T23:26:55.230Z</t>
  </si>
  <si>
    <t>2025-08-19T19:42:11.912Z</t>
  </si>
  <si>
    <t>2025-08-19T19:42:37.011Z</t>
  </si>
  <si>
    <t>Curso de verano</t>
  </si>
  <si>
    <t>2025-08-19T22:33:08.281Z</t>
  </si>
  <si>
    <t>Publicidad</t>
  </si>
  <si>
    <t>2025-08-19T22:38:58.402Z</t>
  </si>
  <si>
    <t>2025-08-19T22:40:48.161Z</t>
  </si>
  <si>
    <t>Adelantó Sofi septiembre</t>
  </si>
  <si>
    <t>2025-08-19T22:43:07.555Z</t>
  </si>
  <si>
    <t>Karelyyy</t>
  </si>
  <si>
    <t>2025-08-19T22:46:02.380Z</t>
  </si>
  <si>
    <t>Ana Vic</t>
  </si>
  <si>
    <t>2025-08-20T01:38:01.533Z</t>
  </si>
  <si>
    <t>2025-08-20T01:38:16.965Z</t>
  </si>
  <si>
    <t>2025-08-20T01:38:38.347Z</t>
  </si>
  <si>
    <t>2025-08-20T01:43:48.829Z</t>
  </si>
  <si>
    <t>2025-08-20T01:45:31.875Z</t>
  </si>
  <si>
    <t>2025-08-20T01:53:42.183Z</t>
  </si>
  <si>
    <t>2025-08-20T03:40:39.579Z</t>
  </si>
  <si>
    <t>2025-08-21T02:02:48.162Z</t>
  </si>
  <si>
    <t>2025-08-21T03:49:05.588Z</t>
  </si>
  <si>
    <t>2025-08-21T23:05:27.597Z</t>
  </si>
  <si>
    <t>Naomi</t>
  </si>
  <si>
    <t>2025-08-22T01:47:25.037Z</t>
  </si>
  <si>
    <t>2025-08-23T20:01:53.526Z</t>
  </si>
  <si>
    <t>2025-08-23T20:02:27.807Z</t>
  </si>
  <si>
    <t>2025-08-23T20:02:58.490Z</t>
  </si>
  <si>
    <t>2025-08-23T20:41:13.821Z</t>
  </si>
  <si>
    <t>2025-08-23T20:44:03.011Z</t>
  </si>
  <si>
    <t>2025-08-23T20:44:57.459Z</t>
  </si>
  <si>
    <t>Hogazas</t>
  </si>
  <si>
    <t>2025-08-23T21:19:35.623Z</t>
  </si>
  <si>
    <t>2025-08-31T01:36:17.214Z</t>
  </si>
  <si>
    <t>2025-08-31T01:43:07.200Z</t>
  </si>
  <si>
    <t>2025-08-31T01:43:23.099Z</t>
  </si>
  <si>
    <t>2025-08-31T01:45:41.196Z</t>
  </si>
  <si>
    <t>2025-08-31T01:47:58.242Z</t>
  </si>
  <si>
    <t>2025-08-31T01:48:13.943Z</t>
  </si>
  <si>
    <t>2025-08-31T01:51:01.488Z</t>
  </si>
  <si>
    <t>2025-08-31T03:06:55.125Z</t>
  </si>
  <si>
    <t>2025-08-31T04:20:00.000Z</t>
  </si>
  <si>
    <t>2025-09-01T01:41:00.000Z</t>
  </si>
  <si>
    <t>2025-09</t>
  </si>
  <si>
    <t>Viví</t>
  </si>
  <si>
    <t>2025-09-03T01:38:57.479Z</t>
  </si>
  <si>
    <t>2025-09-03T01:39:40.858Z</t>
  </si>
  <si>
    <t>Reginaaa</t>
  </si>
  <si>
    <t>2025-09-03T01:40:21.406Z</t>
  </si>
  <si>
    <t>2025-09-03T01:42:13.933Z</t>
  </si>
  <si>
    <t>2025-09-03T01:43:38.546Z</t>
  </si>
  <si>
    <t>2025-09-03T01:43:57.828Z</t>
  </si>
  <si>
    <t>2025-09-03T01:44:19.460Z</t>
  </si>
  <si>
    <t>2025-09-03T01:53:44.297Z</t>
  </si>
  <si>
    <t>Johanna</t>
  </si>
  <si>
    <t>2025-09-03T04:12:59.685Z</t>
  </si>
  <si>
    <t>2025-09-03T04:13:14.629Z</t>
  </si>
  <si>
    <t>2025-09-03T04:28:33.027Z</t>
  </si>
  <si>
    <t>Tdc Mercado</t>
  </si>
  <si>
    <t>2025-09-03T04:30:31.187Z</t>
  </si>
  <si>
    <t>2025-09-03T04:35:09.926Z</t>
  </si>
  <si>
    <t>Toñito</t>
  </si>
  <si>
    <t>2025-09-04T21:50:25.218Z</t>
  </si>
  <si>
    <t>2025-09-04T21:53:49.490Z</t>
  </si>
  <si>
    <t>2025-09-04T21:59:38.392Z</t>
  </si>
  <si>
    <t>2025-09-04T22:05:22.360Z</t>
  </si>
  <si>
    <t>2025-09-04T22:06:01.622Z</t>
  </si>
  <si>
    <t>2025-09-04T22:08:16.567Z</t>
  </si>
  <si>
    <t>Vale Jr</t>
  </si>
  <si>
    <t>2025-09-05T01:43:31.936Z</t>
  </si>
  <si>
    <t>2025-09-05T01:43:49.467Z</t>
  </si>
  <si>
    <t>2025-09-05T01:44:17.981Z</t>
  </si>
  <si>
    <t>2025-09-05T01:46:57.388Z</t>
  </si>
  <si>
    <t>2025-09-06T18:51:41.114Z</t>
  </si>
  <si>
    <t>2025-09-06T18:51:51.360Z</t>
  </si>
  <si>
    <t>2025-09-06T18:52:03.493Z</t>
  </si>
  <si>
    <t>2025-09-06T18:52:34.294Z</t>
  </si>
  <si>
    <t>2025-09-06T18:54:43.325Z</t>
  </si>
  <si>
    <t>2025-09-06T18:55:03.438Z</t>
  </si>
  <si>
    <t>Jessii</t>
  </si>
  <si>
    <t>2025-09-06T18:55:57.520Z</t>
  </si>
  <si>
    <t>2025-09-06T18:56:14.201Z</t>
  </si>
  <si>
    <t>2025-09-06T18:57:03.237Z</t>
  </si>
  <si>
    <t>2025-09-06T18:57:22.683Z</t>
  </si>
  <si>
    <t>2025-09-06T18:58:30.848Z</t>
  </si>
  <si>
    <t>Ivana</t>
  </si>
  <si>
    <t>2025-09-09T02:04:45.725Z</t>
  </si>
  <si>
    <t>Dari</t>
  </si>
  <si>
    <t>2025-09-09T02:04:54.705Z</t>
  </si>
  <si>
    <t>Angie</t>
  </si>
  <si>
    <t>2025-09-09T03:21:16.761Z</t>
  </si>
  <si>
    <t>2025-09-09T22:12:28.458Z</t>
  </si>
  <si>
    <t>2025-09-09T22:32:17.962Z</t>
  </si>
  <si>
    <t>2025-09-09T23:13:04.356Z</t>
  </si>
  <si>
    <t>2025-09-09T23:15:03.701Z</t>
  </si>
  <si>
    <t>2025-09-10T15:23:47.334Z</t>
  </si>
  <si>
    <t>2025-09-10T18:27:04.331Z</t>
  </si>
  <si>
    <t>2025-09-10T18:28:41.623Z</t>
  </si>
  <si>
    <t>Nova y Fer</t>
  </si>
  <si>
    <t>2025-09-11T03:29:31.180Z</t>
  </si>
  <si>
    <t>2025-09-13T02:18:42.845Z</t>
  </si>
  <si>
    <t>2025-09-13T19:30:26.702Z</t>
  </si>
  <si>
    <t>2025-09-13T19:30:36.283Z</t>
  </si>
  <si>
    <t>2025-09-13T19:32:17.630Z</t>
  </si>
  <si>
    <t>2025-09-17T22:23:11.524Z</t>
  </si>
  <si>
    <t>Alany</t>
  </si>
  <si>
    <t>2025-09-17T23:36:05.440Z</t>
  </si>
  <si>
    <t>2025-09-18T18:06:54.157Z</t>
  </si>
  <si>
    <t>2025-09-18T18:07:32.318Z</t>
  </si>
  <si>
    <t>2025-09-18T18:11:14.968Z</t>
  </si>
  <si>
    <t>Raid</t>
  </si>
  <si>
    <t>2025-09-18T18:13:17.079Z</t>
  </si>
  <si>
    <t>2025-09-18T22:02:14.466Z</t>
  </si>
  <si>
    <t>2025-09-18T22:03:16.262Z</t>
  </si>
  <si>
    <t>2025-09-20T19:02:57.209Z</t>
  </si>
  <si>
    <t>Hermana de Denys</t>
  </si>
  <si>
    <t>2025-09-20T19:04:16.470Z</t>
  </si>
  <si>
    <t>2025-09-20T19:04:51.268Z</t>
  </si>
  <si>
    <t>2025-09-20T19:05:03.401Z</t>
  </si>
  <si>
    <t>2025-09-20T19:05:23.316Z</t>
  </si>
  <si>
    <t>2025-09-20T22:50:06.527Z</t>
  </si>
  <si>
    <t>2025-09-27T02:18:49.894Z</t>
  </si>
  <si>
    <t>2025-09-27T02:19:04.675Z</t>
  </si>
  <si>
    <t>Bella</t>
  </si>
  <si>
    <t>2025-09-27T02:19:30.625Z</t>
  </si>
  <si>
    <t>2025-09-27T02:19:48.724Z</t>
  </si>
  <si>
    <t>2025-09-27T02:21:27.322Z</t>
  </si>
  <si>
    <t>2025-09-27T02:45:09.427Z</t>
  </si>
  <si>
    <t>2025-09-27T02:50:41.604Z</t>
  </si>
  <si>
    <t>2025-09-27T02:51:28.401Z</t>
  </si>
  <si>
    <t>2025-09-27T02:59:46.811Z</t>
  </si>
  <si>
    <t>2025-09-27T05:46:14.294Z</t>
  </si>
  <si>
    <t>2025-09-28T00:40:14.753Z</t>
  </si>
  <si>
    <t>2025-09-28T17:39:00.000Z</t>
  </si>
  <si>
    <t>2025-09-29T17:23:22.986Z</t>
  </si>
  <si>
    <t>Gastos financieros</t>
  </si>
  <si>
    <t>2025-09-30T18:28:21.591Z</t>
  </si>
  <si>
    <t>2025-09-30T20:01:00.000Z</t>
  </si>
  <si>
    <t>2025-10</t>
  </si>
  <si>
    <t>2025-10-01T18:23:00.000Z</t>
  </si>
  <si>
    <t>2025-10-02T17:30:01.084Z</t>
  </si>
  <si>
    <t>2025-10-02T17:30:16.096Z</t>
  </si>
  <si>
    <t>2025-10-02T17:33:25.136Z</t>
  </si>
  <si>
    <t>Doctor</t>
  </si>
  <si>
    <t>2025-10-02T17:34:38.981Z</t>
  </si>
  <si>
    <t>2025-10-02T17:41:19.144Z</t>
  </si>
  <si>
    <t>TV, Streaming</t>
  </si>
  <si>
    <t>2025-10-02T18:23:04.895Z</t>
  </si>
  <si>
    <t>2025-10-02T18:28:58.735Z</t>
  </si>
  <si>
    <t>2025-10-02T22:56:05.336Z</t>
  </si>
  <si>
    <t>2025-10-02T23:56:06.612Z</t>
  </si>
  <si>
    <t>2025-10-02T23:57:11.024Z</t>
  </si>
  <si>
    <t>2025-10-02T23:57:35.073Z</t>
  </si>
  <si>
    <t>2025-10-02T23:58:01.889Z</t>
  </si>
  <si>
    <t>2025-10-03T00:44:51.823Z</t>
  </si>
  <si>
    <t>2025-10-03T02:10:00.000Z</t>
  </si>
  <si>
    <t>2025-10-03T16:52:00.000Z</t>
  </si>
  <si>
    <t>2025-10-03T20:03:00.000Z</t>
  </si>
  <si>
    <t>Faltante Ale</t>
  </si>
  <si>
    <t>2025-10-04T02:08:01.221Z</t>
  </si>
  <si>
    <t>2025-10-04T02:08:23.066Z</t>
  </si>
  <si>
    <t>Fátima</t>
  </si>
  <si>
    <t>2025-10-04T02:09:09.850Z</t>
  </si>
  <si>
    <t>2025-10-04T02:09:38.299Z</t>
  </si>
  <si>
    <t>2025-10-04T16:52:58.299Z</t>
  </si>
  <si>
    <t>2025-10-04T19:48:39.496Z</t>
  </si>
  <si>
    <t>Annia</t>
  </si>
  <si>
    <t>2025-10-04T19:59:33.833Z</t>
  </si>
  <si>
    <t>2025-10-04T19:59:56.064Z</t>
  </si>
  <si>
    <t>Educación, desarrollo</t>
  </si>
  <si>
    <t>2025-10-04T20:00:19.279Z</t>
  </si>
  <si>
    <t>2025-10-05T13:27:00.000Z</t>
  </si>
  <si>
    <t>2025-10-06T13:24:00.000Z</t>
  </si>
  <si>
    <t>2025-10-06T17:44:19.163Z</t>
  </si>
  <si>
    <t>Ana pau G</t>
  </si>
  <si>
    <t>2025-10-06T17:45:17.147Z</t>
  </si>
  <si>
    <t>2025-10-06T20:02:00.000Z</t>
  </si>
  <si>
    <t>2025-10-06T22:35:52.525Z</t>
  </si>
  <si>
    <t>2025-10-06T22:36:06.898Z</t>
  </si>
  <si>
    <t>Dani septiembre</t>
  </si>
  <si>
    <t>2025-10-06T23:36:29.112Z</t>
  </si>
  <si>
    <t>Valentina</t>
  </si>
  <si>
    <t>2025-10-08T18:24:15.295Z</t>
  </si>
  <si>
    <t>2025-10-08T18:24:38.852Z</t>
  </si>
  <si>
    <t>2025-10-08T18:24:51.991Z</t>
  </si>
  <si>
    <t>2025-10-08T18:25:05.363Z</t>
  </si>
  <si>
    <t>2025-10-08T19:57:00.000Z</t>
  </si>
  <si>
    <t>2025-10-09T02:10:35.051Z</t>
  </si>
  <si>
    <t>2025-10-09T16:56:00.000Z</t>
  </si>
  <si>
    <t>2025-10-10T23:41:13.434Z</t>
  </si>
  <si>
    <t>2025-10-10T23:41:26.912Z</t>
  </si>
  <si>
    <t>Nadia</t>
  </si>
  <si>
    <t>2025-10-11T04:05:00.000Z</t>
  </si>
  <si>
    <t>2025-10-11T16:53:07.394Z</t>
  </si>
  <si>
    <t>2025-10-11T16:53:15.680Z</t>
  </si>
  <si>
    <t>2025-10-11T17:01:34.099Z</t>
  </si>
  <si>
    <t>2025-10-11T17:04:04.257Z</t>
  </si>
  <si>
    <t>2025-10-11T17:05:34.155Z</t>
  </si>
  <si>
    <t>2025-10-11T19:54:56.549Z</t>
  </si>
  <si>
    <t>2025-10-12T03:49:32.263Z</t>
  </si>
  <si>
    <t>Engargolado</t>
  </si>
  <si>
    <t>2025-10-12T03:53:02.095Z</t>
  </si>
  <si>
    <t>2025-10-12T03:57:41.038Z</t>
  </si>
  <si>
    <t>2025-10-12T03:58:02.917Z</t>
  </si>
  <si>
    <t>Restaurante, comida rápida</t>
  </si>
  <si>
    <t>2025-10-12T16:18:00.000Z</t>
  </si>
  <si>
    <t>Alma</t>
  </si>
  <si>
    <t>2025-10-13T13:26:12.487Z</t>
  </si>
  <si>
    <t>2025-10-13T13:31:29.818Z</t>
  </si>
  <si>
    <t>Dariii</t>
  </si>
  <si>
    <t>2025-10-14T01:59:53.118Z</t>
  </si>
  <si>
    <t>Yogurt</t>
  </si>
  <si>
    <t>2025-10-14T16:19:07.152Z</t>
  </si>
  <si>
    <t>Abarrotes</t>
  </si>
  <si>
    <t>2025-10-14T16:37:49.552Z</t>
  </si>
  <si>
    <t>2025-10-14T23:40:00.577Z</t>
  </si>
  <si>
    <t>2025-10-15T01:32:31.286Z</t>
  </si>
  <si>
    <t>2025-10-16T01:09:52.504Z</t>
  </si>
  <si>
    <t>Faltante Valeria</t>
  </si>
  <si>
    <t>2025-10-16T01:10:00.692Z</t>
  </si>
  <si>
    <t>2025-10-16T01:10:25.111Z</t>
  </si>
  <si>
    <t>2025-10-16T01:16:23.322Z</t>
  </si>
  <si>
    <t>2025-10-17T00:39:53.007Z</t>
  </si>
  <si>
    <t>2025-10-17T00:39:58.176Z</t>
  </si>
  <si>
    <t>2025-10-17T00:40:08.936Z</t>
  </si>
  <si>
    <t>2025-10-17T00:40:26.381Z</t>
  </si>
  <si>
    <t>2025-10-17T00:41:44.498Z</t>
  </si>
  <si>
    <t>Sandy</t>
  </si>
  <si>
    <t>2025-10-17T15:58:12.802Z</t>
  </si>
  <si>
    <t>2025-10-17T21:58:24.951Z</t>
  </si>
  <si>
    <t>2025-10-17T22:01:42.667Z</t>
  </si>
  <si>
    <t>2025-10-17T22:02:08.599Z</t>
  </si>
  <si>
    <t>2025-10-17T22:08:30.442Z</t>
  </si>
  <si>
    <t>Sam’s papel</t>
  </si>
  <si>
    <t>2025-10-17T22:09:12.022Z</t>
  </si>
  <si>
    <t>Dani faltante sept</t>
  </si>
  <si>
    <t>2025-10-18T00:33:20.539Z</t>
  </si>
  <si>
    <t>2025-10-18T04:23:32.279Z</t>
  </si>
  <si>
    <t>2025-10-18T18:56:01.442Z</t>
  </si>
  <si>
    <t>2025-10-18T19:51:42.530Z</t>
  </si>
  <si>
    <t>2025-10-18T19:53:44.001Z</t>
  </si>
  <si>
    <t>2025-10-18T21:38:53.329Z</t>
  </si>
  <si>
    <t>Reyna</t>
  </si>
  <si>
    <t>2025-10-18T21:50:21.872Z</t>
  </si>
  <si>
    <t>2025-10-18T21:53:37.839Z</t>
  </si>
  <si>
    <t>2025-10-18T21:55:45.412Z</t>
  </si>
  <si>
    <t>2025-10-18T21:56:06.122Z</t>
  </si>
  <si>
    <t>Bolsas de basura</t>
  </si>
  <si>
    <t>2025-10-20T21:48:36.752Z</t>
  </si>
  <si>
    <t>2025-10-21T18:54:26.594Z</t>
  </si>
  <si>
    <t>2025-10-22T18:39:53.322Z</t>
  </si>
  <si>
    <t>2025-10-23T01:27:45.819Z</t>
  </si>
  <si>
    <t>Faltante ivana</t>
  </si>
  <si>
    <t>2025-10-23T01:27:59.061Z</t>
  </si>
  <si>
    <t>2025-10-23T01:29:31.842Z</t>
  </si>
  <si>
    <t>2025-10-24T01:51:15.719Z</t>
  </si>
  <si>
    <t>2025-10-24T01:57:06.996Z</t>
  </si>
  <si>
    <t>2025-10-24T01:57:29.553Z</t>
  </si>
  <si>
    <t>2025-10-24T02:03:38.100Z</t>
  </si>
  <si>
    <t>2025-10-24T17:12:09.317Z</t>
  </si>
  <si>
    <t>2025-10-24T17:17:17.102Z</t>
  </si>
  <si>
    <t>2025-10-24T17:18:12.021Z</t>
  </si>
  <si>
    <t>Nova</t>
  </si>
  <si>
    <t>2025-10-24T19:00:46.499Z</t>
  </si>
  <si>
    <t>2025-10-25T18:34:02.865Z</t>
  </si>
  <si>
    <t>2025-10-25T18:34:15.386Z</t>
  </si>
  <si>
    <t>2025-10-25T18:39:57.078Z</t>
  </si>
  <si>
    <t>2025-10-26T20:21:00.000Z</t>
  </si>
  <si>
    <t>2025-10-29T00:35:36.601Z</t>
  </si>
  <si>
    <t>2025-10-29T00:39:29.547Z</t>
  </si>
  <si>
    <t>2025-10-29T00:39:36.885Z</t>
  </si>
  <si>
    <t>2025-10-31T18:47:00.000Z</t>
  </si>
  <si>
    <t>2025-10-31T20:21:00.000Z</t>
  </si>
  <si>
    <t>2025-10-31T20:24:00.000Z</t>
  </si>
  <si>
    <t>2025-10-31T20:38:00.000Z</t>
  </si>
  <si>
    <t>Fer</t>
  </si>
  <si>
    <t>2025-10-31T23:40:20.758Z</t>
  </si>
  <si>
    <t>2025-10-31T23:40:45.920Z</t>
  </si>
  <si>
    <t>2025-10-31T23:41:00.526Z</t>
  </si>
  <si>
    <t>2025-10-31T23:41:38.371Z</t>
  </si>
  <si>
    <t>2025-11</t>
  </si>
  <si>
    <t>2025-11-01T18:45:52.899Z</t>
  </si>
  <si>
    <t>2025-11-01T18:46:04.606Z</t>
  </si>
  <si>
    <t>2025-11-01T18:46:40.631Z</t>
  </si>
  <si>
    <t>2025-11-03T20:20:56.206Z</t>
  </si>
  <si>
    <t>2025-11-03T20:22:37.346Z</t>
  </si>
  <si>
    <t>2025-11-03T20:31:46.224Z</t>
  </si>
  <si>
    <t>2025-11-03T20:36:20.727Z</t>
  </si>
  <si>
    <t>2025-11-03T20:39:34.413Z</t>
  </si>
  <si>
    <t>2025-11-03T20:43:27.183Z</t>
  </si>
  <si>
    <t>2025-11-03T20:46:13.998Z</t>
  </si>
  <si>
    <t>2025-11-03T23:51:52.355Z</t>
  </si>
  <si>
    <t>2025-11-03T23:52:33.276Z</t>
  </si>
  <si>
    <t>2025-11-04T00:02:22.192Z</t>
  </si>
  <si>
    <t>2025-11-04T00:04:03.056Z</t>
  </si>
  <si>
    <t>Vale Gomez</t>
  </si>
  <si>
    <t>2025-11-05T01:46:55.529Z</t>
  </si>
  <si>
    <t>Regina Jr</t>
  </si>
  <si>
    <t>2025-11-05T01:48:02.226Z</t>
  </si>
  <si>
    <t>2025-11-05T01:50:32.430Z</t>
  </si>
  <si>
    <t>2025-11-05T21:19:00.000Z</t>
  </si>
  <si>
    <t>Ana Pau G</t>
  </si>
  <si>
    <t>2025-11-05T21:27:00.000Z</t>
  </si>
  <si>
    <t>2025-11-05T21:28:00.000Z</t>
  </si>
  <si>
    <t>2025-11-05T22:50:50.145Z</t>
  </si>
  <si>
    <t>2025-11-05T22:51:08.039Z</t>
  </si>
  <si>
    <t>2025-11-06T03:08:00.000Z</t>
  </si>
  <si>
    <t>2025-11-06T21:18:50.718Z</t>
  </si>
  <si>
    <t>2025-11-06T21:18:56.454Z</t>
  </si>
  <si>
    <t>2025-11-06T21:32:08.067Z</t>
  </si>
  <si>
    <t>2025-11-06T21:32:28.491Z</t>
  </si>
  <si>
    <t>2025-11-06T21:32:43.965Z</t>
  </si>
  <si>
    <t>Atenea</t>
  </si>
  <si>
    <t>2025-11-06T22:46:00.000Z</t>
  </si>
  <si>
    <t>2025-11-07T22:35:21.818Z</t>
  </si>
  <si>
    <t>2025-11-07T22:38:37.869Z</t>
  </si>
  <si>
    <t>2025-11-07T22:38:46.342Z</t>
  </si>
  <si>
    <t>Ana pau arce</t>
  </si>
  <si>
    <t>2025-11-07T23:44:27.191Z</t>
  </si>
  <si>
    <t>2025-11-07T23:45:08.662Z</t>
  </si>
  <si>
    <t>2025-11-07T23:46:07.604Z</t>
  </si>
  <si>
    <t>2025-11-08T00:05:09.632Z</t>
  </si>
  <si>
    <t>Vivi</t>
  </si>
  <si>
    <t>2025-11-09T03:10:00.000Z</t>
  </si>
  <si>
    <t>2025-11-09T03:17:00.000Z</t>
  </si>
  <si>
    <t>2025-11-09T04:54:00.000Z</t>
  </si>
  <si>
    <t>2025-11-11T23:38:45.436Z</t>
  </si>
  <si>
    <t>2025-11-11T23:38:53.540Z</t>
  </si>
  <si>
    <t>2025-11-11T23:39:03.864Z</t>
  </si>
  <si>
    <t>2025-11-11T23:39:13.587Z</t>
  </si>
  <si>
    <t>2025-11-12T03:18:00.000Z</t>
  </si>
  <si>
    <t>2025-11-12T04:54:05.026Z</t>
  </si>
  <si>
    <t>2025-11-12T04:58:40.314Z</t>
  </si>
  <si>
    <t>2025-11-12T05:01:34.540Z</t>
  </si>
  <si>
    <t>2025-11-12T05:19:47.270Z</t>
  </si>
  <si>
    <t>2025-11-13T23:32:15.709Z</t>
  </si>
  <si>
    <t>2025-11-13T23:32:26.401Z</t>
  </si>
  <si>
    <t>2025-11-13T23:35:51.114Z</t>
  </si>
  <si>
    <t>2025-11-13T23:36:02.953Z</t>
  </si>
  <si>
    <t>2025-11-13T23:36:26.702Z</t>
  </si>
  <si>
    <t>2025-11-13T23:39:31.915Z</t>
  </si>
  <si>
    <t>2025-11-13T23:41:48.522Z</t>
  </si>
  <si>
    <t>2025-11-15T02:10:57.932Z</t>
  </si>
  <si>
    <t>Dani octubre</t>
  </si>
  <si>
    <t>2025-11-15T02:11:11.623Z</t>
  </si>
  <si>
    <t>Sofi octubre</t>
  </si>
  <si>
    <t>2025-11-15T17:11:09.484Z</t>
  </si>
  <si>
    <t>2025-11-15T18:23:16.830Z</t>
  </si>
  <si>
    <t>2025-11-19T03:19:00.000Z</t>
  </si>
  <si>
    <t>2025-11-19T22:44:41.164Z</t>
  </si>
  <si>
    <t>2025-11-20T18:20:09.298Z</t>
  </si>
  <si>
    <t>2025-11-20T18:20:20.406Z</t>
  </si>
  <si>
    <t>2025-11-22T18:47:00.113Z</t>
  </si>
  <si>
    <t>2025-11-22T18:47:38.635Z</t>
  </si>
  <si>
    <t>2025-11-22T18:48:17.274Z</t>
  </si>
  <si>
    <t>2025-11-24T04:20:39.395Z</t>
  </si>
  <si>
    <t>Queso</t>
  </si>
  <si>
    <t>2025-11-24T04:20:47.262Z</t>
  </si>
  <si>
    <t>Wavytalk</t>
  </si>
  <si>
    <t>2025-11-24T04:21:14.470Z</t>
  </si>
  <si>
    <t>2025-11-26T19:23:33.170Z</t>
  </si>
  <si>
    <t>2025-11-26T19:30:16.402Z</t>
  </si>
  <si>
    <t>2025-11-26T19:30:40.481Z</t>
  </si>
  <si>
    <t>2025-11-26T19:50:05.617Z</t>
  </si>
  <si>
    <t>2025-11-26T19:54:57.184Z</t>
  </si>
  <si>
    <t>2025-11-26T20:05:06.303Z</t>
  </si>
  <si>
    <t>2025-11-26T20:33:36.783Z</t>
  </si>
  <si>
    <t>Fati</t>
  </si>
  <si>
    <t>2025-11-27T00:14:56.237Z</t>
  </si>
  <si>
    <t>2025-11-28T00:48:17.419Z</t>
  </si>
  <si>
    <t>2025-11-28T00:48:36.999Z</t>
  </si>
  <si>
    <t>2025-11-28T00:48:45.320Z</t>
  </si>
  <si>
    <t>2025-12-01T00:01:00.000Z</t>
  </si>
  <si>
    <t>2025-12-01T00:08:00.000Z</t>
  </si>
  <si>
    <t>2025-12</t>
  </si>
  <si>
    <t>2025-12-03T00:00:50.832Z</t>
  </si>
  <si>
    <t>2025-12-03T00:00:57.268Z</t>
  </si>
  <si>
    <t>2025-12-03T00:01:46.646Z</t>
  </si>
  <si>
    <t>2025-12-03T00:02:01.871Z</t>
  </si>
  <si>
    <t>2025-12-03T00:02:15.528Z</t>
  </si>
  <si>
    <t>2025-12-03T00:02:26.970Z</t>
  </si>
  <si>
    <t>Valentina Gomez</t>
  </si>
  <si>
    <t>2025-12-03T14:52:48.320Z</t>
  </si>
  <si>
    <t>2025-12-03T14:53:00.510Z</t>
  </si>
  <si>
    <t>Ivana noviembre</t>
  </si>
  <si>
    <t>2025-12-03T14:53:10.967Z</t>
  </si>
  <si>
    <t>2025-12-03T14:53:30.830Z</t>
  </si>
  <si>
    <t>2025-12-03T19:32:25.245Z</t>
  </si>
  <si>
    <t>TDC. DIC</t>
  </si>
  <si>
    <t>2025-12-03T19:32:48.753Z</t>
  </si>
  <si>
    <t>2025-12-03T19:45:13.541Z</t>
  </si>
  <si>
    <t>2025-12-03T22:32:07.514Z</t>
  </si>
  <si>
    <t>2025-12-04T00:07:12.819Z</t>
  </si>
  <si>
    <t>2025-12-04T01:20:45.814Z</t>
  </si>
  <si>
    <t>2025-12-05T18:47:55.685Z</t>
  </si>
  <si>
    <t>2025-12-05T18:48:43.049Z</t>
  </si>
  <si>
    <t>2025-12-05T18:48:55.459Z</t>
  </si>
  <si>
    <t>2025-12-05T18:49:05.846Z</t>
  </si>
  <si>
    <t>2025-12-05T18:57:38.626Z</t>
  </si>
  <si>
    <t>2025-12-05T18:57:53.936Z</t>
  </si>
  <si>
    <t>2025-12-05T18:58:12.745Z</t>
  </si>
  <si>
    <t>2025-12-05T19:38:51.071Z</t>
  </si>
  <si>
    <t>2025-12-06T04:36:27.416Z</t>
  </si>
  <si>
    <t>2025-12-06T04:36:48.919Z</t>
  </si>
  <si>
    <t>2025-12-06T04:37:03.531Z</t>
  </si>
  <si>
    <t>2025-12-06T04:37:27.888Z</t>
  </si>
  <si>
    <t>2025-12-06T04:37:36.193Z</t>
  </si>
  <si>
    <t>2025-12-06T18:56:11.519Z</t>
  </si>
  <si>
    <t>2025-12-06T19:07:30.683Z</t>
  </si>
  <si>
    <t>2025-12-06T19:13:27.149Z</t>
  </si>
  <si>
    <t>2025-12-06T19:13:44.190Z</t>
  </si>
  <si>
    <t>2025-12-06T19:18:32.399Z</t>
  </si>
  <si>
    <t>2025-12-06T20:45:16.014Z</t>
  </si>
  <si>
    <t>2025-12-09T00:01:50.195Z</t>
  </si>
  <si>
    <t>2025-12-09T00:02:00.689Z</t>
  </si>
  <si>
    <t>2025-12-09T00:02:26.623Z</t>
  </si>
  <si>
    <t>2025-12-09T00:38:23.348Z</t>
  </si>
  <si>
    <t>2025-12-09T03:21:55.469Z</t>
  </si>
  <si>
    <t>2025-12-09T03:24:24.490Z</t>
  </si>
  <si>
    <t>2025-12-09T03:30:49.123Z</t>
  </si>
  <si>
    <t>2025-12-09T03:31:36.697Z</t>
  </si>
  <si>
    <t>2025-12-09T04:02:58.542Z</t>
  </si>
  <si>
    <t>Parisina</t>
  </si>
  <si>
    <t>2025-12-09T04:03:09.329Z</t>
  </si>
  <si>
    <t>2025-12-09T04:12:26.027Z</t>
  </si>
  <si>
    <t>2025-12-09T04:26:32.722Z</t>
  </si>
  <si>
    <t>Crema</t>
  </si>
  <si>
    <t>2025-12-09T04:28:11.297Z</t>
  </si>
  <si>
    <t>2025-12-09T04:32:00.768Z</t>
  </si>
  <si>
    <t>Ame noviembre</t>
  </si>
  <si>
    <t>2025-12-09T23:43:24.262Z</t>
  </si>
  <si>
    <t>2025-12-10T18:39:09.905Z</t>
  </si>
  <si>
    <t>2025-12-10T18:40:02.324Z</t>
  </si>
  <si>
    <t>2025-12-10T19:05:46.364Z</t>
  </si>
  <si>
    <t>2025-12-11T00:12:16.891Z</t>
  </si>
  <si>
    <t>Brea</t>
  </si>
  <si>
    <t>2025-12-11T00:12:25.181Z</t>
  </si>
  <si>
    <t>2025-12-11T04:29:45.059Z</t>
  </si>
  <si>
    <t>Sofi nov</t>
  </si>
  <si>
    <t>2025-12-12T16:42:58.395Z</t>
  </si>
  <si>
    <t>2025-12-12T16:43:27.598Z</t>
  </si>
  <si>
    <t>2025-12-12T16:43:35.719Z</t>
  </si>
  <si>
    <t>2025-12-12T17:29:15.779Z</t>
  </si>
  <si>
    <t>Nova diciembre</t>
  </si>
  <si>
    <t>2025-12-12T21:55:43.060Z</t>
  </si>
  <si>
    <t>Sarahí diciembre</t>
  </si>
  <si>
    <t>2025-12-13T02:32:18.972Z</t>
  </si>
  <si>
    <t>Diciembre Fer</t>
  </si>
  <si>
    <t>2025-12-13T02:33:14.520Z</t>
  </si>
  <si>
    <t>Dani noviembre</t>
  </si>
  <si>
    <t>2025-12-13T05:49:44.197Z</t>
  </si>
  <si>
    <t>Compras del evento y así</t>
  </si>
  <si>
    <t>2025-12-13T06:34:33.700Z</t>
  </si>
  <si>
    <t>2025-12-13T06:39:51.195Z</t>
  </si>
  <si>
    <t>2025-12-13T06:41:44.454Z</t>
  </si>
  <si>
    <t>2025-12-17T00:40:12.535Z</t>
  </si>
  <si>
    <t>2025-12-17T04:44:31.801Z</t>
  </si>
  <si>
    <t>2025-12-17T04:44:41.504Z</t>
  </si>
  <si>
    <t>Karely diciembre</t>
  </si>
  <si>
    <t>2025-12-17T04:52:24.914Z</t>
  </si>
  <si>
    <t>2025-12-17T05:14:33.109Z</t>
  </si>
  <si>
    <t>Maru</t>
  </si>
  <si>
    <t>2025-12-17T05:16:10.716Z</t>
  </si>
  <si>
    <t>2025-12-17T05:22:29.523Z</t>
  </si>
  <si>
    <t>Zentralia</t>
  </si>
  <si>
    <t>2025-12-17T06:07:04.385Z</t>
  </si>
  <si>
    <t>2025-12-17T06:10:39.062Z</t>
  </si>
  <si>
    <t>2025-12-17T06:11:52.457Z</t>
  </si>
  <si>
    <t>2025-12-17T06:17:13.299Z</t>
  </si>
  <si>
    <t>2025-12-17T06:17:50.500Z</t>
  </si>
  <si>
    <t>2025-12-17T21:49:49.882Z</t>
  </si>
  <si>
    <t>Lavado telas</t>
  </si>
  <si>
    <t>2025-12-17T21:52:43.665Z</t>
  </si>
  <si>
    <t>2025-12-17T23:36:38.455Z</t>
  </si>
  <si>
    <t>2025-12-17T23:36:55.898Z</t>
  </si>
  <si>
    <t>2025-12-18T22:55:42.151Z</t>
  </si>
  <si>
    <t>Walmart</t>
  </si>
  <si>
    <t>2025-12-18T23:01:32.336Z</t>
  </si>
  <si>
    <t>Cultura, eventos deportivos</t>
  </si>
  <si>
    <t>2025-12-18T23:02:03.766Z</t>
  </si>
  <si>
    <t>2025-12-18T23:03:11.629Z</t>
  </si>
  <si>
    <t>2025-12-18T23:06:41.641Z</t>
  </si>
  <si>
    <t>2025-12-20T18:48:04.862Z</t>
  </si>
  <si>
    <t>2025-12-20T18:48:18.349Z</t>
  </si>
  <si>
    <t>2025-12-20T22:17:09.564Z</t>
  </si>
  <si>
    <t>Renta andamio</t>
  </si>
  <si>
    <t>2025-12-22T17:45:03.135Z</t>
  </si>
  <si>
    <t>Luz led</t>
  </si>
  <si>
    <t>2025-12-22T19:22:06.615Z</t>
  </si>
  <si>
    <t>2025-12-23T01:59:07.796Z</t>
  </si>
  <si>
    <t>Sofi diciembre</t>
  </si>
  <si>
    <t>2025-12-27T18:32:41.980Z</t>
  </si>
  <si>
    <t>2025-12-31T20:33:00.000Z</t>
  </si>
  <si>
    <t>2025-12-31T20:36:00.000Z</t>
  </si>
  <si>
    <t>Mantenimiento, reparaciones</t>
  </si>
  <si>
    <t>Mantenimiento diciembre 2025</t>
  </si>
  <si>
    <t>2025-12-31T22:11:00.000Z</t>
  </si>
  <si>
    <t>2025-12-31T22:12:00.000Z</t>
  </si>
  <si>
    <t>Sarahí debe vestuario</t>
  </si>
  <si>
    <t>2026-01</t>
  </si>
  <si>
    <t>wallet_records.xlsx</t>
  </si>
  <si>
    <t>2026-01-03T21:05:00.000Z</t>
  </si>
  <si>
    <t>Mía enero</t>
  </si>
  <si>
    <t>2026-01-04T21:04:58.927Z</t>
  </si>
  <si>
    <t>Total play</t>
  </si>
  <si>
    <t>2026-01-05T20:30:00.000Z</t>
  </si>
  <si>
    <t>2026-01-05T23:53:24.361Z</t>
  </si>
  <si>
    <t>2026-01-05T23:53:46.655Z</t>
  </si>
  <si>
    <t>2026-01-05T23:53:59.529Z</t>
  </si>
  <si>
    <t>Aguas</t>
  </si>
  <si>
    <t>2026-01-06T20:31:08.923Z</t>
  </si>
  <si>
    <t>Insumos limpieza, etc</t>
  </si>
  <si>
    <t>2026-01-06T20:31:25.601Z</t>
  </si>
  <si>
    <t>2026-01-06T20:31:51.653Z</t>
  </si>
  <si>
    <t>2026-01-06T20:32:18.655Z</t>
  </si>
  <si>
    <t>2026-01-06T20:35:14.743Z</t>
  </si>
  <si>
    <t>2026-01-06T20:39:43.440Z</t>
  </si>
  <si>
    <t>2026-01-06T23:40:25.705Z</t>
  </si>
  <si>
    <t>2026-01-07T01:26:45.123Z</t>
  </si>
  <si>
    <t>2026-01-07T01:27:22.567Z</t>
  </si>
  <si>
    <t>2026-01-07T03:40:35.856Z</t>
  </si>
  <si>
    <t>Katina</t>
  </si>
  <si>
    <t>2026-01-07T03:40:43.109Z</t>
  </si>
  <si>
    <t>2026-01-08T02:00:00.000Z</t>
  </si>
  <si>
    <t>2026-01-08T02:03:42.609Z</t>
  </si>
  <si>
    <t>2026-01-08T02:03:51.213Z</t>
  </si>
  <si>
    <t>2026-01-08T02:10:20.944Z</t>
  </si>
  <si>
    <t>2026-01-09T04:17:12.606Z</t>
  </si>
  <si>
    <t>2026-01-09T04:17:31.599Z</t>
  </si>
  <si>
    <t>2026-01-09T04:18:00.165Z</t>
  </si>
  <si>
    <t>2026-01-09T04:49:25.848Z</t>
  </si>
  <si>
    <t>Rosca</t>
  </si>
  <si>
    <t>2026-01-09T04:49:48.795Z</t>
  </si>
  <si>
    <t>2026-01-09T04:50:09.721Z</t>
  </si>
  <si>
    <t>Dani Diciembre</t>
  </si>
  <si>
    <t>2026-01-09T23:54:37.841Z</t>
  </si>
  <si>
    <t>2026-01-10T06:11:01.234Z</t>
  </si>
  <si>
    <t>2026-01-10T06:11:11.608Z</t>
  </si>
  <si>
    <t>2026-01-10T06:11:22.703Z</t>
  </si>
  <si>
    <t>Regina 2025</t>
  </si>
  <si>
    <t>2026-01-10T06:11:31.376Z</t>
  </si>
  <si>
    <t>2026-01-10T06:13:30.083Z</t>
  </si>
  <si>
    <t>2026-01-10T19:39:15.977Z</t>
  </si>
  <si>
    <t>Vero</t>
  </si>
  <si>
    <t>2026-01-10T19:39:24.228Z</t>
  </si>
  <si>
    <t>2026-01-10T19:39:33.134Z</t>
  </si>
  <si>
    <t>2026-01-10T19:48:25.092Z</t>
  </si>
  <si>
    <t>2026-01-10T19:51:27.694Z</t>
  </si>
  <si>
    <t>2026-01-12T15:22:37.593Z</t>
  </si>
  <si>
    <t>2026-01-12T22:17:47.526Z</t>
  </si>
  <si>
    <t>Mía 2026</t>
  </si>
  <si>
    <t>2026-01-12T22:17:56.446Z</t>
  </si>
  <si>
    <t>2026-01-14T00:50:23.443Z</t>
  </si>
  <si>
    <t>Danna Kids</t>
  </si>
  <si>
    <t>2026-01-14T00:50:33.051Z</t>
  </si>
  <si>
    <t>Ana pau a</t>
  </si>
  <si>
    <t>2026-01-14T23:42:02.868Z</t>
  </si>
  <si>
    <t>2026-01-14T23:42:33.014Z</t>
  </si>
  <si>
    <t>2026-01-15T21:27:54.490Z</t>
  </si>
  <si>
    <t>2026-01-15T21:28:03.261Z</t>
  </si>
  <si>
    <t>2026-01-15T23:18:00.000Z</t>
  </si>
  <si>
    <t>2026-01-16T00:38:43.504Z</t>
  </si>
  <si>
    <t>2026-01-16T00:38:59.044Z</t>
  </si>
  <si>
    <t>2026-01-16T00:39:10.215Z</t>
  </si>
  <si>
    <t>2026-01-16T01:53:34.641Z</t>
  </si>
  <si>
    <t>2026-01-16T02:01:10.110Z</t>
  </si>
  <si>
    <t>Quincena</t>
  </si>
  <si>
    <t>2026-01-16T05:03:54.232Z</t>
  </si>
  <si>
    <t>2026-01-16T05:04:18.127Z</t>
  </si>
  <si>
    <t>2026-01-16T05:04:48.558Z</t>
  </si>
  <si>
    <t>2026-01-16T05:05:06.118Z</t>
  </si>
  <si>
    <t>2026-01-16T20:15:00.000Z</t>
  </si>
  <si>
    <t>Brana</t>
  </si>
  <si>
    <t>2026-01-17T18:53:56.270Z</t>
  </si>
  <si>
    <t>2026-01-17T18:54:06.057Z</t>
  </si>
  <si>
    <t>2026-01-20T04:41:04.513Z</t>
  </si>
  <si>
    <t>Impuestos</t>
  </si>
  <si>
    <t>2026-01-20T04:41:24.010Z</t>
  </si>
  <si>
    <t>Toallas</t>
  </si>
  <si>
    <t>2026-01-20T20:02:18.823Z</t>
  </si>
  <si>
    <t>2026-01-20T20:09:21.473Z</t>
  </si>
  <si>
    <t>2026-01-24T19:03:27.091Z</t>
  </si>
  <si>
    <t>2026-01-26T19:58:18.227Z</t>
  </si>
  <si>
    <t>2026-01-26T20:02:55.663Z</t>
  </si>
  <si>
    <t>Chip</t>
  </si>
  <si>
    <t>2026-01-26T20:19:37.142Z</t>
  </si>
  <si>
    <t>2026-01-26T20:20:59.920Z</t>
  </si>
  <si>
    <t>2026-01-26T20:40:00.894Z</t>
  </si>
  <si>
    <t>2026-01-26T21:39:00.000Z</t>
  </si>
  <si>
    <t>2026-01-27T21:40:01.223Z</t>
  </si>
  <si>
    <t>2026-01-27T21:52:40.673Z</t>
  </si>
  <si>
    <t>2026-01-28T00:38:04.192Z</t>
  </si>
  <si>
    <t>2026-01-28T00:38:28.492Z</t>
  </si>
  <si>
    <t>2026-01-28T22:58:36.301Z</t>
  </si>
  <si>
    <t>2026-01-28T22:58:46.774Z</t>
  </si>
  <si>
    <t>2026-01-29T22:34:40.728Z</t>
  </si>
  <si>
    <t>2026-01-30T00:07:16.699Z</t>
  </si>
  <si>
    <t>2026-01-31T16:53:18.680Z</t>
  </si>
  <si>
    <t>Nuevas. Jr</t>
  </si>
  <si>
    <t>2026-01-31T16:56:44.464Z</t>
  </si>
  <si>
    <t>Dennys febrero</t>
  </si>
  <si>
    <t>2026-01-31T18:42:13.331Z</t>
  </si>
  <si>
    <t>2026-01-31T22:26:00.000Z</t>
  </si>
  <si>
    <t>2026-01-31T23:35:12.690Z</t>
  </si>
  <si>
    <t>2026-01-31T23:36:52.942Z</t>
  </si>
  <si>
    <t>2026-01-31T23:37:18.234Z</t>
  </si>
  <si>
    <t>Pau</t>
  </si>
  <si>
    <t>2026-01-31T23:39:00.752Z</t>
  </si>
  <si>
    <t>2026-01-31T23:40:09.461Z</t>
  </si>
  <si>
    <t>2026-01-31T23:40:45.698Z</t>
  </si>
  <si>
    <t>2026-01-31T23:43:51.287Z</t>
  </si>
  <si>
    <t>2026-02</t>
  </si>
  <si>
    <t>2026-02-02T01:37:00.000Z</t>
  </si>
  <si>
    <t>Sarahí vestuario</t>
  </si>
  <si>
    <t>2026-02-03T20:32:28.881Z</t>
  </si>
  <si>
    <t>2026-02-03T20:32:51.001Z</t>
  </si>
  <si>
    <t>2026-02-03T20:33:09.784Z</t>
  </si>
  <si>
    <t>2026-02-03T20:33:28.315Z</t>
  </si>
  <si>
    <t>2026-02-04T01:35:12.689Z</t>
  </si>
  <si>
    <t>2026-02-04T01:42:28.077Z</t>
  </si>
  <si>
    <t>2026-02-04T01:42:37.319Z</t>
  </si>
  <si>
    <t>2026-02-04T02:10:00.000Z</t>
  </si>
  <si>
    <t>2026-02-05T02:11:02.630Z</t>
  </si>
  <si>
    <t>2026-02-05T02:11:15.721Z</t>
  </si>
  <si>
    <t>2026-02-05T02:11:24.827Z</t>
  </si>
  <si>
    <t>2026-02-05T02:11:51.746Z</t>
  </si>
  <si>
    <t>Kati</t>
  </si>
  <si>
    <t>2026-02-05T02:15:28.159Z</t>
  </si>
  <si>
    <t>2026-02-05T05:49:29.719Z</t>
  </si>
  <si>
    <t>14 feb</t>
  </si>
  <si>
    <t>2026-02-05T05:52:27.512Z</t>
  </si>
  <si>
    <t>2026-02-05T19:21:00.000Z</t>
  </si>
  <si>
    <t>2026-02-05T19:22:00.000Z</t>
  </si>
  <si>
    <t>Ana pau A</t>
  </si>
  <si>
    <t>2026-02-06T00:46:00.232Z</t>
  </si>
  <si>
    <t>Ivanna</t>
  </si>
  <si>
    <t>2026-02-06T01:51:05.483Z</t>
  </si>
  <si>
    <t>2026-02-06T01:51:21.378Z</t>
  </si>
  <si>
    <t>2026-02-06T01:58:25.182Z</t>
  </si>
  <si>
    <t>2026-02-06T01:58:34.924Z</t>
  </si>
  <si>
    <t>2026-02-06T03:56:42.175Z</t>
  </si>
  <si>
    <t>2026-02-06T03:57:59.398Z</t>
  </si>
  <si>
    <t>2026-02-06T03:58:06.904Z</t>
  </si>
  <si>
    <t>2026-02-06T05:20:38.229Z</t>
  </si>
  <si>
    <t>Regis Jr</t>
  </si>
  <si>
    <t>2026-02-06T05:21:07.489Z</t>
  </si>
  <si>
    <t>2026-02-07T19:12:21.826Z</t>
  </si>
  <si>
    <t>2026-02-07T19:13:05.924Z</t>
  </si>
  <si>
    <t>2026-02-07T19:13:13.731Z</t>
  </si>
  <si>
    <t>2026-02-07T19:15:19.075Z</t>
  </si>
  <si>
    <t>2026-02-07T19:18:47.909Z</t>
  </si>
  <si>
    <t>2026-02-07T19:20:40.595Z</t>
  </si>
  <si>
    <t>Karlita Kids</t>
  </si>
  <si>
    <t>2026-02-07T19:22:20.849Z</t>
  </si>
  <si>
    <t>2026-02-07T19:23:28.504Z</t>
  </si>
  <si>
    <t>2026-02-07T19:52:14.461Z</t>
  </si>
  <si>
    <t>2026-02-07T20:01:21.549Z</t>
  </si>
  <si>
    <t>2026-02-07T20:01:37.757Z</t>
  </si>
  <si>
    <t>2026-02-11T03:58:11.011Z</t>
  </si>
  <si>
    <t>2026-02-11T03:58:30.112Z</t>
  </si>
  <si>
    <t>2026-02-14T03:14:05.732Z</t>
  </si>
  <si>
    <t>Isabella</t>
  </si>
  <si>
    <t>2026-02-14T03:14:22.525Z</t>
  </si>
  <si>
    <t>2026-02-14T19:25:36.515Z</t>
  </si>
  <si>
    <t>Jaqueline</t>
  </si>
  <si>
    <t>2026-02-14T19:25:49.287Z</t>
  </si>
  <si>
    <t>2026-02-14T19:26:17.457Z</t>
  </si>
  <si>
    <t>2026-02-15T04:57:00.000Z</t>
  </si>
  <si>
    <t>Transporte</t>
  </si>
  <si>
    <t>Gasolina camioneta pastor</t>
  </si>
  <si>
    <t>2026-02-16T01:59:10.940Z</t>
  </si>
  <si>
    <t>2026-02-16T04:45:45.967Z</t>
  </si>
  <si>
    <t>Oxxo</t>
  </si>
  <si>
    <t>2026-02-16T04:53:57.920Z</t>
  </si>
  <si>
    <t>2026-02-16T04:54:41.180Z</t>
  </si>
  <si>
    <t>2026-02-16T04:58:39.260Z</t>
  </si>
  <si>
    <t>2026-02-16T05:01:40.755Z</t>
  </si>
  <si>
    <t>2026-02-17T20:10:52.154Z</t>
  </si>
  <si>
    <t>Shelmar</t>
  </si>
  <si>
    <t>2026-02-18T18:39:46.184Z</t>
  </si>
  <si>
    <t>2026-02-19T00:00:05.024Z</t>
  </si>
  <si>
    <t>Regalos, alegrías</t>
  </si>
  <si>
    <t>2026-02-20T00:20:15.095Z</t>
  </si>
  <si>
    <t>2026-02-20T00:21:59.755Z</t>
  </si>
  <si>
    <t>2026-02-21T02:31:43.618Z</t>
  </si>
  <si>
    <t>Sofi 2025</t>
  </si>
  <si>
    <t>2026-02-21T02:31:59.132Z</t>
  </si>
  <si>
    <t>Icy Hot y diclofenaco</t>
  </si>
  <si>
    <t>2026-02-21T19:09:00.000Z</t>
  </si>
  <si>
    <t>2026-02-21T20:43:03.276Z</t>
  </si>
  <si>
    <t>2026-02-21T20:43:16.932Z</t>
  </si>
  <si>
    <t>Papelería</t>
  </si>
  <si>
    <t>2026-02-24T19:09:00.000Z</t>
  </si>
  <si>
    <t>2026-02-25T01:35:21.632Z</t>
  </si>
  <si>
    <t>Ivanna diciembre + marzo</t>
  </si>
  <si>
    <t>2026-02-25T01:35:27.388Z</t>
  </si>
  <si>
    <t>2026-02-25T19:21:52.512Z</t>
  </si>
  <si>
    <t>2026-02-25T19:22:45.691Z</t>
  </si>
  <si>
    <t>2026-02-25T19:24:24.902Z</t>
  </si>
  <si>
    <t>2026-02-25T19:25:44.455Z</t>
  </si>
  <si>
    <t>2026-02-25T19:34:42.546Z</t>
  </si>
  <si>
    <t>Danii</t>
  </si>
  <si>
    <t>2026-02-25T19:35:12.182Z</t>
  </si>
  <si>
    <t>2026-02-26T02:04:31.494Z</t>
  </si>
  <si>
    <t>2026-02-28T02:52:07.300Z</t>
  </si>
  <si>
    <t>2026-02-28T02:52:35.070Z</t>
  </si>
  <si>
    <t>2026-02-28T02:52:58.302Z</t>
  </si>
  <si>
    <t>2026-02-28T04:32:10.314Z</t>
  </si>
  <si>
    <t>2026-02-28T04:36:37.738Z</t>
  </si>
  <si>
    <t>2026-02-28T04:36:46.810Z</t>
  </si>
  <si>
    <t>2026-02-28T04:42:40.560Z</t>
  </si>
  <si>
    <t>2026-02-28T04:47:44.503Z</t>
  </si>
  <si>
    <t>2026-02-28T04:52:14.371Z</t>
  </si>
  <si>
    <t>2026-02-28T04:54:48.538Z</t>
  </si>
  <si>
    <t>2026-02-28T05:12:33.691Z</t>
  </si>
  <si>
    <t>Pauuu</t>
  </si>
  <si>
    <t>2026-02-28T05:36:02.766Z</t>
  </si>
  <si>
    <t>Pauu marzo</t>
  </si>
  <si>
    <t>2026-02-28T05:36:17.644Z</t>
  </si>
  <si>
    <t>2026-02-28T17:55:25.882Z</t>
  </si>
  <si>
    <t>Isabela</t>
  </si>
  <si>
    <t>2026-02-28T17:59:31.205Z</t>
  </si>
  <si>
    <t>Anna Ros</t>
  </si>
  <si>
    <t>2026-02-28T17:59:50.771Z</t>
  </si>
  <si>
    <t>2026-02-28T18:00:09.503Z</t>
  </si>
  <si>
    <t>2026-02-28T19:52:14.146Z</t>
  </si>
  <si>
    <t>2026-02-28T23:40:22.427Z</t>
  </si>
  <si>
    <t>2026-03-01T03:28:00.000Z</t>
  </si>
  <si>
    <t>2026-03</t>
  </si>
  <si>
    <t>2026-03-03T13:49:29.707Z</t>
  </si>
  <si>
    <t>2026-03-03T13:49:40.818Z</t>
  </si>
  <si>
    <t>2026-03-03T13:55:00.047Z</t>
  </si>
  <si>
    <t>2026-03-03T13:55:21.665Z</t>
  </si>
  <si>
    <t>2026-03-03T13:55:57.867Z</t>
  </si>
  <si>
    <t>2026-03-03T13:56:05.026Z</t>
  </si>
  <si>
    <t>Gaby e Ivonne</t>
  </si>
  <si>
    <t>2026-03-03T13:56:20.523Z</t>
  </si>
  <si>
    <t>2026-03-03T13:56:34.236Z</t>
  </si>
  <si>
    <t>2026-03-03T13:56:44.713Z</t>
  </si>
  <si>
    <t>2026-03-03T23:12:10.698Z</t>
  </si>
  <si>
    <t>2026-03-03T23:13:25.675Z</t>
  </si>
  <si>
    <t>2026-03-03T23:13:39.417Z</t>
  </si>
  <si>
    <t>2026-03-04T00:31:29.099Z</t>
  </si>
  <si>
    <t>2026-03-04T04:22:15.257Z</t>
  </si>
  <si>
    <t>Gladys</t>
  </si>
  <si>
    <t>2026-03-04T04:22:40.472Z</t>
  </si>
  <si>
    <t>2026-03-04T04:22:51.730Z</t>
  </si>
  <si>
    <t>2026-03-04T04:23:00.087Z</t>
  </si>
  <si>
    <t>2026-03-04T04:23:07.193Z</t>
  </si>
  <si>
    <t>2026-03-05T03:12:08.441Z</t>
  </si>
  <si>
    <t>2026-03-05T03:12:25.952Z</t>
  </si>
  <si>
    <t>2026-03-05T03:12:36.659Z</t>
  </si>
  <si>
    <t>2026-03-07T02:08:11.229Z</t>
  </si>
  <si>
    <t>2026-03-07T03:09:35.636Z</t>
  </si>
  <si>
    <t>2026-03-07T03:10:14.376Z</t>
  </si>
  <si>
    <t>2026-03-07T03:10:30.137Z</t>
  </si>
  <si>
    <t>2026-03-07T03:10:40.209Z</t>
  </si>
  <si>
    <t>2026-03-07T03:11:01.920Z</t>
  </si>
  <si>
    <t>2026-03-07T03:11:28.503Z</t>
  </si>
  <si>
    <t>2026-03-07T03:13:29.920Z</t>
  </si>
  <si>
    <t>2026-03-07T03:14:53.212Z</t>
  </si>
  <si>
    <t>2026-03-07T03:16:35.026Z</t>
  </si>
  <si>
    <t>Telas</t>
  </si>
  <si>
    <t>2026-03-07T03:18:01.048Z</t>
  </si>
  <si>
    <t>2026-03-07T03:18:24.759Z</t>
  </si>
  <si>
    <t>Alana</t>
  </si>
  <si>
    <t>2026-03-07T03:22:28.075Z</t>
  </si>
  <si>
    <t>2026-03-07T03:23:56.388Z</t>
  </si>
  <si>
    <t>2026-03-07T03:30:49.586Z</t>
  </si>
  <si>
    <t>2026-03-09T04:40:28.224Z</t>
  </si>
  <si>
    <t>2026-03-09T04:40:45.349Z</t>
  </si>
  <si>
    <t>Jaqui</t>
  </si>
  <si>
    <t>2026-03-09T04:41:26.791Z</t>
  </si>
  <si>
    <t>2026-03-09T04:41:43.765Z</t>
  </si>
  <si>
    <t>2026-03-09T05:06:37.857Z</t>
  </si>
  <si>
    <t>2026-03-09T05:06:48.446Z</t>
  </si>
  <si>
    <t>2026-03-12T00:30:56.416Z</t>
  </si>
  <si>
    <t>2026-03-12T01:33:00.000Z</t>
  </si>
  <si>
    <t>2026-03-12T19:17:51.797Z</t>
  </si>
  <si>
    <t>2026-03-12T19:25:03.877Z</t>
  </si>
  <si>
    <t>2026-03-12T19:25:59.626Z</t>
  </si>
  <si>
    <t>Pau quincena</t>
  </si>
  <si>
    <t>2026-03-12T22:41:26.822Z</t>
  </si>
  <si>
    <t>2026-03-12T22:41:41.498Z</t>
  </si>
  <si>
    <t>2026-03-16T01:24:36.798Z</t>
  </si>
  <si>
    <t>Jessi jueves</t>
  </si>
  <si>
    <t>2026-03-16T01:34:05.325Z</t>
  </si>
  <si>
    <t>2026-03-16T01:35:19.952Z</t>
  </si>
  <si>
    <t>2026-03-16T01:35:47.941Z</t>
  </si>
  <si>
    <t>2026-03-16T01:43:00.377Z</t>
  </si>
  <si>
    <t>Curso mkt</t>
  </si>
  <si>
    <t>2026-03-16T02:25:58.184Z</t>
  </si>
  <si>
    <t>2026-03-16T02:26:28.395Z</t>
  </si>
  <si>
    <t>2026-03-16T02:27:28.721Z</t>
  </si>
  <si>
    <t>2026-03-20T04:14:40.457Z</t>
  </si>
  <si>
    <t>Eva</t>
  </si>
  <si>
    <t>2026-03-20T04:15:10.222Z</t>
  </si>
  <si>
    <t>América</t>
  </si>
  <si>
    <t>2026-03-20T04:15:47.523Z</t>
  </si>
  <si>
    <t>Faltante</t>
  </si>
  <si>
    <t>2026-03-23T22:18:14.880Z</t>
  </si>
  <si>
    <t>Playeras</t>
  </si>
  <si>
    <t>2026-03-24T20:02:00.000Z</t>
  </si>
  <si>
    <t>Serigrafía</t>
  </si>
  <si>
    <t>2026-03-26T20:03:00.000Z</t>
  </si>
  <si>
    <t>Marzo Naomi</t>
  </si>
  <si>
    <t>2026-03-27T18:39:04.350Z</t>
  </si>
  <si>
    <t>María José abril</t>
  </si>
  <si>
    <t>2026-03-27T18:39:18.725Z</t>
  </si>
  <si>
    <t>2026-03-27T18:39:45.490Z</t>
  </si>
  <si>
    <t>2026-03-27T18:42:16.495Z</t>
  </si>
  <si>
    <t>2026-03-27T18:42:31.785Z</t>
  </si>
  <si>
    <t>2026-03-27T18:42:51.946Z</t>
  </si>
  <si>
    <t>2026-03-27T18:44:20.481Z</t>
  </si>
  <si>
    <t>2026-03-27T19:25:55.913Z</t>
  </si>
  <si>
    <t>Diana abril</t>
  </si>
  <si>
    <t>2026-03-28T02:32:42.293Z</t>
  </si>
  <si>
    <t>2026-03-28T02:47:22.875Z</t>
  </si>
  <si>
    <t>2026-03-28T02:47:53.450Z</t>
  </si>
  <si>
    <t>2026-03-28T03:02:41.494Z</t>
  </si>
  <si>
    <t>2026-03-30T13:02:54.626Z</t>
  </si>
  <si>
    <t>2026-03-30T23:22:29.652Z</t>
  </si>
  <si>
    <t>Joia</t>
  </si>
  <si>
    <t>2026-03-31T19:09:00.000Z</t>
  </si>
  <si>
    <t>Sofii</t>
  </si>
  <si>
    <t>2026-04-01T03:19:30.783Z</t>
  </si>
  <si>
    <t>2026-04-01T04:01:00.000Z</t>
  </si>
  <si>
    <t>2026-04-01T04:04:00.000Z</t>
  </si>
  <si>
    <t>2026-04-01T04:34:39.732Z</t>
  </si>
  <si>
    <t>2026-04</t>
  </si>
  <si>
    <t>2026-04-01T19:09:00.000Z</t>
  </si>
  <si>
    <t>2026-04-02T19:10:00.000Z</t>
  </si>
  <si>
    <t>2026-04-02T19:11:00.000Z</t>
  </si>
  <si>
    <t>2026-04-02T19:12:00.000Z</t>
  </si>
  <si>
    <t>TDC gas</t>
  </si>
  <si>
    <t>2026-04-03T19:13:00.000Z</t>
  </si>
  <si>
    <t>2026-04-03T19:17:00.000Z</t>
  </si>
  <si>
    <t>Ivana Kids</t>
  </si>
  <si>
    <t>2026-04-03T19:19:00.000Z</t>
  </si>
  <si>
    <t>Regina J</t>
  </si>
  <si>
    <t>2026-04-03T19:24:00.000Z</t>
  </si>
  <si>
    <t>2026-04-04T19:21:00.000Z</t>
  </si>
  <si>
    <t>2026-04-05T04:01:20.143Z</t>
  </si>
  <si>
    <t>2026-04-05T19:22:00.000Z</t>
  </si>
  <si>
    <t>2026-04-05T19:24:00.000Z</t>
  </si>
  <si>
    <t>2026-04-05T19:25:00.000Z</t>
  </si>
  <si>
    <t>2026-04-06T19:25:00.000Z</t>
  </si>
  <si>
    <t>2026-04-06T19:28:00.000Z</t>
  </si>
  <si>
    <t>Regis G</t>
  </si>
  <si>
    <t>2026-04-08T19:29:00.000Z</t>
  </si>
  <si>
    <t>2026-04-09T19:32:00.000Z</t>
  </si>
  <si>
    <t>2026-04-10T19:35:00.000Z</t>
  </si>
  <si>
    <t>Café Karely</t>
  </si>
  <si>
    <t>2026-04-10T19:36:00.000Z</t>
  </si>
  <si>
    <t>2026-04-11T19:37:00.000Z</t>
  </si>
  <si>
    <t>2026-04-13T19:41:00.000Z</t>
  </si>
  <si>
    <t>Cinthia</t>
  </si>
  <si>
    <t>2026-04-13T19:58:00.000Z</t>
  </si>
  <si>
    <t>2026-04-13T19:59:00.000Z</t>
  </si>
  <si>
    <t>Renata y Alison</t>
  </si>
  <si>
    <t>2026-04-14T19:43:00.000Z</t>
  </si>
  <si>
    <t>Saori</t>
  </si>
  <si>
    <t>2026-04-14T20:00:00.000Z</t>
  </si>
  <si>
    <t>2026-04-15T19:45:00.000Z</t>
  </si>
  <si>
    <t>Irka abril y mayo</t>
  </si>
  <si>
    <t>2026-04-15T19:49:00.000Z</t>
  </si>
  <si>
    <t>2026-04-15T19:58:00.000Z</t>
  </si>
  <si>
    <t>Brenda</t>
  </si>
  <si>
    <t>2026-04-16T14:40:56.627Z</t>
  </si>
  <si>
    <t>2026-04-16T19:46:00.000Z</t>
  </si>
  <si>
    <t>2026-04-16T19:47:00.000Z</t>
  </si>
  <si>
    <t>2026-04-17T19:48:00.000Z</t>
  </si>
  <si>
    <t>2026-04-21T19:48:37.831Z</t>
  </si>
  <si>
    <t>Tdc gas</t>
  </si>
  <si>
    <t>2026-04-21T19:48:53.089Z</t>
  </si>
  <si>
    <t>2026-04-21T19:54:55.929Z</t>
  </si>
  <si>
    <t>Ivonne y Gaby</t>
  </si>
  <si>
    <t>2026-04-21T19:59:31.253Z</t>
  </si>
  <si>
    <t>2026-04-21T19:59:58.201Z</t>
  </si>
  <si>
    <t>Playera</t>
  </si>
  <si>
    <t>2026-04-21T20:00:45.374Z</t>
  </si>
  <si>
    <t>2026-04-21T20:12:24.742Z</t>
  </si>
  <si>
    <t>Curso</t>
  </si>
  <si>
    <t>2026-04-21T20:15:35.811Z</t>
  </si>
  <si>
    <t>2026-04-21T20:15:57.589Z</t>
  </si>
  <si>
    <t>2026-04-21T23:31:28.668Z</t>
  </si>
  <si>
    <t>2026-04-22T01:51:19.150Z</t>
  </si>
  <si>
    <t>2026-04-22T01:51:39.612Z</t>
  </si>
  <si>
    <t>2026-04-22T15:24:06.240Z</t>
  </si>
  <si>
    <t>2026-04-22T20:01:58.951Z</t>
  </si>
  <si>
    <t>Emilia abril</t>
  </si>
  <si>
    <t>2026-04-22T23:36:24.324Z</t>
  </si>
  <si>
    <t>2026-04-22T23:36:39.866Z</t>
  </si>
  <si>
    <t>2026-04-23T02:08:49.878Z</t>
  </si>
  <si>
    <t>2026-04-25T18:58:40.254Z</t>
  </si>
  <si>
    <t>2026-04-25T18:58:48.873Z</t>
  </si>
  <si>
    <t>2026-04-25T19:01:36.252Z</t>
  </si>
  <si>
    <t>2026-04-25T19:34:11.817Z</t>
  </si>
  <si>
    <t>2026-04-25T19:39:35.572Z</t>
  </si>
  <si>
    <t>2026-04-27T00:10:29.722Z</t>
  </si>
  <si>
    <t>2026-04-28T19:03:14.073Z</t>
  </si>
  <si>
    <t>2026-04-28T19:03:31.532Z</t>
  </si>
  <si>
    <t>2026-04-28T19:03:40.134Z</t>
  </si>
  <si>
    <t>2026-04-28T19:04:20.774Z</t>
  </si>
  <si>
    <t>2026-04-29T00:25:47.131Z</t>
  </si>
  <si>
    <t>Vita</t>
  </si>
  <si>
    <t>2026-04-29T01:41:35.529Z</t>
  </si>
  <si>
    <t>2026-04-29T01:44:04.123Z</t>
  </si>
  <si>
    <t>Reparación baño</t>
  </si>
  <si>
    <t>2026-04-29T18:40:56.231Z</t>
  </si>
  <si>
    <t>2026-04-30T15:16:16.372Z</t>
  </si>
  <si>
    <t>2026-04-30T15:16:26.013Z</t>
  </si>
  <si>
    <t>Dulces</t>
  </si>
  <si>
    <t>2026-04-30T19:14:50.084Z</t>
  </si>
  <si>
    <t>2026-04-30T19:18:20.102Z</t>
  </si>
  <si>
    <t>Limpieza</t>
  </si>
  <si>
    <t>2026-04-30T19:20:40.432Z</t>
  </si>
  <si>
    <t>2026-04-30T19:20:52.270Z</t>
  </si>
  <si>
    <t>Sicripcioned mss compras</t>
  </si>
  <si>
    <t>2026-04-30T19:23:06.057Z</t>
  </si>
  <si>
    <t>Inversiones financieras</t>
  </si>
  <si>
    <t>2026-04-30T19:25:01.067Z</t>
  </si>
  <si>
    <t>2026-05-01T01:58:37.012Z</t>
  </si>
  <si>
    <t>2026-05-01T01:58:49.555Z</t>
  </si>
  <si>
    <t>2026-05-01T01:59:28.847Z</t>
  </si>
  <si>
    <t>2026-05-01T01:59:44.676Z</t>
  </si>
  <si>
    <t>2026-05-01T04:00:13.979Z</t>
  </si>
  <si>
    <t>2026-05-01T04:00:31.791Z</t>
  </si>
  <si>
    <t>2026-05-01T05:12:00.000Z</t>
  </si>
  <si>
    <t>2026-05</t>
  </si>
  <si>
    <t>2026-05-01T20:21:00.000Z</t>
  </si>
  <si>
    <t>2026-05-01T23:18:01.137Z</t>
  </si>
  <si>
    <t>2026-05-03T20:19:00.000Z</t>
  </si>
  <si>
    <t>2026-05-03T20:20:00.000Z</t>
  </si>
  <si>
    <t>2026-05-03T21:45:53.711Z</t>
  </si>
  <si>
    <t>2026-05-03T21:47:24.505Z</t>
  </si>
  <si>
    <t>Andamio</t>
  </si>
  <si>
    <t>2026-05-04T05:12:10.677Z</t>
  </si>
  <si>
    <t>2026-05-04T20:21:21.490Z</t>
  </si>
  <si>
    <t>2026-05-05T02:22:53.862Z</t>
  </si>
  <si>
    <t>2026-05-05T02:27:01.029Z</t>
  </si>
  <si>
    <t>2026-05-05T02:27:18.853Z</t>
  </si>
  <si>
    <t>Katiii</t>
  </si>
  <si>
    <t>2026-05-05T02:27:36.448Z</t>
  </si>
  <si>
    <t>2026-05-05T02:28:43.065Z</t>
  </si>
  <si>
    <t>Isa</t>
  </si>
  <si>
    <t>2026-05-05T02:34:42.910Z</t>
  </si>
  <si>
    <t>2026-05-05T02:35:10.980Z</t>
  </si>
  <si>
    <t>2026-05-05T02:35:25.109Z</t>
  </si>
  <si>
    <t>2026-05-05T02:35:52.245Z</t>
  </si>
  <si>
    <t>2026-05-06T00:05:00.000Z</t>
  </si>
  <si>
    <t>2026-05-06T01:15:21.004Z</t>
  </si>
  <si>
    <t>2026-05-06T01:15:57.488Z</t>
  </si>
  <si>
    <t>2026-05-06T01:16:09.697Z</t>
  </si>
  <si>
    <t>2026-05-06T01:16:28.941Z</t>
  </si>
  <si>
    <t>2026-05-06T01:16:48.069Z</t>
  </si>
  <si>
    <t>2026-05-06T01:16:59.793Z</t>
  </si>
  <si>
    <t>2026-05-06T01:17:36.581Z</t>
  </si>
  <si>
    <t>2026-05-06T01:19:08.195Z</t>
  </si>
  <si>
    <t>2026-05-06T01:19:46.964Z</t>
  </si>
  <si>
    <t>Alison y Renata</t>
  </si>
  <si>
    <t>2026-05-06T01:19:57.020Z</t>
  </si>
  <si>
    <t>2026-05-06T01:20:27.388Z</t>
  </si>
  <si>
    <t>2026-05-06T01:20:59.619Z</t>
  </si>
  <si>
    <t>2026-05-06T01:21:25.066Z</t>
  </si>
  <si>
    <t>2026-05-06T01:32:17.192Z</t>
  </si>
  <si>
    <t>2026-05-06T01:39:07.184Z</t>
  </si>
  <si>
    <t>2026-05-06T01:39:45.854Z</t>
  </si>
  <si>
    <t>Vive 100</t>
  </si>
  <si>
    <t>2026-05-06T01:42:37.108Z</t>
  </si>
  <si>
    <t>2026-05-06T01:58:26.245Z</t>
  </si>
  <si>
    <t>2026-05-06T01:59:21.643Z</t>
  </si>
  <si>
    <t>2026-05-06T02:00:36.579Z</t>
  </si>
  <si>
    <t>Tdc refri y ventis</t>
  </si>
  <si>
    <t>2026-05-06T02:03:14.001Z</t>
  </si>
  <si>
    <t>2026-05-06T04:53:24.942Z</t>
  </si>
  <si>
    <t>Ameyali</t>
  </si>
  <si>
    <t>2026-05-07T00:05:56.240Z</t>
  </si>
  <si>
    <t>2026-05-07T00:06:48.112Z</t>
  </si>
  <si>
    <t>2026-05-07T00:07:02.825Z</t>
  </si>
  <si>
    <t>2026-05-07T00:07:37.848Z</t>
  </si>
  <si>
    <t>2026-05-07T00:22:52.987Z</t>
  </si>
  <si>
    <t>Emilia</t>
  </si>
  <si>
    <t>2026-05-07T00:23:07.260Z</t>
  </si>
  <si>
    <t>2026-05-07T00:24:08.667Z</t>
  </si>
  <si>
    <t>Bella abril</t>
  </si>
  <si>
    <t>2026-05-08T00:46:22.512Z</t>
  </si>
  <si>
    <t>2026-05-08T01:24:57.775Z</t>
  </si>
  <si>
    <t>2026-05-08T01:25:09.482Z</t>
  </si>
  <si>
    <t>2026-05-08T01:36:49.051Z</t>
  </si>
  <si>
    <t>2026-05-11T20:26:45.743Z</t>
  </si>
  <si>
    <t>2026-05-11T20:27:17.244Z</t>
  </si>
  <si>
    <t>2026-05-11T20:33:12.558Z</t>
  </si>
  <si>
    <t>2026-05-11T20:33:40.172Z</t>
  </si>
  <si>
    <t>Ofrenda desayunos</t>
  </si>
  <si>
    <t>2026-05-11T20:38:43.796Z</t>
  </si>
  <si>
    <t>2026-05-12T20:12:05.369Z</t>
  </si>
  <si>
    <t>2026-05-12T23:05:10.651Z</t>
  </si>
  <si>
    <t>2026-05-12T23:09:24.603Z</t>
  </si>
  <si>
    <t>2026-05-16T19:16:50.608Z</t>
  </si>
  <si>
    <t>2026-05-16T20:12:57.924Z</t>
  </si>
  <si>
    <t>2026-05-16T20:13:28.410Z</t>
  </si>
  <si>
    <t>Quincena pau</t>
  </si>
  <si>
    <t>2026-05-16T21:03:41.976Z</t>
  </si>
  <si>
    <t>2026-05-16T21:04:11.006Z</t>
  </si>
  <si>
    <t>Boda pau</t>
  </si>
  <si>
    <t>2026-05-16T21:04:25.213Z</t>
  </si>
  <si>
    <t>2026-05-16T21:05:25.114Z</t>
  </si>
  <si>
    <t>2026-05-16T21:05:57.930Z</t>
  </si>
  <si>
    <t>2026-05-18T23:38:21.073Z</t>
  </si>
  <si>
    <t>2026-05-23T19:10:19.217Z</t>
  </si>
  <si>
    <t>2026-05-23T19:12:59.817Z</t>
  </si>
  <si>
    <t>2026-05-23T19:13:20.290Z</t>
  </si>
  <si>
    <t>Didis</t>
  </si>
  <si>
    <t>2026-05-23T19:13:44.521Z</t>
  </si>
  <si>
    <t>2026-05-23T19:14:40.015Z</t>
  </si>
  <si>
    <t>2026-05-25T22:20:33.341Z</t>
  </si>
  <si>
    <t>2026-05-26T23:39:19.256Z</t>
  </si>
  <si>
    <t>2026-05-26T23:39:26.476Z</t>
  </si>
  <si>
    <t>2026-05-26T23:43:35.341Z</t>
  </si>
  <si>
    <t>2026-05-28T16:08:10.249Z</t>
  </si>
  <si>
    <t>Majo</t>
  </si>
  <si>
    <t>2026-05-28T23:56:05.110Z</t>
  </si>
  <si>
    <t>2026-05-29T01:13:35.339Z</t>
  </si>
  <si>
    <t>2026-05-29T01:13:52.957Z</t>
  </si>
  <si>
    <t>2026-05-29T01:17:33.485Z</t>
  </si>
  <si>
    <t>2026-05-29T03:59:49.599Z</t>
  </si>
  <si>
    <t>Canva</t>
  </si>
  <si>
    <t>2026-05-29T05:05:43.749Z</t>
  </si>
  <si>
    <t>2026-05-29T05:06:49.549Z</t>
  </si>
  <si>
    <t>2026-05-29T05:10:05.938Z</t>
  </si>
  <si>
    <t>2026-05-29T05:12:23.964Z</t>
  </si>
  <si>
    <t>2026-05-29T13:53:01.938Z</t>
  </si>
  <si>
    <t>2026-05-29T22:13:55.164Z</t>
  </si>
  <si>
    <t>Irka</t>
  </si>
  <si>
    <t>2026-05-30T02:11:59.092Z</t>
  </si>
  <si>
    <t>2026-05-30T02:12:17.540Z</t>
  </si>
  <si>
    <t>2026-05-30T02:30:01.754Z</t>
  </si>
  <si>
    <t>2026-05-30T14:30:00.000Z</t>
  </si>
  <si>
    <t>2026-05-30T19:08:48.019Z</t>
  </si>
  <si>
    <t>2026-05-30T19:09:08.516Z</t>
  </si>
  <si>
    <t>2026-05-30T19:29:33.337Z</t>
  </si>
  <si>
    <t>Refri</t>
  </si>
  <si>
    <t>2026-05-30T19:31:58.454Z</t>
  </si>
  <si>
    <t>2026-05-31T14:13:00.000Z</t>
  </si>
  <si>
    <t>2026-06</t>
  </si>
  <si>
    <t>Ivonne</t>
  </si>
  <si>
    <t>2026-06-01T23:49:26.803Z</t>
  </si>
  <si>
    <t>2026-06-01T23:49:42.563Z</t>
  </si>
  <si>
    <t>Maia</t>
  </si>
  <si>
    <t>2026-06-01T23:49:50.102Z</t>
  </si>
  <si>
    <t>2026-06-01T23:50:46.118Z</t>
  </si>
  <si>
    <t>2026-06-01T23:54:15.483Z</t>
  </si>
  <si>
    <t>2026-06-03T00:37:49.768Z</t>
  </si>
  <si>
    <t>2026-06-03T00:38:29.696Z</t>
  </si>
  <si>
    <t>2026-06-03T00:38:39.971Z</t>
  </si>
  <si>
    <t>2026-06-03T00:38:49.443Z</t>
  </si>
  <si>
    <t>2026-06-03T00:38:57.184Z</t>
  </si>
  <si>
    <t>2026-06-03T00:39:06.042Z</t>
  </si>
  <si>
    <t>2026-06-03T00:39:20.484Z</t>
  </si>
  <si>
    <t>2026-06-03T00:39:31.242Z</t>
  </si>
  <si>
    <t>2026-06-03T00:39:39.047Z</t>
  </si>
  <si>
    <t>Isa nueva</t>
  </si>
  <si>
    <t>2026-06-03T00:39:52.542Z</t>
  </si>
  <si>
    <t>2026-06-03T00:40:01.447Z</t>
  </si>
  <si>
    <t>2026-06-03T00:40:40.073Z</t>
  </si>
  <si>
    <t>2026-06-03T22:05:54.546Z</t>
  </si>
  <si>
    <t>2026-06-03T22:06:03.854Z</t>
  </si>
  <si>
    <t>2026-06-03T22:06:12.478Z</t>
  </si>
  <si>
    <t>2026-06-03T22:06:20.351Z</t>
  </si>
  <si>
    <t>2026-06-03T22:06:55.438Z</t>
  </si>
  <si>
    <t>2026-06-04T14:31:56.982Z</t>
  </si>
  <si>
    <t>Bella Mayo</t>
  </si>
  <si>
    <t>2026-06-04T14:32:16.491Z</t>
  </si>
  <si>
    <t>2026-06-04T14:32:26.166Z</t>
  </si>
  <si>
    <t>2026-06-04T14:32:40.291Z</t>
  </si>
  <si>
    <t>2026-06-04T14:32:47.445Z</t>
  </si>
  <si>
    <t>2026-06-04T14:33:00.234Z</t>
  </si>
  <si>
    <t>2026-06-04T14:33:21.163Z</t>
  </si>
  <si>
    <t>2026-06-04T14:33:32.888Z</t>
  </si>
  <si>
    <t>Allison y Renata</t>
  </si>
  <si>
    <t>2026-06-04T14:33:51.714Z</t>
  </si>
  <si>
    <t>2026-06-04T14:34:04.820Z</t>
  </si>
  <si>
    <t>2026-06-05T00:25:00.588Z</t>
  </si>
  <si>
    <t>2026-06-05T00:25:32.124Z</t>
  </si>
  <si>
    <t>2026-06-05T00:32:08.266Z</t>
  </si>
  <si>
    <t>2026-06-05T00:36:31.673Z</t>
  </si>
  <si>
    <t>2026-06-05T00:36:56.020Z</t>
  </si>
  <si>
    <t>2026-06-05T00:37:25.557Z</t>
  </si>
  <si>
    <t>2026-06-05T00:37:31.326Z</t>
  </si>
  <si>
    <t>2026-06-06T02:23:18.791Z</t>
  </si>
  <si>
    <t>Diana Marisol</t>
  </si>
  <si>
    <t>2026-06-06T02:23:33.315Z</t>
  </si>
  <si>
    <t>Diana Valentina</t>
  </si>
  <si>
    <t>2026-06-06T02:23:47.575Z</t>
  </si>
  <si>
    <t>2026-06-06T02:23:57.497Z</t>
  </si>
  <si>
    <t>2026-06-06T02:24:06.886Z</t>
  </si>
  <si>
    <t>2026-06-06T02:24:21.095Z</t>
  </si>
  <si>
    <t>2026-06-06T02:24:33.349Z</t>
  </si>
  <si>
    <t>Andrea</t>
  </si>
  <si>
    <t>2026-06-06T02:25:39.697Z</t>
  </si>
  <si>
    <t>2026-06-06T02:25:54.056Z</t>
  </si>
  <si>
    <t>2026-06-06T02:26:11.013Z</t>
  </si>
  <si>
    <t>2026-06-06T02:26:46.847Z</t>
  </si>
  <si>
    <t>2026-06-06T02:27:04.774Z</t>
  </si>
  <si>
    <t>Aro</t>
  </si>
  <si>
    <t>2026-06-06T02:29:39.884Z</t>
  </si>
  <si>
    <t>2026-06-06T02:29:47.671Z</t>
  </si>
  <si>
    <t>2026-06-06T02:32:13.153Z</t>
  </si>
  <si>
    <t>2026-06-06T02:33:10.275Z</t>
  </si>
  <si>
    <t>2026-06-06T02:36:11.730Z</t>
  </si>
  <si>
    <t>2026-06-06T04:58:56.401Z</t>
  </si>
  <si>
    <t>2026-06-06T04:59:52.185Z</t>
  </si>
  <si>
    <t>2026-06-06T05:10:34.709Z</t>
  </si>
  <si>
    <t>2026-06-06T14:17:24.763Z</t>
  </si>
  <si>
    <t>2026-06-06T14:26:21.810Z</t>
  </si>
  <si>
    <t>2026-06-06T14:31:26.379Z</t>
  </si>
  <si>
    <t>Atención médica, doctor</t>
  </si>
  <si>
    <t>Pau psicóloga</t>
  </si>
  <si>
    <t>2026-06-07T01:13:53.141Z</t>
  </si>
  <si>
    <t>2026-06-15T19:17:58.334Z</t>
  </si>
  <si>
    <t>2026-06-15T19:18:21.851Z</t>
  </si>
  <si>
    <t>2026-06-15T19:22:31.614Z</t>
  </si>
  <si>
    <t>2026-06-15T19:24:09.242Z</t>
  </si>
  <si>
    <t>2026-06-15T19:45:21.968Z</t>
  </si>
  <si>
    <t>2026-06-15T19:53:49.813Z</t>
  </si>
  <si>
    <t>2026-06-15T19:53:57.480Z</t>
  </si>
  <si>
    <t>Playera mundial</t>
  </si>
  <si>
    <t>2026-06-15T19:54:00.000Z</t>
  </si>
  <si>
    <t>2026-06-15T23:41:36.300Z</t>
  </si>
  <si>
    <t>2026-06-15T23:41:45.120Z</t>
  </si>
  <si>
    <t>Mes + brea majo</t>
  </si>
  <si>
    <t>2026-06-15T23:41:52.775Z</t>
  </si>
  <si>
    <t>2026-06-15T23:47:19.178Z</t>
  </si>
  <si>
    <t>2026-06-18T16:28:58.131Z</t>
  </si>
  <si>
    <t>2026-06-18T16:29:07.199Z</t>
  </si>
  <si>
    <t>2026-06-18T16:29:33.031Z</t>
  </si>
  <si>
    <t>2026-06-22T18:52:03.110Z</t>
  </si>
  <si>
    <t>2026-06-22T19:17:30.193Z</t>
  </si>
  <si>
    <t>2026-06-22T19:18:05.344Z</t>
  </si>
  <si>
    <t>2026-06-22T19:31:34.253Z</t>
  </si>
  <si>
    <t>2026-06-22T19:32:27.898Z</t>
  </si>
  <si>
    <t>2026-06-22T19:35:08.959Z</t>
  </si>
  <si>
    <t>2026-06-22T23:49:45.112Z</t>
  </si>
  <si>
    <t>2026-06-23T02:30:49.619Z</t>
  </si>
  <si>
    <t>2026-06-23T02:31:49.888Z</t>
  </si>
  <si>
    <t>Isabella faltante</t>
  </si>
  <si>
    <t>2026-06-26T00:30:15.103Z</t>
  </si>
  <si>
    <t>2026-06-26T00:30:36.917Z</t>
  </si>
  <si>
    <t>2026-06-26T00:30:48.576Z</t>
  </si>
  <si>
    <t>2026-06-26T00:30:55.713Z</t>
  </si>
  <si>
    <t>Ligas</t>
  </si>
  <si>
    <t>2026-06-26T00:31:04.371Z</t>
  </si>
  <si>
    <t>2026-06-28T05:37:57.507Z</t>
  </si>
  <si>
    <t>2026-06-28T05:38:37.404Z</t>
  </si>
  <si>
    <t>2026-06-28T05:45:14.004Z</t>
  </si>
  <si>
    <t>Toallitas</t>
  </si>
  <si>
    <t>2026-06-28T05:57:21.943Z</t>
  </si>
  <si>
    <t>2026-06-28T06:06:23.003Z</t>
  </si>
  <si>
    <t>2026-06-29T21:55:22.645Z</t>
  </si>
  <si>
    <t>2026-06-29T23:25:09.837Z</t>
  </si>
  <si>
    <t>2026-06-30T19:06:36.693Z</t>
  </si>
  <si>
    <t>2026-06-30T19:06:48.679Z</t>
  </si>
  <si>
    <t>2026-06-30T19:07:03.899Z</t>
  </si>
  <si>
    <t>2026-06-30T19:07:42.156Z</t>
  </si>
  <si>
    <t>2026-06-30T19:33:00.000Z</t>
  </si>
  <si>
    <t>2026-06-30T19:40:00.000Z</t>
  </si>
  <si>
    <t>2026-06-30T22:10:22.366Z</t>
  </si>
  <si>
    <t>2026-06-30T22:10:45.727Z</t>
  </si>
  <si>
    <t>2026-06-30T22:17:00.000Z</t>
  </si>
  <si>
    <t>2026-07-01T04:58:48.736Z</t>
  </si>
  <si>
    <t>2026-07-01T04:58:57.409Z</t>
  </si>
  <si>
    <t>2026-07</t>
  </si>
  <si>
    <t>2026-07-03T01:22:51.461Z</t>
  </si>
  <si>
    <t>2026-07-03T01:25:27.363Z</t>
  </si>
  <si>
    <t>2026-07-04T19:30:10.281Z</t>
  </si>
  <si>
    <t>2026-07-04T19:30:39.057Z</t>
  </si>
  <si>
    <t>2026-07-04T19:30:54.598Z</t>
  </si>
  <si>
    <t>2026-07-04T19:31:07.574Z</t>
  </si>
  <si>
    <t>2026-07-04T19:31:15.776Z</t>
  </si>
  <si>
    <t>2026-07-04T19:31:24.582Z</t>
  </si>
  <si>
    <t>2026-07-04T19:31:38.356Z</t>
  </si>
  <si>
    <t>2026-07-04T19:31:54.446Z</t>
  </si>
  <si>
    <t>2026-07-04T19:31:59.885Z</t>
  </si>
  <si>
    <t>2026-07-04T19:32:27.563Z</t>
  </si>
  <si>
    <t>2026-07-04T19:32:38.404Z</t>
  </si>
  <si>
    <t>2026-07-04T19:43:19.033Z</t>
  </si>
  <si>
    <t>2026-07-04T19:44:44.147Z</t>
  </si>
  <si>
    <t>2026-07-04T19:45:09.706Z</t>
  </si>
  <si>
    <t>2026-07-04T19:53:00.155Z</t>
  </si>
  <si>
    <t>2026-07-04T19:53:18.982Z</t>
  </si>
  <si>
    <t>2026-07-04T19:53:42.611Z</t>
  </si>
  <si>
    <t>2026-07-04T19:53:55.869Z</t>
  </si>
  <si>
    <t>2026-07-04T19:54:11.711Z</t>
  </si>
  <si>
    <t>2026-07-04T19:54:27.217Z</t>
  </si>
  <si>
    <t>2026-07-04T19:54:50.746Z</t>
  </si>
  <si>
    <t>2026-07-04T19:54:58.798Z</t>
  </si>
  <si>
    <t>2026-07-04T19:55:12.524Z</t>
  </si>
  <si>
    <t>2026-07-04T19:55:51.561Z</t>
  </si>
  <si>
    <t>2026-07-04T19:58:19.999Z</t>
  </si>
  <si>
    <t>2026-07-04T23:58:28.787Z</t>
  </si>
  <si>
    <t>2026-07-06T19:51:50.353Z</t>
  </si>
  <si>
    <t>2026-07-06T19:52:55.188Z</t>
  </si>
  <si>
    <t>2026-07-06T19:54:24.155Z</t>
  </si>
  <si>
    <t>2026-07-07T03:24:33.615Z</t>
  </si>
  <si>
    <t>Brittany</t>
  </si>
  <si>
    <t>2026-07-07T03:25:07.835Z</t>
  </si>
  <si>
    <t>2026-07-07T03:25:44.865Z</t>
  </si>
  <si>
    <t>2026-07-07T03:26:11.628Z</t>
  </si>
  <si>
    <t>2026-07-07T03:53:13.260Z</t>
  </si>
  <si>
    <t>2026-07-07T03:53:48.453Z</t>
  </si>
  <si>
    <t>2026-07-07T03:56:11.052Z</t>
  </si>
  <si>
    <t>Restante ventis, refri, suscripciones (tdc)</t>
  </si>
  <si>
    <t>2026-07-07T04:04:07.200Z</t>
  </si>
  <si>
    <t>2026-07-08T23:32:55.624Z</t>
  </si>
  <si>
    <t>2026-07-08T23:33:08.945Z</t>
  </si>
  <si>
    <t>2026-07-08T23:34:04.549Z</t>
  </si>
  <si>
    <t>2026-07-08T23:34:47.596Z</t>
  </si>
  <si>
    <t>2026-07-08T23:36:45.852Z</t>
  </si>
  <si>
    <t>2026-07-08T23:37:11.596Z</t>
  </si>
  <si>
    <t>2026-07-09T04:43:47.205Z</t>
  </si>
  <si>
    <t>2026-07-09T04:55:48.426Z</t>
  </si>
  <si>
    <t>2026-07-09T04:58:20.182Z</t>
  </si>
  <si>
    <t>2026-07-09T16:56:33.107Z</t>
  </si>
  <si>
    <t>2026-07-09T16:57:46.019Z</t>
  </si>
  <si>
    <t>2026-07-10T00:33:48.428Z</t>
  </si>
  <si>
    <t>2026-07-10T00:38:53.137Z</t>
  </si>
  <si>
    <t>2026-07-10T01:03:12.496Z</t>
  </si>
  <si>
    <t>2026-07-10T01:03:41.960Z</t>
  </si>
  <si>
    <t>2026-07-10T23:00:27.928Z</t>
  </si>
  <si>
    <t>2026-07-11T18:49:31.150Z</t>
  </si>
  <si>
    <t>2026-07-11T20:13:22.770Z</t>
  </si>
  <si>
    <t>Sobraron</t>
  </si>
  <si>
    <t>2026-07-11T20:13:37.441Z</t>
  </si>
  <si>
    <t>2026-07-11T20:14:24.878Z</t>
  </si>
  <si>
    <t>Sobró</t>
  </si>
  <si>
    <t>2026-07-11T20:21:42.666Z</t>
  </si>
  <si>
    <t>2026-07-11T20:28:48.299Z</t>
  </si>
  <si>
    <t>2026-07-11T20:31:39.327Z</t>
  </si>
  <si>
    <t>2026-07-14T19:14:10.118Z</t>
  </si>
  <si>
    <t>2026-07-14T19:14:21.926Z</t>
  </si>
  <si>
    <t>2026-07-15T20:14:18.846Z</t>
  </si>
  <si>
    <t>2026-07-16T19:53:58.487Z</t>
  </si>
  <si>
    <t>2026-07-16T19:54:08.305Z</t>
  </si>
  <si>
    <t>2026-07-16T19:55:16.473Z</t>
  </si>
  <si>
    <t>2026-07-17T15:29:01.110Z</t>
  </si>
  <si>
    <t>2026-07-18T19:27:16.294Z</t>
  </si>
  <si>
    <t>2026-07-18T19:27:48.509Z</t>
  </si>
  <si>
    <t>2026-07-18T19:27:55.579Z</t>
  </si>
  <si>
    <t>Bolsa de basura</t>
  </si>
  <si>
    <t>2026-07-18T19:28:30.980Z</t>
  </si>
  <si>
    <t>2026-07-18T19:30:54.753Z</t>
  </si>
  <si>
    <t>2026-07-18T19:33:31.290Z</t>
  </si>
  <si>
    <t>2026-07-18T19:34:06.859Z</t>
  </si>
  <si>
    <t>2026-07-19T04:44:45.680Z</t>
  </si>
  <si>
    <t>Ximena</t>
  </si>
  <si>
    <t>2026-07-19T04:45:02.234Z</t>
  </si>
  <si>
    <t>Eslingas</t>
  </si>
  <si>
    <t>2026-07-19T04:45:50.412Z</t>
  </si>
  <si>
    <t>Naomi junio</t>
  </si>
  <si>
    <t>2026-07-20T17:45:15.142Z</t>
  </si>
  <si>
    <t>2026-07-20T17:45:27.397Z</t>
  </si>
  <si>
    <t>2026-07-20T23:44:52.684Z</t>
  </si>
  <si>
    <t>2026-07-20T23:45:14.527Z</t>
  </si>
  <si>
    <t>2026-07-23T19:59:10.552Z</t>
  </si>
  <si>
    <t>2026-07-23T19:59:18.005Z</t>
  </si>
  <si>
    <t>2026-07-23T20:19:51.192Z</t>
  </si>
  <si>
    <t>2026-07-23T20:22:09.906Z</t>
  </si>
  <si>
    <t>2026-07-23T22:41:24.498Z</t>
  </si>
  <si>
    <t>2026-07-23T22:41:36.489Z</t>
  </si>
  <si>
    <t>2026-07-23T22:41:47.028Z</t>
  </si>
  <si>
    <t>2026-07-23T22:51:43.339Z</t>
  </si>
  <si>
    <t>2026-07-23T22:58:36.842Z</t>
  </si>
  <si>
    <t>2026-07-23T23:05:36.745Z</t>
  </si>
  <si>
    <t>2026-07-23T23:06:36.340Z</t>
  </si>
  <si>
    <t>2026-07-23T23:11:55.271Z</t>
  </si>
  <si>
    <t>2026-07-23T23:19:40.238Z</t>
  </si>
  <si>
    <t>2026-07-23T23:25:05.978Z</t>
  </si>
  <si>
    <t>2026-07-24T01:12:02.056Z</t>
  </si>
  <si>
    <t>2026-07-24T01:12:29.655Z</t>
  </si>
  <si>
    <t>2026-07-25T19:40:50.015Z</t>
  </si>
  <si>
    <t>2026-07-28T01:46:25.893Z</t>
  </si>
  <si>
    <t>2026-07-28T01:48:25.993Z</t>
  </si>
  <si>
    <t>Tinta</t>
  </si>
  <si>
    <t>2026-07-28T01:49:28.821Z</t>
  </si>
  <si>
    <t>Carol</t>
  </si>
  <si>
    <t>2026-07-28T01:50:02.935Z</t>
  </si>
  <si>
    <t>2026-07-28T01:50:22.476Z</t>
  </si>
  <si>
    <t>2026-07-28T02:35:07.582Z</t>
  </si>
  <si>
    <t>Boda</t>
  </si>
  <si>
    <t>2026-07-28T02:35:16.420Z</t>
  </si>
  <si>
    <t>2026-07-28T20:38:55.078Z</t>
  </si>
  <si>
    <t>2026-07-29T18:12:52.913Z</t>
  </si>
  <si>
    <t>2026-07-30T16:58:49.306Z</t>
  </si>
  <si>
    <t>2026-07-31T04:07:00.000Z</t>
  </si>
  <si>
    <t>2026-07-31T14:33:28.186Z</t>
  </si>
  <si>
    <t>2026-07-31T23:00:00.000Z</t>
  </si>
  <si>
    <t>2026-08-01T00:43:00.000Z</t>
  </si>
  <si>
    <t>2026-08</t>
  </si>
  <si>
    <t>2026-08-04T14:29:21.388Z</t>
  </si>
  <si>
    <t>2026-08-04T17:02:00.000Z</t>
  </si>
  <si>
    <t>2026-08-05T00:56:19.876Z</t>
  </si>
  <si>
    <t>2026-08-05T00:56:28.329Z</t>
  </si>
  <si>
    <t>Aitana</t>
  </si>
  <si>
    <t>2026-08-05T00:58:01.455Z</t>
  </si>
  <si>
    <t>2026-08-05T01:23:14.184Z</t>
  </si>
  <si>
    <t>2026-08-05T01:23:33.356Z</t>
  </si>
  <si>
    <t>2026-08-05T01:23:51.614Z</t>
  </si>
  <si>
    <t>2026-08-05T01:24:13.043Z</t>
  </si>
  <si>
    <t>Compra facturada</t>
  </si>
  <si>
    <t>Tapete</t>
  </si>
  <si>
    <t>2026-08-05T04:10:00.000Z</t>
  </si>
  <si>
    <t>2026-08-05T17:42:20.927Z</t>
  </si>
  <si>
    <t>2026-08-05T17:42:30.882Z</t>
  </si>
  <si>
    <t>2026-08-05T17:43:13.728Z</t>
  </si>
  <si>
    <t>2026-08-05T20:59:38.979Z</t>
  </si>
  <si>
    <t>2026-08-05T21:00:49.098Z</t>
  </si>
  <si>
    <t>2026-08-05T21:01:02.320Z</t>
  </si>
  <si>
    <t>2026-08-06T04:19:00.000Z</t>
  </si>
  <si>
    <t>2026-08-06T17:04:40.576Z</t>
  </si>
  <si>
    <t>2026-08-06T17:06:27.387Z</t>
  </si>
  <si>
    <t>2026-08-06T17:06:55.240Z</t>
  </si>
  <si>
    <t>2026-08-06T17:07:16.531Z</t>
  </si>
  <si>
    <t>2026-08-06T17:07:40.592Z</t>
  </si>
  <si>
    <t>2026-08-06T17:08:11.592Z</t>
  </si>
  <si>
    <t>2026-08-06T17:09:08.127Z</t>
  </si>
  <si>
    <t>2026-08-06T17:09:33.024Z</t>
  </si>
  <si>
    <t>2026-08-06T17:10:21.484Z</t>
  </si>
  <si>
    <t>Ana</t>
  </si>
  <si>
    <t>2026-08-06T17:18:36.579Z</t>
  </si>
  <si>
    <t>2026-08-06T18:10:26.125Z</t>
  </si>
  <si>
    <t>2026-08-09T21:21:00.000Z</t>
  </si>
  <si>
    <t>2026-08-10T03:44:16.306Z</t>
  </si>
  <si>
    <t>Sobrante</t>
  </si>
  <si>
    <t>2026-08-10T03:47:56.999Z</t>
  </si>
  <si>
    <t>2026-08-10T03:48:20.146Z</t>
  </si>
  <si>
    <t>Rebeca</t>
  </si>
  <si>
    <t>2026-08-10T04:02:42.296Z</t>
  </si>
  <si>
    <t>Luna</t>
  </si>
  <si>
    <t>2026-08-10T04:04:01.210Z</t>
  </si>
  <si>
    <t>Ana Victoria</t>
  </si>
  <si>
    <t>2026-08-10T04:05:51.062Z</t>
  </si>
  <si>
    <t>2026-08-10T04:25:48.936Z</t>
  </si>
  <si>
    <t>2026-08-10T18:38:57.994Z</t>
  </si>
  <si>
    <t>2026-08-10T18:39:24.225Z</t>
  </si>
  <si>
    <t>Uber Karely</t>
  </si>
  <si>
    <t>2026-08-10T18:48:28.486Z</t>
  </si>
  <si>
    <t>Sophie Danae</t>
  </si>
  <si>
    <t>2026-08-10T23:52:53.179Z</t>
  </si>
  <si>
    <t>Itzia</t>
  </si>
  <si>
    <t>2026-08-10T23:53:20.794Z</t>
  </si>
  <si>
    <t>2026-08-11T02:41:18.226Z</t>
  </si>
  <si>
    <t>2026-08-11T02:42:07.646Z</t>
  </si>
  <si>
    <t>2026-08-11T02:42:15.380Z</t>
  </si>
  <si>
    <t>2026-08-11T18:07:42.085Z</t>
  </si>
  <si>
    <t>2026-08-11T18:08:13.962Z</t>
  </si>
  <si>
    <t>2026-08-11T18:08:20.466Z</t>
  </si>
  <si>
    <t>2026-08-12T00:35:32.791Z</t>
  </si>
  <si>
    <t>2026-08-12T00:36:20.174Z</t>
  </si>
  <si>
    <t>2026-08-12T00:50:23.804Z</t>
  </si>
  <si>
    <t>2026-08-12T00:54:20.375Z</t>
  </si>
  <si>
    <t>Regina Guadalupe</t>
  </si>
  <si>
    <t>2026-08-12T04:04:24.321Z</t>
  </si>
  <si>
    <t>2026-08-12T04:04:51.321Z</t>
  </si>
  <si>
    <t>2026-08-12T23:37:41.327Z</t>
  </si>
  <si>
    <t>2026-08-12T23:37:48.982Z</t>
  </si>
  <si>
    <t>2026-08-12T23:39:31.743Z</t>
  </si>
  <si>
    <t>Suscripción :/</t>
  </si>
  <si>
    <t>2026-08-12T23:56:26.082Z</t>
  </si>
  <si>
    <t>2026-08-14T00:08:05.930Z</t>
  </si>
  <si>
    <t>2026-08-16T02:05:32.491Z</t>
  </si>
  <si>
    <t>Gabriela Armida</t>
  </si>
  <si>
    <t>2026-08-16T02:05:39.344Z</t>
  </si>
  <si>
    <t>2026-08-18T23:08:56.028Z</t>
  </si>
  <si>
    <t>Ameyali septiembre</t>
  </si>
  <si>
    <t>2026-08-18T23:09:04.463Z</t>
  </si>
  <si>
    <t>2026-08-18T23:13:40.472Z</t>
  </si>
  <si>
    <t>2026-08-18T23:13:58.967Z</t>
  </si>
  <si>
    <t>2026-08-19T00:13:27.328Z</t>
  </si>
  <si>
    <t>2026-08-19T00:33:20.075Z</t>
  </si>
  <si>
    <t>Recepción</t>
  </si>
  <si>
    <t>2026-08-19T00:33:35.285Z</t>
  </si>
  <si>
    <t>Taxi</t>
  </si>
  <si>
    <t>Teatro</t>
  </si>
  <si>
    <t>2026-08-19T00:42:33.829Z</t>
  </si>
  <si>
    <t>2026-08-19T00:42:58.775Z</t>
  </si>
  <si>
    <t>Magnesia</t>
  </si>
  <si>
    <t>2026-08-19T00:45:48.145Z</t>
  </si>
  <si>
    <t>Luces, mecánica</t>
  </si>
  <si>
    <t>2026-08-19T00:47:19.514Z</t>
  </si>
  <si>
    <t>Ochos</t>
  </si>
  <si>
    <t>2026-08-19T00:48:10.390Z</t>
  </si>
  <si>
    <t>GASOLINA MAMÁ</t>
  </si>
  <si>
    <t>2026-08-19T00:58:09.343Z</t>
  </si>
  <si>
    <t>2026-08-19T01:06:04.861Z</t>
  </si>
  <si>
    <t>2026-08-19T01:07:30.853Z</t>
  </si>
  <si>
    <t>2026-08-19T01:10:19.363Z</t>
  </si>
  <si>
    <t>2026-08-19T04:03:55.903Z</t>
  </si>
  <si>
    <t>2026-08-19T16:52:19.086Z</t>
  </si>
  <si>
    <t>2026-08-19T17:21:28.997Z</t>
  </si>
  <si>
    <t>2026-08-19T19:52:35.931Z</t>
  </si>
  <si>
    <t>2026-08-19T22:24:59.725Z</t>
  </si>
  <si>
    <t>Ana pau Arce</t>
  </si>
  <si>
    <t>2026-08-20T00:17:34.737Z</t>
  </si>
  <si>
    <t>Sofía h</t>
  </si>
  <si>
    <t>2026-08-21T01:16:10.811Z</t>
  </si>
  <si>
    <t>2026-08-21T01:16:24.436Z</t>
  </si>
  <si>
    <t>2026-08-21T01:16:36.244Z</t>
  </si>
  <si>
    <t>2026-08-21T01:17:06.281Z</t>
  </si>
  <si>
    <t>2026-08-21T01:17:45.324Z</t>
  </si>
  <si>
    <t>Ana lu</t>
  </si>
  <si>
    <t>2026-08-24T23:50:46.488Z</t>
  </si>
  <si>
    <t>2026-08-24T23:50:56.261Z</t>
  </si>
  <si>
    <t>2026-08-25T22:01:24.768Z</t>
  </si>
  <si>
    <t>Paola</t>
  </si>
  <si>
    <t>2026-08-25T22:01:45.697Z</t>
  </si>
  <si>
    <t>2026-08-25T22:02:15.276Z</t>
  </si>
  <si>
    <t>2026-08-25T23:54:57.411Z</t>
  </si>
  <si>
    <t>2026-08-26T00:06:05.467Z</t>
  </si>
  <si>
    <t>2026-08-26T00:06:14.520Z</t>
  </si>
  <si>
    <t>2026-08-27T00:05:05.420Z</t>
  </si>
  <si>
    <t>Melany</t>
  </si>
  <si>
    <t>2026-08-27T00:05:41.017Z</t>
  </si>
  <si>
    <t>2026-08-27T00:07:09.549Z</t>
  </si>
  <si>
    <t>Almita</t>
  </si>
  <si>
    <t>2026-08-27T00:09:39.888Z</t>
  </si>
  <si>
    <t>2026-08-27T16:27:30.809Z</t>
  </si>
  <si>
    <t>Inscripción y mes Rebeca</t>
  </si>
  <si>
    <t>2026-08-28T00:07:56.045Z</t>
  </si>
  <si>
    <t>2026-08-28T00:32:23.728Z</t>
  </si>
  <si>
    <t>Alquileres</t>
  </si>
  <si>
    <t>Restante mamá agosto</t>
  </si>
  <si>
    <t>2026-08-28T00:32:53.679Z</t>
  </si>
  <si>
    <t>2026-08-28T00:34:25.078Z</t>
  </si>
  <si>
    <t>2026-08-28T00:39:23.612Z</t>
  </si>
  <si>
    <t>2026-08-28T00:39:56.564Z</t>
  </si>
  <si>
    <t>ChatGPT</t>
  </si>
  <si>
    <t>2026-08-28T00:44:49.916Z</t>
  </si>
  <si>
    <t>2026-08-28T00:46:03.295Z</t>
  </si>
  <si>
    <t>Pollo</t>
  </si>
  <si>
    <t>2026-08-28T00:47:34.988Z</t>
  </si>
  <si>
    <t>2026-08-28T00:48:49.905Z</t>
  </si>
  <si>
    <t>2026-08-28T15:53:25.868Z</t>
  </si>
  <si>
    <t>2026-08-28T23:35:03.679Z</t>
  </si>
  <si>
    <t>2026-08-29T00:12:27.555Z</t>
  </si>
  <si>
    <t>2026-08-29T00:35:04.952Z</t>
  </si>
  <si>
    <t>Gabi Ávila</t>
  </si>
  <si>
    <t>2026-08-29T20:30:20.511Z</t>
  </si>
  <si>
    <t>Libros, audio, suscripciones</t>
  </si>
  <si>
    <t>2026-08-29T21:05:11.691Z</t>
  </si>
  <si>
    <t>2026-08-29T21:17:16.783Z</t>
  </si>
  <si>
    <t>Sophie</t>
  </si>
  <si>
    <t>2026-08-31T14:32:57.104Z</t>
  </si>
  <si>
    <t>Apoyo joia y cuota Emma</t>
  </si>
  <si>
    <t>2026-08-31T14:51:32.784Z</t>
  </si>
  <si>
    <t>2026-08-31T21:13:00.000Z</t>
  </si>
  <si>
    <t>2026-08-31T21:15:00.000Z</t>
  </si>
  <si>
    <t>2026-08-31T23:59:38.306Z</t>
  </si>
  <si>
    <t>2026-08-31T23:59:54.949Z</t>
  </si>
  <si>
    <t>2026-09-01T04:27:13.348Z</t>
  </si>
  <si>
    <t>2026-09-01T04:27:22.285Z</t>
  </si>
  <si>
    <t>2026-09-01T04:27:40.266Z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</si>
</sst>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$#,##0.00"/>
    <numFmt numFmtId="165" formatCode="d/M/yyyy"/>
    <numFmt numFmtId="166" formatCode="dd/mm/yyyy"/>
    <numFmt numFmtId="167" formatCode="d/m/yyyy"/>
    <numFmt numFmtId="168" formatCode="&quot;$&quot;#,##0.00"/>
    <numFmt numFmtId="169" formatCode="mmm yyyy"/>
    <numFmt numFmtId="170" formatCode="d/mmmm/yyyy"/>
    <numFmt numFmtId="171" formatCode="d/mmm/yyyy"/>
    <numFmt numFmtId="172" formatCode="$#,##0.00;[Red]-$#,##0.00"/>
    <numFmt numFmtId="173" formatCode="mmm/yyyy"/>
    <numFmt numFmtId="174" formatCode="0.0%"/>
    <numFmt numFmtId="175" formatCode="mmmm yyyy"/>
  </numFmts>
  <fonts count="57">
    <font>
      <sz val="10.0"/>
      <color rgb="FF000000"/>
      <name val="Verdana"/>
      <scheme val="minor"/>
    </font>
    <font>
      <b/>
      <sz val="16.0"/>
      <color rgb="FFFFFFFF"/>
      <name val="Verdana"/>
      <scheme val="minor"/>
    </font>
    <font>
      <b/>
      <color theme="1"/>
      <name val="Verdana"/>
      <scheme val="minor"/>
    </font>
    <font>
      <sz val="14.0"/>
      <color rgb="FF351C75"/>
      <name val="Montserrat"/>
    </font>
    <font>
      <sz val="13.0"/>
      <color rgb="FF351C75"/>
      <name val="Montserrat"/>
    </font>
    <font>
      <sz val="13.0"/>
      <color theme="1"/>
      <name val="Montserrat"/>
    </font>
    <font>
      <sz val="13.0"/>
      <color theme="1"/>
      <name val="Verdana"/>
      <scheme val="minor"/>
    </font>
    <font>
      <b/>
      <sz val="16.0"/>
      <color theme="1"/>
      <name val="Montserrat"/>
    </font>
    <font>
      <b/>
      <sz val="13.0"/>
      <color theme="1"/>
      <name val="Montserrat"/>
    </font>
    <font>
      <b/>
      <sz val="13.0"/>
      <color rgb="FF351C75"/>
      <name val="Montserrat"/>
    </font>
    <font>
      <color theme="1"/>
      <name val="Verdana"/>
      <scheme val="minor"/>
    </font>
    <font/>
    <font>
      <sz val="12.0"/>
      <color rgb="FFFFFFFF"/>
      <name val="Verdana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sz val="13.0"/>
      <color rgb="FFFFFFFF"/>
      <name val="Verdana"/>
      <scheme val="minor"/>
    </font>
    <font>
      <b/>
      <color rgb="FFFFFFFF"/>
      <name val="Verdana"/>
      <scheme val="minor"/>
    </font>
    <font>
      <b/>
      <sz val="14.0"/>
      <color theme="1"/>
      <name val="Montserrat"/>
    </font>
    <font>
      <b/>
      <sz val="14.0"/>
      <color rgb="FFFFFFFF"/>
      <name val="Verdana"/>
      <scheme val="minor"/>
    </font>
    <font>
      <b/>
      <sz val="13.0"/>
      <color rgb="FFFFFFFF"/>
      <name val="Montserrat"/>
    </font>
    <font>
      <b/>
      <sz val="14.0"/>
      <color rgb="FFFFFFFF"/>
      <name val="Roboto"/>
    </font>
    <font>
      <b/>
      <sz val="13.0"/>
      <color rgb="FFFFFFFF"/>
      <name val="Roboto"/>
    </font>
    <font>
      <b/>
      <sz val="13.0"/>
      <color rgb="FF351C75"/>
      <name val="Roboto"/>
    </font>
    <font>
      <b/>
      <sz val="12.0"/>
      <color rgb="FF000000"/>
      <name val="Verdana"/>
      <scheme val="minor"/>
    </font>
    <font>
      <b/>
      <color rgb="FF000000"/>
      <name val="Verdana"/>
      <scheme val="minor"/>
    </font>
    <font>
      <b/>
      <sz val="13.0"/>
      <color rgb="FF351C75"/>
      <name val="Verdana"/>
      <scheme val="minor"/>
    </font>
    <font>
      <b/>
      <sz val="13.0"/>
      <color rgb="FF5B3F86"/>
      <name val="Verdana"/>
      <scheme val="minor"/>
    </font>
    <font>
      <i/>
      <color theme="1"/>
      <name val="Verdana"/>
      <scheme val="minor"/>
    </font>
    <font>
      <b/>
      <color rgb="FF5B3F86"/>
      <name val="Verdana"/>
      <scheme val="minor"/>
    </font>
    <font>
      <u/>
      <sz val="11.0"/>
      <color rgb="FF0000FF"/>
      <name val="&quot;Aptos Narrow&quot;"/>
    </font>
    <font>
      <sz val="13.0"/>
      <color rgb="FF351C75"/>
      <name val="Verdana"/>
      <scheme val="minor"/>
    </font>
    <font>
      <b/>
      <sz val="14.0"/>
      <color rgb="FF5B3F86"/>
      <name val="Roboto"/>
    </font>
    <font>
      <b/>
      <sz val="13.0"/>
      <color rgb="FF5B3F86"/>
      <name val="Roboto"/>
    </font>
    <font>
      <b/>
      <sz val="12.0"/>
      <color theme="1"/>
      <name val="Verdana"/>
      <scheme val="minor"/>
    </font>
    <font>
      <sz val="12.0"/>
      <color theme="1"/>
      <name val="Verdana"/>
      <scheme val="minor"/>
    </font>
    <font>
      <b/>
      <sz val="11.0"/>
      <color theme="1"/>
      <name val="Verdana"/>
      <scheme val="minor"/>
    </font>
    <font>
      <b/>
      <sz val="14.0"/>
      <color rgb="FF5B3F86"/>
      <name val="Verdana"/>
    </font>
    <font>
      <b/>
      <sz val="13.0"/>
      <color rgb="FF5B3F86"/>
      <name val="Verdana"/>
    </font>
    <font>
      <sz val="11.0"/>
      <color theme="1"/>
      <name val="Arial"/>
    </font>
    <font>
      <sz val="11.0"/>
      <color rgb="FF000000"/>
      <name val="Aptos Narrow"/>
    </font>
    <font>
      <color theme="1"/>
      <name val="Verdana"/>
    </font>
    <font>
      <b/>
      <sz val="18.0"/>
      <color rgb="FFFFFFFF"/>
      <name val="Verdana"/>
      <scheme val="minor"/>
    </font>
    <font>
      <i/>
      <sz val="9.0"/>
      <color rgb="FF5A2C3E"/>
      <name val="Verdana"/>
      <scheme val="minor"/>
    </font>
    <font>
      <b/>
      <sz val="10.0"/>
      <color rgb="FFFFFFFF"/>
      <name val="Verdana"/>
      <scheme val="minor"/>
    </font>
    <font>
      <sz val="11.0"/>
      <color theme="1"/>
      <name val="Verdana"/>
      <scheme val="minor"/>
    </font>
    <font>
      <b/>
      <sz val="15.0"/>
      <color rgb="FFFFFFFF"/>
      <name val="Verdana"/>
      <scheme val="minor"/>
    </font>
    <font>
      <b/>
      <sz val="11.0"/>
      <color rgb="FF000000"/>
      <name val="Verdana"/>
      <scheme val="minor"/>
    </font>
    <font>
      <sz val="11.0"/>
      <color rgb="FF11734B"/>
      <name val="Arial"/>
    </font>
    <font>
      <b/>
      <sz val="11.0"/>
      <color rgb="FFFFFFFF"/>
      <name val="Verdana"/>
      <scheme val="minor"/>
    </font>
    <font>
      <b/>
      <color rgb="FF263317"/>
      <name val="Verdana"/>
      <scheme val="minor"/>
    </font>
    <font>
      <b/>
      <color rgb="FF1E4F3D"/>
      <name val="Verdana"/>
      <scheme val="minor"/>
    </font>
    <font>
      <b/>
      <sz val="11.0"/>
      <color rgb="FF1E4F3D"/>
      <name val="Verdana"/>
      <scheme val="minor"/>
    </font>
    <font>
      <i/>
      <sz val="9.0"/>
      <color rgb="FF604C1E"/>
      <name val="Verdana"/>
      <scheme val="minor"/>
    </font>
    <font>
      <i/>
      <color rgb="FF863F5B"/>
      <name val="Verdana"/>
      <scheme val="minor"/>
    </font>
    <font>
      <b/>
      <color rgb="FF863F5B"/>
      <name val="Verdana"/>
      <scheme val="minor"/>
    </font>
    <font>
      <b/>
      <color rgb="FF173326"/>
      <name val="Verdana"/>
      <scheme val="minor"/>
    </font>
    <font>
      <i/>
      <color rgb="FF5B3F86"/>
      <name val="Verdana"/>
      <scheme val="minor"/>
    </font>
  </fonts>
  <fills count="44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4D1"/>
        <bgColor rgb="FFFFF4D1"/>
      </patternFill>
    </fill>
    <fill>
      <patternFill patternType="solid">
        <fgColor rgb="FF351C75"/>
        <bgColor rgb="FF351C75"/>
      </patternFill>
    </fill>
    <fill>
      <patternFill patternType="solid">
        <fgColor rgb="FFF2EDF7"/>
        <bgColor rgb="FFF2EDF7"/>
      </patternFill>
    </fill>
    <fill>
      <patternFill patternType="solid">
        <fgColor rgb="FFB4A7D6"/>
        <bgColor rgb="FFB4A7D6"/>
      </patternFill>
    </fill>
    <fill>
      <patternFill patternType="solid">
        <fgColor rgb="FF7F60A8"/>
        <bgColor rgb="FF7F60A8"/>
      </patternFill>
    </fill>
    <fill>
      <patternFill patternType="solid">
        <fgColor rgb="FFE0D6E8"/>
        <bgColor rgb="FFE0D6E8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7EDF2"/>
        <bgColor rgb="FFF7EDF2"/>
      </patternFill>
    </fill>
    <fill>
      <patternFill patternType="solid">
        <fgColor rgb="FF356854"/>
        <bgColor rgb="FF356854"/>
      </patternFill>
    </fill>
    <fill>
      <patternFill patternType="solid">
        <fgColor rgb="FF536734"/>
        <bgColor rgb="FF536734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863F5B"/>
        <bgColor rgb="FF863F5B"/>
      </patternFill>
    </fill>
    <fill>
      <patternFill patternType="solid">
        <fgColor rgb="FFF4E8EC"/>
        <bgColor rgb="FFF4E8EC"/>
      </patternFill>
    </fill>
    <fill>
      <patternFill patternType="solid">
        <fgColor rgb="FF174EA6"/>
        <bgColor rgb="FF174EA6"/>
      </patternFill>
    </fill>
    <fill>
      <patternFill patternType="solid">
        <fgColor rgb="FF7B1FA2"/>
        <bgColor rgb="FF7B1FA2"/>
      </patternFill>
    </fill>
    <fill>
      <patternFill patternType="solid">
        <fgColor rgb="FF546835"/>
        <bgColor rgb="FF546835"/>
      </patternFill>
    </fill>
    <fill>
      <patternFill patternType="solid">
        <fgColor rgb="FFF9AB00"/>
        <bgColor rgb="FFF9AB00"/>
      </patternFill>
    </fill>
    <fill>
      <patternFill patternType="solid">
        <fgColor rgb="FF188038"/>
        <bgColor rgb="FF188038"/>
      </patternFill>
    </fill>
    <fill>
      <patternFill patternType="solid">
        <fgColor rgb="FFD93025"/>
        <bgColor rgb="FFD93025"/>
      </patternFill>
    </fill>
    <fill>
      <patternFill patternType="solid">
        <fgColor rgb="FF00897B"/>
        <bgColor rgb="FF00897B"/>
      </patternFill>
    </fill>
    <fill>
      <patternFill patternType="solid">
        <fgColor rgb="FF5F6368"/>
        <bgColor rgb="FF5F6368"/>
      </patternFill>
    </fill>
    <fill>
      <patternFill patternType="solid">
        <fgColor rgb="FFA142F4"/>
        <bgColor rgb="FFA142F4"/>
      </patternFill>
    </fill>
    <fill>
      <patternFill patternType="solid">
        <fgColor rgb="FF3C4043"/>
        <bgColor rgb="FF3C404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5EFEA"/>
        <bgColor rgb="FFE5EFEA"/>
      </patternFill>
    </fill>
    <fill>
      <patternFill patternType="solid">
        <fgColor rgb="FFD9E2C3"/>
        <bgColor rgb="FFD9E2C3"/>
      </patternFill>
    </fill>
    <fill>
      <patternFill patternType="solid">
        <fgColor rgb="FF346753"/>
        <bgColor rgb="FF346753"/>
      </patternFill>
    </fill>
    <fill>
      <patternFill patternType="solid">
        <fgColor rgb="FFC2E2D9"/>
        <bgColor rgb="FFC2E2D9"/>
      </patternFill>
    </fill>
    <fill>
      <patternFill patternType="solid">
        <fgColor rgb="FFF4F9F7"/>
        <bgColor rgb="FFF4F9F7"/>
      </patternFill>
    </fill>
    <fill>
      <patternFill patternType="solid">
        <fgColor rgb="FFF8F4F5"/>
        <bgColor rgb="FFF8F4F5"/>
      </patternFill>
    </fill>
    <fill>
      <patternFill patternType="solid">
        <fgColor rgb="FFC3E2D9"/>
        <bgColor rgb="FFC3E2D9"/>
      </patternFill>
    </fill>
    <fill>
      <patternFill patternType="solid">
        <fgColor rgb="FFEFEFEF"/>
        <bgColor rgb="FFEFEFEF"/>
      </patternFill>
    </fill>
    <fill>
      <patternFill patternType="solid">
        <fgColor rgb="FFF7F3F4"/>
        <bgColor rgb="FFF7F3F4"/>
      </patternFill>
    </fill>
  </fills>
  <borders count="32">
    <border/>
    <border>
      <left style="thin">
        <color rgb="FFCCC1D6"/>
      </left>
      <right style="thin">
        <color rgb="FFCCC1D6"/>
      </right>
      <top style="thin">
        <color rgb="FFCCC1D6"/>
      </top>
      <bottom style="thin">
        <color rgb="FFCCC1D6"/>
      </bottom>
    </border>
    <border>
      <left style="thin">
        <color rgb="FF674EA7"/>
      </left>
      <top style="thin">
        <color rgb="FF674EA7"/>
      </top>
      <bottom style="thin">
        <color rgb="FF674EA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674EA7"/>
      </top>
      <bottom style="thin">
        <color rgb="FF674EA7"/>
      </bottom>
    </border>
    <border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442F65"/>
      </right>
      <top style="thin">
        <color rgb="FFD9D2E9"/>
      </top>
      <bottom style="thin">
        <color rgb="FFD9D2E9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8EB2A3"/>
      </left>
      <top style="thin">
        <color rgb="FF8EB2A3"/>
      </top>
      <bottom style="thin">
        <color rgb="FFD1E0D8"/>
      </bottom>
    </border>
    <border>
      <top style="thin">
        <color rgb="FF8EB2A3"/>
      </top>
      <bottom style="thin">
        <color rgb="FFD1E0D8"/>
      </bottom>
    </border>
    <border>
      <right style="thin">
        <color rgb="FF8EB2A3"/>
      </right>
      <top style="thin">
        <color rgb="FF8EB2A3"/>
      </top>
      <bottom style="thin">
        <color rgb="FFD1E0D8"/>
      </bottom>
    </border>
    <border>
      <left style="thin">
        <color rgb="FF8EB2A3"/>
      </left>
      <top style="thin">
        <color rgb="FFD1E0D8"/>
      </top>
      <bottom style="thin">
        <color rgb="FFD1E0D8"/>
      </bottom>
    </border>
    <border>
      <top style="thin">
        <color rgb="FFD1E0D8"/>
      </top>
      <bottom style="thin">
        <color rgb="FFD1E0D8"/>
      </bottom>
    </border>
    <border>
      <right style="thin">
        <color rgb="FF8EB2A3"/>
      </right>
      <top style="thin">
        <color rgb="FFD1E0D8"/>
      </top>
      <bottom style="thin">
        <color rgb="FFD1E0D8"/>
      </bottom>
    </border>
    <border>
      <left style="thin">
        <color rgb="FF8EB2A3"/>
      </left>
      <top style="thin">
        <color rgb="FFD1E0D8"/>
      </top>
    </border>
    <border>
      <top style="thin">
        <color rgb="FFD1E0D8"/>
      </top>
    </border>
    <border>
      <right style="thin">
        <color rgb="FF8EB2A3"/>
      </right>
      <top style="thin">
        <color rgb="FFD1E0D8"/>
      </top>
    </border>
    <border>
      <left style="thin">
        <color rgb="FF8EB2A3"/>
      </left>
      <bottom style="thin">
        <color rgb="FF8EB2A3"/>
      </bottom>
    </border>
    <border>
      <bottom style="thin">
        <color rgb="FF8EB2A3"/>
      </bottom>
    </border>
    <border>
      <right style="thin">
        <color rgb="FF8EB2A3"/>
      </right>
      <bottom style="thin">
        <color rgb="FF8EB2A3"/>
      </bottom>
    </border>
    <border>
      <top style="thin">
        <color rgb="FFDBDBDB"/>
      </top>
      <bottom style="thin">
        <color rgb="FFDBDBDB"/>
      </bottom>
    </border>
    <border>
      <bottom style="thin">
        <color rgb="FFDBDBDB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95A1B3"/>
      </bottom>
    </border>
  </borders>
  <cellStyleXfs count="1">
    <xf borderId="0" fillId="0" fontId="0" numFmtId="0" applyAlignment="1" applyFont="1"/>
  </cellStyleXfs>
  <cellXfs count="4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vertical="center"/>
    </xf>
    <xf borderId="0" fillId="4" fontId="3" numFmtId="0" xfId="0" applyAlignment="1" applyFill="1" applyFont="1">
      <alignment readingOrder="0"/>
    </xf>
    <xf borderId="0" fillId="3" fontId="2" numFmtId="0" xfId="0" applyAlignment="1" applyFill="1" applyFont="1">
      <alignment readingOrder="0" vertical="center"/>
    </xf>
    <xf borderId="0" fillId="4" fontId="4" numFmtId="0" xfId="0" applyAlignment="1" applyFill="1" applyFont="1">
      <alignment readingOrder="0"/>
    </xf>
    <xf borderId="0" fillId="0" fontId="5" numFmtId="0" xfId="0" applyFont="1"/>
    <xf borderId="0" fillId="0" fontId="6" numFmtId="0" xfId="0" applyAlignment="1" applyFont="1">
      <alignment horizontal="center" readingOrder="0" vertical="center"/>
    </xf>
    <xf borderId="0" fillId="0" fontId="6" numFmtId="0" xfId="0" applyFont="1"/>
    <xf borderId="0" fillId="0" fontId="6" numFmtId="0" xfId="0" applyAlignment="1" applyFont="1">
      <alignment readingOrder="0"/>
    </xf>
    <xf borderId="1" fillId="5" fontId="2" numFmtId="0" xfId="0" applyAlignment="1" applyBorder="1" applyFill="1" applyFont="1">
      <alignment readingOrder="0" shrinkToFit="0" vertical="center" wrapText="1"/>
    </xf>
    <xf borderId="0" fillId="0" fontId="7" numFmtId="0" xfId="0" applyAlignment="1" applyFont="1">
      <alignment horizontal="center"/>
    </xf>
    <xf borderId="1" fillId="5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horizontal="right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1" fillId="5" fontId="2" numFmtId="164" xfId="0" applyAlignment="1" applyBorder="1" applyFill="1" applyFont="1" applyNumberFormat="1">
      <alignment shrinkToFit="0" vertical="center" wrapText="1"/>
    </xf>
    <xf borderId="0" fillId="0" fontId="5" numFmtId="165" xfId="0" applyAlignment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left" readingOrder="0" shrinkToFit="0" vertical="center" wrapText="1"/>
    </xf>
    <xf borderId="0" fillId="0" fontId="6" numFmtId="166" xfId="0" applyAlignment="1" applyFont="1" applyNumberFormat="1">
      <alignment readingOrder="0"/>
    </xf>
    <xf borderId="0" fillId="6" fontId="7" numFmtId="0" xfId="0" applyAlignment="1" applyFill="1" applyFont="1">
      <alignment horizontal="center" readingOrder="0"/>
    </xf>
    <xf borderId="0" fillId="6" fontId="7" numFmtId="0" xfId="0" applyFill="1" applyFont="1"/>
    <xf borderId="0" fillId="6" fontId="7" numFmtId="0" xfId="0" applyAlignment="1" applyFill="1" applyFont="1">
      <alignment readingOrder="0"/>
    </xf>
    <xf borderId="0" fillId="0" fontId="10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shrinkToFit="0" vertical="center" wrapText="1"/>
    </xf>
    <xf borderId="2" fillId="0" fontId="8" numFmtId="165" xfId="0" applyBorder="1" applyFont="1" applyNumberFormat="1"/>
    <xf borderId="3" fillId="4" fontId="12" numFmtId="0" xfId="0" applyAlignment="1" applyBorder="1" applyFill="1" applyFont="1">
      <alignment horizontal="left" readingOrder="0" shrinkToFit="0" vertical="center" wrapText="1"/>
    </xf>
    <xf borderId="4" fillId="0" fontId="11" numFmtId="0" xfId="0" applyBorder="1" applyFont="1"/>
    <xf borderId="0" fillId="0" fontId="13" numFmtId="0" xfId="0" applyAlignment="1" applyFont="1">
      <alignment readingOrder="0" shrinkToFit="0" vertical="bottom" wrapText="0"/>
    </xf>
    <xf borderId="5" fillId="0" fontId="11" numFmtId="0" xfId="0" applyBorder="1" applyFont="1"/>
    <xf borderId="6" fillId="0" fontId="8" numFmtId="0" xfId="0" applyAlignment="1" applyBorder="1" applyFont="1">
      <alignment readingOrder="0"/>
    </xf>
    <xf borderId="0" fillId="0" fontId="14" numFmtId="0" xfId="0" applyAlignment="1" applyFont="1">
      <alignment readingOrder="0" shrinkToFit="0" vertical="bottom" wrapText="0"/>
    </xf>
    <xf borderId="1" fillId="5" fontId="2" numFmtId="164" xfId="0" applyAlignment="1" applyBorder="1" applyFill="1" applyFont="1" applyNumberFormat="1">
      <alignment readingOrder="0" shrinkToFit="0" vertical="center" wrapText="1"/>
    </xf>
    <xf borderId="0" fillId="0" fontId="13" numFmtId="167" xfId="0" applyAlignment="1" applyFont="1" applyNumberFormat="1">
      <alignment horizontal="right" readingOrder="0" shrinkToFit="0" vertical="bottom" wrapText="0"/>
    </xf>
    <xf borderId="3" fillId="4" fontId="15" numFmtId="0" xfId="0" applyAlignment="1" applyBorder="1" applyFill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vertical="bottom" wrapText="0"/>
    </xf>
    <xf borderId="0" fillId="7" fontId="16" numFmtId="0" xfId="0" applyAlignment="1" applyFill="1" applyFont="1">
      <alignment horizontal="center"/>
    </xf>
    <xf borderId="0" fillId="0" fontId="13" numFmtId="0" xfId="0" applyAlignment="1" applyFont="1">
      <alignment horizontal="right" readingOrder="0" shrinkToFit="0" vertical="bottom" wrapText="0"/>
    </xf>
    <xf borderId="0" fillId="8" fontId="2" numFmtId="0" xfId="0" applyAlignment="1" applyFill="1" applyFont="1">
      <alignment shrinkToFit="0" wrapText="1"/>
    </xf>
    <xf borderId="3" fillId="4" fontId="15" numFmtId="49" xfId="0" applyAlignment="1" applyBorder="1" applyFill="1" applyFont="1" applyNumberFormat="1">
      <alignment horizontal="left" readingOrder="0" shrinkToFit="0" vertical="center" wrapText="0"/>
    </xf>
    <xf borderId="6" fillId="0" fontId="8" numFmtId="168" xfId="0" applyBorder="1" applyFont="1" applyNumberFormat="1"/>
    <xf borderId="0" fillId="8" fontId="2" numFmtId="0" xfId="0" applyAlignment="1" applyFill="1" applyFont="1">
      <alignment readingOrder="0" shrinkToFit="0" wrapText="1"/>
    </xf>
    <xf borderId="0" fillId="0" fontId="13" numFmtId="165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2" fillId="0" fontId="17" numFmtId="0" xfId="0" applyAlignment="1" applyBorder="1" applyFont="1">
      <alignment readingOrder="0"/>
    </xf>
    <xf borderId="3" fillId="4" fontId="18" numFmtId="0" xfId="0" applyAlignment="1" applyBorder="1" applyFill="1" applyFont="1">
      <alignment horizontal="left" readingOrder="0" shrinkToFit="0" vertical="center" wrapText="1"/>
    </xf>
    <xf borderId="0" fillId="0" fontId="10" numFmtId="169" xfId="0" applyAlignment="1" applyFont="1" applyNumberFormat="1">
      <alignment readingOrder="0" shrinkToFit="0" vertical="center" wrapText="1"/>
    </xf>
    <xf borderId="0" fillId="0" fontId="10" numFmtId="0" xfId="0" applyFont="1"/>
    <xf borderId="6" fillId="0" fontId="8" numFmtId="168" xfId="0" applyAlignment="1" applyBorder="1" applyFont="1" applyNumberFormat="1">
      <alignment readingOrder="0"/>
    </xf>
    <xf borderId="2" fillId="0" fontId="5" numFmtId="0" xfId="0" applyAlignment="1" applyBorder="1" applyFont="1">
      <alignment readingOrder="0"/>
    </xf>
    <xf borderId="6" fillId="0" fontId="5" numFmtId="0" xfId="0" applyBorder="1" applyFont="1"/>
    <xf borderId="6" fillId="0" fontId="5" numFmtId="168" xfId="0" applyAlignment="1" applyBorder="1" applyFont="1" applyNumberFormat="1">
      <alignment readingOrder="0"/>
    </xf>
    <xf borderId="0" fillId="9" fontId="19" numFmtId="0" xfId="0" applyAlignment="1" applyFill="1" applyFont="1">
      <alignment readingOrder="0"/>
    </xf>
    <xf borderId="6" fillId="9" fontId="19" numFmtId="168" xfId="0" applyBorder="1" applyFill="1" applyFont="1" applyNumberFormat="1"/>
    <xf borderId="0" fillId="0" fontId="14" numFmtId="165" xfId="0" applyAlignment="1" applyFont="1" applyNumberFormat="1">
      <alignment readingOrder="0" shrinkToFit="0" vertical="bottom" wrapText="0"/>
    </xf>
    <xf borderId="3" fillId="4" fontId="18" numFmtId="0" xfId="0" applyAlignment="1" applyBorder="1" applyFill="1" applyFont="1">
      <alignment horizontal="left" readingOrder="0" shrinkToFit="0" vertical="center" wrapText="0"/>
    </xf>
    <xf borderId="3" fillId="4" fontId="18" numFmtId="168" xfId="0" applyAlignment="1" applyBorder="1" applyFill="1" applyFont="1" applyNumberFormat="1">
      <alignment horizontal="left" readingOrder="0" shrinkToFit="0" vertical="center" wrapText="1"/>
    </xf>
    <xf borderId="0" fillId="0" fontId="14" numFmtId="49" xfId="0" applyAlignment="1" applyFont="1" applyNumberFormat="1">
      <alignment readingOrder="0" shrinkToFit="0" vertical="bottom" wrapText="0"/>
    </xf>
    <xf borderId="0" fillId="0" fontId="10" numFmtId="164" xfId="0" applyFont="1" applyNumberFormat="1"/>
    <xf borderId="0" fillId="0" fontId="14" numFmtId="167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3" numFmtId="167" xfId="0" applyAlignment="1" applyFont="1" applyNumberFormat="1">
      <alignment horizontal="right" readingOrder="0" shrinkToFit="0" vertical="center" wrapText="1"/>
    </xf>
    <xf borderId="0" fillId="0" fontId="13" numFmtId="0" xfId="0" applyAlignment="1" applyFont="1">
      <alignment horizontal="right" readingOrder="0" shrinkToFit="0" vertical="center" wrapText="1"/>
    </xf>
    <xf borderId="0" fillId="0" fontId="13" numFmtId="165" xfId="0" applyAlignment="1" applyFont="1" applyNumberFormat="1">
      <alignment readingOrder="0" shrinkToFit="0" vertical="center" wrapText="1"/>
    </xf>
    <xf borderId="3" fillId="4" fontId="20" numFmtId="0" xfId="0" applyAlignment="1" applyBorder="1" applyFill="1" applyFont="1">
      <alignment horizontal="left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3" fillId="4" fontId="21" numFmtId="0" xfId="0" applyAlignment="1" applyBorder="1" applyFill="1" applyFont="1">
      <alignment horizontal="left" readingOrder="0" shrinkToFit="0" vertical="center" wrapText="1"/>
    </xf>
    <xf borderId="3" fillId="10" fontId="22" numFmtId="49" xfId="0" applyAlignment="1" applyBorder="1" applyFill="1" applyFont="1" applyNumberFormat="1">
      <alignment horizontal="right" readingOrder="0" shrinkToFit="0" vertical="center" wrapText="0"/>
    </xf>
    <xf borderId="0" fillId="0" fontId="13" numFmtId="166" xfId="0" applyAlignment="1" applyFont="1" applyNumberFormat="1">
      <alignment horizontal="right" readingOrder="0" shrinkToFit="0" vertical="bottom" wrapText="0"/>
    </xf>
    <xf borderId="0" fillId="0" fontId="13" numFmtId="166" xfId="0" applyAlignment="1" applyFont="1" applyNumberFormat="1">
      <alignment horizontal="right" readingOrder="0" shrinkToFit="0" vertical="center" wrapText="1"/>
    </xf>
    <xf borderId="3" fillId="4" fontId="15" numFmtId="0" xfId="0" applyAlignment="1" applyBorder="1" applyFill="1" applyFont="1">
      <alignment horizontal="left" readingOrder="0" shrinkToFit="0" vertical="center" wrapText="0"/>
    </xf>
    <xf borderId="3" fillId="4" fontId="15" numFmtId="0" xfId="0" applyAlignment="1" applyBorder="1" applyFill="1" applyFont="1">
      <alignment horizontal="left" readingOrder="0" shrinkToFit="0" vertical="center" wrapText="0"/>
    </xf>
    <xf borderId="0" fillId="0" fontId="10" numFmtId="169" xfId="0" applyFont="1" applyNumberFormat="1"/>
    <xf borderId="3" fillId="4" fontId="15" numFmtId="0" xfId="0" applyBorder="1" applyFill="1" applyFont="1"/>
    <xf borderId="0" fillId="0" fontId="10" numFmtId="169" xfId="0" applyAlignment="1" applyFont="1" applyNumberFormat="1">
      <alignment readingOrder="0" shrinkToFit="0" vertical="center" wrapText="0"/>
    </xf>
    <xf borderId="3" fillId="11" fontId="23" numFmtId="49" xfId="0" applyAlignment="1" applyBorder="1" applyFill="1" applyFont="1" applyNumberFormat="1">
      <alignment shrinkToFit="0" vertical="center" wrapText="0"/>
    </xf>
    <xf borderId="3" fillId="11" fontId="24" numFmtId="165" xfId="0" applyAlignment="1" applyBorder="1" applyFill="1" applyFont="1" applyNumberFormat="1">
      <alignment shrinkToFit="0" vertical="center" wrapText="0"/>
    </xf>
    <xf borderId="3" fillId="11" fontId="24" numFmtId="49" xfId="0" applyAlignment="1" applyBorder="1" applyFill="1" applyFont="1" applyNumberFormat="1">
      <alignment readingOrder="0" shrinkToFit="0" vertical="center" wrapText="0"/>
    </xf>
    <xf borderId="3" fillId="0" fontId="25" numFmtId="165" xfId="0" applyAlignment="1" applyBorder="1" applyFont="1" applyNumberFormat="1">
      <alignment readingOrder="0" shrinkToFit="0" vertical="center" wrapText="0"/>
    </xf>
    <xf borderId="3" fillId="0" fontId="25" numFmtId="168" xfId="0" applyAlignment="1" applyBorder="1" applyFont="1" applyNumberFormat="1">
      <alignment readingOrder="0" shrinkToFit="0" vertical="center" wrapText="0"/>
    </xf>
    <xf borderId="3" fillId="0" fontId="26" numFmtId="165" xfId="0" applyAlignment="1" applyBorder="1" applyFont="1" applyNumberFormat="1">
      <alignment readingOrder="0" shrinkToFit="0" vertical="center" wrapText="0"/>
    </xf>
    <xf borderId="0" fillId="2" fontId="18" numFmtId="0" xfId="0" applyAlignment="1" applyFill="1" applyFont="1">
      <alignment horizontal="center" vertical="center"/>
    </xf>
    <xf borderId="0" fillId="5" fontId="27" numFmtId="0" xfId="0" applyAlignment="1" applyFill="1" applyFont="1">
      <alignment readingOrder="0" shrinkToFit="0" wrapText="1"/>
    </xf>
    <xf borderId="0" fillId="12" fontId="28" numFmtId="0" xfId="0" applyAlignment="1" applyFill="1" applyFont="1">
      <alignment horizontal="center" readingOrder="0" vertical="center"/>
    </xf>
    <xf borderId="0" fillId="12" fontId="28" numFmtId="0" xfId="0" applyAlignment="1" applyFill="1" applyFont="1">
      <alignment horizontal="center" readingOrder="0" vertical="center"/>
    </xf>
    <xf borderId="0" fillId="0" fontId="29" numFmtId="0" xfId="0" applyAlignment="1" applyFont="1">
      <alignment readingOrder="0" shrinkToFit="0" vertical="center" wrapText="1"/>
    </xf>
    <xf borderId="3" fillId="0" fontId="26" numFmtId="168" xfId="0" applyAlignment="1" applyBorder="1" applyFont="1" applyNumberFormat="1">
      <alignment readingOrder="0" shrinkToFit="0" vertical="center" wrapText="0"/>
    </xf>
    <xf borderId="0" fillId="0" fontId="13" numFmtId="0" xfId="0" applyAlignment="1" applyFont="1">
      <alignment horizontal="right" shrinkToFit="0" vertical="center" wrapText="1"/>
    </xf>
    <xf borderId="3" fillId="0" fontId="26" numFmtId="0" xfId="0" applyAlignment="1" applyBorder="1" applyFont="1">
      <alignment readingOrder="0" shrinkToFit="0" vertical="center" wrapText="0"/>
    </xf>
    <xf borderId="0" fillId="13" fontId="10" numFmtId="0" xfId="0" applyAlignment="1" applyFill="1" applyFont="1">
      <alignment readingOrder="0"/>
    </xf>
    <xf borderId="0" fillId="14" fontId="16" numFmtId="0" xfId="0" applyAlignment="1" applyFill="1" applyFont="1">
      <alignment horizontal="center"/>
    </xf>
    <xf borderId="0" fillId="10" fontId="10" numFmtId="166" xfId="0" applyAlignment="1" applyFill="1" applyFont="1" applyNumberFormat="1">
      <alignment readingOrder="0"/>
    </xf>
    <xf borderId="0" fillId="10" fontId="10" numFmtId="0" xfId="0" applyFill="1" applyFont="1"/>
    <xf borderId="0" fillId="10" fontId="10" numFmtId="0" xfId="0" applyAlignment="1" applyFill="1" applyFont="1">
      <alignment readingOrder="0"/>
    </xf>
    <xf borderId="3" fillId="0" fontId="25" numFmtId="0" xfId="0" applyAlignment="1" applyBorder="1" applyFont="1">
      <alignment readingOrder="0" shrinkToFit="0" vertical="center" wrapText="0"/>
    </xf>
    <xf borderId="0" fillId="10" fontId="10" numFmtId="0" xfId="0" applyAlignment="1" applyFill="1" applyFont="1">
      <alignment readingOrder="0"/>
    </xf>
    <xf borderId="0" fillId="15" fontId="13" numFmtId="169" xfId="0" applyAlignment="1" applyFill="1" applyFont="1" applyNumberFormat="1">
      <alignment readingOrder="0" shrinkToFit="0" vertical="center" wrapText="1"/>
    </xf>
    <xf borderId="0" fillId="10" fontId="10" numFmtId="164" xfId="0" applyAlignment="1" applyFill="1" applyFont="1" applyNumberFormat="1">
      <alignment readingOrder="0"/>
    </xf>
    <xf borderId="0" fillId="15" fontId="13" numFmtId="0" xfId="0" applyAlignment="1" applyFill="1" applyFont="1">
      <alignment readingOrder="0" shrinkToFit="0" vertical="center" wrapText="1"/>
    </xf>
    <xf borderId="3" fillId="0" fontId="25" numFmtId="0" xfId="0" applyAlignment="1" applyBorder="1" applyFont="1">
      <alignment readingOrder="0" shrinkToFit="0" vertical="center" wrapText="0"/>
    </xf>
    <xf borderId="3" fillId="0" fontId="30" numFmtId="165" xfId="0" applyAlignment="1" applyBorder="1" applyFont="1" applyNumberFormat="1">
      <alignment readingOrder="0" shrinkToFit="0" vertical="center" wrapText="0"/>
    </xf>
    <xf borderId="0" fillId="0" fontId="14" numFmtId="167" xfId="0" applyAlignment="1" applyFont="1" applyNumberFormat="1">
      <alignment horizontal="right" readingOrder="0" shrinkToFit="0" vertical="center" wrapText="1"/>
    </xf>
    <xf borderId="0" fillId="16" fontId="10" numFmtId="166" xfId="0" applyAlignment="1" applyFill="1" applyFont="1" applyNumberFormat="1">
      <alignment readingOrder="0"/>
    </xf>
    <xf borderId="0" fillId="16" fontId="10" numFmtId="0" xfId="0" applyFill="1" applyFont="1"/>
    <xf borderId="0" fillId="16" fontId="10" numFmtId="0" xfId="0" applyAlignment="1" applyFill="1" applyFont="1">
      <alignment readingOrder="0"/>
    </xf>
    <xf borderId="0" fillId="16" fontId="10" numFmtId="164" xfId="0" applyAlignment="1" applyFill="1" applyFont="1" applyNumberFormat="1">
      <alignment readingOrder="0"/>
    </xf>
    <xf borderId="3" fillId="0" fontId="25" numFmtId="168" xfId="0" applyAlignment="1" applyBorder="1" applyFont="1" applyNumberFormat="1">
      <alignment shrinkToFit="0" vertical="center" wrapText="0"/>
    </xf>
    <xf borderId="3" fillId="10" fontId="31" numFmtId="165" xfId="0" applyAlignment="1" applyBorder="1" applyFill="1" applyFont="1" applyNumberFormat="1">
      <alignment readingOrder="0" shrinkToFit="0" vertical="center" wrapText="0"/>
    </xf>
    <xf borderId="0" fillId="16" fontId="10" numFmtId="0" xfId="0" applyAlignment="1" applyFill="1" applyFont="1">
      <alignment readingOrder="0"/>
    </xf>
    <xf borderId="3" fillId="10" fontId="22" numFmtId="168" xfId="0" applyAlignment="1" applyBorder="1" applyFill="1" applyFont="1" applyNumberFormat="1">
      <alignment horizontal="right" shrinkToFit="0" vertical="center" wrapText="0"/>
    </xf>
    <xf borderId="3" fillId="10" fontId="32" numFmtId="49" xfId="0" applyAlignment="1" applyBorder="1" applyFill="1" applyFont="1" applyNumberFormat="1">
      <alignment readingOrder="0" shrinkToFit="0" vertical="center" wrapText="0"/>
    </xf>
    <xf borderId="3" fillId="10" fontId="22" numFmtId="168" xfId="0" applyAlignment="1" applyBorder="1" applyFill="1" applyFont="1" applyNumberFormat="1">
      <alignment shrinkToFit="0" vertical="center" wrapText="0"/>
    </xf>
    <xf borderId="0" fillId="0" fontId="14" numFmtId="0" xfId="0" applyAlignment="1" applyFont="1">
      <alignment horizontal="right" readingOrder="0" shrinkToFit="0" vertical="bottom" wrapText="0"/>
    </xf>
    <xf borderId="3" fillId="10" fontId="32" numFmtId="0" xfId="0" applyAlignment="1" applyBorder="1" applyFill="1" applyFont="1">
      <alignment readingOrder="0" shrinkToFit="0" vertical="center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3" fillId="10" fontId="32" numFmtId="0" xfId="0" applyAlignment="1" applyBorder="1" applyFill="1" applyFont="1">
      <alignment readingOrder="0" shrinkToFit="0" vertical="center" wrapText="0"/>
    </xf>
    <xf borderId="0" fillId="0" fontId="13" numFmtId="169" xfId="0" applyAlignment="1" applyFont="1" applyNumberFormat="1">
      <alignment horizontal="right" readingOrder="0" shrinkToFit="0" vertical="bottom" wrapText="0"/>
    </xf>
    <xf borderId="0" fillId="0" fontId="13" numFmtId="166" xfId="0" applyAlignment="1" applyFont="1" applyNumberFormat="1">
      <alignment horizontal="right" readingOrder="0" shrinkToFit="0" vertical="bottom" wrapText="0"/>
    </xf>
    <xf borderId="0" fillId="17" fontId="14" numFmtId="49" xfId="0" applyAlignment="1" applyFill="1" applyFont="1" applyNumberFormat="1">
      <alignment readingOrder="0" shrinkToFit="0" vertical="center" wrapText="1"/>
    </xf>
    <xf borderId="0" fillId="17" fontId="14" numFmtId="0" xfId="0" applyAlignment="1" applyFill="1" applyFont="1">
      <alignment readingOrder="0" shrinkToFit="0" vertical="center" wrapText="1"/>
    </xf>
    <xf borderId="3" fillId="0" fontId="33" numFmtId="49" xfId="0" applyAlignment="1" applyBorder="1" applyFont="1" applyNumberFormat="1">
      <alignment readingOrder="0" shrinkToFit="0" vertical="center" wrapText="0"/>
    </xf>
    <xf borderId="0" fillId="17" fontId="14" numFmtId="0" xfId="0" applyAlignment="1" applyFill="1" applyFont="1">
      <alignment readingOrder="0" shrinkToFit="0" vertical="center" wrapText="1"/>
    </xf>
    <xf borderId="0" fillId="17" fontId="14" numFmtId="166" xfId="0" applyAlignment="1" applyFill="1" applyFont="1" applyNumberFormat="1">
      <alignment readingOrder="0" shrinkToFit="0" vertical="center" wrapText="1"/>
    </xf>
    <xf borderId="3" fillId="0" fontId="34" numFmtId="168" xfId="0" applyAlignment="1" applyBorder="1" applyFont="1" applyNumberFormat="1">
      <alignment shrinkToFit="0" vertical="center" wrapText="0"/>
    </xf>
    <xf borderId="0" fillId="17" fontId="14" numFmtId="0" xfId="0" applyAlignment="1" applyFill="1" applyFont="1">
      <alignment horizontal="right" readingOrder="0" shrinkToFit="0" vertical="center" wrapText="1"/>
    </xf>
    <xf borderId="0" fillId="17" fontId="14" numFmtId="165" xfId="0" applyAlignment="1" applyFill="1" applyFont="1" applyNumberFormat="1">
      <alignment readingOrder="0" shrinkToFit="0" vertical="center" wrapText="1"/>
    </xf>
    <xf borderId="3" fillId="18" fontId="35" numFmtId="168" xfId="0" applyAlignment="1" applyBorder="1" applyFill="1" applyFont="1" applyNumberFormat="1">
      <alignment shrinkToFit="0" vertical="center" wrapText="0"/>
    </xf>
    <xf borderId="3" fillId="0" fontId="10" numFmtId="0" xfId="0" applyBorder="1" applyFont="1"/>
    <xf borderId="0" fillId="17" fontId="13" numFmtId="0" xfId="0" applyAlignment="1" applyFill="1" applyFont="1">
      <alignment horizontal="center" readingOrder="0" shrinkToFit="0" vertical="center" wrapText="1"/>
    </xf>
    <xf borderId="3" fillId="0" fontId="10" numFmtId="0" xfId="0" applyAlignment="1" applyBorder="1" applyFont="1">
      <alignment readingOrder="0"/>
    </xf>
    <xf borderId="0" fillId="17" fontId="10" numFmtId="169" xfId="0" applyAlignment="1" applyFill="1" applyFont="1" applyNumberFormat="1">
      <alignment readingOrder="0" shrinkToFit="0" vertical="center" wrapText="1"/>
    </xf>
    <xf borderId="0" fillId="17" fontId="10" numFmtId="0" xfId="0" applyAlignment="1" applyFill="1" applyFont="1">
      <alignment shrinkToFit="0" vertical="center" wrapText="1"/>
    </xf>
    <xf borderId="0" fillId="0" fontId="14" numFmtId="49" xfId="0" applyAlignment="1" applyFont="1" applyNumberFormat="1">
      <alignment readingOrder="0" shrinkToFit="0" vertical="center" wrapText="1"/>
    </xf>
    <xf borderId="0" fillId="0" fontId="14" numFmtId="167" xfId="0" applyAlignment="1" applyFont="1" applyNumberFormat="1">
      <alignment readingOrder="0" shrinkToFit="0" vertical="center" wrapText="1"/>
    </xf>
    <xf borderId="0" fillId="0" fontId="14" numFmtId="0" xfId="0" applyAlignment="1" applyFont="1">
      <alignment horizontal="right" readingOrder="0" shrinkToFit="0" vertical="center" wrapText="1"/>
    </xf>
    <xf borderId="0" fillId="0" fontId="14" numFmtId="165" xfId="0" applyAlignment="1" applyFont="1" applyNumberFormat="1">
      <alignment readingOrder="0" shrinkToFit="0" vertical="center" wrapText="1"/>
    </xf>
    <xf borderId="0" fillId="0" fontId="14" numFmtId="170" xfId="0" applyAlignment="1" applyFont="1" applyNumberFormat="1">
      <alignment readingOrder="0" shrinkToFit="0" vertical="bottom" wrapText="0"/>
    </xf>
    <xf borderId="0" fillId="10" fontId="10" numFmtId="0" xfId="0" applyAlignment="1" applyFill="1" applyFont="1">
      <alignment readingOrder="0"/>
    </xf>
    <xf borderId="0" fillId="0" fontId="14" numFmtId="171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16" fontId="10" numFmtId="0" xfId="0" applyAlignment="1" applyFill="1" applyFont="1">
      <alignment readingOrder="0"/>
    </xf>
    <xf borderId="3" fillId="16" fontId="31" numFmtId="165" xfId="0" applyAlignment="1" applyBorder="1" applyFill="1" applyFont="1" applyNumberFormat="1">
      <alignment readingOrder="0" shrinkToFit="0" vertical="center" wrapText="0"/>
    </xf>
    <xf borderId="3" fillId="16" fontId="32" numFmtId="49" xfId="0" applyAlignment="1" applyBorder="1" applyFill="1" applyFont="1" applyNumberFormat="1">
      <alignment readingOrder="0" shrinkToFit="0" vertical="center" wrapText="0"/>
    </xf>
    <xf borderId="3" fillId="16" fontId="32" numFmtId="0" xfId="0" applyAlignment="1" applyBorder="1" applyFill="1" applyFont="1">
      <alignment readingOrder="0" shrinkToFit="0" vertical="center" wrapText="0"/>
    </xf>
    <xf borderId="3" fillId="16" fontId="32" numFmtId="0" xfId="0" applyAlignment="1" applyBorder="1" applyFill="1" applyFont="1">
      <alignment readingOrder="0" shrinkToFit="0" vertical="center" wrapText="0"/>
    </xf>
    <xf borderId="0" fillId="17" fontId="14" numFmtId="49" xfId="0" applyAlignment="1" applyFill="1" applyFont="1" applyNumberFormat="1">
      <alignment readingOrder="0" shrinkToFit="0" vertical="bottom" wrapText="0"/>
    </xf>
    <xf borderId="0" fillId="17" fontId="14" numFmtId="0" xfId="0" applyAlignment="1" applyFill="1" applyFont="1">
      <alignment readingOrder="0" shrinkToFit="0" vertical="bottom" wrapText="0"/>
    </xf>
    <xf borderId="0" fillId="17" fontId="14" numFmtId="0" xfId="0" applyAlignment="1" applyFill="1" applyFont="1">
      <alignment readingOrder="0" shrinkToFit="0" vertical="bottom" wrapText="0"/>
    </xf>
    <xf borderId="0" fillId="17" fontId="14" numFmtId="166" xfId="0" applyAlignment="1" applyFill="1" applyFont="1" applyNumberFormat="1">
      <alignment readingOrder="0" shrinkToFit="0" vertical="bottom" wrapText="0"/>
    </xf>
    <xf borderId="0" fillId="17" fontId="14" numFmtId="0" xfId="0" applyAlignment="1" applyFill="1" applyFont="1">
      <alignment horizontal="right" readingOrder="0" shrinkToFit="0" vertical="bottom" wrapText="0"/>
    </xf>
    <xf borderId="0" fillId="17" fontId="14" numFmtId="165" xfId="0" applyAlignment="1" applyFill="1" applyFont="1" applyNumberFormat="1">
      <alignment readingOrder="0" shrinkToFit="0" vertical="bottom" wrapText="0"/>
    </xf>
    <xf borderId="0" fillId="17" fontId="13" numFmtId="0" xfId="0" applyAlignment="1" applyFill="1" applyFont="1">
      <alignment horizontal="center" readingOrder="0" shrinkToFit="0" vertical="bottom" wrapText="0"/>
    </xf>
    <xf borderId="0" fillId="17" fontId="10" numFmtId="169" xfId="0" applyAlignment="1" applyFill="1" applyFont="1" applyNumberFormat="1">
      <alignment readingOrder="0" shrinkToFit="0" vertical="center" wrapText="0"/>
    </xf>
    <xf borderId="0" fillId="17" fontId="10" numFmtId="0" xfId="0" applyFill="1" applyFont="1"/>
    <xf borderId="3" fillId="0" fontId="33" numFmtId="0" xfId="0" applyAlignment="1" applyBorder="1" applyFont="1">
      <alignment readingOrder="0" shrinkToFit="0" vertical="center" wrapText="0"/>
    </xf>
    <xf borderId="0" fillId="0" fontId="13" numFmtId="49" xfId="0" applyAlignment="1" applyFont="1" applyNumberFormat="1">
      <alignment readingOrder="0" shrinkToFit="0" vertical="bottom" wrapText="0"/>
    </xf>
    <xf borderId="0" fillId="0" fontId="10" numFmtId="169" xfId="0" applyAlignment="1" applyFont="1" applyNumberFormat="1">
      <alignment readingOrder="0" shrinkToFit="0" vertical="center" wrapText="0"/>
    </xf>
    <xf borderId="0" fillId="0" fontId="14" numFmtId="166" xfId="0" applyAlignment="1" applyFont="1" applyNumberFormat="1">
      <alignment readingOrder="0" shrinkToFit="0" vertical="bottom" wrapText="0"/>
    </xf>
    <xf borderId="3" fillId="10" fontId="31" numFmtId="165" xfId="0" applyAlignment="1" applyBorder="1" applyFill="1" applyFont="1" applyNumberFormat="1">
      <alignment shrinkToFit="0" vertical="center" wrapText="0"/>
    </xf>
    <xf borderId="3" fillId="10" fontId="32" numFmtId="0" xfId="0" applyAlignment="1" applyBorder="1" applyFill="1" applyFont="1">
      <alignment shrinkToFit="0" vertical="center" wrapText="0"/>
    </xf>
    <xf borderId="0" fillId="0" fontId="14" numFmtId="0" xfId="0" applyAlignment="1" applyFont="1">
      <alignment horizontal="center" readingOrder="0" shrinkToFit="0" vertical="bottom" wrapText="0"/>
    </xf>
    <xf borderId="3" fillId="0" fontId="25" numFmtId="0" xfId="0" applyAlignment="1" applyBorder="1" applyFont="1">
      <alignment readingOrder="0" shrinkToFit="0" vertical="center" wrapText="0"/>
    </xf>
    <xf borderId="3" fillId="19" fontId="36" numFmtId="165" xfId="0" applyAlignment="1" applyBorder="1" applyFill="1" applyFont="1" applyNumberFormat="1">
      <alignment readingOrder="0" shrinkToFit="0" vertical="center" wrapText="0"/>
    </xf>
    <xf borderId="7" fillId="16" fontId="14" numFmtId="49" xfId="0" applyAlignment="1" applyBorder="1" applyFill="1" applyFont="1" applyNumberFormat="1">
      <alignment shrinkToFit="0" vertical="bottom" wrapText="0"/>
    </xf>
    <xf borderId="8" fillId="16" fontId="14" numFmtId="0" xfId="0" applyAlignment="1" applyBorder="1" applyFill="1" applyFont="1">
      <alignment shrinkToFit="0" vertical="bottom" wrapText="0"/>
    </xf>
    <xf borderId="3" fillId="19" fontId="37" numFmtId="0" xfId="0" applyAlignment="1" applyBorder="1" applyFill="1" applyFont="1">
      <alignment readingOrder="0" shrinkToFit="0" vertical="center" wrapText="0"/>
    </xf>
    <xf borderId="8" fillId="0" fontId="38" numFmtId="0" xfId="0" applyAlignment="1" applyBorder="1" applyFont="1">
      <alignment shrinkToFit="0" vertical="bottom" wrapText="0"/>
    </xf>
    <xf borderId="8" fillId="16" fontId="14" numFmtId="166" xfId="0" applyAlignment="1" applyBorder="1" applyFill="1" applyFont="1" applyNumberFormat="1">
      <alignment horizontal="right" shrinkToFit="0" vertical="bottom" wrapText="0"/>
    </xf>
    <xf borderId="8" fillId="16" fontId="14" numFmtId="49" xfId="0" applyAlignment="1" applyBorder="1" applyFill="1" applyFont="1" applyNumberFormat="1">
      <alignment shrinkToFit="0" vertical="bottom" wrapText="0"/>
    </xf>
    <xf borderId="8" fillId="16" fontId="14" numFmtId="0" xfId="0" applyAlignment="1" applyBorder="1" applyFill="1" applyFont="1">
      <alignment horizontal="right" shrinkToFit="0" vertical="bottom" wrapText="0"/>
    </xf>
    <xf borderId="9" fillId="16" fontId="14" numFmtId="165" xfId="0" applyAlignment="1" applyBorder="1" applyFill="1" applyFont="1" applyNumberFormat="1">
      <alignment horizontal="right" shrinkToFit="0" vertical="bottom" wrapText="0"/>
    </xf>
    <xf borderId="3" fillId="10" fontId="22" numFmtId="168" xfId="0" applyAlignment="1" applyBorder="1" applyFill="1" applyFont="1" applyNumberFormat="1">
      <alignment horizontal="right" readingOrder="0" shrinkToFit="0" vertical="center" wrapText="0"/>
    </xf>
    <xf borderId="3" fillId="19" fontId="37" numFmtId="0" xfId="0" applyAlignment="1" applyBorder="1" applyFill="1" applyFont="1">
      <alignment readingOrder="0" shrinkToFit="0" vertical="center" wrapText="0"/>
    </xf>
    <xf borderId="0" fillId="0" fontId="39" numFmtId="0" xfId="0" applyAlignment="1" applyFont="1">
      <alignment horizontal="center" shrinkToFit="0" vertical="bottom" wrapText="0"/>
    </xf>
    <xf borderId="0" fillId="0" fontId="40" numFmtId="169" xfId="0" applyAlignment="1" applyFont="1" applyNumberFormat="1">
      <alignment horizontal="right" shrinkToFit="0" vertical="bottom" wrapText="0"/>
    </xf>
    <xf borderId="0" fillId="0" fontId="40" numFmtId="0" xfId="0" applyAlignment="1" applyFont="1">
      <alignment vertical="bottom"/>
    </xf>
    <xf borderId="3" fillId="0" fontId="26" numFmtId="165" xfId="0" applyAlignment="1" applyBorder="1" applyFont="1" applyNumberFormat="1">
      <alignment readingOrder="0" shrinkToFit="0" vertical="center" wrapText="0"/>
    </xf>
    <xf borderId="0" fillId="0" fontId="14" numFmtId="0" xfId="0" applyAlignment="1" applyFont="1">
      <alignment readingOrder="0" shrinkToFit="0" vertical="bottom" wrapText="0"/>
    </xf>
    <xf borderId="3" fillId="0" fontId="10" numFmtId="165" xfId="0" applyAlignment="1" applyBorder="1" applyFont="1" applyNumberFormat="1">
      <alignment readingOrder="0"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165" xfId="0" applyAlignment="1" applyFont="1" applyNumberForma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3" fillId="16" fontId="31" numFmtId="165" xfId="0" applyAlignment="1" applyBorder="1" applyFill="1" applyFont="1" applyNumberFormat="1">
      <alignment shrinkToFit="0" vertical="center" wrapText="0"/>
    </xf>
    <xf borderId="3" fillId="16" fontId="32" numFmtId="0" xfId="0" applyAlignment="1" applyBorder="1" applyFill="1" applyFont="1">
      <alignment shrinkToFit="0" vertical="center" wrapText="0"/>
    </xf>
    <xf borderId="3" fillId="0" fontId="35" numFmtId="49" xfId="0" applyAlignment="1" applyBorder="1" applyFont="1" applyNumberFormat="1">
      <alignment readingOrder="0" shrinkToFit="0" vertical="center" wrapText="0"/>
    </xf>
    <xf borderId="3" fillId="0" fontId="2" numFmtId="168" xfId="0" applyAlignment="1" applyBorder="1" applyFont="1" applyNumberForma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3" fillId="0" fontId="10" numFmtId="49" xfId="0" applyAlignment="1" applyBorder="1" applyFont="1" applyNumberFormat="1">
      <alignment readingOrder="0" shrinkToFit="0" vertical="center" wrapText="0"/>
    </xf>
    <xf borderId="3" fillId="0" fontId="10" numFmtId="168" xfId="0" applyAlignment="1" applyBorder="1" applyFont="1" applyNumberFormat="1">
      <alignment shrinkToFit="0" vertical="center" wrapText="0"/>
    </xf>
    <xf borderId="3" fillId="0" fontId="10" numFmtId="49" xfId="0" applyAlignment="1" applyBorder="1" applyFont="1" applyNumberFormat="1">
      <alignment shrinkToFit="0" vertical="center" wrapText="0"/>
    </xf>
    <xf borderId="3" fillId="20" fontId="31" numFmtId="0" xfId="0" applyAlignment="1" applyBorder="1" applyFill="1" applyFont="1">
      <alignment readingOrder="0" shrinkToFit="0" vertical="center" wrapText="0"/>
    </xf>
    <xf borderId="3" fillId="20" fontId="32" numFmtId="0" xfId="0" applyAlignment="1" applyBorder="1" applyFill="1" applyFont="1">
      <alignment readingOrder="0" shrinkToFit="0" vertical="center" wrapText="0"/>
    </xf>
    <xf borderId="3" fillId="11" fontId="23" numFmtId="49" xfId="0" applyAlignment="1" applyBorder="1" applyFill="1" applyFont="1" applyNumberFormat="1">
      <alignment readingOrder="0" shrinkToFit="0" vertical="center" wrapText="0"/>
    </xf>
    <xf borderId="3" fillId="11" fontId="24" numFmtId="165" xfId="0" applyAlignment="1" applyBorder="1" applyFill="1" applyFont="1" applyNumberFormat="1">
      <alignment readingOrder="0" shrinkToFit="0" vertical="center" wrapText="0"/>
    </xf>
    <xf borderId="3" fillId="10" fontId="22" numFmtId="168" xfId="0" applyAlignment="1" applyBorder="1" applyFill="1" applyFont="1" applyNumberFormat="1">
      <alignment readingOrder="0" shrinkToFit="0" vertical="center" wrapText="0"/>
    </xf>
    <xf borderId="3" fillId="18" fontId="10" numFmtId="0" xfId="0" applyAlignment="1" applyBorder="1" applyFill="1" applyFont="1">
      <alignment readingOrder="0" shrinkToFit="0" vertical="center" wrapText="0"/>
    </xf>
    <xf borderId="3" fillId="0" fontId="26" numFmtId="168" xfId="0" applyAlignment="1" applyBorder="1" applyFont="1" applyNumberFormat="1">
      <alignment shrinkToFit="0" vertical="center" wrapText="0"/>
    </xf>
    <xf borderId="3" fillId="0" fontId="26" numFmtId="0" xfId="0" applyAlignment="1" applyBorder="1" applyFont="1">
      <alignment readingOrder="0" shrinkToFit="0" vertical="center" wrapText="0"/>
    </xf>
    <xf borderId="3" fillId="0" fontId="10" numFmtId="0" xfId="0" applyAlignment="1" applyBorder="1" applyFont="1">
      <alignment shrinkToFit="0" vertical="center" wrapText="0"/>
    </xf>
    <xf borderId="3" fillId="0" fontId="10" numFmtId="165" xfId="0" applyAlignment="1" applyBorder="1" applyFont="1" applyNumberFormat="1">
      <alignment shrinkToFit="0" vertical="center" wrapText="0"/>
    </xf>
    <xf borderId="3" fillId="0" fontId="10" numFmtId="168" xfId="0" applyAlignment="1" applyBorder="1" applyFont="1" applyNumberFormat="1">
      <alignment shrinkToFit="0" vertical="center" wrapText="0"/>
    </xf>
    <xf borderId="0" fillId="21" fontId="41" numFmtId="0" xfId="0" applyAlignment="1" applyFill="1" applyFont="1">
      <alignment horizontal="left" vertical="center"/>
    </xf>
    <xf borderId="0" fillId="22" fontId="42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/>
    </xf>
    <xf borderId="10" fillId="21" fontId="43" numFmtId="0" xfId="0" applyAlignment="1" applyBorder="1" applyFill="1" applyFont="1">
      <alignment horizontal="center" vertical="center"/>
    </xf>
    <xf borderId="10" fillId="0" fontId="11" numFmtId="0" xfId="0" applyBorder="1" applyFont="1"/>
    <xf borderId="10" fillId="23" fontId="43" numFmtId="0" xfId="0" applyAlignment="1" applyBorder="1" applyFill="1" applyFont="1">
      <alignment horizontal="center" readingOrder="0" vertical="center"/>
    </xf>
    <xf borderId="10" fillId="24" fontId="43" numFmtId="0" xfId="0" applyAlignment="1" applyBorder="1" applyFill="1" applyFont="1">
      <alignment horizontal="center" vertical="center"/>
    </xf>
    <xf borderId="10" fillId="25" fontId="43" numFmtId="0" xfId="0" applyAlignment="1" applyBorder="1" applyFill="1" applyFont="1">
      <alignment horizontal="center" vertical="center"/>
    </xf>
    <xf borderId="0" fillId="21" fontId="41" numFmtId="172" xfId="0" applyAlignment="1" applyFill="1" applyFont="1" applyNumberFormat="1">
      <alignment horizontal="center" vertical="center"/>
    </xf>
    <xf borderId="0" fillId="23" fontId="41" numFmtId="172" xfId="0" applyAlignment="1" applyFill="1" applyFont="1" applyNumberFormat="1">
      <alignment horizontal="center" vertical="center"/>
    </xf>
    <xf borderId="0" fillId="24" fontId="41" numFmtId="172" xfId="0" applyAlignment="1" applyFill="1" applyFont="1" applyNumberFormat="1">
      <alignment horizontal="center" vertical="center"/>
    </xf>
    <xf borderId="0" fillId="25" fontId="41" numFmtId="1" xfId="0" applyAlignment="1" applyFill="1" applyFont="1" applyNumberFormat="1">
      <alignment horizontal="center" vertical="center"/>
    </xf>
    <xf borderId="10" fillId="26" fontId="43" numFmtId="172" xfId="0" applyAlignment="1" applyBorder="1" applyFill="1" applyFont="1" applyNumberFormat="1">
      <alignment horizontal="center" vertical="center"/>
    </xf>
    <xf borderId="10" fillId="24" fontId="43" numFmtId="172" xfId="0" applyAlignment="1" applyBorder="1" applyFill="1" applyFont="1" applyNumberFormat="1">
      <alignment horizontal="center" vertical="center"/>
    </xf>
    <xf borderId="10" fillId="27" fontId="43" numFmtId="172" xfId="0" applyAlignment="1" applyBorder="1" applyFill="1" applyFont="1" applyNumberFormat="1">
      <alignment horizontal="center" vertical="center"/>
    </xf>
    <xf borderId="10" fillId="28" fontId="43" numFmtId="0" xfId="0" applyAlignment="1" applyBorder="1" applyFill="1" applyFont="1">
      <alignment horizontal="center" vertical="center"/>
    </xf>
    <xf borderId="0" fillId="26" fontId="41" numFmtId="172" xfId="0" applyAlignment="1" applyFill="1" applyFont="1" applyNumberFormat="1">
      <alignment horizontal="center" vertical="center"/>
    </xf>
    <xf borderId="0" fillId="27" fontId="41" numFmtId="172" xfId="0" applyAlignment="1" applyFill="1" applyFont="1" applyNumberFormat="1">
      <alignment horizontal="center" vertical="center"/>
    </xf>
    <xf borderId="0" fillId="28" fontId="41" numFmtId="172" xfId="0" applyAlignment="1" applyFill="1" applyFont="1" applyNumberFormat="1">
      <alignment horizontal="center" vertical="center"/>
    </xf>
    <xf borderId="10" fillId="29" fontId="43" numFmtId="172" xfId="0" applyAlignment="1" applyBorder="1" applyFill="1" applyFont="1" applyNumberFormat="1">
      <alignment horizontal="center" vertical="center"/>
    </xf>
    <xf borderId="10" fillId="30" fontId="43" numFmtId="172" xfId="0" applyAlignment="1" applyBorder="1" applyFill="1" applyFont="1" applyNumberFormat="1">
      <alignment horizontal="center" vertical="center"/>
    </xf>
    <xf borderId="10" fillId="31" fontId="43" numFmtId="172" xfId="0" applyAlignment="1" applyBorder="1" applyFill="1" applyFont="1" applyNumberFormat="1">
      <alignment horizontal="center" vertical="center"/>
    </xf>
    <xf borderId="10" fillId="32" fontId="43" numFmtId="0" xfId="0" applyAlignment="1" applyBorder="1" applyFill="1" applyFont="1">
      <alignment horizontal="center" vertical="center"/>
    </xf>
    <xf borderId="0" fillId="29" fontId="41" numFmtId="172" xfId="0" applyAlignment="1" applyFill="1" applyFont="1" applyNumberFormat="1">
      <alignment horizontal="center" vertical="center"/>
    </xf>
    <xf borderId="0" fillId="30" fontId="41" numFmtId="172" xfId="0" applyAlignment="1" applyFill="1" applyFont="1" applyNumberFormat="1">
      <alignment horizontal="center" vertical="center"/>
    </xf>
    <xf borderId="0" fillId="31" fontId="41" numFmtId="172" xfId="0" applyAlignment="1" applyFill="1" applyFont="1" applyNumberFormat="1">
      <alignment horizontal="center" vertical="center"/>
    </xf>
    <xf borderId="0" fillId="32" fontId="41" numFmtId="0" xfId="0" applyAlignment="1" applyFill="1" applyFont="1">
      <alignment horizontal="center" vertical="center"/>
    </xf>
    <xf borderId="11" fillId="0" fontId="10" numFmtId="0" xfId="0" applyAlignment="1" applyBorder="1" applyFont="1">
      <alignment readingOrder="0"/>
    </xf>
    <xf borderId="11" fillId="0" fontId="44" numFmtId="0" xfId="0" applyAlignment="1" applyBorder="1" applyFont="1">
      <alignment readingOrder="0"/>
    </xf>
    <xf borderId="0" fillId="0" fontId="10" numFmtId="49" xfId="0" applyFont="1" applyNumberFormat="1"/>
    <xf borderId="0" fillId="0" fontId="10" numFmtId="49" xfId="0" applyAlignment="1" applyFont="1" applyNumberFormat="1">
      <alignment readingOrder="0"/>
    </xf>
    <xf borderId="0" fillId="2" fontId="45" numFmtId="0" xfId="0" applyAlignment="1" applyFill="1" applyFont="1">
      <alignment horizontal="center" vertical="center"/>
    </xf>
    <xf borderId="0" fillId="5" fontId="27" numFmtId="0" xfId="0" applyAlignment="1" applyFill="1" applyFont="1">
      <alignment shrinkToFit="0" wrapText="1"/>
    </xf>
    <xf borderId="0" fillId="0" fontId="10" numFmtId="164" xfId="0" applyAlignment="1" applyFont="1" applyNumberFormat="1">
      <alignment shrinkToFit="0" vertical="center" wrapText="0"/>
    </xf>
    <xf borderId="3" fillId="0" fontId="26" numFmtId="168" xfId="0" applyAlignment="1" applyBorder="1" applyFont="1" applyNumberFormat="1">
      <alignment readingOrder="0"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26" numFmtId="165" xfId="0" applyAlignment="1" applyFont="1" applyNumberForma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10" numFmtId="49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26" numFmtId="0" xfId="0" applyAlignment="1" applyFont="1">
      <alignment readingOrder="0" shrinkToFit="0" vertical="center" wrapText="0"/>
    </xf>
    <xf borderId="12" fillId="16" fontId="32" numFmtId="49" xfId="0" applyAlignment="1" applyBorder="1" applyFill="1" applyFont="1" applyNumberFormat="1">
      <alignment readingOrder="0" shrinkToFit="0" vertical="center" wrapText="0"/>
    </xf>
    <xf borderId="12" fillId="16" fontId="32" numFmtId="0" xfId="0" applyAlignment="1" applyBorder="1" applyFill="1" applyFont="1">
      <alignment readingOrder="0" shrinkToFit="0" vertical="center" wrapText="0"/>
    </xf>
    <xf borderId="3" fillId="10" fontId="22" numFmtId="168" xfId="0" applyAlignment="1" applyBorder="1" applyFill="1" applyFont="1" applyNumberFormat="1">
      <alignment horizontal="right" readingOrder="0" shrinkToFit="0" vertical="center" wrapText="0"/>
    </xf>
    <xf borderId="12" fillId="16" fontId="32" numFmtId="0" xfId="0" applyAlignment="1" applyBorder="1" applyFill="1" applyFont="1">
      <alignment readingOrder="0" shrinkToFit="0" vertical="center" wrapText="0"/>
    </xf>
    <xf borderId="0" fillId="0" fontId="26" numFmtId="168" xfId="0" applyAlignment="1" applyFont="1" applyNumberFormat="1">
      <alignment readingOrder="0" shrinkToFit="0" vertical="center" wrapText="0"/>
    </xf>
    <xf borderId="0" fillId="11" fontId="24" numFmtId="49" xfId="0" applyAlignment="1" applyFill="1" applyFont="1" applyNumberForma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3" fillId="16" fontId="31" numFmtId="165" xfId="0" applyAlignment="1" applyBorder="1" applyFill="1" applyFont="1" applyNumberFormat="1">
      <alignment horizontal="center" readingOrder="0" shrinkToFit="0" vertical="center" wrapText="0"/>
    </xf>
    <xf borderId="0" fillId="11" fontId="46" numFmtId="49" xfId="0" applyAlignment="1" applyFill="1" applyFont="1" applyNumberForma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bottom" wrapText="0"/>
    </xf>
    <xf borderId="0" fillId="15" fontId="13" numFmtId="0" xfId="0" applyAlignment="1" applyFill="1" applyFont="1">
      <alignment readingOrder="0" shrinkToFit="0" vertical="bottom" wrapText="0"/>
    </xf>
    <xf borderId="0" fillId="15" fontId="13" numFmtId="0" xfId="0" applyAlignment="1" applyFill="1" applyFont="1">
      <alignment readingOrder="0" shrinkToFit="0" vertical="bottom" wrapText="0"/>
    </xf>
    <xf borderId="0" fillId="15" fontId="13" numFmtId="166" xfId="0" applyAlignment="1" applyFill="1" applyFont="1" applyNumberFormat="1">
      <alignment horizontal="right" readingOrder="0" shrinkToFit="0" vertical="bottom" wrapText="0"/>
    </xf>
    <xf borderId="0" fillId="15" fontId="13" numFmtId="0" xfId="0" applyAlignment="1" applyFill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15" fontId="14" numFmtId="0" xfId="0" applyAlignment="1" applyFill="1" applyFont="1">
      <alignment readingOrder="0" shrinkToFit="0" vertical="bottom" wrapText="0"/>
    </xf>
    <xf borderId="0" fillId="15" fontId="14" numFmtId="0" xfId="0" applyAlignment="1" applyFill="1" applyFon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15" fontId="13" numFmtId="0" xfId="0" applyAlignment="1" applyFill="1" applyFont="1">
      <alignment shrinkToFit="0" vertical="bottom" wrapText="0"/>
    </xf>
    <xf borderId="0" fillId="15" fontId="14" numFmtId="49" xfId="0" applyAlignment="1" applyFill="1" applyFont="1" applyNumberFormat="1">
      <alignment readingOrder="0" shrinkToFit="0" vertical="center" wrapText="1"/>
    </xf>
    <xf borderId="0" fillId="15" fontId="14" numFmtId="0" xfId="0" applyAlignment="1" applyFill="1" applyFont="1">
      <alignment readingOrder="0" shrinkToFit="0" vertical="center" wrapText="1"/>
    </xf>
    <xf borderId="0" fillId="15" fontId="14" numFmtId="0" xfId="0" applyAlignment="1" applyFill="1" applyFont="1">
      <alignment readingOrder="0" shrinkToFit="0" vertical="center" wrapText="1"/>
    </xf>
    <xf borderId="0" fillId="15" fontId="14" numFmtId="166" xfId="0" applyAlignment="1" applyFill="1" applyFont="1" applyNumberFormat="1">
      <alignment readingOrder="0" shrinkToFit="0" vertical="center" wrapText="1"/>
    </xf>
    <xf borderId="0" fillId="15" fontId="14" numFmtId="0" xfId="0" applyAlignment="1" applyFill="1" applyFont="1">
      <alignment horizontal="right" readingOrder="0" shrinkToFit="0" vertical="center" wrapText="1"/>
    </xf>
    <xf borderId="0" fillId="15" fontId="14" numFmtId="166" xfId="0" applyAlignment="1" applyFill="1" applyFont="1" applyNumberFormat="1">
      <alignment readingOrder="0" shrinkToFit="0" vertical="center" wrapText="1"/>
    </xf>
    <xf borderId="0" fillId="15" fontId="13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15" fontId="13" numFmtId="166" xfId="0" applyAlignment="1" applyFill="1" applyFont="1" applyNumberFormat="1">
      <alignment horizontal="right"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15" fontId="13" numFmtId="0" xfId="0" applyAlignment="1" applyFill="1" applyFont="1">
      <alignment readingOrder="0" shrinkToFit="0" vertical="center" wrapText="1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13" fillId="11" fontId="14" numFmtId="49" xfId="0" applyAlignment="1" applyBorder="1" applyFill="1" applyFont="1" applyNumberFormat="1">
      <alignment shrinkToFit="0" vertical="bottom" wrapText="0"/>
    </xf>
    <xf borderId="14" fillId="11" fontId="14" numFmtId="0" xfId="0" applyAlignment="1" applyBorder="1" applyFill="1" applyFont="1">
      <alignment shrinkToFit="0" vertical="bottom" wrapText="0"/>
    </xf>
    <xf borderId="14" fillId="11" fontId="47" numFmtId="0" xfId="0" applyAlignment="1" applyBorder="1" applyFill="1" applyFont="1">
      <alignment shrinkToFit="0" vertical="bottom" wrapText="0"/>
    </xf>
    <xf borderId="14" fillId="11" fontId="14" numFmtId="166" xfId="0" applyAlignment="1" applyBorder="1" applyFill="1" applyFont="1" applyNumberFormat="1">
      <alignment horizontal="right" shrinkToFit="0" vertical="bottom" wrapText="0"/>
    </xf>
    <xf borderId="14" fillId="11" fontId="14" numFmtId="49" xfId="0" applyAlignment="1" applyBorder="1" applyFill="1" applyFont="1" applyNumberFormat="1">
      <alignment shrinkToFit="0" vertical="bottom" wrapText="0"/>
    </xf>
    <xf borderId="14" fillId="11" fontId="14" numFmtId="0" xfId="0" applyAlignment="1" applyBorder="1" applyFill="1" applyFont="1">
      <alignment horizontal="right" shrinkToFit="0" vertical="bottom" wrapText="0"/>
    </xf>
    <xf borderId="14" fillId="11" fontId="14" numFmtId="166" xfId="0" applyAlignment="1" applyBorder="1" applyFill="1" applyFont="1" applyNumberFormat="1">
      <alignment horizontal="right" shrinkToFit="0" vertical="bottom" wrapText="0"/>
    </xf>
    <xf borderId="15" fillId="11" fontId="39" numFmtId="0" xfId="0" applyAlignment="1" applyBorder="1" applyFill="1" applyFont="1">
      <alignment horizontal="center" shrinkToFit="0" vertical="bottom" wrapText="0"/>
    </xf>
    <xf borderId="0" fillId="0" fontId="40" numFmtId="0" xfId="0" applyAlignment="1" applyFont="1">
      <alignment shrinkToFit="0" vertical="bottom" wrapText="0"/>
    </xf>
    <xf borderId="0" fillId="33" fontId="14" numFmtId="49" xfId="0" applyAlignment="1" applyFill="1" applyFont="1" applyNumberFormat="1">
      <alignment readingOrder="0" shrinkToFit="0" vertical="bottom" wrapText="0"/>
    </xf>
    <xf borderId="0" fillId="33" fontId="14" numFmtId="0" xfId="0" applyAlignment="1" applyFill="1" applyFont="1">
      <alignment readingOrder="0" shrinkToFit="0" vertical="bottom" wrapText="0"/>
    </xf>
    <xf borderId="0" fillId="33" fontId="14" numFmtId="0" xfId="0" applyAlignment="1" applyFill="1" applyFont="1">
      <alignment readingOrder="0" shrinkToFit="0" vertical="bottom" wrapText="0"/>
    </xf>
    <xf borderId="0" fillId="33" fontId="14" numFmtId="170" xfId="0" applyAlignment="1" applyFill="1" applyFont="1" applyNumberFormat="1">
      <alignment readingOrder="0" shrinkToFit="0" vertical="bottom" wrapText="0"/>
    </xf>
    <xf borderId="0" fillId="33" fontId="14" numFmtId="0" xfId="0" applyAlignment="1" applyFill="1" applyFont="1">
      <alignment horizontal="right" readingOrder="0" shrinkToFit="0" vertical="bottom" wrapText="0"/>
    </xf>
    <xf borderId="0" fillId="33" fontId="14" numFmtId="173" xfId="0" applyAlignment="1" applyFill="1" applyFont="1" applyNumberFormat="1">
      <alignment readingOrder="0" shrinkToFit="0" vertical="bottom" wrapText="0"/>
    </xf>
    <xf borderId="0" fillId="33" fontId="13" numFmtId="0" xfId="0" applyAlignment="1" applyFill="1" applyFont="1">
      <alignment readingOrder="0" shrinkToFit="0" vertical="bottom" wrapText="0"/>
    </xf>
    <xf borderId="0" fillId="33" fontId="10" numFmtId="0" xfId="0" applyAlignment="1" applyFill="1" applyFont="1">
      <alignment readingOrder="0" shrinkToFit="0" vertical="center" wrapText="0"/>
    </xf>
    <xf borderId="0" fillId="33" fontId="10" numFmtId="0" xfId="0" applyAlignment="1" applyFill="1" applyFont="1">
      <alignment shrinkToFit="0" vertical="center" wrapText="0"/>
    </xf>
    <xf borderId="0" fillId="33" fontId="10" numFmtId="0" xfId="0" applyFill="1" applyFont="1"/>
    <xf borderId="0" fillId="15" fontId="14" numFmtId="0" xfId="0" applyAlignment="1" applyFill="1" applyFont="1">
      <alignment readingOrder="0" shrinkToFit="0" vertical="bottom" wrapText="0"/>
    </xf>
    <xf borderId="0" fillId="15" fontId="13" numFmtId="167" xfId="0" applyAlignment="1" applyFill="1" applyFont="1" applyNumberFormat="1">
      <alignment horizontal="right" readingOrder="0" shrinkToFit="0" vertical="bottom" wrapText="0"/>
    </xf>
    <xf borderId="0" fillId="33" fontId="14" numFmtId="166" xfId="0" applyAlignment="1" applyFill="1" applyFont="1" applyNumberFormat="1">
      <alignment readingOrder="0" shrinkToFit="0" vertical="bottom" wrapText="0"/>
    </xf>
    <xf borderId="0" fillId="33" fontId="14" numFmtId="0" xfId="0" applyAlignment="1" applyFill="1" applyFont="1">
      <alignment readingOrder="0" shrinkToFit="0" vertical="bottom" wrapText="0"/>
    </xf>
    <xf borderId="0" fillId="34" fontId="14" numFmtId="49" xfId="0" applyAlignment="1" applyFill="1" applyFont="1" applyNumberFormat="1">
      <alignment readingOrder="0" shrinkToFit="0" vertical="bottom" wrapText="0"/>
    </xf>
    <xf borderId="0" fillId="34" fontId="14" numFmtId="0" xfId="0" applyAlignment="1" applyFill="1" applyFont="1">
      <alignment readingOrder="0" shrinkToFit="0" vertical="bottom" wrapText="0"/>
    </xf>
    <xf borderId="0" fillId="34" fontId="14" numFmtId="0" xfId="0" applyAlignment="1" applyFill="1" applyFont="1">
      <alignment readingOrder="0" shrinkToFit="0" vertical="bottom" wrapText="0"/>
    </xf>
    <xf borderId="0" fillId="34" fontId="14" numFmtId="166" xfId="0" applyAlignment="1" applyFill="1" applyFont="1" applyNumberFormat="1">
      <alignment readingOrder="0" shrinkToFit="0" vertical="bottom" wrapText="0"/>
    </xf>
    <xf borderId="0" fillId="34" fontId="14" numFmtId="0" xfId="0" applyAlignment="1" applyFill="1" applyFont="1">
      <alignment horizontal="right" readingOrder="0" shrinkToFit="0" vertical="bottom" wrapText="0"/>
    </xf>
    <xf borderId="0" fillId="34" fontId="14" numFmtId="165" xfId="0" applyAlignment="1" applyFill="1" applyFont="1" applyNumberFormat="1">
      <alignment readingOrder="0" shrinkToFit="0" vertical="bottom" wrapText="0"/>
    </xf>
    <xf borderId="0" fillId="34" fontId="13" numFmtId="0" xfId="0" applyAlignment="1" applyFill="1" applyFont="1">
      <alignment readingOrder="0" shrinkToFit="0" vertical="bottom" wrapText="0"/>
    </xf>
    <xf borderId="0" fillId="34" fontId="10" numFmtId="169" xfId="0" applyAlignment="1" applyFill="1" applyFont="1" applyNumberFormat="1">
      <alignment readingOrder="0" shrinkToFit="0" vertical="center" wrapText="0"/>
    </xf>
    <xf borderId="0" fillId="34" fontId="10" numFmtId="0" xfId="0" applyAlignment="1" applyFill="1" applyFont="1">
      <alignment shrinkToFit="0" vertical="center" wrapText="0"/>
    </xf>
    <xf borderId="0" fillId="34" fontId="10" numFmtId="0" xfId="0" applyFill="1" applyFont="1"/>
    <xf borderId="0" fillId="34" fontId="14" numFmtId="0" xfId="0" applyAlignment="1" applyFill="1" applyFont="1">
      <alignment readingOrder="0" shrinkToFit="0" vertical="bottom" wrapText="0"/>
    </xf>
    <xf borderId="0" fillId="34" fontId="10" numFmtId="166" xfId="0" applyAlignment="1" applyFill="1" applyFont="1" applyNumberFormat="1">
      <alignment readingOrder="0" shrinkToFit="0" vertical="center" wrapText="0"/>
    </xf>
    <xf borderId="16" fillId="19" fontId="37" numFmtId="0" xfId="0" applyAlignment="1" applyBorder="1" applyFill="1" applyFont="1">
      <alignment readingOrder="0" shrinkToFit="0" vertical="center" wrapText="0"/>
    </xf>
    <xf borderId="0" fillId="5" fontId="33" numFmtId="0" xfId="0" applyAlignment="1" applyFill="1" applyFont="1">
      <alignment readingOrder="0"/>
    </xf>
    <xf borderId="16" fillId="19" fontId="37" numFmtId="0" xfId="0" applyAlignment="1" applyBorder="1" applyFill="1" applyFont="1">
      <alignment readingOrder="0" shrinkToFit="0" vertical="center" wrapText="0"/>
    </xf>
    <xf borderId="0" fillId="5" fontId="33" numFmtId="164" xfId="0" applyFill="1" applyFont="1" applyNumberFormat="1"/>
    <xf borderId="0" fillId="0" fontId="10" numFmtId="164" xfId="0" applyAlignment="1" applyFont="1" applyNumberFormat="1">
      <alignment readingOrder="0"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166" xfId="0" applyAlignment="1" applyFont="1" applyNumberFormat="1">
      <alignment readingOrder="0"/>
    </xf>
    <xf borderId="0" fillId="0" fontId="10" numFmtId="166" xfId="0" applyFont="1" applyNumberFormat="1"/>
    <xf borderId="0" fillId="0" fontId="10" numFmtId="174" xfId="0" applyAlignment="1" applyFont="1" applyNumberFormat="1">
      <alignment shrinkToFit="0" vertical="center" wrapText="0"/>
    </xf>
    <xf borderId="0" fillId="0" fontId="10" numFmtId="174" xfId="0" applyFont="1" applyNumberFormat="1"/>
    <xf borderId="0" fillId="35" fontId="2" numFmtId="0" xfId="0" applyFill="1" applyFont="1"/>
    <xf borderId="0" fillId="35" fontId="2" numFmtId="174" xfId="0" applyFill="1" applyFont="1" applyNumberFormat="1"/>
    <xf borderId="0" fillId="35" fontId="2" numFmtId="164" xfId="0" applyFill="1" applyFont="1" applyNumberFormat="1"/>
    <xf borderId="0" fillId="21" fontId="1" numFmtId="0" xfId="0" applyAlignment="1" applyFill="1" applyFont="1">
      <alignment vertical="center"/>
    </xf>
    <xf borderId="0" fillId="25" fontId="48" numFmtId="0" xfId="0" applyAlignment="1" applyFill="1" applyFont="1">
      <alignment vertical="center"/>
    </xf>
    <xf borderId="0" fillId="36" fontId="49" numFmtId="0" xfId="0" applyAlignment="1" applyFill="1" applyFont="1">
      <alignment horizontal="center" shrinkToFit="0" wrapText="1"/>
    </xf>
    <xf borderId="0" fillId="0" fontId="10" numFmtId="172" xfId="0" applyAlignment="1" applyFont="1" applyNumberFormat="1">
      <alignment readingOrder="0"/>
    </xf>
    <xf borderId="0" fillId="0" fontId="10" numFmtId="172" xfId="0" applyFont="1" applyNumberFormat="1"/>
    <xf borderId="0" fillId="5" fontId="2" numFmtId="0" xfId="0" applyAlignment="1" applyFill="1" applyFont="1">
      <alignment readingOrder="0"/>
    </xf>
    <xf borderId="0" fillId="5" fontId="2" numFmtId="172" xfId="0" applyAlignment="1" applyFill="1" applyFont="1" applyNumberFormat="1">
      <alignment readingOrder="0"/>
    </xf>
    <xf borderId="0" fillId="5" fontId="2" numFmtId="172" xfId="0" applyFill="1" applyFont="1" applyNumberFormat="1"/>
    <xf borderId="0" fillId="22" fontId="2" numFmtId="0" xfId="0" applyAlignment="1" applyFill="1" applyFont="1">
      <alignment readingOrder="0"/>
    </xf>
    <xf borderId="0" fillId="22" fontId="2" numFmtId="172" xfId="0" applyFill="1" applyFont="1" applyNumberFormat="1"/>
    <xf borderId="0" fillId="25" fontId="48" numFmtId="0" xfId="0" applyAlignment="1" applyFill="1" applyFont="1">
      <alignment readingOrder="0" vertical="center"/>
    </xf>
    <xf borderId="0" fillId="25" fontId="49" numFmtId="0" xfId="0" applyAlignment="1" applyFill="1" applyFont="1">
      <alignment horizontal="center"/>
    </xf>
    <xf borderId="17" fillId="37" fontId="48" numFmtId="0" xfId="0" applyAlignment="1" applyBorder="1" applyFill="1" applyFont="1">
      <alignment horizontal="center" vertical="center"/>
    </xf>
    <xf borderId="18" fillId="0" fontId="11" numFmtId="0" xfId="0" applyBorder="1" applyFont="1"/>
    <xf borderId="19" fillId="0" fontId="11" numFmtId="0" xfId="0" applyBorder="1" applyFont="1"/>
    <xf borderId="0" fillId="10" fontId="10" numFmtId="172" xfId="0" applyAlignment="1" applyFill="1" applyFont="1" applyNumberFormat="1">
      <alignment readingOrder="0"/>
    </xf>
    <xf borderId="20" fillId="38" fontId="50" numFmtId="0" xfId="0" applyAlignment="1" applyBorder="1" applyFill="1" applyFont="1">
      <alignment vertical="center"/>
    </xf>
    <xf borderId="21" fillId="39" fontId="51" numFmtId="164" xfId="0" applyAlignment="1" applyBorder="1" applyFill="1" applyFont="1" applyNumberFormat="1">
      <alignment horizontal="right" vertical="center"/>
    </xf>
    <xf borderId="22" fillId="0" fontId="11" numFmtId="0" xfId="0" applyBorder="1" applyFont="1"/>
    <xf borderId="0" fillId="40" fontId="10" numFmtId="166" xfId="0" applyAlignment="1" applyFill="1" applyFont="1" applyNumberFormat="1">
      <alignment readingOrder="0"/>
    </xf>
    <xf borderId="0" fillId="40" fontId="10" numFmtId="0" xfId="0" applyAlignment="1" applyFill="1" applyFont="1">
      <alignment readingOrder="0"/>
    </xf>
    <xf borderId="0" fillId="40" fontId="10" numFmtId="172" xfId="0" applyAlignment="1" applyFill="1" applyFont="1" applyNumberFormat="1">
      <alignment readingOrder="0"/>
    </xf>
    <xf borderId="16" fillId="19" fontId="36" numFmtId="165" xfId="0" applyAlignment="1" applyBorder="1" applyFill="1" applyFont="1" applyNumberFormat="1">
      <alignment readingOrder="0" shrinkToFit="0" vertical="center" wrapText="0"/>
    </xf>
    <xf borderId="23" fillId="3" fontId="52" numFmtId="0" xfId="0" applyAlignment="1" applyBorder="1" applyFill="1" applyFont="1">
      <alignment horizontal="left" shrinkToFit="0" vertical="center" wrapText="1"/>
    </xf>
    <xf borderId="24" fillId="0" fontId="11" numFmtId="0" xfId="0" applyBorder="1" applyFont="1"/>
    <xf borderId="25" fillId="0" fontId="11" numFmtId="0" xfId="0" applyBorder="1" applyFont="1"/>
    <xf borderId="26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0" fillId="40" fontId="10" numFmtId="166" xfId="0" applyAlignment="1" applyFill="1" applyFont="1" applyNumberFormat="1">
      <alignment readingOrder="0"/>
    </xf>
    <xf borderId="0" fillId="10" fontId="10" numFmtId="166" xfId="0" applyFill="1" applyFont="1" applyNumberFormat="1"/>
    <xf borderId="0" fillId="10" fontId="10" numFmtId="172" xfId="0" applyFill="1" applyFont="1" applyNumberFormat="1"/>
    <xf borderId="0" fillId="40" fontId="10" numFmtId="166" xfId="0" applyFill="1" applyFont="1" applyNumberFormat="1"/>
    <xf borderId="0" fillId="40" fontId="10" numFmtId="0" xfId="0" applyFill="1" applyFont="1"/>
    <xf borderId="0" fillId="40" fontId="10" numFmtId="172" xfId="0" applyFill="1" applyFont="1" applyNumberFormat="1"/>
    <xf borderId="0" fillId="3" fontId="27" numFmtId="0" xfId="0" applyAlignment="1" applyFill="1" applyFont="1">
      <alignment shrinkToFit="0" wrapText="1"/>
    </xf>
    <xf borderId="0" fillId="21" fontId="18" numFmtId="0" xfId="0" applyAlignment="1" applyFill="1" applyFont="1">
      <alignment horizontal="center" readingOrder="0" vertical="center"/>
    </xf>
    <xf borderId="0" fillId="12" fontId="53" numFmtId="0" xfId="0" applyAlignment="1" applyFill="1" applyFont="1">
      <alignment readingOrder="0" shrinkToFit="0" vertical="center" wrapText="1"/>
    </xf>
    <xf borderId="29" fillId="12" fontId="54" numFmtId="0" xfId="0" applyAlignment="1" applyBorder="1" applyFill="1" applyFont="1">
      <alignment readingOrder="0" vertical="center"/>
    </xf>
    <xf borderId="29" fillId="12" fontId="54" numFmtId="172" xfId="0" applyAlignment="1" applyBorder="1" applyFill="1" applyFont="1" applyNumberFormat="1">
      <alignment vertical="center"/>
    </xf>
    <xf borderId="29" fillId="12" fontId="54" numFmtId="0" xfId="0" applyAlignment="1" applyBorder="1" applyFill="1" applyFont="1">
      <alignment vertical="center"/>
    </xf>
    <xf borderId="0" fillId="41" fontId="55" numFmtId="0" xfId="0" applyAlignment="1" applyFill="1" applyFont="1">
      <alignment horizontal="center" readingOrder="0" shrinkToFit="0" vertical="center" wrapText="1"/>
    </xf>
    <xf borderId="30" fillId="10" fontId="10" numFmtId="166" xfId="0" applyAlignment="1" applyBorder="1" applyFill="1" applyFont="1" applyNumberFormat="1">
      <alignment horizontal="center" readingOrder="0" vertical="center"/>
    </xf>
    <xf borderId="30" fillId="42" fontId="10" numFmtId="0" xfId="0" applyAlignment="1" applyBorder="1" applyFill="1" applyFont="1">
      <alignment horizontal="center" vertical="center"/>
    </xf>
    <xf borderId="30" fillId="10" fontId="10" numFmtId="0" xfId="0" applyAlignment="1" applyBorder="1" applyFill="1" applyFont="1">
      <alignment readingOrder="0" vertical="center"/>
    </xf>
    <xf borderId="30" fillId="10" fontId="10" numFmtId="172" xfId="0" applyAlignment="1" applyBorder="1" applyFill="1" applyFont="1" applyNumberFormat="1">
      <alignment horizontal="right" readingOrder="0" vertical="center"/>
    </xf>
    <xf borderId="30" fillId="10" fontId="10" numFmtId="0" xfId="0" applyAlignment="1" applyBorder="1" applyFill="1" applyFont="1">
      <alignment vertical="center"/>
    </xf>
    <xf borderId="30" fillId="10" fontId="10" numFmtId="166" xfId="0" applyAlignment="1" applyBorder="1" applyFill="1" applyFont="1" applyNumberFormat="1">
      <alignment horizontal="center" vertical="center"/>
    </xf>
    <xf borderId="30" fillId="10" fontId="10" numFmtId="172" xfId="0" applyAlignment="1" applyBorder="1" applyFill="1" applyFont="1" applyNumberFormat="1">
      <alignment horizontal="right" vertical="center"/>
    </xf>
    <xf borderId="16" fillId="19" fontId="36" numFmtId="165" xfId="0" applyAlignment="1" applyBorder="1" applyFill="1" applyFont="1" applyNumberFormat="1">
      <alignment shrinkToFit="0" vertical="center" wrapText="0"/>
    </xf>
    <xf borderId="16" fillId="19" fontId="37" numFmtId="0" xfId="0" applyAlignment="1" applyBorder="1" applyFill="1" applyFont="1">
      <alignment shrinkToFit="0" vertical="center" wrapText="0"/>
    </xf>
    <xf borderId="0" fillId="25" fontId="16" numFmtId="0" xfId="0" applyAlignment="1" applyFill="1" applyFont="1">
      <alignment horizontal="center" shrinkToFit="0" vertical="center" wrapText="1"/>
    </xf>
    <xf borderId="0" fillId="25" fontId="16" numFmtId="0" xfId="0" applyAlignment="1" applyFill="1" applyFont="1">
      <alignment horizontal="center" readingOrder="0" shrinkToFit="0" vertical="center" wrapText="1"/>
    </xf>
    <xf borderId="0" fillId="10" fontId="10" numFmtId="169" xfId="0" applyAlignment="1" applyFill="1" applyFont="1" applyNumberFormat="1">
      <alignment horizontal="center" readingOrder="0"/>
    </xf>
    <xf borderId="0" fillId="10" fontId="10" numFmtId="1" xfId="0" applyAlignment="1" applyFill="1" applyFont="1" applyNumberFormat="1">
      <alignment readingOrder="0"/>
    </xf>
    <xf borderId="0" fillId="10" fontId="10" numFmtId="49" xfId="0" applyAlignment="1" applyFill="1" applyFont="1" applyNumberFormat="1">
      <alignment readingOrder="0" shrinkToFit="0" vertical="center" wrapText="1"/>
    </xf>
    <xf borderId="0" fillId="40" fontId="10" numFmtId="169" xfId="0" applyAlignment="1" applyFill="1" applyFont="1" applyNumberFormat="1">
      <alignment horizontal="center" readingOrder="0"/>
    </xf>
    <xf borderId="0" fillId="40" fontId="10" numFmtId="1" xfId="0" applyAlignment="1" applyFill="1" applyFont="1" applyNumberFormat="1">
      <alignment readingOrder="0"/>
    </xf>
    <xf borderId="0" fillId="40" fontId="10" numFmtId="0" xfId="0" applyAlignment="1" applyFill="1" applyFont="1">
      <alignment readingOrder="0"/>
    </xf>
    <xf borderId="0" fillId="40" fontId="10" numFmtId="49" xfId="0" applyAlignment="1" applyFill="1" applyFont="1" applyNumberFormat="1">
      <alignment readingOrder="0" shrinkToFit="0" vertical="center" wrapText="1"/>
    </xf>
    <xf borderId="0" fillId="40" fontId="10" numFmtId="1" xfId="0" applyFill="1" applyFont="1" applyNumberFormat="1"/>
    <xf borderId="0" fillId="10" fontId="10" numFmtId="1" xfId="0" applyFill="1" applyFont="1" applyNumberFormat="1"/>
    <xf borderId="0" fillId="21" fontId="1" numFmtId="0" xfId="0" applyAlignment="1" applyFill="1" applyFont="1">
      <alignment horizontal="left" vertical="center"/>
    </xf>
    <xf borderId="0" fillId="22" fontId="42" numFmtId="0" xfId="0" applyAlignment="1" applyFill="1" applyFont="1">
      <alignment shrinkToFit="0" vertical="center" wrapText="1"/>
    </xf>
    <xf borderId="0" fillId="10" fontId="10" numFmtId="166" xfId="0" applyAlignment="1" applyFill="1" applyFont="1" applyNumberFormat="1">
      <alignment horizontal="center" readingOrder="0"/>
    </xf>
    <xf quotePrefix="1" borderId="0" fillId="10" fontId="10" numFmtId="0" xfId="0" applyAlignment="1" applyFill="1" applyFont="1">
      <alignment readingOrder="0"/>
    </xf>
    <xf borderId="0" fillId="10" fontId="10" numFmtId="0" xfId="0" applyAlignment="1" applyFill="1" applyFont="1">
      <alignment horizontal="center" readingOrder="0"/>
    </xf>
    <xf borderId="0" fillId="43" fontId="10" numFmtId="166" xfId="0" applyAlignment="1" applyFill="1" applyFont="1" applyNumberFormat="1">
      <alignment horizontal="center" readingOrder="0"/>
    </xf>
    <xf borderId="0" fillId="43" fontId="10" numFmtId="0" xfId="0" applyAlignment="1" applyFill="1" applyFont="1">
      <alignment readingOrder="0"/>
    </xf>
    <xf quotePrefix="1" borderId="0" fillId="43" fontId="10" numFmtId="0" xfId="0" applyAlignment="1" applyFill="1" applyFont="1">
      <alignment readingOrder="0"/>
    </xf>
    <xf borderId="0" fillId="43" fontId="10" numFmtId="172" xfId="0" applyAlignment="1" applyFill="1" applyFont="1" applyNumberFormat="1">
      <alignment readingOrder="0"/>
    </xf>
    <xf borderId="0" fillId="43" fontId="10" numFmtId="0" xfId="0" applyAlignment="1" applyFill="1" applyFont="1">
      <alignment horizontal="center" readingOrder="0"/>
    </xf>
    <xf borderId="0" fillId="2" fontId="18" numFmtId="0" xfId="0" applyAlignment="1" applyFill="1" applyFont="1">
      <alignment horizontal="center" readingOrder="0" vertical="center"/>
    </xf>
    <xf borderId="0" fillId="12" fontId="27" numFmtId="0" xfId="0" applyAlignment="1" applyFill="1" applyFont="1">
      <alignment readingOrder="0" shrinkToFit="0" vertical="center" wrapText="1"/>
    </xf>
    <xf borderId="0" fillId="21" fontId="16" numFmtId="0" xfId="0" applyAlignment="1" applyFill="1" applyFont="1">
      <alignment horizontal="center" readingOrder="0" shrinkToFit="0" vertical="center" wrapText="1"/>
    </xf>
    <xf borderId="0" fillId="0" fontId="10" numFmtId="175" xfId="0" applyAlignment="1" applyFont="1" applyNumberFormat="1">
      <alignment readingOrder="0"/>
    </xf>
    <xf borderId="0" fillId="0" fontId="10" numFmtId="175" xfId="0" applyFont="1" applyNumberFormat="1"/>
    <xf borderId="0" fillId="2" fontId="1" numFmtId="0" xfId="0" applyAlignment="1" applyFill="1" applyFont="1">
      <alignment horizontal="center" readingOrder="0" vertical="center"/>
    </xf>
    <xf borderId="0" fillId="5" fontId="56" numFmtId="0" xfId="0" applyAlignment="1" applyFill="1" applyFont="1">
      <alignment horizontal="center" readingOrder="0" shrinkToFit="0" vertical="center" wrapText="1"/>
    </xf>
    <xf borderId="1" fillId="2" fontId="16" numFmtId="0" xfId="0" applyAlignment="1" applyBorder="1" applyFill="1" applyFont="1">
      <alignment horizontal="center" readingOrder="0" shrinkToFit="0" vertical="center" wrapText="1"/>
    </xf>
    <xf borderId="0" fillId="0" fontId="10" numFmtId="169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169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16" fillId="19" fontId="40" numFmtId="49" xfId="0" applyAlignment="1" applyBorder="1" applyFill="1" applyFont="1" applyNumberFormat="1">
      <alignment shrinkToFit="0" vertical="center" wrapText="0"/>
    </xf>
    <xf borderId="16" fillId="19" fontId="40" numFmtId="168" xfId="0" applyAlignment="1" applyBorder="1" applyFill="1" applyFont="1" applyNumberFormat="1">
      <alignment readingOrder="0" shrinkToFit="0" vertical="center" wrapText="0"/>
    </xf>
    <xf borderId="0" fillId="11" fontId="23" numFmtId="49" xfId="0" applyAlignment="1" applyFill="1" applyFont="1" applyNumberFormat="1">
      <alignment shrinkToFit="0" vertical="center" wrapText="0"/>
    </xf>
    <xf borderId="0" fillId="11" fontId="24" numFmtId="165" xfId="0" applyAlignment="1" applyFill="1" applyFont="1" applyNumberFormat="1">
      <alignment shrinkToFit="0" vertical="center" wrapText="0"/>
    </xf>
    <xf borderId="31" fillId="19" fontId="36" numFmtId="165" xfId="0" applyAlignment="1" applyBorder="1" applyFill="1" applyFont="1" applyNumberFormat="1">
      <alignment shrinkToFit="0" vertical="center" wrapText="0"/>
    </xf>
    <xf borderId="31" fillId="19" fontId="40" numFmtId="49" xfId="0" applyAlignment="1" applyBorder="1" applyFill="1" applyFont="1" applyNumberFormat="1">
      <alignment shrinkToFit="0" vertical="center" wrapText="0"/>
    </xf>
    <xf borderId="31" fillId="19" fontId="37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22">
    <dxf>
      <font/>
      <fill>
        <patternFill patternType="none"/>
      </fill>
      <border/>
    </dxf>
    <dxf>
      <font/>
      <fill>
        <patternFill patternType="solid">
          <fgColor rgb="FFC7D6EF"/>
          <bgColor rgb="FFC7D6E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7D6EF"/>
        </left>
        <right style="thin">
          <color rgb="FFC7D6EF"/>
        </right>
        <top style="thin">
          <color rgb="FFC7D6EF"/>
        </top>
        <bottom style="thin">
          <color rgb="FFC7D6EF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3261E"/>
          <bgColor rgb="FFB3261E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  <color rgb="FF1E5B3F"/>
      </font>
      <fill>
        <patternFill patternType="solid">
          <fgColor rgb="FFD6EFE0"/>
          <bgColor rgb="FFD6EFE0"/>
        </patternFill>
      </fill>
      <border/>
    </dxf>
    <dxf>
      <font>
        <b/>
        <color rgb="FF7A1E42"/>
      </font>
      <fill>
        <patternFill patternType="solid">
          <fgColor rgb="FFF2D6E2"/>
          <bgColor rgb="FFF2D6E2"/>
        </patternFill>
      </fill>
      <border/>
    </dxf>
    <dxf>
      <font>
        <b/>
        <color rgb="FFA51919"/>
      </font>
      <fill>
        <patternFill patternType="solid">
          <fgColor rgb="FFF4CCCC"/>
          <bgColor rgb="FFF4CCCC"/>
        </patternFill>
      </fill>
      <border/>
    </dxf>
    <dxf>
      <font>
        <b/>
        <color rgb="FF1E7233"/>
      </font>
      <fill>
        <patternFill patternType="solid">
          <fgColor rgb="FFD6EDD8"/>
          <bgColor rgb="FFD6EDD8"/>
        </patternFill>
      </fill>
      <border/>
    </dxf>
    <dxf>
      <font>
        <b/>
        <color rgb="FFB3251E"/>
      </font>
      <fill>
        <patternFill patternType="solid">
          <fgColor rgb="FFFBE8E6"/>
          <bgColor rgb="FFFBE8E6"/>
        </patternFill>
      </fill>
      <border/>
    </dxf>
    <dxf>
      <font>
        <b/>
        <color rgb="FFB3261E"/>
      </font>
      <fill>
        <patternFill patternType="solid">
          <fgColor rgb="FFFCE8E6"/>
          <bgColor rgb="FFFCE8E6"/>
        </patternFill>
      </fill>
      <border/>
    </dxf>
    <dxf>
      <font>
        <b/>
        <color rgb="FF5B3F86"/>
      </font>
      <fill>
        <patternFill patternType="solid">
          <fgColor rgb="FFE8DDF4"/>
          <bgColor rgb="FFE8DDF4"/>
        </patternFill>
      </fill>
      <border/>
    </dxf>
    <dxf>
      <font>
        <b/>
        <color rgb="FF3F598C"/>
      </font>
      <fill>
        <patternFill patternType="solid">
          <fgColor rgb="FFE0E8F4"/>
          <bgColor rgb="FFE0E8F4"/>
        </patternFill>
      </fill>
      <border/>
    </dxf>
    <dxf>
      <font>
        <b/>
        <color rgb="FF865F0B"/>
      </font>
      <fill>
        <patternFill patternType="solid">
          <fgColor rgb="FFFFEEBA"/>
          <bgColor rgb="FFFFEEBA"/>
        </patternFill>
      </fill>
      <border/>
    </dxf>
    <dxf>
      <font>
        <i/>
        <color rgb="FF777777"/>
      </font>
      <fill>
        <patternFill patternType="solid">
          <fgColor rgb="FFEEEEEE"/>
          <bgColor rgb="FFEEEEEE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8">
    <tableStyle count="4" pivot="0" name="PAGO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BASE DE DATOSS-style">
      <tableStyleElement dxfId="2" type="headerRow"/>
      <tableStyleElement dxfId="4" type="firstRowStripe"/>
      <tableStyleElement dxfId="3" type="secondRowStripe"/>
      <tableStyleElement dxfId="6" size="0" type="wholeTable"/>
    </tableStyle>
    <tableStyle count="4" pivot="0" name="OTROS INGRESOS-style">
      <tableStyleElement dxfId="8" type="headerRow"/>
      <tableStyleElement dxfId="3" type="firstRowStripe"/>
      <tableStyleElement dxfId="5" type="secondRowStripe"/>
      <tableStyleElement dxfId="6" size="0" type="wholeTable"/>
    </tableStyle>
    <tableStyle count="4" pivot="0" name="ESTADO CONTABLE-style">
      <tableStyleElement dxfId="8" type="headerRow"/>
      <tableStyleElement dxfId="3" type="firstRowStripe"/>
      <tableStyleElement dxfId="5" type="secondRowStripe"/>
      <tableStyleElement dxfId="6" size="0" type="wholeTable"/>
    </tableStyle>
    <tableStyle count="4" pivot="0" name="DADAS DE BAJA-style">
      <tableStyleElement dxfId="8" type="headerRow"/>
      <tableStyleElement dxfId="3" type="firstRowStripe"/>
      <tableStyleElement dxfId="5" type="secondRowStripe"/>
      <tableStyleElement dxfId="6" size="0" type="wholeTable"/>
    </tableStyle>
    <tableStyle count="4" pivot="0" name="GASTOS FIJOS-style">
      <tableStyleElement dxfId="8" type="headerRow"/>
      <tableStyleElement dxfId="3" type="firstRowStripe"/>
      <tableStyleElement dxfId="5" type="secondRowStripe"/>
      <tableStyleElement dxfId="6" size="0" type="wholeTable"/>
    </tableStyle>
    <tableStyle count="2" pivot="0" name="GASTOS FIJOS-style 2">
      <tableStyleElement dxfId="3" type="firstRowStripe"/>
      <tableStyleElement dxfId="5" type="secondRowStripe"/>
    </tableStyle>
    <tableStyle count="4" pivot="0" name="CAPACIDAD GRUPOS-style">
      <tableStyleElement dxfId="8" type="headerRow"/>
      <tableStyleElement dxfId="3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b="0">
                <a:solidFill>
                  <a:srgbClr val="8D8D9F"/>
                </a:solidFill>
                <a:latin typeface="+mn-lt"/>
              </a:rPr>
              <a:t>Ingresos brutos mensuales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'RESUMEN HISTÓRICO'!$B$4</c:f>
            </c:strRef>
          </c:tx>
          <c:spPr>
            <a:ln cmpd="sng" w="28575">
              <a:solidFill>
                <a:srgbClr val="174EA6"/>
              </a:solidFill>
            </a:ln>
          </c:spPr>
          <c:marker>
            <c:symbol val="none"/>
          </c:marker>
          <c:cat>
            <c:strRef>
              <c:f>'RESUMEN HISTÓRICO'!$A$5:$A$33</c:f>
            </c:strRef>
          </c:cat>
          <c:val>
            <c:numRef>
              <c:f>'RESUMEN HISTÓRICO'!$B$5:$B$33</c:f>
              <c:numCache/>
            </c:numRef>
          </c:val>
          <c:smooth val="0"/>
        </c:ser>
        <c:axId val="1029488776"/>
        <c:axId val="1304537828"/>
      </c:lineChart>
      <c:catAx>
        <c:axId val="1029488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304537828"/>
      </c:catAx>
      <c:valAx>
        <c:axId val="1304537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MXN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02948877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b="0">
                <a:solidFill>
                  <a:srgbClr val="8D8D9F"/>
                </a:solidFill>
                <a:latin typeface="+mn-lt"/>
              </a:rPr>
              <a:t>Alumnas con mensualidad registrada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'RESUMEN HISTÓRICO'!$I$4</c:f>
            </c:strRef>
          </c:tx>
          <c:spPr>
            <a:ln cmpd="sng" w="28575">
              <a:solidFill>
                <a:srgbClr val="536835"/>
              </a:solidFill>
            </a:ln>
          </c:spPr>
          <c:marker>
            <c:symbol val="none"/>
          </c:marker>
          <c:cat>
            <c:strRef>
              <c:f>'RESUMEN HISTÓRICO'!$A$5:$A$33</c:f>
            </c:strRef>
          </c:cat>
          <c:val>
            <c:numRef>
              <c:f>'RESUMEN HISTÓRICO'!$I$5:$I$33</c:f>
              <c:numCache/>
            </c:numRef>
          </c:val>
          <c:smooth val="0"/>
        </c:ser>
        <c:axId val="1116634703"/>
        <c:axId val="790102072"/>
      </c:lineChart>
      <c:catAx>
        <c:axId val="1116634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790102072"/>
      </c:catAx>
      <c:valAx>
        <c:axId val="790102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11663470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b="0">
                <a:solidFill>
                  <a:srgbClr val="8D8D9F"/>
                </a:solidFill>
                <a:latin typeface="+mn-lt"/>
              </a:rPr>
              <a:t>Composición de ingresos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'RESUMEN HISTÓRICO'!$C$4</c:f>
            </c:strRef>
          </c:tx>
          <c:spPr>
            <a:solidFill>
              <a:srgbClr val="F8AB00"/>
            </a:solidFill>
            <a:ln cmpd="sng">
              <a:noFill/>
            </a:ln>
          </c:spPr>
          <c:invertIfNegative val="0"/>
          <c:cat>
            <c:strRef>
              <c:f>'RESUMEN HISTÓRICO'!$A$5:$A$33</c:f>
            </c:strRef>
          </c:cat>
          <c:val>
            <c:numRef>
              <c:f>'RESUMEN HISTÓRICO'!$C$5:$C$33</c:f>
              <c:numCache/>
            </c:numRef>
          </c:val>
        </c:ser>
        <c:ser>
          <c:idx val="1"/>
          <c:order val="1"/>
          <c:tx>
            <c:strRef>
              <c:f>'RESUMEN HISTÓRICO'!$D$4</c:f>
            </c:strRef>
          </c:tx>
          <c:spPr>
            <a:solidFill>
              <a:srgbClr val="174EA6"/>
            </a:solidFill>
            <a:ln cmpd="sng">
              <a:noFill/>
            </a:ln>
          </c:spPr>
          <c:invertIfNegative val="0"/>
          <c:cat>
            <c:strRef>
              <c:f>'RESUMEN HISTÓRICO'!$A$5:$A$33</c:f>
            </c:strRef>
          </c:cat>
          <c:val>
            <c:numRef>
              <c:f>'RESUMEN HISTÓRICO'!$D$5:$D$33</c:f>
              <c:numCache/>
            </c:numRef>
          </c:val>
        </c:ser>
        <c:overlap val="100"/>
        <c:axId val="129185851"/>
        <c:axId val="1209974842"/>
      </c:barChart>
      <c:catAx>
        <c:axId val="129185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209974842"/>
      </c:catAx>
      <c:valAx>
        <c:axId val="1209974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MXN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2918585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Roboto"/>
              </a:defRPr>
            </a:pPr>
            <a:r>
              <a:rPr b="0">
                <a:solidFill>
                  <a:srgbClr val="8D8D9F"/>
                </a:solidFill>
                <a:latin typeface="Roboto"/>
              </a:rPr>
              <a:t>Ingresos, egresos y flujo neto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'RESUMEN HISTÓRICO'!$B$4</c:f>
            </c:strRef>
          </c:tx>
          <c:spPr>
            <a:solidFill>
              <a:srgbClr val="178038"/>
            </a:solidFill>
            <a:ln cmpd="sng">
              <a:noFill/>
            </a:ln>
          </c:spPr>
          <c:invertIfNegative val="0"/>
          <c:cat>
            <c:strRef>
              <c:f>'RESUMEN HISTÓRICO'!$A$5:$A$33</c:f>
            </c:strRef>
          </c:cat>
          <c:val>
            <c:numRef>
              <c:f>'RESUMEN HISTÓRICO'!$B$5:$B$33</c:f>
              <c:numCache/>
            </c:numRef>
          </c:val>
        </c:ser>
        <c:ser>
          <c:idx val="1"/>
          <c:order val="1"/>
          <c:tx>
            <c:strRef>
              <c:f>'RESUMEN HISTÓRICO'!$G$4</c:f>
            </c:strRef>
          </c:tx>
          <c:spPr>
            <a:solidFill>
              <a:srgbClr val="D92F25"/>
            </a:solidFill>
            <a:ln cmpd="sng">
              <a:noFill/>
            </a:ln>
          </c:spPr>
          <c:invertIfNegative val="0"/>
          <c:cat>
            <c:strRef>
              <c:f>'RESUMEN HISTÓRICO'!$A$5:$A$33</c:f>
            </c:strRef>
          </c:cat>
          <c:val>
            <c:numRef>
              <c:f>'RESUMEN HISTÓRICO'!$G$5:$G$33</c:f>
              <c:numCache/>
            </c:numRef>
          </c:val>
        </c:ser>
        <c:axId val="1616067231"/>
        <c:axId val="1501996430"/>
      </c:barChart>
      <c:lineChart>
        <c:varyColors val="0"/>
        <c:ser>
          <c:idx val="2"/>
          <c:order val="2"/>
          <c:tx>
            <c:strRef>
              <c:f>'RESUMEN HISTÓRICO'!$H$4</c:f>
            </c:strRef>
          </c:tx>
          <c:spPr>
            <a:ln cmpd="sng">
              <a:solidFill>
                <a:srgbClr val="F5A69B"/>
              </a:solidFill>
            </a:ln>
          </c:spPr>
          <c:marker>
            <c:symbol val="none"/>
          </c:marker>
          <c:cat>
            <c:strRef>
              <c:f>'RESUMEN HISTÓRICO'!$A$5:$A$33</c:f>
            </c:strRef>
          </c:cat>
          <c:val>
            <c:numRef>
              <c:f>'RESUMEN HISTÓRICO'!$H$5:$H$33</c:f>
              <c:numCache/>
            </c:numRef>
          </c:val>
          <c:smooth val="0"/>
        </c:ser>
        <c:axId val="1616067231"/>
        <c:axId val="1501996430"/>
      </c:lineChart>
      <c:catAx>
        <c:axId val="161606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Roboto"/>
                  </a:defRPr>
                </a:pPr>
                <a:r>
                  <a:rPr b="0">
                    <a:solidFill>
                      <a:srgbClr val="2C2C4D"/>
                    </a:solidFill>
                    <a:latin typeface="Roboto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Roboto"/>
              </a:defRPr>
            </a:pPr>
          </a:p>
        </c:txPr>
        <c:crossAx val="1501996430"/>
      </c:catAx>
      <c:valAx>
        <c:axId val="1501996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Roboto"/>
                  </a:defRPr>
                </a:pPr>
                <a:r>
                  <a:rPr b="0">
                    <a:solidFill>
                      <a:srgbClr val="2C2C4D"/>
                    </a:solidFill>
                    <a:latin typeface="Roboto"/>
                  </a:rPr>
                  <a:t>MXN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Roboto"/>
              </a:defRPr>
            </a:pPr>
          </a:p>
        </c:txPr>
        <c:crossAx val="16160672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714375</xdr:colOff>
      <xdr:row>0</xdr:row>
      <xdr:rowOff>76200</xdr:rowOff>
    </xdr:from>
    <xdr:ext cx="1685925" cy="1571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18</xdr:row>
      <xdr:rowOff>76200</xdr:rowOff>
    </xdr:from>
    <xdr:ext cx="6096000" cy="3048000"/>
    <xdr:graphicFrame>
      <xdr:nvGraphicFramePr>
        <xdr:cNvPr id="1" name="Chart 1" title="Ingresos brutos mensual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76200</xdr:colOff>
      <xdr:row>18</xdr:row>
      <xdr:rowOff>76200</xdr:rowOff>
    </xdr:from>
    <xdr:ext cx="6096000" cy="3048000"/>
    <xdr:graphicFrame>
      <xdr:nvGraphicFramePr>
        <xdr:cNvPr id="2" name="Chart 2" title="Alumnas con mensualidad registrad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76200</xdr:colOff>
      <xdr:row>34</xdr:row>
      <xdr:rowOff>76200</xdr:rowOff>
    </xdr:from>
    <xdr:ext cx="6096000" cy="3048000"/>
    <xdr:graphicFrame>
      <xdr:nvGraphicFramePr>
        <xdr:cNvPr id="3" name="Chart 3" title="Composición de ingres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76200</xdr:colOff>
      <xdr:row>34</xdr:row>
      <xdr:rowOff>76200</xdr:rowOff>
    </xdr:from>
    <xdr:ext cx="6096000" cy="3048000"/>
    <xdr:graphicFrame>
      <xdr:nvGraphicFramePr>
        <xdr:cNvPr id="4" name="Chart 4" title="Ingresos, egresos y flujo net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8" displayName="Tabla_2" name="Tabla_2" id="2">
  <autoFilter ref="$A$1:$I$88"/>
  <tableColumns count="9">
    <tableColumn name="ALUMNA " id="1"/>
    <tableColumn name="MAMÁ / PAPÁ " id="2"/>
    <tableColumn name="GRUPO" id="3"/>
    <tableColumn name="FECHA DE NACIMIENTO " id="4"/>
    <tableColumn name="CORREO" id="5"/>
    <tableColumn name="CELULAR " id="6"/>
    <tableColumn name="FECHA DE INSCRIPCIÓN " id="7"/>
    <tableColumn name="REGLAMENTO " id="8"/>
    <tableColumn name="COBRAR DESDE" id="9"/>
  </tableColumns>
  <tableStyleInfo name="BASE DE DATOSS-style" showColumnStripes="0" showFirstColumn="1" showLastColumn="1" showRowStripes="1"/>
</table>
</file>

<file path=xl/tables/table2.xml><?xml version="1.0" encoding="utf-8"?>
<table xmlns="http://schemas.openxmlformats.org/spreadsheetml/2006/main" ref="A1:AO1014" displayName="Tabla_3" name="Tabla_3" id="1">
  <autoFilter ref="$A$1:$AO$1014"/>
  <tableColumns count="41">
    <tableColumn name="NOMBRE" id="1"/>
    <tableColumn name="GRUPO" id="2"/>
    <tableColumn name="RE-INSCRIPCIÓN 2026" id="3"/>
    <tableColumn name="ENERO " id="4"/>
    <tableColumn name="PAGO " id="5"/>
    <tableColumn name="FEBRERO" id="6"/>
    <tableColumn name="PAGO  2" id="7"/>
    <tableColumn name="MÉTODO " id="8"/>
    <tableColumn name="MARZO" id="9"/>
    <tableColumn name="PAGO  3" id="10"/>
    <tableColumn name="MÉTODO" id="11"/>
    <tableColumn name="ABRIL" id="12"/>
    <tableColumn name="PAGO  4" id="13"/>
    <tableColumn name="MÉTODO 2" id="14"/>
    <tableColumn name="MAYO" id="15"/>
    <tableColumn name="PAGO  5" id="16"/>
    <tableColumn name="MÉTODO 3" id="17"/>
    <tableColumn name="JUNIO" id="18"/>
    <tableColumn name="PAGO  6" id="19"/>
    <tableColumn name="MÉTODO 4" id="20"/>
    <tableColumn name="JULIO" id="21"/>
    <tableColumn name="PAGO" id="22"/>
    <tableColumn name="MÉTODO 5" id="23"/>
    <tableColumn name="AGOSTO" id="24"/>
    <tableColumn name="PAGO 2" id="25"/>
    <tableColumn name="MÉTODO  2" id="26"/>
    <tableColumn name="SEPTIEMBRE" id="27"/>
    <tableColumn name="PAGO 3" id="28"/>
    <tableColumn name="MÉTODO 6" id="29"/>
    <tableColumn name="OCTUBRE" id="30"/>
    <tableColumn name="PAGO 4" id="31"/>
    <tableColumn name="MÉTODO 7" id="32"/>
    <tableColumn name="NOVIEMBRE" id="33"/>
    <tableColumn name="PAGO 5" id="34"/>
    <tableColumn name="MÉTODO 8" id="35"/>
    <tableColumn name="DICIEMBRE" id="36"/>
    <tableColumn name="PAGO 6" id="37"/>
    <tableColumn name="MÉTODO 9" id="38"/>
    <tableColumn name="TOTAL MES" id="39"/>
    <tableColumn name="TOTAL $" id="40"/>
    <tableColumn name="SIN IVA" id="41"/>
  </tableColumns>
  <tableStyleInfo name="PAGOS-style" showColumnStripes="0" showFirstColumn="1" showLastColumn="1" showRowStripes="1"/>
</table>
</file>

<file path=xl/tables/table3.xml><?xml version="1.0" encoding="utf-8"?>
<table xmlns="http://schemas.openxmlformats.org/spreadsheetml/2006/main" ref="A4:J499" displayName="TablaOtrosIngresos" name="TablaOtrosIngresos" id="3">
  <autoFilter ref="$A$4:$J$499">
    <filterColumn colId="1">
      <filters blank="1">
        <filter val="OCTUBRE"/>
      </filters>
    </filterColumn>
  </autoFilter>
  <tableColumns count="10">
    <tableColumn name="FECHA" id="1"/>
    <tableColumn name="MES" id="2"/>
    <tableColumn name="CONCEPTO" id="3"/>
    <tableColumn name="ALUMNA / CLIENTE" id="4"/>
    <tableColumn name="MÉTODO" id="5"/>
    <tableColumn name="IMPORTE BRUTO" id="6"/>
    <tableColumn name="IVA DIGITAL" id="7"/>
    <tableColumn name="IMPORTE NETO" id="8"/>
    <tableColumn name="¿FACTURADO?" id="9"/>
    <tableColumn name="NOTAS" id="10"/>
  </tableColumns>
  <tableStyleInfo name="OTROS INGRESOS-style" showColumnStripes="0" showFirstColumn="1" showLastColumn="1" showRowStripes="1"/>
</table>
</file>

<file path=xl/tables/table4.xml><?xml version="1.0" encoding="utf-8"?>
<table xmlns="http://schemas.openxmlformats.org/spreadsheetml/2006/main" ref="A4:P16" displayName="TablaEstadoContable" name="TablaEstadoContable" id="4">
  <tableColumns count="16">
    <tableColumn name="MES" id="1"/>
    <tableColumn name="INGRESO BRUTO" id="2"/>
    <tableColumn name="EFECTIVO" id="3"/>
    <tableColumn name="TERMINAL BRUTO" id="4"/>
    <tableColumn name="TERMINAL SIN IVA" id="5"/>
    <tableColumn name="TRANSFERENCIA BRUTO" id="6"/>
    <tableColumn name="TRANSFERENCIA SIN IVA" id="7"/>
    <tableColumn name="POR CLASIFICAR" id="8"/>
    <tableColumn name="IVA DIGITAL" id="9"/>
    <tableColumn name="INGRESO NETO TOTAL" id="10"/>
    <tableColumn name="EGRESOS REALES" id="11"/>
    <tableColumn name="UTILIDAD REAL" id="12"/>
    <tableColumn name="GASTOS FIJOS PRESUP." id="13"/>
    <tableColumn name="UTILIDAD PROYECTADA" id="14"/>
    <tableColumn name="IVA ACREDITABLE" id="15"/>
    <tableColumn name="IVA ESTIMADO POR PAGAR" id="16"/>
  </tableColumns>
  <tableStyleInfo name="ESTADO CONTABLE-style" showColumnStripes="0" showFirstColumn="1" showLastColumn="1" showRowStripes="1"/>
</table>
</file>

<file path=xl/tables/table5.xml><?xml version="1.0" encoding="utf-8"?>
<table xmlns="http://schemas.openxmlformats.org/spreadsheetml/2006/main" ref="A1:K33" displayName="Tabla_1" name="Tabla_1" id="5">
  <tableColumns count="11">
    <tableColumn name="NOMBRE" id="1"/>
    <tableColumn name="MAMÁ" id="2"/>
    <tableColumn name="GRUPO" id="3"/>
    <tableColumn name="FECHA DE NACIMIETNO" id="4"/>
    <tableColumn name="CORREO" id="5"/>
    <tableColumn name="CELULAR" id="6"/>
    <tableColumn name="MOTIVO" id="7"/>
    <tableColumn name="REGLAMENTO" id="8"/>
    <tableColumn name="COBRAR DESDE" id="9"/>
    <tableColumn name="INSCRIPCIÓN" id="10"/>
    <tableColumn name="BAJA" id="11"/>
  </tableColumns>
  <tableStyleInfo name="DADAS DE BAJA-style" showColumnStripes="0" showFirstColumn="1" showLastColumn="1" showRowStripes="1"/>
</table>
</file>

<file path=xl/tables/table6.xml><?xml version="1.0" encoding="utf-8"?>
<table xmlns="http://schemas.openxmlformats.org/spreadsheetml/2006/main" ref="A3:K12" displayName="TablaGastosFijos" name="TablaGastosFijos" id="6">
  <tableColumns count="11">
    <tableColumn name="CONCEPTO" id="1"/>
    <tableColumn name="CATEGORÍA" id="2"/>
    <tableColumn name="TIPO" id="3"/>
    <tableColumn name="PRESUPUESTO MENSUAL" id="4"/>
    <tableColumn name="DÍA DE PAGO" id="5"/>
    <tableColumn name="MÉTODO PREVISTO" id="6"/>
    <tableColumn name="¿INCLUIR EN PRESUPUESTO?" id="7"/>
    <tableColumn name="ÚLTIMA REVISIÓN" id="8"/>
    <tableColumn name="NOTAS" id="9"/>
    <tableColumn name="VIGENTE DESDE" id="10"/>
    <tableColumn name="VIGENTE HASTA" id="11"/>
  </tableColumns>
  <tableStyleInfo name="GASTOS FIJOS-style" showColumnStripes="0" showFirstColumn="1" showLastColumn="1" showRowStripes="1"/>
</table>
</file>

<file path=xl/tables/table7.xml><?xml version="1.0" encoding="utf-8"?>
<table xmlns="http://schemas.openxmlformats.org/spreadsheetml/2006/main" headerRowCount="0" ref="A13:I13" displayName="Table_1" name="Table_1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ASTOS FIJOS-style 2" showColumnStripes="0" showFirstColumn="1" showLastColumn="1" showRowStripes="1"/>
</table>
</file>

<file path=xl/tables/table8.xml><?xml version="1.0" encoding="utf-8"?>
<table xmlns="http://schemas.openxmlformats.org/spreadsheetml/2006/main" ref="A4:I14" displayName="TablaCapacidadGrupos" name="TablaCapacidadGrupos" id="8">
  <tableColumns count="9">
    <tableColumn name="GRUPO" id="1"/>
    <tableColumn name="ALUMNAS ACTIVAS" id="2"/>
    <tableColumn name="CAPACIDAD MÁXIMA" id="3"/>
    <tableColumn name="ESPACIOS DISPONIBLES" id="4"/>
    <tableColumn name="OCUPACIÓN" id="5"/>
    <tableColumn name="MENSUALIDAD BONIFICADA" id="6"/>
    <tableColumn name="INGRESO ESPERADO ACTUAL" id="7"/>
    <tableColumn name="INGRESO ESPERADO A CUPO LLENO" id="8"/>
    <tableColumn name="OPORTUNIDAD ESPERADA" id="9"/>
  </tableColumns>
  <tableStyleInfo name="CAPACIDAD GRUP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torresoni@hotmail.com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8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9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75"/>
  <cols>
    <col customWidth="1" min="1" max="1" width="27.33"/>
    <col customWidth="1" min="2" max="2" width="13.44"/>
    <col customWidth="1" min="3" max="3" width="18.44"/>
    <col customWidth="1" min="4" max="4" width="16.22"/>
    <col customWidth="1" min="5" max="5" width="18.44"/>
    <col customWidth="1" min="6" max="7" width="14.0"/>
  </cols>
  <sheetData>
    <row r="1" ht="28.5" customHeight="1">
      <c r="A1" s="1" t="s">
        <v>0</v>
      </c>
    </row>
    <row r="2" ht="22.5" customHeight="1">
      <c r="A2" s="2" t="s">
        <v>1</v>
      </c>
      <c r="B2" s="4" t="s">
        <v>3</v>
      </c>
      <c r="C2" s="2"/>
      <c r="D2" s="2" t="s">
        <v>4</v>
      </c>
      <c r="E2" s="2">
        <f>'ESTADO CONTABLE'!B2</f>
        <v>2026</v>
      </c>
    </row>
    <row r="4">
      <c r="A4" s="10" t="s">
        <v>5</v>
      </c>
      <c r="B4" s="12">
        <f>COUNTIF(F15:F150,"COBRADA")+COUNTIF(F15:F150,"ABONO")+COUNTIF(F15:F150,"PENDIENTE")</f>
        <v>78</v>
      </c>
      <c r="C4" s="13" t="s">
        <v>6</v>
      </c>
      <c r="D4" s="12">
        <f>COUNTIF(F15:F150,"COBRADA")</f>
        <v>70</v>
      </c>
      <c r="E4" s="13" t="s">
        <v>7</v>
      </c>
      <c r="F4" s="12">
        <f>COUNTIF(F15:F150,"PENDIENTE")+COUNTIF(F15:F150,"ABONO")</f>
        <v>8</v>
      </c>
    </row>
    <row r="5">
      <c r="A5" s="12"/>
      <c r="B5" s="12"/>
      <c r="C5" s="12"/>
      <c r="D5" s="12"/>
      <c r="E5" s="12"/>
      <c r="F5" s="12"/>
    </row>
    <row r="6">
      <c r="A6" s="12"/>
      <c r="B6" s="12"/>
      <c r="C6" s="12"/>
      <c r="D6" s="12"/>
      <c r="E6" s="12"/>
      <c r="F6" s="12"/>
    </row>
    <row r="7">
      <c r="A7" s="10" t="s">
        <v>9</v>
      </c>
      <c r="B7" s="17">
        <f>SUM(C15:C150)</f>
        <v>58275.86207</v>
      </c>
      <c r="C7" s="17" t="s">
        <v>10</v>
      </c>
      <c r="D7" s="17">
        <f t="array" ref="D7">_xlfn.XLOOKUP($B$2,'ESTADO CONTABLE'!$A$5:$A$16,'ESTADO CONTABLE'!$B$5:$B$16,0)</f>
        <v>66356</v>
      </c>
      <c r="E7" s="17" t="s">
        <v>13</v>
      </c>
      <c r="F7" s="17">
        <f t="array" ref="F7">_xlfn.XLOOKUP($B$2,'ESTADO CONTABLE'!$A$5:$A$16,'ESTADO CONTABLE'!$J$5:$J$16,0)</f>
        <v>61045.65517</v>
      </c>
    </row>
    <row r="8">
      <c r="A8" s="12"/>
      <c r="B8" s="17"/>
      <c r="C8" s="17"/>
      <c r="D8" s="17"/>
      <c r="E8" s="17"/>
      <c r="F8" s="17"/>
    </row>
    <row r="9">
      <c r="A9" s="12" t="s">
        <v>20</v>
      </c>
      <c r="B9" s="17">
        <f t="array" ref="B9">_xlfn.XLOOKUP($B$2,'ESTADO CONTABLE'!$A$5:$A$16,'ESTADO CONTABLE'!$K$5:$K$16,0)</f>
        <v>35596.97</v>
      </c>
      <c r="C9" s="17" t="s">
        <v>24</v>
      </c>
      <c r="D9" s="17">
        <f t="array" ref="D9">_xlfn.XLOOKUP($B$2,'ESTADO CONTABLE'!$A$5:$A$16,'ESTADO CONTABLE'!$L$5:$L$16,0)</f>
        <v>25448.68517</v>
      </c>
      <c r="E9" s="17" t="s">
        <v>26</v>
      </c>
      <c r="F9" s="17">
        <f t="array" ref="F9">_xlfn.XLOOKUP($B$2,'ESTADO CONTABLE'!$A$5:$A$16,'ESTADO CONTABLE'!$M$5:$M$16,0)</f>
        <v>43926</v>
      </c>
    </row>
    <row r="10">
      <c r="A10" s="12"/>
      <c r="B10" s="17"/>
      <c r="C10" s="17"/>
      <c r="D10" s="17"/>
      <c r="E10" s="17"/>
      <c r="F10" s="17"/>
    </row>
    <row r="11">
      <c r="A11" s="10" t="s">
        <v>29</v>
      </c>
      <c r="B11" s="17">
        <f t="array" ref="B11">_xlfn.XLOOKUP($B$2,'ESTADO CONTABLE'!$A$5:$A$16,'ESTADO CONTABLE'!$N$5:$N$16,0)</f>
        <v>17119.65517</v>
      </c>
      <c r="C11" s="17"/>
      <c r="D11" s="17"/>
      <c r="E11" s="36" t="s">
        <v>32</v>
      </c>
      <c r="F11" s="17">
        <f>B7-F9</f>
        <v>14349.86207</v>
      </c>
    </row>
    <row r="13">
      <c r="A13" s="40" t="s">
        <v>35</v>
      </c>
    </row>
    <row r="14">
      <c r="A14" s="42" t="s">
        <v>37</v>
      </c>
      <c r="B14" s="42" t="s">
        <v>15</v>
      </c>
      <c r="C14" s="45" t="s">
        <v>38</v>
      </c>
      <c r="D14" s="42" t="s">
        <v>40</v>
      </c>
      <c r="E14" s="42" t="s">
        <v>41</v>
      </c>
      <c r="F14" s="42" t="s">
        <v>42</v>
      </c>
      <c r="G14" s="42" t="s">
        <v>25</v>
      </c>
    </row>
    <row r="15">
      <c r="A15" s="51" t="str">
        <f t="array" ref="A15">IFERROR(INDEX('BASE DE DATOSS'!A:A,ROW()-13),"")</f>
        <v>AMEYALI MARTÍNEZ I. MORALES</v>
      </c>
      <c r="B15" s="51" t="str">
        <f t="array" ref="B15">IF(A15="","",IFERROR(INDEX('BASE DE DATOSS'!C:C,ROW()-13),""))</f>
        <v>KIDS 3</v>
      </c>
      <c r="C15" s="62">
        <f t="array" ref="C15">IF(A15="","",LET(mes,DATE($E$2,MATCH($B$2,'ESTADO CONTABLE'!$A$5:$A$16,0),1),cobrarDesde,IFERROR(INDEX('BASE DE DATOSS'!I:I,ROW()-13),""),pausada,SUMPRODUCT((UPPER(TRIM('PAUSAS MENSUALIDADES'!$A$5:$A$500))=UPPER(TRIM(A15)))*('PAUSAS MENSUALIDADES'!$B$5:$B$500=mes)*(UPPER(TRIM('PAUSAS MENSUALIDADES'!$D$5:$D$500))="APLICAR"))&gt;0,IF(OR(AND(cobrarDesde&lt;&gt;"",mes&lt;cobrarDesde),pausada),0,MAX(IFNA(VLOOKUP(B15,COSTOS!$A$3:$B$13,2,FALSE),0)-150,0)/1.16)))</f>
        <v>689.6551724</v>
      </c>
      <c r="D15" s="62">
        <f t="array" ref="D15">IF(A15="","",LET(mes,DATE($E$2,MATCH($B$2,'ESTADO CONTABLE'!$A$5:$A$16,0),1),abonos,SUMIFS('ABONOS MENSUALIDADES'!$F$5:$F$500,'ABONOS MENSUALIDADES'!$C$5:$C$500,A15,'ABONOS MENSUALIDADES'!$D$5:$D$500,mes),pago,CHOOSE(MATCH($B$2,'ESTADO CONTABLE'!$A$5:$A$16,0),IFNA(_xlfn.XLOOKUP(A15,PAGOS!$A$2:$A$996,PAGOS!$E$2:$E$996,""),""),IFNA(_xlfn.XLOOKUP(A15,PAGOS!$A$2:$A$996,PAGOS!$G$2:$G$996,""),""),IFNA(_xlfn.XLOOKUP(A15,PAGOS!$A$2:$A$996,PAGOS!$J$2:$J$996,""),""),IFNA(_xlfn.XLOOKUP(A15,PAGOS!$A$2:$A$996,PAGOS!$M$2:$M$996,""),""),IFNA(_xlfn.XLOOKUP(A15,PAGOS!$A$2:$A$996,PAGOS!$P$2:$P$996,""),""),IFNA(_xlfn.XLOOKUP(A15,PAGOS!$A$2:$A$996,PAGOS!$S$2:$S$996,""),""),IFNA(_xlfn.XLOOKUP(A15,PAGOS!$A$2:$A$996,PAGOS!$V$2:$V$996,""),""),IFNA(_xlfn.XLOOKUP(A15,PAGOS!$A$2:$A$996,PAGOS!$Y$2:$Y$996,""),""),IFNA(_xlfn.XLOOKUP(A15,PAGOS!$A$2:$A$996,PAGOS!$AB$2:$AB$996,""),""),IFNA(_xlfn.XLOOKUP(A15,PAGOS!$A$2:$A$996,PAGOS!$AE$2:$AE$996,""),""),IFNA(_xlfn.XLOOKUP(A15,PAGOS!$A$2:$A$996,PAGOS!$AH$2:$AH$996,""),""),IFNA(_xlfn.XLOOKUP(A15,PAGOS!$A$2:$A$996,PAGOS!$AK$2:$AK$996,""),"")),IF(abonos&gt;0,abonos,pago)))</f>
        <v>400</v>
      </c>
      <c r="E15" s="51" t="str">
        <f>IFERROR(__xludf.DUMMYFUNCTION("IF(A15="""","""",LET(mes,DATE($E$2,MATCH($B$2,'ESTADO CONTABLE'!$A$5:$A$16,0),1),abonos,SUMIFS('ABONOS MENSUALIDADES'!$F$5:$F$500,'ABONOS MENSUALIDADES'!$C$5:$C$500,A15,'ABONOS MENSUALIDADES'!$D$5:$D$500,mes),metodoDirecto,CHOOSE(MATCH($B$2,'ESTADO CONTAB"&amp;"LE'!$A$5:$A$16,0),IF(ISNUMBER(D15),""POR CLASIFICAR"",""""),IFNA(XLOOKUP(A15,PAGOS!$A$2:$A$996,PAGOS!$H$2:$H$996,""""),""""),IFNA(XLOOKUP(A15,PAGOS!$A$2:$A$996,PAGOS!$K$2:$K$996,""""),""""),IFNA(XLOOKUP(A15,PAGOS!$A$2:$A$996,PAGOS!$N$2:$N$996,""""),""""),"&amp;"IFNA(XLOOKUP(A15,PAGOS!$A$2:$A$996,PAGOS!$Q$2:$Q$996,""""),""""),IFNA(XLOOKUP(A15,PAGOS!$A$2:$A$996,PAGOS!$T$2:$T$996,""""),""""),IFNA(XLOOKUP(A15,PAGOS!$A$2:$A$996,PAGOS!$W$2:$W$996,""""),""""),IFNA(XLOOKUP(A15,PAGOS!$A$2:$A$996,PAGOS!$Z$2:$Z$996,""""),"&amp;"""""),IFNA(XLOOKUP(A15,PAGOS!$A$2:$A$996,PAGOS!$AC$2:$AC$996,""""),""""),IFNA(XLOOKUP(A15,PAGOS!$A$2:$A$996,PAGOS!$AF$2:$AF$996,""""),""""),IFNA(XLOOKUP(A15,PAGOS!$A$2:$A$996,PAGOS!$AI$2:$AI$996,""""),""""),IFNA(XLOOKUP(A15,PAGOS!$A$2:$A$996,PAGOS!$AL$2:$"&amp;"AL$996,""""),"""")),IF(abonos&gt;0,IFERROR(TEXTJOIN("" + "",TRUE,UNIQUE(FILTER('ABONOS MENSUALIDADES'!$E$5:$E$500,'ABONOS MENSUALIDADES'!$C$5:$C$500=A15,'ABONOS MENSUALIDADES'!$D$5:$D$500=mes))),""""),metodoDirecto)))"),"TRANSFERENCIA")</f>
        <v>TRANSFERENCIA</v>
      </c>
      <c r="F15" s="51" t="str">
        <f t="array" ref="F15">IF(A15="","",LET(mes,DATE($E$2,MATCH($B$2,'ESTADO CONTABLE'!$A$5:$A$16,0),1),cobrarDesde,IFERROR(INDEX('BASE DE DATOSS'!I:I,ROW()-13),""),pausada,SUMPRODUCT((UPPER(TRIM('PAUSAS MENSUALIDADES'!$A$5:$A$500))=UPPER(TRIM(A15)))*('PAUSAS MENSUALIDADES'!$B$5:$B$500=mes)*(UPPER(TRIM('PAUSAS MENSUALIDADES'!$D$5:$D$500))="APLICAR"))&gt;0,abonoActivo,SUMIFS('ABONOS MENSUALIDADES'!$F$5:$F$500,'ABONOS MENSUALIDADES'!$C$5:$C$500,A15,'ABONOS MENSUALIDADES'!$D$5:$D$500,mes,'ABONOS MENSUALIDADES'!$G$5:$G$500,"&lt;&gt;*CONSOLIDADO EN PAGOS*")&gt;0,esperadaBruta,MAX(IFNA(VLOOKUP(B15,COSTOS!$A$3:$B$13,2,FALSE),0)-150,0),IF(AND(cobrarDesde&lt;&gt;"",mes&lt;cobrarDesde),"AÚN NO INICIA",IF(pausada,"PAUSADA",IF(AND(abonoActivo,COUNTIFS('ABONOS MENSUALIDADES'!$C$5:$C$500,A15,'ABONOS MENSUALIDADES'!$D$5:$D$500,mes,'ABONOS MENSUALIDADES'!$G$5:$G$500,"*MENSUALIDAD LIQUIDADA*")=0),"ABONO",IF(N(D15)&gt;=esperadaBruta,"COBRADA",IF(N(D15)&gt;0,"ABONO","PENDIENTE")))))))</f>
        <v>ABONO</v>
      </c>
      <c r="G15" s="79">
        <f t="array" ref="G15">IF(A15="","",IFERROR(INDEX('BASE DE DATOSS'!I:I,ROW()-13),""))</f>
        <v>46023</v>
      </c>
    </row>
    <row r="16">
      <c r="A16" s="51" t="str">
        <f t="array" ref="A16">IFERROR(INDEX('BASE DE DATOSS'!A:A,ROW()-13),"")</f>
        <v>ANA PAULA GUTIERREZ MENESES</v>
      </c>
      <c r="B16" s="51" t="str">
        <f t="array" ref="B16">IF(A16="","",IFERROR(INDEX('BASE DE DATOSS'!C:C,ROW()-13),""))</f>
        <v>KIDS 3</v>
      </c>
      <c r="C16" s="62">
        <f t="array" ref="C16">IF(A16="","",LET(mes,DATE($E$2,MATCH($B$2,'ESTADO CONTABLE'!$A$5:$A$16,0),1),cobrarDesde,IFERROR(INDEX('BASE DE DATOSS'!I:I,ROW()-13),""),pausada,SUMPRODUCT((UPPER(TRIM('PAUSAS MENSUALIDADES'!$A$5:$A$500))=UPPER(TRIM(A16)))*('PAUSAS MENSUALIDADES'!$B$5:$B$500=mes)*(UPPER(TRIM('PAUSAS MENSUALIDADES'!$D$5:$D$500))="APLICAR"))&gt;0,IF(OR(AND(cobrarDesde&lt;&gt;"",mes&lt;cobrarDesde),pausada),0,MAX(IFNA(VLOOKUP(B16,COSTOS!$A$3:$B$13,2,FALSE),0)-150,0)/1.16)))</f>
        <v>689.6551724</v>
      </c>
      <c r="D16" s="62">
        <f t="array" ref="D16">IF(A16="","",LET(mes,DATE($E$2,MATCH($B$2,'ESTADO CONTABLE'!$A$5:$A$16,0),1),abonos,SUMIFS('ABONOS MENSUALIDADES'!$F$5:$F$500,'ABONOS MENSUALIDADES'!$C$5:$C$500,A16,'ABONOS MENSUALIDADES'!$D$5:$D$500,mes),pago,CHOOSE(MATCH($B$2,'ESTADO CONTABLE'!$A$5:$A$16,0),IFNA(_xlfn.XLOOKUP(A16,PAGOS!$A$2:$A$996,PAGOS!$E$2:$E$996,""),""),IFNA(_xlfn.XLOOKUP(A16,PAGOS!$A$2:$A$996,PAGOS!$G$2:$G$996,""),""),IFNA(_xlfn.XLOOKUP(A16,PAGOS!$A$2:$A$996,PAGOS!$J$2:$J$996,""),""),IFNA(_xlfn.XLOOKUP(A16,PAGOS!$A$2:$A$996,PAGOS!$M$2:$M$996,""),""),IFNA(_xlfn.XLOOKUP(A16,PAGOS!$A$2:$A$996,PAGOS!$P$2:$P$996,""),""),IFNA(_xlfn.XLOOKUP(A16,PAGOS!$A$2:$A$996,PAGOS!$S$2:$S$996,""),""),IFNA(_xlfn.XLOOKUP(A16,PAGOS!$A$2:$A$996,PAGOS!$V$2:$V$996,""),""),IFNA(_xlfn.XLOOKUP(A16,PAGOS!$A$2:$A$996,PAGOS!$Y$2:$Y$996,""),""),IFNA(_xlfn.XLOOKUP(A16,PAGOS!$A$2:$A$996,PAGOS!$AB$2:$AB$996,""),""),IFNA(_xlfn.XLOOKUP(A16,PAGOS!$A$2:$A$996,PAGOS!$AE$2:$AE$996,""),""),IFNA(_xlfn.XLOOKUP(A16,PAGOS!$A$2:$A$996,PAGOS!$AH$2:$AH$996,""),""),IFNA(_xlfn.XLOOKUP(A16,PAGOS!$A$2:$A$996,PAGOS!$AK$2:$AK$996,""),"")),IF(abonos&gt;0,abonos,pago)))</f>
        <v>800</v>
      </c>
      <c r="E16" s="51" t="str">
        <f>IFERROR(__xludf.DUMMYFUNCTION("IF(A16="""","""",LET(mes,DATE($E$2,MATCH($B$2,'ESTADO CONTABLE'!$A$5:$A$16,0),1),abonos,SUMIFS('ABONOS MENSUALIDADES'!$F$5:$F$500,'ABONOS MENSUALIDADES'!$C$5:$C$500,A16,'ABONOS MENSUALIDADES'!$D$5:$D$500,mes),metodoDirecto,CHOOSE(MATCH($B$2,'ESTADO CONTAB"&amp;"LE'!$A$5:$A$16,0),IF(ISNUMBER(D16),""POR CLASIFICAR"",""""),IFNA(XLOOKUP(A16,PAGOS!$A$2:$A$996,PAGOS!$H$2:$H$996,""""),""""),IFNA(XLOOKUP(A16,PAGOS!$A$2:$A$996,PAGOS!$K$2:$K$996,""""),""""),IFNA(XLOOKUP(A16,PAGOS!$A$2:$A$996,PAGOS!$N$2:$N$996,""""),""""),"&amp;"IFNA(XLOOKUP(A16,PAGOS!$A$2:$A$996,PAGOS!$Q$2:$Q$996,""""),""""),IFNA(XLOOKUP(A16,PAGOS!$A$2:$A$996,PAGOS!$T$2:$T$996,""""),""""),IFNA(XLOOKUP(A16,PAGOS!$A$2:$A$996,PAGOS!$W$2:$W$996,""""),""""),IFNA(XLOOKUP(A16,PAGOS!$A$2:$A$996,PAGOS!$Z$2:$Z$996,""""),"&amp;"""""),IFNA(XLOOKUP(A16,PAGOS!$A$2:$A$996,PAGOS!$AC$2:$AC$996,""""),""""),IFNA(XLOOKUP(A16,PAGOS!$A$2:$A$996,PAGOS!$AF$2:$AF$996,""""),""""),IFNA(XLOOKUP(A16,PAGOS!$A$2:$A$996,PAGOS!$AI$2:$AI$996,""""),""""),IFNA(XLOOKUP(A16,PAGOS!$A$2:$A$996,PAGOS!$AL$2:$"&amp;"AL$996,""""),"""")),IF(abonos&gt;0,IFERROR(TEXTJOIN("" + "",TRUE,UNIQUE(FILTER('ABONOS MENSUALIDADES'!$E$5:$E$500,'ABONOS MENSUALIDADES'!$C$5:$C$500=A16,'ABONOS MENSUALIDADES'!$D$5:$D$500=mes))),""""),metodoDirecto)))"),"TRANSFERENCIA")</f>
        <v>TRANSFERENCIA</v>
      </c>
      <c r="F16" s="51" t="str">
        <f t="array" ref="F16">IF(A16="","",LET(mes,DATE($E$2,MATCH($B$2,'ESTADO CONTABLE'!$A$5:$A$16,0),1),cobrarDesde,IFERROR(INDEX('BASE DE DATOSS'!I:I,ROW()-13),""),pausada,SUMPRODUCT((UPPER(TRIM('PAUSAS MENSUALIDADES'!$A$5:$A$500))=UPPER(TRIM(A16)))*('PAUSAS MENSUALIDADES'!$B$5:$B$500=mes)*(UPPER(TRIM('PAUSAS MENSUALIDADES'!$D$5:$D$500))="APLICAR"))&gt;0,abonoActivo,SUMIFS('ABONOS MENSUALIDADES'!$F$5:$F$500,'ABONOS MENSUALIDADES'!$C$5:$C$500,A16,'ABONOS MENSUALIDADES'!$D$5:$D$500,mes,'ABONOS MENSUALIDADES'!$G$5:$G$500,"&lt;&gt;*CONSOLIDADO EN PAGOS*")&gt;0,esperadaBruta,MAX(IFNA(VLOOKUP(B16,COSTOS!$A$3:$B$13,2,FALSE),0)-150,0),IF(AND(cobrarDesde&lt;&gt;"",mes&lt;cobrarDesde),"AÚN NO INICIA",IF(pausada,"PAUSADA",IF(AND(abonoActivo,COUNTIFS('ABONOS MENSUALIDADES'!$C$5:$C$500,A16,'ABONOS MENSUALIDADES'!$D$5:$D$500,mes,'ABONOS MENSUALIDADES'!$G$5:$G$500,"*MENSUALIDAD LIQUIDADA*")=0),"ABONO",IF(N(D16)&gt;=esperadaBruta,"COBRADA",IF(N(D16)&gt;0,"ABONO","PENDIENTE")))))))</f>
        <v>COBRADA</v>
      </c>
      <c r="G16" s="79">
        <f t="array" ref="G16">IF(A16="","",IFERROR(INDEX('BASE DE DATOSS'!I:I,ROW()-13),""))</f>
        <v>46023</v>
      </c>
    </row>
    <row r="17">
      <c r="A17" s="51" t="str">
        <f t="array" ref="A17">IFERROR(INDEX('BASE DE DATOSS'!A:A,ROW()-13),"")</f>
        <v>ANA VICTORIA REVUELTA LARA</v>
      </c>
      <c r="B17" s="51" t="str">
        <f t="array" ref="B17">IF(A17="","",IFERROR(INDEX('BASE DE DATOSS'!C:C,ROW()-13),""))</f>
        <v>JR 2</v>
      </c>
      <c r="C17" s="62">
        <f t="array" ref="C17">IF(A17="","",LET(mes,DATE($E$2,MATCH($B$2,'ESTADO CONTABLE'!$A$5:$A$16,0),1),cobrarDesde,IFERROR(INDEX('BASE DE DATOSS'!I:I,ROW()-13),""),pausada,SUMPRODUCT((UPPER(TRIM('PAUSAS MENSUALIDADES'!$A$5:$A$500))=UPPER(TRIM(A17)))*('PAUSAS MENSUALIDADES'!$B$5:$B$500=mes)*(UPPER(TRIM('PAUSAS MENSUALIDADES'!$D$5:$D$500))="APLICAR"))&gt;0,IF(OR(AND(cobrarDesde&lt;&gt;"",mes&lt;cobrarDesde),pausada),0,MAX(IFNA(VLOOKUP(B17,COSTOS!$A$3:$B$13,2,FALSE),0)-150,0)/1.16)))</f>
        <v>689.6551724</v>
      </c>
      <c r="D17" s="62">
        <f t="array" ref="D17">IF(A17="","",LET(mes,DATE($E$2,MATCH($B$2,'ESTADO CONTABLE'!$A$5:$A$16,0),1),abonos,SUMIFS('ABONOS MENSUALIDADES'!$F$5:$F$500,'ABONOS MENSUALIDADES'!$C$5:$C$500,A17,'ABONOS MENSUALIDADES'!$D$5:$D$500,mes),pago,CHOOSE(MATCH($B$2,'ESTADO CONTABLE'!$A$5:$A$16,0),IFNA(_xlfn.XLOOKUP(A17,PAGOS!$A$2:$A$996,PAGOS!$E$2:$E$996,""),""),IFNA(_xlfn.XLOOKUP(A17,PAGOS!$A$2:$A$996,PAGOS!$G$2:$G$996,""),""),IFNA(_xlfn.XLOOKUP(A17,PAGOS!$A$2:$A$996,PAGOS!$J$2:$J$996,""),""),IFNA(_xlfn.XLOOKUP(A17,PAGOS!$A$2:$A$996,PAGOS!$M$2:$M$996,""),""),IFNA(_xlfn.XLOOKUP(A17,PAGOS!$A$2:$A$996,PAGOS!$P$2:$P$996,""),""),IFNA(_xlfn.XLOOKUP(A17,PAGOS!$A$2:$A$996,PAGOS!$S$2:$S$996,""),""),IFNA(_xlfn.XLOOKUP(A17,PAGOS!$A$2:$A$996,PAGOS!$V$2:$V$996,""),""),IFNA(_xlfn.XLOOKUP(A17,PAGOS!$A$2:$A$996,PAGOS!$Y$2:$Y$996,""),""),IFNA(_xlfn.XLOOKUP(A17,PAGOS!$A$2:$A$996,PAGOS!$AB$2:$AB$996,""),""),IFNA(_xlfn.XLOOKUP(A17,PAGOS!$A$2:$A$996,PAGOS!$AE$2:$AE$996,""),""),IFNA(_xlfn.XLOOKUP(A17,PAGOS!$A$2:$A$996,PAGOS!$AH$2:$AH$996,""),""),IFNA(_xlfn.XLOOKUP(A17,PAGOS!$A$2:$A$996,PAGOS!$AK$2:$AK$996,""),"")),IF(abonos&gt;0,abonos,pago)))</f>
        <v>950</v>
      </c>
      <c r="E17" s="51" t="str">
        <f>IFERROR(__xludf.DUMMYFUNCTION("IF(A17="""","""",LET(mes,DATE($E$2,MATCH($B$2,'ESTADO CONTABLE'!$A$5:$A$16,0),1),abonos,SUMIFS('ABONOS MENSUALIDADES'!$F$5:$F$500,'ABONOS MENSUALIDADES'!$C$5:$C$500,A17,'ABONOS MENSUALIDADES'!$D$5:$D$500,mes),metodoDirecto,CHOOSE(MATCH($B$2,'ESTADO CONTAB"&amp;"LE'!$A$5:$A$16,0),IF(ISNUMBER(D17),""POR CLASIFICAR"",""""),IFNA(XLOOKUP(A17,PAGOS!$A$2:$A$996,PAGOS!$H$2:$H$996,""""),""""),IFNA(XLOOKUP(A17,PAGOS!$A$2:$A$996,PAGOS!$K$2:$K$996,""""),""""),IFNA(XLOOKUP(A17,PAGOS!$A$2:$A$996,PAGOS!$N$2:$N$996,""""),""""),"&amp;"IFNA(XLOOKUP(A17,PAGOS!$A$2:$A$996,PAGOS!$Q$2:$Q$996,""""),""""),IFNA(XLOOKUP(A17,PAGOS!$A$2:$A$996,PAGOS!$T$2:$T$996,""""),""""),IFNA(XLOOKUP(A17,PAGOS!$A$2:$A$996,PAGOS!$W$2:$W$996,""""),""""),IFNA(XLOOKUP(A17,PAGOS!$A$2:$A$996,PAGOS!$Z$2:$Z$996,""""),"&amp;"""""),IFNA(XLOOKUP(A17,PAGOS!$A$2:$A$996,PAGOS!$AC$2:$AC$996,""""),""""),IFNA(XLOOKUP(A17,PAGOS!$A$2:$A$996,PAGOS!$AF$2:$AF$996,""""),""""),IFNA(XLOOKUP(A17,PAGOS!$A$2:$A$996,PAGOS!$AI$2:$AI$996,""""),""""),IFNA(XLOOKUP(A17,PAGOS!$A$2:$A$996,PAGOS!$AL$2:$"&amp;"AL$996,""""),"""")),IF(abonos&gt;0,IFERROR(TEXTJOIN("" + "",TRUE,UNIQUE(FILTER('ABONOS MENSUALIDADES'!$E$5:$E$500,'ABONOS MENSUALIDADES'!$C$5:$C$500=A17,'ABONOS MENSUALIDADES'!$D$5:$D$500=mes))),""""),metodoDirecto)))"),"TRANSFERENCIA")</f>
        <v>TRANSFERENCIA</v>
      </c>
      <c r="F17" s="51" t="str">
        <f t="array" ref="F17">IF(A17="","",LET(mes,DATE($E$2,MATCH($B$2,'ESTADO CONTABLE'!$A$5:$A$16,0),1),cobrarDesde,IFERROR(INDEX('BASE DE DATOSS'!I:I,ROW()-13),""),pausada,SUMPRODUCT((UPPER(TRIM('PAUSAS MENSUALIDADES'!$A$5:$A$500))=UPPER(TRIM(A17)))*('PAUSAS MENSUALIDADES'!$B$5:$B$500=mes)*(UPPER(TRIM('PAUSAS MENSUALIDADES'!$D$5:$D$500))="APLICAR"))&gt;0,abonoActivo,SUMIFS('ABONOS MENSUALIDADES'!$F$5:$F$500,'ABONOS MENSUALIDADES'!$C$5:$C$500,A17,'ABONOS MENSUALIDADES'!$D$5:$D$500,mes,'ABONOS MENSUALIDADES'!$G$5:$G$500,"&lt;&gt;*CONSOLIDADO EN PAGOS*")&gt;0,esperadaBruta,MAX(IFNA(VLOOKUP(B17,COSTOS!$A$3:$B$13,2,FALSE),0)-150,0),IF(AND(cobrarDesde&lt;&gt;"",mes&lt;cobrarDesde),"AÚN NO INICIA",IF(pausada,"PAUSADA",IF(AND(abonoActivo,COUNTIFS('ABONOS MENSUALIDADES'!$C$5:$C$500,A17,'ABONOS MENSUALIDADES'!$D$5:$D$500,mes,'ABONOS MENSUALIDADES'!$G$5:$G$500,"*MENSUALIDAD LIQUIDADA*")=0),"ABONO",IF(N(D17)&gt;=esperadaBruta,"COBRADA",IF(N(D17)&gt;0,"ABONO","PENDIENTE")))))))</f>
        <v>COBRADA</v>
      </c>
      <c r="G17" s="79">
        <f t="array" ref="G17">IF(A17="","",IFERROR(INDEX('BASE DE DATOSS'!I:I,ROW()-13),""))</f>
        <v>46023</v>
      </c>
    </row>
    <row r="18">
      <c r="A18" s="51" t="str">
        <f t="array" ref="A18">IFERROR(INDEX('BASE DE DATOSS'!A:A,ROW()-13),"")</f>
        <v>ATENAS KORHEIMI FIGEROA FIGUEROA</v>
      </c>
      <c r="B18" s="51" t="str">
        <f t="array" ref="B18">IF(A18="","",IFERROR(INDEX('BASE DE DATOSS'!C:C,ROW()-13),""))</f>
        <v>ADULTS 2</v>
      </c>
      <c r="C18" s="62">
        <f t="array" ref="C18">IF(A18="","",LET(mes,DATE($E$2,MATCH($B$2,'ESTADO CONTABLE'!$A$5:$A$16,0),1),cobrarDesde,IFERROR(INDEX('BASE DE DATOSS'!I:I,ROW()-13),""),pausada,SUMPRODUCT((UPPER(TRIM('PAUSAS MENSUALIDADES'!$A$5:$A$500))=UPPER(TRIM(A18)))*('PAUSAS MENSUALIDADES'!$B$5:$B$500=mes)*(UPPER(TRIM('PAUSAS MENSUALIDADES'!$D$5:$D$500))="APLICAR"))&gt;0,IF(OR(AND(cobrarDesde&lt;&gt;"",mes&lt;cobrarDesde),pausada),0,MAX(IFNA(VLOOKUP(B18,COSTOS!$A$3:$B$13,2,FALSE),0)-150,0)/1.16)))</f>
        <v>818.9655172</v>
      </c>
      <c r="D18" s="62">
        <f t="array" ref="D18">IF(A18="","",LET(mes,DATE($E$2,MATCH($B$2,'ESTADO CONTABLE'!$A$5:$A$16,0),1),abonos,SUMIFS('ABONOS MENSUALIDADES'!$F$5:$F$500,'ABONOS MENSUALIDADES'!$C$5:$C$500,A18,'ABONOS MENSUALIDADES'!$D$5:$D$500,mes),pago,CHOOSE(MATCH($B$2,'ESTADO CONTABLE'!$A$5:$A$16,0),IFNA(_xlfn.XLOOKUP(A18,PAGOS!$A$2:$A$996,PAGOS!$E$2:$E$996,""),""),IFNA(_xlfn.XLOOKUP(A18,PAGOS!$A$2:$A$996,PAGOS!$G$2:$G$996,""),""),IFNA(_xlfn.XLOOKUP(A18,PAGOS!$A$2:$A$996,PAGOS!$J$2:$J$996,""),""),IFNA(_xlfn.XLOOKUP(A18,PAGOS!$A$2:$A$996,PAGOS!$M$2:$M$996,""),""),IFNA(_xlfn.XLOOKUP(A18,PAGOS!$A$2:$A$996,PAGOS!$P$2:$P$996,""),""),IFNA(_xlfn.XLOOKUP(A18,PAGOS!$A$2:$A$996,PAGOS!$S$2:$S$996,""),""),IFNA(_xlfn.XLOOKUP(A18,PAGOS!$A$2:$A$996,PAGOS!$V$2:$V$996,""),""),IFNA(_xlfn.XLOOKUP(A18,PAGOS!$A$2:$A$996,PAGOS!$Y$2:$Y$996,""),""),IFNA(_xlfn.XLOOKUP(A18,PAGOS!$A$2:$A$996,PAGOS!$AB$2:$AB$996,""),""),IFNA(_xlfn.XLOOKUP(A18,PAGOS!$A$2:$A$996,PAGOS!$AE$2:$AE$996,""),""),IFNA(_xlfn.XLOOKUP(A18,PAGOS!$A$2:$A$996,PAGOS!$AH$2:$AH$996,""),""),IFNA(_xlfn.XLOOKUP(A18,PAGOS!$A$2:$A$996,PAGOS!$AK$2:$AK$996,""),"")),IF(abonos&gt;0,abonos,pago)))</f>
        <v>950</v>
      </c>
      <c r="E18" s="51" t="str">
        <f>IFERROR(__xludf.DUMMYFUNCTION("IF(A18="""","""",LET(mes,DATE($E$2,MATCH($B$2,'ESTADO CONTABLE'!$A$5:$A$16,0),1),abonos,SUMIFS('ABONOS MENSUALIDADES'!$F$5:$F$500,'ABONOS MENSUALIDADES'!$C$5:$C$500,A18,'ABONOS MENSUALIDADES'!$D$5:$D$500,mes),metodoDirecto,CHOOSE(MATCH($B$2,'ESTADO CONTAB"&amp;"LE'!$A$5:$A$16,0),IF(ISNUMBER(D18),""POR CLASIFICAR"",""""),IFNA(XLOOKUP(A18,PAGOS!$A$2:$A$996,PAGOS!$H$2:$H$996,""""),""""),IFNA(XLOOKUP(A18,PAGOS!$A$2:$A$996,PAGOS!$K$2:$K$996,""""),""""),IFNA(XLOOKUP(A18,PAGOS!$A$2:$A$996,PAGOS!$N$2:$N$996,""""),""""),"&amp;"IFNA(XLOOKUP(A18,PAGOS!$A$2:$A$996,PAGOS!$Q$2:$Q$996,""""),""""),IFNA(XLOOKUP(A18,PAGOS!$A$2:$A$996,PAGOS!$T$2:$T$996,""""),""""),IFNA(XLOOKUP(A18,PAGOS!$A$2:$A$996,PAGOS!$W$2:$W$996,""""),""""),IFNA(XLOOKUP(A18,PAGOS!$A$2:$A$996,PAGOS!$Z$2:$Z$996,""""),"&amp;"""""),IFNA(XLOOKUP(A18,PAGOS!$A$2:$A$996,PAGOS!$AC$2:$AC$996,""""),""""),IFNA(XLOOKUP(A18,PAGOS!$A$2:$A$996,PAGOS!$AF$2:$AF$996,""""),""""),IFNA(XLOOKUP(A18,PAGOS!$A$2:$A$996,PAGOS!$AI$2:$AI$996,""""),""""),IFNA(XLOOKUP(A18,PAGOS!$A$2:$A$996,PAGOS!$AL$2:$"&amp;"AL$996,""""),"""")),IF(abonos&gt;0,IFERROR(TEXTJOIN("" + "",TRUE,UNIQUE(FILTER('ABONOS MENSUALIDADES'!$E$5:$E$500,'ABONOS MENSUALIDADES'!$C$5:$C$500=A18,'ABONOS MENSUALIDADES'!$D$5:$D$500=mes))),""""),metodoDirecto)))"),"EFECTIVO")</f>
        <v>EFECTIVO</v>
      </c>
      <c r="F18" s="51" t="str">
        <f t="array" ref="F18">IF(A18="","",LET(mes,DATE($E$2,MATCH($B$2,'ESTADO CONTABLE'!$A$5:$A$16,0),1),cobrarDesde,IFERROR(INDEX('BASE DE DATOSS'!I:I,ROW()-13),""),pausada,SUMPRODUCT((UPPER(TRIM('PAUSAS MENSUALIDADES'!$A$5:$A$500))=UPPER(TRIM(A18)))*('PAUSAS MENSUALIDADES'!$B$5:$B$500=mes)*(UPPER(TRIM('PAUSAS MENSUALIDADES'!$D$5:$D$500))="APLICAR"))&gt;0,abonoActivo,SUMIFS('ABONOS MENSUALIDADES'!$F$5:$F$500,'ABONOS MENSUALIDADES'!$C$5:$C$500,A18,'ABONOS MENSUALIDADES'!$D$5:$D$500,mes,'ABONOS MENSUALIDADES'!$G$5:$G$500,"&lt;&gt;*CONSOLIDADO EN PAGOS*")&gt;0,esperadaBruta,MAX(IFNA(VLOOKUP(B18,COSTOS!$A$3:$B$13,2,FALSE),0)-150,0),IF(AND(cobrarDesde&lt;&gt;"",mes&lt;cobrarDesde),"AÚN NO INICIA",IF(pausada,"PAUSADA",IF(AND(abonoActivo,COUNTIFS('ABONOS MENSUALIDADES'!$C$5:$C$500,A18,'ABONOS MENSUALIDADES'!$D$5:$D$500,mes,'ABONOS MENSUALIDADES'!$G$5:$G$500,"*MENSUALIDAD LIQUIDADA*")=0),"ABONO",IF(N(D18)&gt;=esperadaBruta,"COBRADA",IF(N(D18)&gt;0,"ABONO","PENDIENTE")))))))</f>
        <v>COBRADA</v>
      </c>
      <c r="G18" s="79">
        <f t="array" ref="G18">IF(A18="","",IFERROR(INDEX('BASE DE DATOSS'!I:I,ROW()-13),""))</f>
        <v>46023</v>
      </c>
    </row>
    <row r="19">
      <c r="A19" s="51" t="str">
        <f t="array" ref="A19">IFERROR(INDEX('BASE DE DATOSS'!A:A,ROW()-13),"")</f>
        <v>CARLA VALENTINA GUZMÁN DELGADO</v>
      </c>
      <c r="B19" s="51" t="str">
        <f t="array" ref="B19">IF(A19="","",IFERROR(INDEX('BASE DE DATOSS'!C:C,ROW()-13),""))</f>
        <v>5 DIAS KIDS</v>
      </c>
      <c r="C19" s="62">
        <f t="array" ref="C19">IF(A19="","",LET(mes,DATE($E$2,MATCH($B$2,'ESTADO CONTABLE'!$A$5:$A$16,0),1),cobrarDesde,IFERROR(INDEX('BASE DE DATOSS'!I:I,ROW()-13),""),pausada,SUMPRODUCT((UPPER(TRIM('PAUSAS MENSUALIDADES'!$A$5:$A$500))=UPPER(TRIM(A19)))*('PAUSAS MENSUALIDADES'!$B$5:$B$500=mes)*(UPPER(TRIM('PAUSAS MENSUALIDADES'!$D$5:$D$500))="APLICAR"))&gt;0,IF(OR(AND(cobrarDesde&lt;&gt;"",mes&lt;cobrarDesde),pausada),0,MAX(IFNA(VLOOKUP(B19,COSTOS!$A$3:$B$13,2,FALSE),0)-150,0)/1.16)))</f>
        <v>1120.689655</v>
      </c>
      <c r="D19" s="62">
        <f t="array" ref="D19">IF(A19="","",LET(mes,DATE($E$2,MATCH($B$2,'ESTADO CONTABLE'!$A$5:$A$16,0),1),abonos,SUMIFS('ABONOS MENSUALIDADES'!$F$5:$F$500,'ABONOS MENSUALIDADES'!$C$5:$C$500,A19,'ABONOS MENSUALIDADES'!$D$5:$D$500,mes),pago,CHOOSE(MATCH($B$2,'ESTADO CONTABLE'!$A$5:$A$16,0),IFNA(_xlfn.XLOOKUP(A19,PAGOS!$A$2:$A$996,PAGOS!$E$2:$E$996,""),""),IFNA(_xlfn.XLOOKUP(A19,PAGOS!$A$2:$A$996,PAGOS!$G$2:$G$996,""),""),IFNA(_xlfn.XLOOKUP(A19,PAGOS!$A$2:$A$996,PAGOS!$J$2:$J$996,""),""),IFNA(_xlfn.XLOOKUP(A19,PAGOS!$A$2:$A$996,PAGOS!$M$2:$M$996,""),""),IFNA(_xlfn.XLOOKUP(A19,PAGOS!$A$2:$A$996,PAGOS!$P$2:$P$996,""),""),IFNA(_xlfn.XLOOKUP(A19,PAGOS!$A$2:$A$996,PAGOS!$S$2:$S$996,""),""),IFNA(_xlfn.XLOOKUP(A19,PAGOS!$A$2:$A$996,PAGOS!$V$2:$V$996,""),""),IFNA(_xlfn.XLOOKUP(A19,PAGOS!$A$2:$A$996,PAGOS!$Y$2:$Y$996,""),""),IFNA(_xlfn.XLOOKUP(A19,PAGOS!$A$2:$A$996,PAGOS!$AB$2:$AB$996,""),""),IFNA(_xlfn.XLOOKUP(A19,PAGOS!$A$2:$A$996,PAGOS!$AE$2:$AE$996,""),""),IFNA(_xlfn.XLOOKUP(A19,PAGOS!$A$2:$A$996,PAGOS!$AH$2:$AH$996,""),""),IFNA(_xlfn.XLOOKUP(A19,PAGOS!$A$2:$A$996,PAGOS!$AK$2:$AK$996,""),"")),IF(abonos&gt;0,abonos,pago)))</f>
        <v>1300</v>
      </c>
      <c r="E19" s="51" t="str">
        <f>IFERROR(__xludf.DUMMYFUNCTION("IF(A19="""","""",LET(mes,DATE($E$2,MATCH($B$2,'ESTADO CONTABLE'!$A$5:$A$16,0),1),abonos,SUMIFS('ABONOS MENSUALIDADES'!$F$5:$F$500,'ABONOS MENSUALIDADES'!$C$5:$C$500,A19,'ABONOS MENSUALIDADES'!$D$5:$D$500,mes),metodoDirecto,CHOOSE(MATCH($B$2,'ESTADO CONTAB"&amp;"LE'!$A$5:$A$16,0),IF(ISNUMBER(D19),""POR CLASIFICAR"",""""),IFNA(XLOOKUP(A19,PAGOS!$A$2:$A$996,PAGOS!$H$2:$H$996,""""),""""),IFNA(XLOOKUP(A19,PAGOS!$A$2:$A$996,PAGOS!$K$2:$K$996,""""),""""),IFNA(XLOOKUP(A19,PAGOS!$A$2:$A$996,PAGOS!$N$2:$N$996,""""),""""),"&amp;"IFNA(XLOOKUP(A19,PAGOS!$A$2:$A$996,PAGOS!$Q$2:$Q$996,""""),""""),IFNA(XLOOKUP(A19,PAGOS!$A$2:$A$996,PAGOS!$T$2:$T$996,""""),""""),IFNA(XLOOKUP(A19,PAGOS!$A$2:$A$996,PAGOS!$W$2:$W$996,""""),""""),IFNA(XLOOKUP(A19,PAGOS!$A$2:$A$996,PAGOS!$Z$2:$Z$996,""""),"&amp;"""""),IFNA(XLOOKUP(A19,PAGOS!$A$2:$A$996,PAGOS!$AC$2:$AC$996,""""),""""),IFNA(XLOOKUP(A19,PAGOS!$A$2:$A$996,PAGOS!$AF$2:$AF$996,""""),""""),IFNA(XLOOKUP(A19,PAGOS!$A$2:$A$996,PAGOS!$AI$2:$AI$996,""""),""""),IFNA(XLOOKUP(A19,PAGOS!$A$2:$A$996,PAGOS!$AL$2:$"&amp;"AL$996,""""),"""")),IF(abonos&gt;0,IFERROR(TEXTJOIN("" + "",TRUE,UNIQUE(FILTER('ABONOS MENSUALIDADES'!$E$5:$E$500,'ABONOS MENSUALIDADES'!$C$5:$C$500=A19,'ABONOS MENSUALIDADES'!$D$5:$D$500=mes))),""""),metodoDirecto)))"),"TRANSFERENCIA")</f>
        <v>TRANSFERENCIA</v>
      </c>
      <c r="F19" s="51" t="str">
        <f t="array" ref="F19">IF(A19="","",LET(mes,DATE($E$2,MATCH($B$2,'ESTADO CONTABLE'!$A$5:$A$16,0),1),cobrarDesde,IFERROR(INDEX('BASE DE DATOSS'!I:I,ROW()-13),""),pausada,SUMPRODUCT((UPPER(TRIM('PAUSAS MENSUALIDADES'!$A$5:$A$500))=UPPER(TRIM(A19)))*('PAUSAS MENSUALIDADES'!$B$5:$B$500=mes)*(UPPER(TRIM('PAUSAS MENSUALIDADES'!$D$5:$D$500))="APLICAR"))&gt;0,abonoActivo,SUMIFS('ABONOS MENSUALIDADES'!$F$5:$F$500,'ABONOS MENSUALIDADES'!$C$5:$C$500,A19,'ABONOS MENSUALIDADES'!$D$5:$D$500,mes,'ABONOS MENSUALIDADES'!$G$5:$G$500,"&lt;&gt;*CONSOLIDADO EN PAGOS*")&gt;0,esperadaBruta,MAX(IFNA(VLOOKUP(B19,COSTOS!$A$3:$B$13,2,FALSE),0)-150,0),IF(AND(cobrarDesde&lt;&gt;"",mes&lt;cobrarDesde),"AÚN NO INICIA",IF(pausada,"PAUSADA",IF(AND(abonoActivo,COUNTIFS('ABONOS MENSUALIDADES'!$C$5:$C$500,A19,'ABONOS MENSUALIDADES'!$D$5:$D$500,mes,'ABONOS MENSUALIDADES'!$G$5:$G$500,"*MENSUALIDAD LIQUIDADA*")=0),"ABONO",IF(N(D19)&gt;=esperadaBruta,"COBRADA",IF(N(D19)&gt;0,"ABONO","PENDIENTE")))))))</f>
        <v>COBRADA</v>
      </c>
      <c r="G19" s="79">
        <f t="array" ref="G19">IF(A19="","",IFERROR(INDEX('BASE DE DATOSS'!I:I,ROW()-13),""))</f>
        <v>46023</v>
      </c>
    </row>
    <row r="20">
      <c r="A20" s="51" t="str">
        <f t="array" ref="A20">IFERROR(INDEX('BASE DE DATOSS'!A:A,ROW()-13),"")</f>
        <v>DANIELA AGUILAR CAZORLA</v>
      </c>
      <c r="B20" s="51" t="str">
        <f t="array" ref="B20">IF(A20="","",IFERROR(INDEX('BASE DE DATOSS'!C:C,ROW()-13),""))</f>
        <v>ADULTS 2</v>
      </c>
      <c r="C20" s="62">
        <f t="array" ref="C20">IF(A20="","",LET(mes,DATE($E$2,MATCH($B$2,'ESTADO CONTABLE'!$A$5:$A$16,0),1),cobrarDesde,IFERROR(INDEX('BASE DE DATOSS'!I:I,ROW()-13),""),pausada,SUMPRODUCT((UPPER(TRIM('PAUSAS MENSUALIDADES'!$A$5:$A$500))=UPPER(TRIM(A20)))*('PAUSAS MENSUALIDADES'!$B$5:$B$500=mes)*(UPPER(TRIM('PAUSAS MENSUALIDADES'!$D$5:$D$500))="APLICAR"))&gt;0,IF(OR(AND(cobrarDesde&lt;&gt;"",mes&lt;cobrarDesde),pausada),0,MAX(IFNA(VLOOKUP(B20,COSTOS!$A$3:$B$13,2,FALSE),0)-150,0)/1.16)))</f>
        <v>818.9655172</v>
      </c>
      <c r="D20" s="62" t="str">
        <f t="array" ref="D20">IF(A20="","",LET(mes,DATE($E$2,MATCH($B$2,'ESTADO CONTABLE'!$A$5:$A$16,0),1),abonos,SUMIFS('ABONOS MENSUALIDADES'!$F$5:$F$500,'ABONOS MENSUALIDADES'!$C$5:$C$500,A20,'ABONOS MENSUALIDADES'!$D$5:$D$500,mes),pago,CHOOSE(MATCH($B$2,'ESTADO CONTABLE'!$A$5:$A$16,0),IFNA(_xlfn.XLOOKUP(A20,PAGOS!$A$2:$A$996,PAGOS!$E$2:$E$996,""),""),IFNA(_xlfn.XLOOKUP(A20,PAGOS!$A$2:$A$996,PAGOS!$G$2:$G$996,""),""),IFNA(_xlfn.XLOOKUP(A20,PAGOS!$A$2:$A$996,PAGOS!$J$2:$J$996,""),""),IFNA(_xlfn.XLOOKUP(A20,PAGOS!$A$2:$A$996,PAGOS!$M$2:$M$996,""),""),IFNA(_xlfn.XLOOKUP(A20,PAGOS!$A$2:$A$996,PAGOS!$P$2:$P$996,""),""),IFNA(_xlfn.XLOOKUP(A20,PAGOS!$A$2:$A$996,PAGOS!$S$2:$S$996,""),""),IFNA(_xlfn.XLOOKUP(A20,PAGOS!$A$2:$A$996,PAGOS!$V$2:$V$996,""),""),IFNA(_xlfn.XLOOKUP(A20,PAGOS!$A$2:$A$996,PAGOS!$Y$2:$Y$996,""),""),IFNA(_xlfn.XLOOKUP(A20,PAGOS!$A$2:$A$996,PAGOS!$AB$2:$AB$996,""),""),IFNA(_xlfn.XLOOKUP(A20,PAGOS!$A$2:$A$996,PAGOS!$AE$2:$AE$996,""),""),IFNA(_xlfn.XLOOKUP(A20,PAGOS!$A$2:$A$996,PAGOS!$AH$2:$AH$996,""),""),IFNA(_xlfn.XLOOKUP(A20,PAGOS!$A$2:$A$996,PAGOS!$AK$2:$AK$996,""),"")),IF(abonos&gt;0,abonos,pago)))</f>
        <v/>
      </c>
      <c r="E20" s="51" t="str">
        <f>IFERROR(__xludf.DUMMYFUNCTION("IF(A20="""","""",LET(mes,DATE($E$2,MATCH($B$2,'ESTADO CONTABLE'!$A$5:$A$16,0),1),abonos,SUMIFS('ABONOS MENSUALIDADES'!$F$5:$F$500,'ABONOS MENSUALIDADES'!$C$5:$C$500,A20,'ABONOS MENSUALIDADES'!$D$5:$D$500,mes),metodoDirecto,CHOOSE(MATCH($B$2,'ESTADO CONTAB"&amp;"LE'!$A$5:$A$16,0),IF(ISNUMBER(D20),""POR CLASIFICAR"",""""),IFNA(XLOOKUP(A20,PAGOS!$A$2:$A$996,PAGOS!$H$2:$H$996,""""),""""),IFNA(XLOOKUP(A20,PAGOS!$A$2:$A$996,PAGOS!$K$2:$K$996,""""),""""),IFNA(XLOOKUP(A20,PAGOS!$A$2:$A$996,PAGOS!$N$2:$N$996,""""),""""),"&amp;"IFNA(XLOOKUP(A20,PAGOS!$A$2:$A$996,PAGOS!$Q$2:$Q$996,""""),""""),IFNA(XLOOKUP(A20,PAGOS!$A$2:$A$996,PAGOS!$T$2:$T$996,""""),""""),IFNA(XLOOKUP(A20,PAGOS!$A$2:$A$996,PAGOS!$W$2:$W$996,""""),""""),IFNA(XLOOKUP(A20,PAGOS!$A$2:$A$996,PAGOS!$Z$2:$Z$996,""""),"&amp;"""""),IFNA(XLOOKUP(A20,PAGOS!$A$2:$A$996,PAGOS!$AC$2:$AC$996,""""),""""),IFNA(XLOOKUP(A20,PAGOS!$A$2:$A$996,PAGOS!$AF$2:$AF$996,""""),""""),IFNA(XLOOKUP(A20,PAGOS!$A$2:$A$996,PAGOS!$AI$2:$AI$996,""""),""""),IFNA(XLOOKUP(A20,PAGOS!$A$2:$A$996,PAGOS!$AL$2:$"&amp;"AL$996,""""),"""")),IF(abonos&gt;0,IFERROR(TEXTJOIN("" + "",TRUE,UNIQUE(FILTER('ABONOS MENSUALIDADES'!$E$5:$E$500,'ABONOS MENSUALIDADES'!$C$5:$C$500=A20,'ABONOS MENSUALIDADES'!$D$5:$D$500=mes))),""""),metodoDirecto)))"),"")</f>
        <v/>
      </c>
      <c r="F20" s="51" t="str">
        <f t="array" ref="F20">IF(A20="","",LET(mes,DATE($E$2,MATCH($B$2,'ESTADO CONTABLE'!$A$5:$A$16,0),1),cobrarDesde,IFERROR(INDEX('BASE DE DATOSS'!I:I,ROW()-13),""),pausada,SUMPRODUCT((UPPER(TRIM('PAUSAS MENSUALIDADES'!$A$5:$A$500))=UPPER(TRIM(A20)))*('PAUSAS MENSUALIDADES'!$B$5:$B$500=mes)*(UPPER(TRIM('PAUSAS MENSUALIDADES'!$D$5:$D$500))="APLICAR"))&gt;0,abonoActivo,SUMIFS('ABONOS MENSUALIDADES'!$F$5:$F$500,'ABONOS MENSUALIDADES'!$C$5:$C$500,A20,'ABONOS MENSUALIDADES'!$D$5:$D$500,mes,'ABONOS MENSUALIDADES'!$G$5:$G$500,"&lt;&gt;*CONSOLIDADO EN PAGOS*")&gt;0,esperadaBruta,MAX(IFNA(VLOOKUP(B20,COSTOS!$A$3:$B$13,2,FALSE),0)-150,0),IF(AND(cobrarDesde&lt;&gt;"",mes&lt;cobrarDesde),"AÚN NO INICIA",IF(pausada,"PAUSADA",IF(AND(abonoActivo,COUNTIFS('ABONOS MENSUALIDADES'!$C$5:$C$500,A20,'ABONOS MENSUALIDADES'!$D$5:$D$500,mes,'ABONOS MENSUALIDADES'!$G$5:$G$500,"*MENSUALIDAD LIQUIDADA*")=0),"ABONO",IF(N(D20)&gt;=esperadaBruta,"COBRADA",IF(N(D20)&gt;0,"ABONO","PENDIENTE")))))))</f>
        <v>PENDIENTE</v>
      </c>
      <c r="G20" s="79">
        <f t="array" ref="G20">IF(A20="","",IFERROR(INDEX('BASE DE DATOSS'!I:I,ROW()-13),""))</f>
        <v>46023</v>
      </c>
    </row>
    <row r="21">
      <c r="A21" s="51" t="str">
        <f t="array" ref="A21">IFERROR(INDEX('BASE DE DATOSS'!A:A,ROW()-13),"")</f>
        <v>DARIANA RODRIGUEZ SANCHEZ</v>
      </c>
      <c r="B21" s="51" t="str">
        <f t="array" ref="B21">IF(A21="","",IFERROR(INDEX('BASE DE DATOSS'!C:C,ROW()-13),""))</f>
        <v>MATUTINO</v>
      </c>
      <c r="C21" s="62">
        <f t="array" ref="C21">IF(A21="","",LET(mes,DATE($E$2,MATCH($B$2,'ESTADO CONTABLE'!$A$5:$A$16,0),1),cobrarDesde,IFERROR(INDEX('BASE DE DATOSS'!I:I,ROW()-13),""),pausada,SUMPRODUCT((UPPER(TRIM('PAUSAS MENSUALIDADES'!$A$5:$A$500))=UPPER(TRIM(A21)))*('PAUSAS MENSUALIDADES'!$B$5:$B$500=mes)*(UPPER(TRIM('PAUSAS MENSUALIDADES'!$D$5:$D$500))="APLICAR"))&gt;0,IF(OR(AND(cobrarDesde&lt;&gt;"",mes&lt;cobrarDesde),pausada),0,MAX(IFNA(VLOOKUP(B21,COSTOS!$A$3:$B$13,2,FALSE),0)-150,0)/1.16)))</f>
        <v>818.9655172</v>
      </c>
      <c r="D21" s="62">
        <f t="array" ref="D21">IF(A21="","",LET(mes,DATE($E$2,MATCH($B$2,'ESTADO CONTABLE'!$A$5:$A$16,0),1),abonos,SUMIFS('ABONOS MENSUALIDADES'!$F$5:$F$500,'ABONOS MENSUALIDADES'!$C$5:$C$500,A21,'ABONOS MENSUALIDADES'!$D$5:$D$500,mes),pago,CHOOSE(MATCH($B$2,'ESTADO CONTABLE'!$A$5:$A$16,0),IFNA(_xlfn.XLOOKUP(A21,PAGOS!$A$2:$A$996,PAGOS!$E$2:$E$996,""),""),IFNA(_xlfn.XLOOKUP(A21,PAGOS!$A$2:$A$996,PAGOS!$G$2:$G$996,""),""),IFNA(_xlfn.XLOOKUP(A21,PAGOS!$A$2:$A$996,PAGOS!$J$2:$J$996,""),""),IFNA(_xlfn.XLOOKUP(A21,PAGOS!$A$2:$A$996,PAGOS!$M$2:$M$996,""),""),IFNA(_xlfn.XLOOKUP(A21,PAGOS!$A$2:$A$996,PAGOS!$P$2:$P$996,""),""),IFNA(_xlfn.XLOOKUP(A21,PAGOS!$A$2:$A$996,PAGOS!$S$2:$S$996,""),""),IFNA(_xlfn.XLOOKUP(A21,PAGOS!$A$2:$A$996,PAGOS!$V$2:$V$996,""),""),IFNA(_xlfn.XLOOKUP(A21,PAGOS!$A$2:$A$996,PAGOS!$Y$2:$Y$996,""),""),IFNA(_xlfn.XLOOKUP(A21,PAGOS!$A$2:$A$996,PAGOS!$AB$2:$AB$996,""),""),IFNA(_xlfn.XLOOKUP(A21,PAGOS!$A$2:$A$996,PAGOS!$AE$2:$AE$996,""),""),IFNA(_xlfn.XLOOKUP(A21,PAGOS!$A$2:$A$996,PAGOS!$AH$2:$AH$996,""),""),IFNA(_xlfn.XLOOKUP(A21,PAGOS!$A$2:$A$996,PAGOS!$AK$2:$AK$996,""),"")),IF(abonos&gt;0,abonos,pago)))</f>
        <v>950</v>
      </c>
      <c r="E21" s="51" t="str">
        <f>IFERROR(__xludf.DUMMYFUNCTION("IF(A21="""","""",LET(mes,DATE($E$2,MATCH($B$2,'ESTADO CONTABLE'!$A$5:$A$16,0),1),abonos,SUMIFS('ABONOS MENSUALIDADES'!$F$5:$F$500,'ABONOS MENSUALIDADES'!$C$5:$C$500,A21,'ABONOS MENSUALIDADES'!$D$5:$D$500,mes),metodoDirecto,CHOOSE(MATCH($B$2,'ESTADO CONTAB"&amp;"LE'!$A$5:$A$16,0),IF(ISNUMBER(D21),""POR CLASIFICAR"",""""),IFNA(XLOOKUP(A21,PAGOS!$A$2:$A$996,PAGOS!$H$2:$H$996,""""),""""),IFNA(XLOOKUP(A21,PAGOS!$A$2:$A$996,PAGOS!$K$2:$K$996,""""),""""),IFNA(XLOOKUP(A21,PAGOS!$A$2:$A$996,PAGOS!$N$2:$N$996,""""),""""),"&amp;"IFNA(XLOOKUP(A21,PAGOS!$A$2:$A$996,PAGOS!$Q$2:$Q$996,""""),""""),IFNA(XLOOKUP(A21,PAGOS!$A$2:$A$996,PAGOS!$T$2:$T$996,""""),""""),IFNA(XLOOKUP(A21,PAGOS!$A$2:$A$996,PAGOS!$W$2:$W$996,""""),""""),IFNA(XLOOKUP(A21,PAGOS!$A$2:$A$996,PAGOS!$Z$2:$Z$996,""""),"&amp;"""""),IFNA(XLOOKUP(A21,PAGOS!$A$2:$A$996,PAGOS!$AC$2:$AC$996,""""),""""),IFNA(XLOOKUP(A21,PAGOS!$A$2:$A$996,PAGOS!$AF$2:$AF$996,""""),""""),IFNA(XLOOKUP(A21,PAGOS!$A$2:$A$996,PAGOS!$AI$2:$AI$996,""""),""""),IFNA(XLOOKUP(A21,PAGOS!$A$2:$A$996,PAGOS!$AL$2:$"&amp;"AL$996,""""),"""")),IF(abonos&gt;0,IFERROR(TEXTJOIN("" + "",TRUE,UNIQUE(FILTER('ABONOS MENSUALIDADES'!$E$5:$E$500,'ABONOS MENSUALIDADES'!$C$5:$C$500=A21,'ABONOS MENSUALIDADES'!$D$5:$D$500=mes))),""""),metodoDirecto)))"),"TRANSFERENCIA")</f>
        <v>TRANSFERENCIA</v>
      </c>
      <c r="F21" s="51" t="str">
        <f t="array" ref="F21">IF(A21="","",LET(mes,DATE($E$2,MATCH($B$2,'ESTADO CONTABLE'!$A$5:$A$16,0),1),cobrarDesde,IFERROR(INDEX('BASE DE DATOSS'!I:I,ROW()-13),""),pausada,SUMPRODUCT((UPPER(TRIM('PAUSAS MENSUALIDADES'!$A$5:$A$500))=UPPER(TRIM(A21)))*('PAUSAS MENSUALIDADES'!$B$5:$B$500=mes)*(UPPER(TRIM('PAUSAS MENSUALIDADES'!$D$5:$D$500))="APLICAR"))&gt;0,abonoActivo,SUMIFS('ABONOS MENSUALIDADES'!$F$5:$F$500,'ABONOS MENSUALIDADES'!$C$5:$C$500,A21,'ABONOS MENSUALIDADES'!$D$5:$D$500,mes,'ABONOS MENSUALIDADES'!$G$5:$G$500,"&lt;&gt;*CONSOLIDADO EN PAGOS*")&gt;0,esperadaBruta,MAX(IFNA(VLOOKUP(B21,COSTOS!$A$3:$B$13,2,FALSE),0)-150,0),IF(AND(cobrarDesde&lt;&gt;"",mes&lt;cobrarDesde),"AÚN NO INICIA",IF(pausada,"PAUSADA",IF(AND(abonoActivo,COUNTIFS('ABONOS MENSUALIDADES'!$C$5:$C$500,A21,'ABONOS MENSUALIDADES'!$D$5:$D$500,mes,'ABONOS MENSUALIDADES'!$G$5:$G$500,"*MENSUALIDAD LIQUIDADA*")=0),"ABONO",IF(N(D21)&gt;=esperadaBruta,"COBRADA",IF(N(D21)&gt;0,"ABONO","PENDIENTE")))))))</f>
        <v>COBRADA</v>
      </c>
      <c r="G21" s="79">
        <f t="array" ref="G21">IF(A21="","",IFERROR(INDEX('BASE DE DATOSS'!I:I,ROW()-13),""))</f>
        <v>46023</v>
      </c>
    </row>
    <row r="22">
      <c r="A22" s="51" t="str">
        <f t="array" ref="A22">IFERROR(INDEX('BASE DE DATOSS'!A:A,ROW()-13),"")</f>
        <v>MIA ISABELLA CHAVEZ ARELLANO</v>
      </c>
      <c r="B22" s="51" t="str">
        <f t="array" ref="B22">IF(A22="","",IFERROR(INDEX('BASE DE DATOSS'!C:C,ROW()-13),""))</f>
        <v>SABATINO</v>
      </c>
      <c r="C22" s="62">
        <f t="array" ref="C22">IF(A22="","",LET(mes,DATE($E$2,MATCH($B$2,'ESTADO CONTABLE'!$A$5:$A$16,0),1),cobrarDesde,IFERROR(INDEX('BASE DE DATOSS'!I:I,ROW()-13),""),pausada,SUMPRODUCT((UPPER(TRIM('PAUSAS MENSUALIDADES'!$A$5:$A$500))=UPPER(TRIM(A22)))*('PAUSAS MENSUALIDADES'!$B$5:$B$500=mes)*(UPPER(TRIM('PAUSAS MENSUALIDADES'!$D$5:$D$500))="APLICAR"))&gt;0,IF(OR(AND(cobrarDesde&lt;&gt;"",mes&lt;cobrarDesde),pausada),0,MAX(IFNA(VLOOKUP(B22,COSTOS!$A$3:$B$13,2,FALSE),0)-150,0)/1.16)))</f>
        <v>474.137931</v>
      </c>
      <c r="D22" s="62">
        <f t="array" ref="D22">IF(A22="","",LET(mes,DATE($E$2,MATCH($B$2,'ESTADO CONTABLE'!$A$5:$A$16,0),1),abonos,SUMIFS('ABONOS MENSUALIDADES'!$F$5:$F$500,'ABONOS MENSUALIDADES'!$C$5:$C$500,A22,'ABONOS MENSUALIDADES'!$D$5:$D$500,mes),pago,CHOOSE(MATCH($B$2,'ESTADO CONTABLE'!$A$5:$A$16,0),IFNA(_xlfn.XLOOKUP(A22,PAGOS!$A$2:$A$996,PAGOS!$E$2:$E$996,""),""),IFNA(_xlfn.XLOOKUP(A22,PAGOS!$A$2:$A$996,PAGOS!$G$2:$G$996,""),""),IFNA(_xlfn.XLOOKUP(A22,PAGOS!$A$2:$A$996,PAGOS!$J$2:$J$996,""),""),IFNA(_xlfn.XLOOKUP(A22,PAGOS!$A$2:$A$996,PAGOS!$M$2:$M$996,""),""),IFNA(_xlfn.XLOOKUP(A22,PAGOS!$A$2:$A$996,PAGOS!$P$2:$P$996,""),""),IFNA(_xlfn.XLOOKUP(A22,PAGOS!$A$2:$A$996,PAGOS!$S$2:$S$996,""),""),IFNA(_xlfn.XLOOKUP(A22,PAGOS!$A$2:$A$996,PAGOS!$V$2:$V$996,""),""),IFNA(_xlfn.XLOOKUP(A22,PAGOS!$A$2:$A$996,PAGOS!$Y$2:$Y$996,""),""),IFNA(_xlfn.XLOOKUP(A22,PAGOS!$A$2:$A$996,PAGOS!$AB$2:$AB$996,""),""),IFNA(_xlfn.XLOOKUP(A22,PAGOS!$A$2:$A$996,PAGOS!$AE$2:$AE$996,""),""),IFNA(_xlfn.XLOOKUP(A22,PAGOS!$A$2:$A$996,PAGOS!$AH$2:$AH$996,""),""),IFNA(_xlfn.XLOOKUP(A22,PAGOS!$A$2:$A$996,PAGOS!$AK$2:$AK$996,""),"")),IF(abonos&gt;0,abonos,pago)))</f>
        <v>550</v>
      </c>
      <c r="E22" s="51" t="str">
        <f>IFERROR(__xludf.DUMMYFUNCTION("IF(A22="""","""",LET(mes,DATE($E$2,MATCH($B$2,'ESTADO CONTABLE'!$A$5:$A$16,0),1),abonos,SUMIFS('ABONOS MENSUALIDADES'!$F$5:$F$500,'ABONOS MENSUALIDADES'!$C$5:$C$500,A22,'ABONOS MENSUALIDADES'!$D$5:$D$500,mes),metodoDirecto,CHOOSE(MATCH($B$2,'ESTADO CONTAB"&amp;"LE'!$A$5:$A$16,0),IF(ISNUMBER(D22),""POR CLASIFICAR"",""""),IFNA(XLOOKUP(A22,PAGOS!$A$2:$A$996,PAGOS!$H$2:$H$996,""""),""""),IFNA(XLOOKUP(A22,PAGOS!$A$2:$A$996,PAGOS!$K$2:$K$996,""""),""""),IFNA(XLOOKUP(A22,PAGOS!$A$2:$A$996,PAGOS!$N$2:$N$996,""""),""""),"&amp;"IFNA(XLOOKUP(A22,PAGOS!$A$2:$A$996,PAGOS!$Q$2:$Q$996,""""),""""),IFNA(XLOOKUP(A22,PAGOS!$A$2:$A$996,PAGOS!$T$2:$T$996,""""),""""),IFNA(XLOOKUP(A22,PAGOS!$A$2:$A$996,PAGOS!$W$2:$W$996,""""),""""),IFNA(XLOOKUP(A22,PAGOS!$A$2:$A$996,PAGOS!$Z$2:$Z$996,""""),"&amp;"""""),IFNA(XLOOKUP(A22,PAGOS!$A$2:$A$996,PAGOS!$AC$2:$AC$996,""""),""""),IFNA(XLOOKUP(A22,PAGOS!$A$2:$A$996,PAGOS!$AF$2:$AF$996,""""),""""),IFNA(XLOOKUP(A22,PAGOS!$A$2:$A$996,PAGOS!$AI$2:$AI$996,""""),""""),IFNA(XLOOKUP(A22,PAGOS!$A$2:$A$996,PAGOS!$AL$2:$"&amp;"AL$996,""""),"""")),IF(abonos&gt;0,IFERROR(TEXTJOIN("" + "",TRUE,UNIQUE(FILTER('ABONOS MENSUALIDADES'!$E$5:$E$500,'ABONOS MENSUALIDADES'!$C$5:$C$500=A22,'ABONOS MENSUALIDADES'!$D$5:$D$500=mes))),""""),metodoDirecto)))"),"TRANSFERENCIA")</f>
        <v>TRANSFERENCIA</v>
      </c>
      <c r="F22" s="51" t="str">
        <f t="array" ref="F22">IF(A22="","",LET(mes,DATE($E$2,MATCH($B$2,'ESTADO CONTABLE'!$A$5:$A$16,0),1),cobrarDesde,IFERROR(INDEX('BASE DE DATOSS'!I:I,ROW()-13),""),pausada,SUMPRODUCT((UPPER(TRIM('PAUSAS MENSUALIDADES'!$A$5:$A$500))=UPPER(TRIM(A22)))*('PAUSAS MENSUALIDADES'!$B$5:$B$500=mes)*(UPPER(TRIM('PAUSAS MENSUALIDADES'!$D$5:$D$500))="APLICAR"))&gt;0,abonoActivo,SUMIFS('ABONOS MENSUALIDADES'!$F$5:$F$500,'ABONOS MENSUALIDADES'!$C$5:$C$500,A22,'ABONOS MENSUALIDADES'!$D$5:$D$500,mes,'ABONOS MENSUALIDADES'!$G$5:$G$500,"&lt;&gt;*CONSOLIDADO EN PAGOS*")&gt;0,esperadaBruta,MAX(IFNA(VLOOKUP(B22,COSTOS!$A$3:$B$13,2,FALSE),0)-150,0),IF(AND(cobrarDesde&lt;&gt;"",mes&lt;cobrarDesde),"AÚN NO INICIA",IF(pausada,"PAUSADA",IF(AND(abonoActivo,COUNTIFS('ABONOS MENSUALIDADES'!$C$5:$C$500,A22,'ABONOS MENSUALIDADES'!$D$5:$D$500,mes,'ABONOS MENSUALIDADES'!$G$5:$G$500,"*MENSUALIDAD LIQUIDADA*")=0),"ABONO",IF(N(D22)&gt;=esperadaBruta,"COBRADA",IF(N(D22)&gt;0,"ABONO","PENDIENTE")))))))</f>
        <v>COBRADA</v>
      </c>
      <c r="G22" s="79">
        <f t="array" ref="G22">IF(A22="","",IFERROR(INDEX('BASE DE DATOSS'!I:I,ROW()-13),""))</f>
        <v>46023</v>
      </c>
    </row>
    <row r="23">
      <c r="A23" s="51" t="str">
        <f t="array" ref="A23">IFERROR(INDEX('BASE DE DATOSS'!A:A,ROW()-13),"")</f>
        <v>OXANA VILLALOBOS</v>
      </c>
      <c r="B23" s="51" t="str">
        <f t="array" ref="B23">IF(A23="","",IFERROR(INDEX('BASE DE DATOSS'!C:C,ROW()-13),""))</f>
        <v>ADULTS 1</v>
      </c>
      <c r="C23" s="62">
        <f t="array" ref="C23">IF(A23="","",LET(mes,DATE($E$2,MATCH($B$2,'ESTADO CONTABLE'!$A$5:$A$16,0),1),cobrarDesde,IFERROR(INDEX('BASE DE DATOSS'!I:I,ROW()-13),""),pausada,SUMPRODUCT((UPPER(TRIM('PAUSAS MENSUALIDADES'!$A$5:$A$500))=UPPER(TRIM(A23)))*('PAUSAS MENSUALIDADES'!$B$5:$B$500=mes)*(UPPER(TRIM('PAUSAS MENSUALIDADES'!$D$5:$D$500))="APLICAR"))&gt;0,IF(OR(AND(cobrarDesde&lt;&gt;"",mes&lt;cobrarDesde),pausada),0,MAX(IFNA(VLOOKUP(B23,COSTOS!$A$3:$B$13,2,FALSE),0)-150,0)/1.16)))</f>
        <v>991.3793103</v>
      </c>
      <c r="D23" s="62" t="str">
        <f t="array" ref="D23">IF(A23="","",LET(mes,DATE($E$2,MATCH($B$2,'ESTADO CONTABLE'!$A$5:$A$16,0),1),abonos,SUMIFS('ABONOS MENSUALIDADES'!$F$5:$F$500,'ABONOS MENSUALIDADES'!$C$5:$C$500,A23,'ABONOS MENSUALIDADES'!$D$5:$D$500,mes),pago,CHOOSE(MATCH($B$2,'ESTADO CONTABLE'!$A$5:$A$16,0),IFNA(_xlfn.XLOOKUP(A23,PAGOS!$A$2:$A$996,PAGOS!$E$2:$E$996,""),""),IFNA(_xlfn.XLOOKUP(A23,PAGOS!$A$2:$A$996,PAGOS!$G$2:$G$996,""),""),IFNA(_xlfn.XLOOKUP(A23,PAGOS!$A$2:$A$996,PAGOS!$J$2:$J$996,""),""),IFNA(_xlfn.XLOOKUP(A23,PAGOS!$A$2:$A$996,PAGOS!$M$2:$M$996,""),""),IFNA(_xlfn.XLOOKUP(A23,PAGOS!$A$2:$A$996,PAGOS!$P$2:$P$996,""),""),IFNA(_xlfn.XLOOKUP(A23,PAGOS!$A$2:$A$996,PAGOS!$S$2:$S$996,""),""),IFNA(_xlfn.XLOOKUP(A23,PAGOS!$A$2:$A$996,PAGOS!$V$2:$V$996,""),""),IFNA(_xlfn.XLOOKUP(A23,PAGOS!$A$2:$A$996,PAGOS!$Y$2:$Y$996,""),""),IFNA(_xlfn.XLOOKUP(A23,PAGOS!$A$2:$A$996,PAGOS!$AB$2:$AB$996,""),""),IFNA(_xlfn.XLOOKUP(A23,PAGOS!$A$2:$A$996,PAGOS!$AE$2:$AE$996,""),""),IFNA(_xlfn.XLOOKUP(A23,PAGOS!$A$2:$A$996,PAGOS!$AH$2:$AH$996,""),""),IFNA(_xlfn.XLOOKUP(A23,PAGOS!$A$2:$A$996,PAGOS!$AK$2:$AK$996,""),"")),IF(abonos&gt;0,abonos,pago)))</f>
        <v/>
      </c>
      <c r="E23" s="51" t="str">
        <f>IFERROR(__xludf.DUMMYFUNCTION("IF(A23="""","""",LET(mes,DATE($E$2,MATCH($B$2,'ESTADO CONTABLE'!$A$5:$A$16,0),1),abonos,SUMIFS('ABONOS MENSUALIDADES'!$F$5:$F$500,'ABONOS MENSUALIDADES'!$C$5:$C$500,A23,'ABONOS MENSUALIDADES'!$D$5:$D$500,mes),metodoDirecto,CHOOSE(MATCH($B$2,'ESTADO CONTAB"&amp;"LE'!$A$5:$A$16,0),IF(ISNUMBER(D23),""POR CLASIFICAR"",""""),IFNA(XLOOKUP(A23,PAGOS!$A$2:$A$996,PAGOS!$H$2:$H$996,""""),""""),IFNA(XLOOKUP(A23,PAGOS!$A$2:$A$996,PAGOS!$K$2:$K$996,""""),""""),IFNA(XLOOKUP(A23,PAGOS!$A$2:$A$996,PAGOS!$N$2:$N$996,""""),""""),"&amp;"IFNA(XLOOKUP(A23,PAGOS!$A$2:$A$996,PAGOS!$Q$2:$Q$996,""""),""""),IFNA(XLOOKUP(A23,PAGOS!$A$2:$A$996,PAGOS!$T$2:$T$996,""""),""""),IFNA(XLOOKUP(A23,PAGOS!$A$2:$A$996,PAGOS!$W$2:$W$996,""""),""""),IFNA(XLOOKUP(A23,PAGOS!$A$2:$A$996,PAGOS!$Z$2:$Z$996,""""),"&amp;"""""),IFNA(XLOOKUP(A23,PAGOS!$A$2:$A$996,PAGOS!$AC$2:$AC$996,""""),""""),IFNA(XLOOKUP(A23,PAGOS!$A$2:$A$996,PAGOS!$AF$2:$AF$996,""""),""""),IFNA(XLOOKUP(A23,PAGOS!$A$2:$A$996,PAGOS!$AI$2:$AI$996,""""),""""),IFNA(XLOOKUP(A23,PAGOS!$A$2:$A$996,PAGOS!$AL$2:$"&amp;"AL$996,""""),"""")),IF(abonos&gt;0,IFERROR(TEXTJOIN("" + "",TRUE,UNIQUE(FILTER('ABONOS MENSUALIDADES'!$E$5:$E$500,'ABONOS MENSUALIDADES'!$C$5:$C$500=A23,'ABONOS MENSUALIDADES'!$D$5:$D$500=mes))),""""),metodoDirecto)))"),"")</f>
        <v/>
      </c>
      <c r="F23" s="51" t="str">
        <f t="array" ref="F23">IF(A23="","",LET(mes,DATE($E$2,MATCH($B$2,'ESTADO CONTABLE'!$A$5:$A$16,0),1),cobrarDesde,IFERROR(INDEX('BASE DE DATOSS'!I:I,ROW()-13),""),pausada,SUMPRODUCT((UPPER(TRIM('PAUSAS MENSUALIDADES'!$A$5:$A$500))=UPPER(TRIM(A23)))*('PAUSAS MENSUALIDADES'!$B$5:$B$500=mes)*(UPPER(TRIM('PAUSAS MENSUALIDADES'!$D$5:$D$500))="APLICAR"))&gt;0,abonoActivo,SUMIFS('ABONOS MENSUALIDADES'!$F$5:$F$500,'ABONOS MENSUALIDADES'!$C$5:$C$500,A23,'ABONOS MENSUALIDADES'!$D$5:$D$500,mes,'ABONOS MENSUALIDADES'!$G$5:$G$500,"&lt;&gt;*CONSOLIDADO EN PAGOS*")&gt;0,esperadaBruta,MAX(IFNA(VLOOKUP(B23,COSTOS!$A$3:$B$13,2,FALSE),0)-150,0),IF(AND(cobrarDesde&lt;&gt;"",mes&lt;cobrarDesde),"AÚN NO INICIA",IF(pausada,"PAUSADA",IF(AND(abonoActivo,COUNTIFS('ABONOS MENSUALIDADES'!$C$5:$C$500,A23,'ABONOS MENSUALIDADES'!$D$5:$D$500,mes,'ABONOS MENSUALIDADES'!$G$5:$G$500,"*MENSUALIDAD LIQUIDADA*")=0),"ABONO",IF(N(D23)&gt;=esperadaBruta,"COBRADA",IF(N(D23)&gt;0,"ABONO","PENDIENTE")))))))</f>
        <v>PENDIENTE</v>
      </c>
      <c r="G23" s="79">
        <f t="array" ref="G23">IF(A23="","",IFERROR(INDEX('BASE DE DATOSS'!I:I,ROW()-13),""))</f>
        <v>46023</v>
      </c>
    </row>
    <row r="24">
      <c r="A24" s="51" t="str">
        <f t="array" ref="A24">IFERROR(INDEX('BASE DE DATOSS'!A:A,ROW()-13),"")</f>
        <v>REGINA GUADALUPE RODRIGUEZ CHAVEZ</v>
      </c>
      <c r="B24" s="51" t="str">
        <f t="array" ref="B24">IF(A24="","",IFERROR(INDEX('BASE DE DATOSS'!C:C,ROW()-13),""))</f>
        <v>JR 2</v>
      </c>
      <c r="C24" s="62">
        <f t="array" ref="C24">IF(A24="","",LET(mes,DATE($E$2,MATCH($B$2,'ESTADO CONTABLE'!$A$5:$A$16,0),1),cobrarDesde,IFERROR(INDEX('BASE DE DATOSS'!I:I,ROW()-13),""),pausada,SUMPRODUCT((UPPER(TRIM('PAUSAS MENSUALIDADES'!$A$5:$A$500))=UPPER(TRIM(A24)))*('PAUSAS MENSUALIDADES'!$B$5:$B$500=mes)*(UPPER(TRIM('PAUSAS MENSUALIDADES'!$D$5:$D$500))="APLICAR"))&gt;0,IF(OR(AND(cobrarDesde&lt;&gt;"",mes&lt;cobrarDesde),pausada),0,MAX(IFNA(VLOOKUP(B24,COSTOS!$A$3:$B$13,2,FALSE),0)-150,0)/1.16)))</f>
        <v>689.6551724</v>
      </c>
      <c r="D24" s="62">
        <f t="array" ref="D24">IF(A24="","",LET(mes,DATE($E$2,MATCH($B$2,'ESTADO CONTABLE'!$A$5:$A$16,0),1),abonos,SUMIFS('ABONOS MENSUALIDADES'!$F$5:$F$500,'ABONOS MENSUALIDADES'!$C$5:$C$500,A24,'ABONOS MENSUALIDADES'!$D$5:$D$500,mes),pago,CHOOSE(MATCH($B$2,'ESTADO CONTABLE'!$A$5:$A$16,0),IFNA(_xlfn.XLOOKUP(A24,PAGOS!$A$2:$A$996,PAGOS!$E$2:$E$996,""),""),IFNA(_xlfn.XLOOKUP(A24,PAGOS!$A$2:$A$996,PAGOS!$G$2:$G$996,""),""),IFNA(_xlfn.XLOOKUP(A24,PAGOS!$A$2:$A$996,PAGOS!$J$2:$J$996,""),""),IFNA(_xlfn.XLOOKUP(A24,PAGOS!$A$2:$A$996,PAGOS!$M$2:$M$996,""),""),IFNA(_xlfn.XLOOKUP(A24,PAGOS!$A$2:$A$996,PAGOS!$P$2:$P$996,""),""),IFNA(_xlfn.XLOOKUP(A24,PAGOS!$A$2:$A$996,PAGOS!$S$2:$S$996,""),""),IFNA(_xlfn.XLOOKUP(A24,PAGOS!$A$2:$A$996,PAGOS!$V$2:$V$996,""),""),IFNA(_xlfn.XLOOKUP(A24,PAGOS!$A$2:$A$996,PAGOS!$Y$2:$Y$996,""),""),IFNA(_xlfn.XLOOKUP(A24,PAGOS!$A$2:$A$996,PAGOS!$AB$2:$AB$996,""),""),IFNA(_xlfn.XLOOKUP(A24,PAGOS!$A$2:$A$996,PAGOS!$AE$2:$AE$996,""),""),IFNA(_xlfn.XLOOKUP(A24,PAGOS!$A$2:$A$996,PAGOS!$AH$2:$AH$996,""),""),IFNA(_xlfn.XLOOKUP(A24,PAGOS!$A$2:$A$996,PAGOS!$AK$2:$AK$996,""),"")),IF(abonos&gt;0,abonos,pago)))</f>
        <v>800</v>
      </c>
      <c r="E24" s="51" t="str">
        <f>IFERROR(__xludf.DUMMYFUNCTION("IF(A24="""","""",LET(mes,DATE($E$2,MATCH($B$2,'ESTADO CONTABLE'!$A$5:$A$16,0),1),abonos,SUMIFS('ABONOS MENSUALIDADES'!$F$5:$F$500,'ABONOS MENSUALIDADES'!$C$5:$C$500,A24,'ABONOS MENSUALIDADES'!$D$5:$D$500,mes),metodoDirecto,CHOOSE(MATCH($B$2,'ESTADO CONTAB"&amp;"LE'!$A$5:$A$16,0),IF(ISNUMBER(D24),""POR CLASIFICAR"",""""),IFNA(XLOOKUP(A24,PAGOS!$A$2:$A$996,PAGOS!$H$2:$H$996,""""),""""),IFNA(XLOOKUP(A24,PAGOS!$A$2:$A$996,PAGOS!$K$2:$K$996,""""),""""),IFNA(XLOOKUP(A24,PAGOS!$A$2:$A$996,PAGOS!$N$2:$N$996,""""),""""),"&amp;"IFNA(XLOOKUP(A24,PAGOS!$A$2:$A$996,PAGOS!$Q$2:$Q$996,""""),""""),IFNA(XLOOKUP(A24,PAGOS!$A$2:$A$996,PAGOS!$T$2:$T$996,""""),""""),IFNA(XLOOKUP(A24,PAGOS!$A$2:$A$996,PAGOS!$W$2:$W$996,""""),""""),IFNA(XLOOKUP(A24,PAGOS!$A$2:$A$996,PAGOS!$Z$2:$Z$996,""""),"&amp;"""""),IFNA(XLOOKUP(A24,PAGOS!$A$2:$A$996,PAGOS!$AC$2:$AC$996,""""),""""),IFNA(XLOOKUP(A24,PAGOS!$A$2:$A$996,PAGOS!$AF$2:$AF$996,""""),""""),IFNA(XLOOKUP(A24,PAGOS!$A$2:$A$996,PAGOS!$AI$2:$AI$996,""""),""""),IFNA(XLOOKUP(A24,PAGOS!$A$2:$A$996,PAGOS!$AL$2:$"&amp;"AL$996,""""),"""")),IF(abonos&gt;0,IFERROR(TEXTJOIN("" + "",TRUE,UNIQUE(FILTER('ABONOS MENSUALIDADES'!$E$5:$E$500,'ABONOS MENSUALIDADES'!$C$5:$C$500=A24,'ABONOS MENSUALIDADES'!$D$5:$D$500=mes))),""""),metodoDirecto)))"),"EFECTIVO")</f>
        <v>EFECTIVO</v>
      </c>
      <c r="F24" s="51" t="str">
        <f t="array" ref="F24">IF(A24="","",LET(mes,DATE($E$2,MATCH($B$2,'ESTADO CONTABLE'!$A$5:$A$16,0),1),cobrarDesde,IFERROR(INDEX('BASE DE DATOSS'!I:I,ROW()-13),""),pausada,SUMPRODUCT((UPPER(TRIM('PAUSAS MENSUALIDADES'!$A$5:$A$500))=UPPER(TRIM(A24)))*('PAUSAS MENSUALIDADES'!$B$5:$B$500=mes)*(UPPER(TRIM('PAUSAS MENSUALIDADES'!$D$5:$D$500))="APLICAR"))&gt;0,abonoActivo,SUMIFS('ABONOS MENSUALIDADES'!$F$5:$F$500,'ABONOS MENSUALIDADES'!$C$5:$C$500,A24,'ABONOS MENSUALIDADES'!$D$5:$D$500,mes,'ABONOS MENSUALIDADES'!$G$5:$G$500,"&lt;&gt;*CONSOLIDADO EN PAGOS*")&gt;0,esperadaBruta,MAX(IFNA(VLOOKUP(B24,COSTOS!$A$3:$B$13,2,FALSE),0)-150,0),IF(AND(cobrarDesde&lt;&gt;"",mes&lt;cobrarDesde),"AÚN NO INICIA",IF(pausada,"PAUSADA",IF(AND(abonoActivo,COUNTIFS('ABONOS MENSUALIDADES'!$C$5:$C$500,A24,'ABONOS MENSUALIDADES'!$D$5:$D$500,mes,'ABONOS MENSUALIDADES'!$G$5:$G$500,"*MENSUALIDAD LIQUIDADA*")=0),"ABONO",IF(N(D24)&gt;=esperadaBruta,"COBRADA",IF(N(D24)&gt;0,"ABONO","PENDIENTE")))))))</f>
        <v>COBRADA</v>
      </c>
      <c r="G24" s="79">
        <f t="array" ref="G24">IF(A24="","",IFERROR(INDEX('BASE DE DATOSS'!I:I,ROW()-13),""))</f>
        <v>46023</v>
      </c>
    </row>
    <row r="25">
      <c r="A25" s="51" t="str">
        <f t="array" ref="A25">IFERROR(INDEX('BASE DE DATOSS'!A:A,ROW()-13),"")</f>
        <v>REGINA J CHAVEZ ALCARAZ</v>
      </c>
      <c r="B25" s="51" t="str">
        <f t="array" ref="B25">IF(A25="","",LET(mes,DATE($E$2,MATCH($B$2,'ESTADO CONTABLE'!$A$5:$A$16,0),1),grupoActual,IFERROR(INDEX('BASE DE DATOSS'!C:C,ROW()-13),""),IF(AND(UPPER(TRIM(A25))="REGINA J CHAVEZ ALCARAZ",mes&lt;DATE(2026,10,1)),"ADULTS 1",grupoActual)))</f>
        <v>ADULTS 2</v>
      </c>
      <c r="C25" s="62">
        <f t="array" ref="C25">IF(A25="","",LET(mes,DATE($E$2,MATCH($B$2,'ESTADO CONTABLE'!$A$5:$A$16,0),1),cobrarDesde,IFERROR(INDEX('BASE DE DATOSS'!I:I,ROW()-13),""),pausada,SUMPRODUCT((UPPER(TRIM('PAUSAS MENSUALIDADES'!$A$5:$A$500))=UPPER(TRIM(A25)))*('PAUSAS MENSUALIDADES'!$B$5:$B$500=mes)*(UPPER(TRIM('PAUSAS MENSUALIDADES'!$D$5:$D$500))="APLICAR"))&gt;0,IF(OR(AND(cobrarDesde&lt;&gt;"",mes&lt;cobrarDesde),pausada),0,MAX(IFNA(VLOOKUP(B25,COSTOS!$A$3:$B$13,2,FALSE),0)-150,0)/1.16)))</f>
        <v>818.9655172</v>
      </c>
      <c r="D25" s="62">
        <f t="array" ref="D25">IF(A25="","",LET(mes,DATE($E$2,MATCH($B$2,'ESTADO CONTABLE'!$A$5:$A$16,0),1),abonos,SUMIFS('ABONOS MENSUALIDADES'!$F$5:$F$500,'ABONOS MENSUALIDADES'!$C$5:$C$500,A25,'ABONOS MENSUALIDADES'!$D$5:$D$500,mes),pago,CHOOSE(MATCH($B$2,'ESTADO CONTABLE'!$A$5:$A$16,0),IFNA(_xlfn.XLOOKUP(A25,PAGOS!$A$2:$A$996,PAGOS!$E$2:$E$996,""),""),IFNA(_xlfn.XLOOKUP(A25,PAGOS!$A$2:$A$996,PAGOS!$G$2:$G$996,""),""),IFNA(_xlfn.XLOOKUP(A25,PAGOS!$A$2:$A$996,PAGOS!$J$2:$J$996,""),""),IFNA(_xlfn.XLOOKUP(A25,PAGOS!$A$2:$A$996,PAGOS!$M$2:$M$996,""),""),IFNA(_xlfn.XLOOKUP(A25,PAGOS!$A$2:$A$996,PAGOS!$P$2:$P$996,""),""),IFNA(_xlfn.XLOOKUP(A25,PAGOS!$A$2:$A$996,PAGOS!$S$2:$S$996,""),""),IFNA(_xlfn.XLOOKUP(A25,PAGOS!$A$2:$A$996,PAGOS!$V$2:$V$996,""),""),IFNA(_xlfn.XLOOKUP(A25,PAGOS!$A$2:$A$996,PAGOS!$Y$2:$Y$996,""),""),IFNA(_xlfn.XLOOKUP(A25,PAGOS!$A$2:$A$996,PAGOS!$AB$2:$AB$996,""),""),IFNA(_xlfn.XLOOKUP(A25,PAGOS!$A$2:$A$996,PAGOS!$AE$2:$AE$996,""),""),IFNA(_xlfn.XLOOKUP(A25,PAGOS!$A$2:$A$996,PAGOS!$AH$2:$AH$996,""),""),IFNA(_xlfn.XLOOKUP(A25,PAGOS!$A$2:$A$996,PAGOS!$AK$2:$AK$996,""),"")),IF(abonos&gt;0,abonos,pago)))</f>
        <v>950</v>
      </c>
      <c r="E25" s="51" t="str">
        <f>IFERROR(__xludf.DUMMYFUNCTION("IF(A25="""","""",LET(mes,DATE($E$2,MATCH($B$2,'ESTADO CONTABLE'!$A$5:$A$16,0),1),abonos,SUMIFS('ABONOS MENSUALIDADES'!$F$5:$F$500,'ABONOS MENSUALIDADES'!$C$5:$C$500,A25,'ABONOS MENSUALIDADES'!$D$5:$D$500,mes),metodoDirecto,CHOOSE(MATCH($B$2,'ESTADO CONTAB"&amp;"LE'!$A$5:$A$16,0),IF(ISNUMBER(D25),""POR CLASIFICAR"",""""),IFNA(XLOOKUP(A25,PAGOS!$A$2:$A$996,PAGOS!$H$2:$H$996,""""),""""),IFNA(XLOOKUP(A25,PAGOS!$A$2:$A$996,PAGOS!$K$2:$K$996,""""),""""),IFNA(XLOOKUP(A25,PAGOS!$A$2:$A$996,PAGOS!$N$2:$N$996,""""),""""),"&amp;"IFNA(XLOOKUP(A25,PAGOS!$A$2:$A$996,PAGOS!$Q$2:$Q$996,""""),""""),IFNA(XLOOKUP(A25,PAGOS!$A$2:$A$996,PAGOS!$T$2:$T$996,""""),""""),IFNA(XLOOKUP(A25,PAGOS!$A$2:$A$996,PAGOS!$W$2:$W$996,""""),""""),IFNA(XLOOKUP(A25,PAGOS!$A$2:$A$996,PAGOS!$Z$2:$Z$996,""""),"&amp;"""""),IFNA(XLOOKUP(A25,PAGOS!$A$2:$A$996,PAGOS!$AC$2:$AC$996,""""),""""),IFNA(XLOOKUP(A25,PAGOS!$A$2:$A$996,PAGOS!$AF$2:$AF$996,""""),""""),IFNA(XLOOKUP(A25,PAGOS!$A$2:$A$996,PAGOS!$AI$2:$AI$996,""""),""""),IFNA(XLOOKUP(A25,PAGOS!$A$2:$A$996,PAGOS!$AL$2:$"&amp;"AL$996,""""),"""")),IF(abonos&gt;0,IFERROR(TEXTJOIN("" + "",TRUE,UNIQUE(FILTER('ABONOS MENSUALIDADES'!$E$5:$E$500,'ABONOS MENSUALIDADES'!$C$5:$C$500=A25,'ABONOS MENSUALIDADES'!$D$5:$D$500=mes))),""""),metodoDirecto)))"),"TRANSFERENCIA")</f>
        <v>TRANSFERENCIA</v>
      </c>
      <c r="F25" s="51" t="str">
        <f t="array" ref="F25">IF(A25="","",LET(mes,DATE($E$2,MATCH($B$2,'ESTADO CONTABLE'!$A$5:$A$16,0),1),cobrarDesde,IFERROR(INDEX('BASE DE DATOSS'!I:I,ROW()-13),""),pausada,SUMPRODUCT((UPPER(TRIM('PAUSAS MENSUALIDADES'!$A$5:$A$500))=UPPER(TRIM(A25)))*('PAUSAS MENSUALIDADES'!$B$5:$B$500=mes)*(UPPER(TRIM('PAUSAS MENSUALIDADES'!$D$5:$D$500))="APLICAR"))&gt;0,abonoActivo,SUMIFS('ABONOS MENSUALIDADES'!$F$5:$F$500,'ABONOS MENSUALIDADES'!$C$5:$C$500,A25,'ABONOS MENSUALIDADES'!$D$5:$D$500,mes,'ABONOS MENSUALIDADES'!$G$5:$G$500,"&lt;&gt;*CONSOLIDADO EN PAGOS*")&gt;0,esperadaBruta,MAX(IFNA(VLOOKUP(B25,COSTOS!$A$3:$B$13,2,FALSE),0)-150,0),IF(AND(cobrarDesde&lt;&gt;"",mes&lt;cobrarDesde),"AÚN NO INICIA",IF(pausada,"PAUSADA",IF(AND(abonoActivo,COUNTIFS('ABONOS MENSUALIDADES'!$C$5:$C$500,A25,'ABONOS MENSUALIDADES'!$D$5:$D$500,mes,'ABONOS MENSUALIDADES'!$G$5:$G$500,"*MENSUALIDAD LIQUIDADA*")=0),"ABONO",IF(N(D25)&gt;=esperadaBruta,"COBRADA",IF(N(D25)&gt;0,"ABONO","PENDIENTE")))))))</f>
        <v>COBRADA</v>
      </c>
      <c r="G25" s="79">
        <f t="array" ref="G25">IF(A25="","",IFERROR(INDEX('BASE DE DATOSS'!I:I,ROW()-13),""))</f>
        <v>46023</v>
      </c>
    </row>
    <row r="26">
      <c r="A26" s="51" t="str">
        <f t="array" ref="A26">IFERROR(INDEX('BASE DE DATOSS'!A:A,ROW()-13),"")</f>
        <v>SOFIA HERMAYONIE AVILA GUERRERO</v>
      </c>
      <c r="B26" s="51" t="str">
        <f t="array" ref="B26">IF(A26="","",LET(mes,DATE($E$2,MATCH($B$2,'ESTADO CONTABLE'!$A$5:$A$16,0),1),grupoActual,IFERROR(INDEX('BASE DE DATOSS'!C:C,ROW()-13),""),IF(AND(UPPER(TRIM(A26))="SOFIA HERMAYONIE AVILA GUERRERO",mes&lt;DATE(2026,10,1)),"JR 2",grupoActual)))</f>
        <v>ADULTS 1</v>
      </c>
      <c r="C26" s="62">
        <f t="array" ref="C26">IF(A26="","",LET(mes,DATE($E$2,MATCH($B$2,'ESTADO CONTABLE'!$A$5:$A$16,0),1),cobrarDesde,IFERROR(INDEX('BASE DE DATOSS'!I:I,ROW()-13),""),pausada,SUMPRODUCT((UPPER(TRIM('PAUSAS MENSUALIDADES'!$A$5:$A$500))=UPPER(TRIM(A26)))*('PAUSAS MENSUALIDADES'!$B$5:$B$500=mes)*(UPPER(TRIM('PAUSAS MENSUALIDADES'!$D$5:$D$500))="APLICAR"))&gt;0,IF(OR(AND(cobrarDesde&lt;&gt;"",mes&lt;cobrarDesde),pausada),0,MAX(IFNA(VLOOKUP(B26,COSTOS!$A$3:$B$13,2,FALSE),0)-150,0)/1.16)))</f>
        <v>991.3793103</v>
      </c>
      <c r="D26" s="62" t="str">
        <f t="array" ref="D26">IF(A26="","",LET(mes,DATE($E$2,MATCH($B$2,'ESTADO CONTABLE'!$A$5:$A$16,0),1),abonos,SUMIFS('ABONOS MENSUALIDADES'!$F$5:$F$500,'ABONOS MENSUALIDADES'!$C$5:$C$500,A26,'ABONOS MENSUALIDADES'!$D$5:$D$500,mes),pago,CHOOSE(MATCH($B$2,'ESTADO CONTABLE'!$A$5:$A$16,0),IFNA(_xlfn.XLOOKUP(A26,PAGOS!$A$2:$A$996,PAGOS!$E$2:$E$996,""),""),IFNA(_xlfn.XLOOKUP(A26,PAGOS!$A$2:$A$996,PAGOS!$G$2:$G$996,""),""),IFNA(_xlfn.XLOOKUP(A26,PAGOS!$A$2:$A$996,PAGOS!$J$2:$J$996,""),""),IFNA(_xlfn.XLOOKUP(A26,PAGOS!$A$2:$A$996,PAGOS!$M$2:$M$996,""),""),IFNA(_xlfn.XLOOKUP(A26,PAGOS!$A$2:$A$996,PAGOS!$P$2:$P$996,""),""),IFNA(_xlfn.XLOOKUP(A26,PAGOS!$A$2:$A$996,PAGOS!$S$2:$S$996,""),""),IFNA(_xlfn.XLOOKUP(A26,PAGOS!$A$2:$A$996,PAGOS!$V$2:$V$996,""),""),IFNA(_xlfn.XLOOKUP(A26,PAGOS!$A$2:$A$996,PAGOS!$Y$2:$Y$996,""),""),IFNA(_xlfn.XLOOKUP(A26,PAGOS!$A$2:$A$996,PAGOS!$AB$2:$AB$996,""),""),IFNA(_xlfn.XLOOKUP(A26,PAGOS!$A$2:$A$996,PAGOS!$AE$2:$AE$996,""),""),IFNA(_xlfn.XLOOKUP(A26,PAGOS!$A$2:$A$996,PAGOS!$AH$2:$AH$996,""),""),IFNA(_xlfn.XLOOKUP(A26,PAGOS!$A$2:$A$996,PAGOS!$AK$2:$AK$996,""),"")),IF(abonos&gt;0,abonos,pago)))</f>
        <v/>
      </c>
      <c r="E26" s="51" t="str">
        <f>IFERROR(__xludf.DUMMYFUNCTION("IF(A26="""","""",LET(mes,DATE($E$2,MATCH($B$2,'ESTADO CONTABLE'!$A$5:$A$16,0),1),abonos,SUMIFS('ABONOS MENSUALIDADES'!$F$5:$F$500,'ABONOS MENSUALIDADES'!$C$5:$C$500,A26,'ABONOS MENSUALIDADES'!$D$5:$D$500,mes),metodoDirecto,CHOOSE(MATCH($B$2,'ESTADO CONTAB"&amp;"LE'!$A$5:$A$16,0),IF(ISNUMBER(D26),""POR CLASIFICAR"",""""),IFNA(XLOOKUP(A26,PAGOS!$A$2:$A$996,PAGOS!$H$2:$H$996,""""),""""),IFNA(XLOOKUP(A26,PAGOS!$A$2:$A$996,PAGOS!$K$2:$K$996,""""),""""),IFNA(XLOOKUP(A26,PAGOS!$A$2:$A$996,PAGOS!$N$2:$N$996,""""),""""),"&amp;"IFNA(XLOOKUP(A26,PAGOS!$A$2:$A$996,PAGOS!$Q$2:$Q$996,""""),""""),IFNA(XLOOKUP(A26,PAGOS!$A$2:$A$996,PAGOS!$T$2:$T$996,""""),""""),IFNA(XLOOKUP(A26,PAGOS!$A$2:$A$996,PAGOS!$W$2:$W$996,""""),""""),IFNA(XLOOKUP(A26,PAGOS!$A$2:$A$996,PAGOS!$Z$2:$Z$996,""""),"&amp;"""""),IFNA(XLOOKUP(A26,PAGOS!$A$2:$A$996,PAGOS!$AC$2:$AC$996,""""),""""),IFNA(XLOOKUP(A26,PAGOS!$A$2:$A$996,PAGOS!$AF$2:$AF$996,""""),""""),IFNA(XLOOKUP(A26,PAGOS!$A$2:$A$996,PAGOS!$AI$2:$AI$996,""""),""""),IFNA(XLOOKUP(A26,PAGOS!$A$2:$A$996,PAGOS!$AL$2:$"&amp;"AL$996,""""),"""")),IF(abonos&gt;0,IFERROR(TEXTJOIN("" + "",TRUE,UNIQUE(FILTER('ABONOS MENSUALIDADES'!$E$5:$E$500,'ABONOS MENSUALIDADES'!$C$5:$C$500=A26,'ABONOS MENSUALIDADES'!$D$5:$D$500=mes))),""""),metodoDirecto)))"),"")</f>
        <v/>
      </c>
      <c r="F26" s="51" t="str">
        <f t="array" ref="F26">IF(A26="","",LET(mes,DATE($E$2,MATCH($B$2,'ESTADO CONTABLE'!$A$5:$A$16,0),1),cobrarDesde,IFERROR(INDEX('BASE DE DATOSS'!I:I,ROW()-13),""),pausada,SUMPRODUCT((UPPER(TRIM('PAUSAS MENSUALIDADES'!$A$5:$A$500))=UPPER(TRIM(A26)))*('PAUSAS MENSUALIDADES'!$B$5:$B$500=mes)*(UPPER(TRIM('PAUSAS MENSUALIDADES'!$D$5:$D$500))="APLICAR"))&gt;0,abonoActivo,SUMIFS('ABONOS MENSUALIDADES'!$F$5:$F$500,'ABONOS MENSUALIDADES'!$C$5:$C$500,A26,'ABONOS MENSUALIDADES'!$D$5:$D$500,mes,'ABONOS MENSUALIDADES'!$G$5:$G$500,"&lt;&gt;*CONSOLIDADO EN PAGOS*")&gt;0,esperadaBruta,MAX(IFNA(VLOOKUP(B26,COSTOS!$A$3:$B$13,2,FALSE),0)-150,0),IF(AND(cobrarDesde&lt;&gt;"",mes&lt;cobrarDesde),"AÚN NO INICIA",IF(pausada,"PAUSADA",IF(AND(abonoActivo,COUNTIFS('ABONOS MENSUALIDADES'!$C$5:$C$500,A26,'ABONOS MENSUALIDADES'!$D$5:$D$500,mes,'ABONOS MENSUALIDADES'!$G$5:$G$500,"*MENSUALIDAD LIQUIDADA*")=0),"ABONO",IF(N(D26)&gt;=esperadaBruta,"COBRADA",IF(N(D26)&gt;0,"ABONO","PENDIENTE")))))))</f>
        <v>PENDIENTE</v>
      </c>
      <c r="G26" s="79">
        <f t="array" ref="G26">IF(A26="","",IFERROR(INDEX('BASE DE DATOSS'!I:I,ROW()-13),""))</f>
        <v>46023</v>
      </c>
    </row>
    <row r="27">
      <c r="A27" s="51" t="str">
        <f t="array" ref="A27">IFERROR(INDEX('BASE DE DATOSS'!A:A,ROW()-13),"")</f>
        <v>VALENTINA GÓMEZ NEGRETE </v>
      </c>
      <c r="B27" s="51" t="str">
        <f t="array" ref="B27">IF(A27="","",IFERROR(INDEX('BASE DE DATOSS'!C:C,ROW()-13),""))</f>
        <v>JR 2</v>
      </c>
      <c r="C27" s="62">
        <f t="array" ref="C27">IF(A27="","",LET(mes,DATE($E$2,MATCH($B$2,'ESTADO CONTABLE'!$A$5:$A$16,0),1),cobrarDesde,IFERROR(INDEX('BASE DE DATOSS'!I:I,ROW()-13),""),pausada,SUMPRODUCT((UPPER(TRIM('PAUSAS MENSUALIDADES'!$A$5:$A$500))=UPPER(TRIM(A27)))*('PAUSAS MENSUALIDADES'!$B$5:$B$500=mes)*(UPPER(TRIM('PAUSAS MENSUALIDADES'!$D$5:$D$500))="APLICAR"))&gt;0,IF(OR(AND(cobrarDesde&lt;&gt;"",mes&lt;cobrarDesde),pausada),0,MAX(IFNA(VLOOKUP(B27,COSTOS!$A$3:$B$13,2,FALSE),0)-150,0)/1.16)))</f>
        <v>689.6551724</v>
      </c>
      <c r="D27" s="62">
        <f t="array" ref="D27">IF(A27="","",LET(mes,DATE($E$2,MATCH($B$2,'ESTADO CONTABLE'!$A$5:$A$16,0),1),abonos,SUMIFS('ABONOS MENSUALIDADES'!$F$5:$F$500,'ABONOS MENSUALIDADES'!$C$5:$C$500,A27,'ABONOS MENSUALIDADES'!$D$5:$D$500,mes),pago,CHOOSE(MATCH($B$2,'ESTADO CONTABLE'!$A$5:$A$16,0),IFNA(_xlfn.XLOOKUP(A27,PAGOS!$A$2:$A$996,PAGOS!$E$2:$E$996,""),""),IFNA(_xlfn.XLOOKUP(A27,PAGOS!$A$2:$A$996,PAGOS!$G$2:$G$996,""),""),IFNA(_xlfn.XLOOKUP(A27,PAGOS!$A$2:$A$996,PAGOS!$J$2:$J$996,""),""),IFNA(_xlfn.XLOOKUP(A27,PAGOS!$A$2:$A$996,PAGOS!$M$2:$M$996,""),""),IFNA(_xlfn.XLOOKUP(A27,PAGOS!$A$2:$A$996,PAGOS!$P$2:$P$996,""),""),IFNA(_xlfn.XLOOKUP(A27,PAGOS!$A$2:$A$996,PAGOS!$S$2:$S$996,""),""),IFNA(_xlfn.XLOOKUP(A27,PAGOS!$A$2:$A$996,PAGOS!$V$2:$V$996,""),""),IFNA(_xlfn.XLOOKUP(A27,PAGOS!$A$2:$A$996,PAGOS!$Y$2:$Y$996,""),""),IFNA(_xlfn.XLOOKUP(A27,PAGOS!$A$2:$A$996,PAGOS!$AB$2:$AB$996,""),""),IFNA(_xlfn.XLOOKUP(A27,PAGOS!$A$2:$A$996,PAGOS!$AE$2:$AE$996,""),""),IFNA(_xlfn.XLOOKUP(A27,PAGOS!$A$2:$A$996,PAGOS!$AH$2:$AH$996,""),""),IFNA(_xlfn.XLOOKUP(A27,PAGOS!$A$2:$A$996,PAGOS!$AK$2:$AK$996,""),"")),IF(abonos&gt;0,abonos,pago)))</f>
        <v>800</v>
      </c>
      <c r="E27" s="51" t="str">
        <f>IFERROR(__xludf.DUMMYFUNCTION("IF(A27="""","""",LET(mes,DATE($E$2,MATCH($B$2,'ESTADO CONTABLE'!$A$5:$A$16,0),1),abonos,SUMIFS('ABONOS MENSUALIDADES'!$F$5:$F$500,'ABONOS MENSUALIDADES'!$C$5:$C$500,A27,'ABONOS MENSUALIDADES'!$D$5:$D$500,mes),metodoDirecto,CHOOSE(MATCH($B$2,'ESTADO CONTAB"&amp;"LE'!$A$5:$A$16,0),IF(ISNUMBER(D27),""POR CLASIFICAR"",""""),IFNA(XLOOKUP(A27,PAGOS!$A$2:$A$996,PAGOS!$H$2:$H$996,""""),""""),IFNA(XLOOKUP(A27,PAGOS!$A$2:$A$996,PAGOS!$K$2:$K$996,""""),""""),IFNA(XLOOKUP(A27,PAGOS!$A$2:$A$996,PAGOS!$N$2:$N$996,""""),""""),"&amp;"IFNA(XLOOKUP(A27,PAGOS!$A$2:$A$996,PAGOS!$Q$2:$Q$996,""""),""""),IFNA(XLOOKUP(A27,PAGOS!$A$2:$A$996,PAGOS!$T$2:$T$996,""""),""""),IFNA(XLOOKUP(A27,PAGOS!$A$2:$A$996,PAGOS!$W$2:$W$996,""""),""""),IFNA(XLOOKUP(A27,PAGOS!$A$2:$A$996,PAGOS!$Z$2:$Z$996,""""),"&amp;"""""),IFNA(XLOOKUP(A27,PAGOS!$A$2:$A$996,PAGOS!$AC$2:$AC$996,""""),""""),IFNA(XLOOKUP(A27,PAGOS!$A$2:$A$996,PAGOS!$AF$2:$AF$996,""""),""""),IFNA(XLOOKUP(A27,PAGOS!$A$2:$A$996,PAGOS!$AI$2:$AI$996,""""),""""),IFNA(XLOOKUP(A27,PAGOS!$A$2:$A$996,PAGOS!$AL$2:$"&amp;"AL$996,""""),"""")),IF(abonos&gt;0,IFERROR(TEXTJOIN("" + "",TRUE,UNIQUE(FILTER('ABONOS MENSUALIDADES'!$E$5:$E$500,'ABONOS MENSUALIDADES'!$C$5:$C$500=A27,'ABONOS MENSUALIDADES'!$D$5:$D$500=mes))),""""),metodoDirecto)))"),"EFECTIVO")</f>
        <v>EFECTIVO</v>
      </c>
      <c r="F27" s="51" t="str">
        <f t="array" ref="F27">IF(A27="","",LET(mes,DATE($E$2,MATCH($B$2,'ESTADO CONTABLE'!$A$5:$A$16,0),1),cobrarDesde,IFERROR(INDEX('BASE DE DATOSS'!I:I,ROW()-13),""),pausada,SUMPRODUCT((UPPER(TRIM('PAUSAS MENSUALIDADES'!$A$5:$A$500))=UPPER(TRIM(A27)))*('PAUSAS MENSUALIDADES'!$B$5:$B$500=mes)*(UPPER(TRIM('PAUSAS MENSUALIDADES'!$D$5:$D$500))="APLICAR"))&gt;0,abonoActivo,SUMIFS('ABONOS MENSUALIDADES'!$F$5:$F$500,'ABONOS MENSUALIDADES'!$C$5:$C$500,A27,'ABONOS MENSUALIDADES'!$D$5:$D$500,mes,'ABONOS MENSUALIDADES'!$G$5:$G$500,"&lt;&gt;*CONSOLIDADO EN PAGOS*")&gt;0,esperadaBruta,MAX(IFNA(VLOOKUP(B27,COSTOS!$A$3:$B$13,2,FALSE),0)-150,0),IF(AND(cobrarDesde&lt;&gt;"",mes&lt;cobrarDesde),"AÚN NO INICIA",IF(pausada,"PAUSADA",IF(AND(abonoActivo,COUNTIFS('ABONOS MENSUALIDADES'!$C$5:$C$500,A27,'ABONOS MENSUALIDADES'!$D$5:$D$500,mes,'ABONOS MENSUALIDADES'!$G$5:$G$500,"*MENSUALIDAD LIQUIDADA*")=0),"ABONO",IF(N(D27)&gt;=esperadaBruta,"COBRADA",IF(N(D27)&gt;0,"ABONO","PENDIENTE")))))))</f>
        <v>COBRADA</v>
      </c>
      <c r="G27" s="79">
        <f t="array" ref="G27">IF(A27="","",IFERROR(INDEX('BASE DE DATOSS'!I:I,ROW()-13),""))</f>
        <v>46023</v>
      </c>
    </row>
    <row r="28">
      <c r="A28" s="51" t="str">
        <f t="array" ref="A28">IFERROR(INDEX('BASE DE DATOSS'!A:A,ROW()-13),"")</f>
        <v>DANNA VALERIA DE LA CRUZ HEREDIA </v>
      </c>
      <c r="B28" s="51" t="str">
        <f t="array" ref="B28">IF(A28="","",IFERROR(INDEX('BASE DE DATOSS'!C:C,ROW()-13),""))</f>
        <v>KIDS 3</v>
      </c>
      <c r="C28" s="62">
        <f t="array" ref="C28">IF(A28="","",LET(mes,DATE($E$2,MATCH($B$2,'ESTADO CONTABLE'!$A$5:$A$16,0),1),cobrarDesde,IFERROR(INDEX('BASE DE DATOSS'!I:I,ROW()-13),""),pausada,SUMPRODUCT((UPPER(TRIM('PAUSAS MENSUALIDADES'!$A$5:$A$500))=UPPER(TRIM(A28)))*('PAUSAS MENSUALIDADES'!$B$5:$B$500=mes)*(UPPER(TRIM('PAUSAS MENSUALIDADES'!$D$5:$D$500))="APLICAR"))&gt;0,IF(OR(AND(cobrarDesde&lt;&gt;"",mes&lt;cobrarDesde),pausada),0,MAX(IFNA(VLOOKUP(B28,COSTOS!$A$3:$B$13,2,FALSE),0)-150,0)/1.16)))</f>
        <v>689.6551724</v>
      </c>
      <c r="D28" s="62">
        <f t="array" ref="D28">IF(A28="","",LET(mes,DATE($E$2,MATCH($B$2,'ESTADO CONTABLE'!$A$5:$A$16,0),1),abonos,SUMIFS('ABONOS MENSUALIDADES'!$F$5:$F$500,'ABONOS MENSUALIDADES'!$C$5:$C$500,A28,'ABONOS MENSUALIDADES'!$D$5:$D$500,mes),pago,CHOOSE(MATCH($B$2,'ESTADO CONTABLE'!$A$5:$A$16,0),IFNA(_xlfn.XLOOKUP(A28,PAGOS!$A$2:$A$996,PAGOS!$E$2:$E$996,""),""),IFNA(_xlfn.XLOOKUP(A28,PAGOS!$A$2:$A$996,PAGOS!$G$2:$G$996,""),""),IFNA(_xlfn.XLOOKUP(A28,PAGOS!$A$2:$A$996,PAGOS!$J$2:$J$996,""),""),IFNA(_xlfn.XLOOKUP(A28,PAGOS!$A$2:$A$996,PAGOS!$M$2:$M$996,""),""),IFNA(_xlfn.XLOOKUP(A28,PAGOS!$A$2:$A$996,PAGOS!$P$2:$P$996,""),""),IFNA(_xlfn.XLOOKUP(A28,PAGOS!$A$2:$A$996,PAGOS!$S$2:$S$996,""),""),IFNA(_xlfn.XLOOKUP(A28,PAGOS!$A$2:$A$996,PAGOS!$V$2:$V$996,""),""),IFNA(_xlfn.XLOOKUP(A28,PAGOS!$A$2:$A$996,PAGOS!$Y$2:$Y$996,""),""),IFNA(_xlfn.XLOOKUP(A28,PAGOS!$A$2:$A$996,PAGOS!$AB$2:$AB$996,""),""),IFNA(_xlfn.XLOOKUP(A28,PAGOS!$A$2:$A$996,PAGOS!$AE$2:$AE$996,""),""),IFNA(_xlfn.XLOOKUP(A28,PAGOS!$A$2:$A$996,PAGOS!$AH$2:$AH$996,""),""),IFNA(_xlfn.XLOOKUP(A28,PAGOS!$A$2:$A$996,PAGOS!$AK$2:$AK$996,""),"")),IF(abonos&gt;0,abonos,pago)))</f>
        <v>800</v>
      </c>
      <c r="E28" s="51" t="str">
        <f>IFERROR(__xludf.DUMMYFUNCTION("IF(A28="""","""",LET(mes,DATE($E$2,MATCH($B$2,'ESTADO CONTABLE'!$A$5:$A$16,0),1),abonos,SUMIFS('ABONOS MENSUALIDADES'!$F$5:$F$500,'ABONOS MENSUALIDADES'!$C$5:$C$500,A28,'ABONOS MENSUALIDADES'!$D$5:$D$500,mes),metodoDirecto,CHOOSE(MATCH($B$2,'ESTADO CONTAB"&amp;"LE'!$A$5:$A$16,0),IF(ISNUMBER(D28),""POR CLASIFICAR"",""""),IFNA(XLOOKUP(A28,PAGOS!$A$2:$A$996,PAGOS!$H$2:$H$996,""""),""""),IFNA(XLOOKUP(A28,PAGOS!$A$2:$A$996,PAGOS!$K$2:$K$996,""""),""""),IFNA(XLOOKUP(A28,PAGOS!$A$2:$A$996,PAGOS!$N$2:$N$996,""""),""""),"&amp;"IFNA(XLOOKUP(A28,PAGOS!$A$2:$A$996,PAGOS!$Q$2:$Q$996,""""),""""),IFNA(XLOOKUP(A28,PAGOS!$A$2:$A$996,PAGOS!$T$2:$T$996,""""),""""),IFNA(XLOOKUP(A28,PAGOS!$A$2:$A$996,PAGOS!$W$2:$W$996,""""),""""),IFNA(XLOOKUP(A28,PAGOS!$A$2:$A$996,PAGOS!$Z$2:$Z$996,""""),"&amp;"""""),IFNA(XLOOKUP(A28,PAGOS!$A$2:$A$996,PAGOS!$AC$2:$AC$996,""""),""""),IFNA(XLOOKUP(A28,PAGOS!$A$2:$A$996,PAGOS!$AF$2:$AF$996,""""),""""),IFNA(XLOOKUP(A28,PAGOS!$A$2:$A$996,PAGOS!$AI$2:$AI$996,""""),""""),IFNA(XLOOKUP(A28,PAGOS!$A$2:$A$996,PAGOS!$AL$2:$"&amp;"AL$996,""""),"""")),IF(abonos&gt;0,IFERROR(TEXTJOIN("" + "",TRUE,UNIQUE(FILTER('ABONOS MENSUALIDADES'!$E$5:$E$500,'ABONOS MENSUALIDADES'!$C$5:$C$500=A28,'ABONOS MENSUALIDADES'!$D$5:$D$500=mes))),""""),metodoDirecto)))"),"EFECTIVO")</f>
        <v>EFECTIVO</v>
      </c>
      <c r="F28" s="51" t="str">
        <f t="array" ref="F28">IF(A28="","",LET(mes,DATE($E$2,MATCH($B$2,'ESTADO CONTABLE'!$A$5:$A$16,0),1),cobrarDesde,IFERROR(INDEX('BASE DE DATOSS'!I:I,ROW()-13),""),pausada,SUMPRODUCT((UPPER(TRIM('PAUSAS MENSUALIDADES'!$A$5:$A$500))=UPPER(TRIM(A28)))*('PAUSAS MENSUALIDADES'!$B$5:$B$500=mes)*(UPPER(TRIM('PAUSAS MENSUALIDADES'!$D$5:$D$500))="APLICAR"))&gt;0,abonoActivo,SUMIFS('ABONOS MENSUALIDADES'!$F$5:$F$500,'ABONOS MENSUALIDADES'!$C$5:$C$500,A28,'ABONOS MENSUALIDADES'!$D$5:$D$500,mes,'ABONOS MENSUALIDADES'!$G$5:$G$500,"&lt;&gt;*CONSOLIDADO EN PAGOS*")&gt;0,esperadaBruta,MAX(IFNA(VLOOKUP(B28,COSTOS!$A$3:$B$13,2,FALSE),0)-150,0),IF(AND(cobrarDesde&lt;&gt;"",mes&lt;cobrarDesde),"AÚN NO INICIA",IF(pausada,"PAUSADA",IF(AND(abonoActivo,COUNTIFS('ABONOS MENSUALIDADES'!$C$5:$C$500,A28,'ABONOS MENSUALIDADES'!$D$5:$D$500,mes,'ABONOS MENSUALIDADES'!$G$5:$G$500,"*MENSUALIDAD LIQUIDADA*")=0),"ABONO",IF(N(D28)&gt;=esperadaBruta,"COBRADA",IF(N(D28)&gt;0,"ABONO","PENDIENTE")))))))</f>
        <v>COBRADA</v>
      </c>
      <c r="G28" s="79">
        <f t="array" ref="G28">IF(A28="","",IFERROR(INDEX('BASE DE DATOSS'!I:I,ROW()-13),""))</f>
        <v>46023</v>
      </c>
    </row>
    <row r="29">
      <c r="A29" s="51" t="str">
        <f t="array" ref="A29">IFERROR(INDEX('BASE DE DATOSS'!A:A,ROW()-13),"")</f>
        <v>VIVIANA MONTES CÁRDENAS </v>
      </c>
      <c r="B29" s="51" t="str">
        <f t="array" ref="B29">IF(A29="","",IFERROR(INDEX('BASE DE DATOSS'!C:C,ROW()-13),""))</f>
        <v>ADULTS 1</v>
      </c>
      <c r="C29" s="62">
        <f t="array" ref="C29">IF(A29="","",LET(mes,DATE($E$2,MATCH($B$2,'ESTADO CONTABLE'!$A$5:$A$16,0),1),cobrarDesde,IFERROR(INDEX('BASE DE DATOSS'!I:I,ROW()-13),""),pausada,SUMPRODUCT((UPPER(TRIM('PAUSAS MENSUALIDADES'!$A$5:$A$500))=UPPER(TRIM(A29)))*('PAUSAS MENSUALIDADES'!$B$5:$B$500=mes)*(UPPER(TRIM('PAUSAS MENSUALIDADES'!$D$5:$D$500))="APLICAR"))&gt;0,IF(OR(AND(cobrarDesde&lt;&gt;"",mes&lt;cobrarDesde),pausada),0,MAX(IFNA(VLOOKUP(B29,COSTOS!$A$3:$B$13,2,FALSE),0)-150,0)/1.16)))</f>
        <v>991.3793103</v>
      </c>
      <c r="D29" s="62">
        <f t="array" ref="D29">IF(A29="","",LET(mes,DATE($E$2,MATCH($B$2,'ESTADO CONTABLE'!$A$5:$A$16,0),1),abonos,SUMIFS('ABONOS MENSUALIDADES'!$F$5:$F$500,'ABONOS MENSUALIDADES'!$C$5:$C$500,A29,'ABONOS MENSUALIDADES'!$D$5:$D$500,mes),pago,CHOOSE(MATCH($B$2,'ESTADO CONTABLE'!$A$5:$A$16,0),IFNA(_xlfn.XLOOKUP(A29,PAGOS!$A$2:$A$996,PAGOS!$E$2:$E$996,""),""),IFNA(_xlfn.XLOOKUP(A29,PAGOS!$A$2:$A$996,PAGOS!$G$2:$G$996,""),""),IFNA(_xlfn.XLOOKUP(A29,PAGOS!$A$2:$A$996,PAGOS!$J$2:$J$996,""),""),IFNA(_xlfn.XLOOKUP(A29,PAGOS!$A$2:$A$996,PAGOS!$M$2:$M$996,""),""),IFNA(_xlfn.XLOOKUP(A29,PAGOS!$A$2:$A$996,PAGOS!$P$2:$P$996,""),""),IFNA(_xlfn.XLOOKUP(A29,PAGOS!$A$2:$A$996,PAGOS!$S$2:$S$996,""),""),IFNA(_xlfn.XLOOKUP(A29,PAGOS!$A$2:$A$996,PAGOS!$V$2:$V$996,""),""),IFNA(_xlfn.XLOOKUP(A29,PAGOS!$A$2:$A$996,PAGOS!$Y$2:$Y$996,""),""),IFNA(_xlfn.XLOOKUP(A29,PAGOS!$A$2:$A$996,PAGOS!$AB$2:$AB$996,""),""),IFNA(_xlfn.XLOOKUP(A29,PAGOS!$A$2:$A$996,PAGOS!$AE$2:$AE$996,""),""),IFNA(_xlfn.XLOOKUP(A29,PAGOS!$A$2:$A$996,PAGOS!$AH$2:$AH$996,""),""),IFNA(_xlfn.XLOOKUP(A29,PAGOS!$A$2:$A$996,PAGOS!$AK$2:$AK$996,""),"")),IF(abonos&gt;0,abonos,pago)))</f>
        <v>1300</v>
      </c>
      <c r="E29" s="51" t="str">
        <f>IFERROR(__xludf.DUMMYFUNCTION("IF(A29="""","""",LET(mes,DATE($E$2,MATCH($B$2,'ESTADO CONTABLE'!$A$5:$A$16,0),1),abonos,SUMIFS('ABONOS MENSUALIDADES'!$F$5:$F$500,'ABONOS MENSUALIDADES'!$C$5:$C$500,A29,'ABONOS MENSUALIDADES'!$D$5:$D$500,mes),metodoDirecto,CHOOSE(MATCH($B$2,'ESTADO CONTAB"&amp;"LE'!$A$5:$A$16,0),IF(ISNUMBER(D29),""POR CLASIFICAR"",""""),IFNA(XLOOKUP(A29,PAGOS!$A$2:$A$996,PAGOS!$H$2:$H$996,""""),""""),IFNA(XLOOKUP(A29,PAGOS!$A$2:$A$996,PAGOS!$K$2:$K$996,""""),""""),IFNA(XLOOKUP(A29,PAGOS!$A$2:$A$996,PAGOS!$N$2:$N$996,""""),""""),"&amp;"IFNA(XLOOKUP(A29,PAGOS!$A$2:$A$996,PAGOS!$Q$2:$Q$996,""""),""""),IFNA(XLOOKUP(A29,PAGOS!$A$2:$A$996,PAGOS!$T$2:$T$996,""""),""""),IFNA(XLOOKUP(A29,PAGOS!$A$2:$A$996,PAGOS!$W$2:$W$996,""""),""""),IFNA(XLOOKUP(A29,PAGOS!$A$2:$A$996,PAGOS!$Z$2:$Z$996,""""),"&amp;"""""),IFNA(XLOOKUP(A29,PAGOS!$A$2:$A$996,PAGOS!$AC$2:$AC$996,""""),""""),IFNA(XLOOKUP(A29,PAGOS!$A$2:$A$996,PAGOS!$AF$2:$AF$996,""""),""""),IFNA(XLOOKUP(A29,PAGOS!$A$2:$A$996,PAGOS!$AI$2:$AI$996,""""),""""),IFNA(XLOOKUP(A29,PAGOS!$A$2:$A$996,PAGOS!$AL$2:$"&amp;"AL$996,""""),"""")),IF(abonos&gt;0,IFERROR(TEXTJOIN("" + "",TRUE,UNIQUE(FILTER('ABONOS MENSUALIDADES'!$E$5:$E$500,'ABONOS MENSUALIDADES'!$C$5:$C$500=A29,'ABONOS MENSUALIDADES'!$D$5:$D$500=mes))),""""),metodoDirecto)))"),"TERMINAL")</f>
        <v>TERMINAL</v>
      </c>
      <c r="F29" s="51" t="str">
        <f t="array" ref="F29">IF(A29="","",LET(mes,DATE($E$2,MATCH($B$2,'ESTADO CONTABLE'!$A$5:$A$16,0),1),cobrarDesde,IFERROR(INDEX('BASE DE DATOSS'!I:I,ROW()-13),""),pausada,SUMPRODUCT((UPPER(TRIM('PAUSAS MENSUALIDADES'!$A$5:$A$500))=UPPER(TRIM(A29)))*('PAUSAS MENSUALIDADES'!$B$5:$B$500=mes)*(UPPER(TRIM('PAUSAS MENSUALIDADES'!$D$5:$D$500))="APLICAR"))&gt;0,abonoActivo,SUMIFS('ABONOS MENSUALIDADES'!$F$5:$F$500,'ABONOS MENSUALIDADES'!$C$5:$C$500,A29,'ABONOS MENSUALIDADES'!$D$5:$D$500,mes,'ABONOS MENSUALIDADES'!$G$5:$G$500,"&lt;&gt;*CONSOLIDADO EN PAGOS*")&gt;0,esperadaBruta,MAX(IFNA(VLOOKUP(B29,COSTOS!$A$3:$B$13,2,FALSE),0)-150,0),IF(AND(cobrarDesde&lt;&gt;"",mes&lt;cobrarDesde),"AÚN NO INICIA",IF(pausada,"PAUSADA",IF(AND(abonoActivo,COUNTIFS('ABONOS MENSUALIDADES'!$C$5:$C$500,A29,'ABONOS MENSUALIDADES'!$D$5:$D$500,mes,'ABONOS MENSUALIDADES'!$G$5:$G$500,"*MENSUALIDAD LIQUIDADA*")=0),"ABONO",IF(N(D29)&gt;=esperadaBruta,"COBRADA",IF(N(D29)&gt;0,"ABONO","PENDIENTE")))))))</f>
        <v>COBRADA</v>
      </c>
      <c r="G29" s="79">
        <f t="array" ref="G29">IF(A29="","",IFERROR(INDEX('BASE DE DATOSS'!I:I,ROW()-13),""))</f>
        <v>46023</v>
      </c>
    </row>
    <row r="30">
      <c r="A30" s="51" t="str">
        <f t="array" ref="A30">IFERROR(INDEX('BASE DE DATOSS'!A:A,ROW()-13),"")</f>
        <v>GRETA ATENEA ALMANZA RAMOS</v>
      </c>
      <c r="B30" s="51" t="str">
        <f t="array" ref="B30">IF(A30="","",IFERROR(INDEX('BASE DE DATOSS'!C:C,ROW()-13),""))</f>
        <v>KIDS 3</v>
      </c>
      <c r="C30" s="62">
        <f t="array" ref="C30">IF(A30="","",LET(mes,DATE($E$2,MATCH($B$2,'ESTADO CONTABLE'!$A$5:$A$16,0),1),cobrarDesde,IFERROR(INDEX('BASE DE DATOSS'!I:I,ROW()-13),""),pausada,SUMPRODUCT((UPPER(TRIM('PAUSAS MENSUALIDADES'!$A$5:$A$500))=UPPER(TRIM(A30)))*('PAUSAS MENSUALIDADES'!$B$5:$B$500=mes)*(UPPER(TRIM('PAUSAS MENSUALIDADES'!$D$5:$D$500))="APLICAR"))&gt;0,IF(OR(AND(cobrarDesde&lt;&gt;"",mes&lt;cobrarDesde),pausada),0,MAX(IFNA(VLOOKUP(B30,COSTOS!$A$3:$B$13,2,FALSE),0)-150,0)/1.16)))</f>
        <v>689.6551724</v>
      </c>
      <c r="D30" s="62">
        <f t="array" ref="D30">IF(A30="","",LET(mes,DATE($E$2,MATCH($B$2,'ESTADO CONTABLE'!$A$5:$A$16,0),1),abonos,SUMIFS('ABONOS MENSUALIDADES'!$F$5:$F$500,'ABONOS MENSUALIDADES'!$C$5:$C$500,A30,'ABONOS MENSUALIDADES'!$D$5:$D$500,mes),pago,CHOOSE(MATCH($B$2,'ESTADO CONTABLE'!$A$5:$A$16,0),IFNA(_xlfn.XLOOKUP(A30,PAGOS!$A$2:$A$996,PAGOS!$E$2:$E$996,""),""),IFNA(_xlfn.XLOOKUP(A30,PAGOS!$A$2:$A$996,PAGOS!$G$2:$G$996,""),""),IFNA(_xlfn.XLOOKUP(A30,PAGOS!$A$2:$A$996,PAGOS!$J$2:$J$996,""),""),IFNA(_xlfn.XLOOKUP(A30,PAGOS!$A$2:$A$996,PAGOS!$M$2:$M$996,""),""),IFNA(_xlfn.XLOOKUP(A30,PAGOS!$A$2:$A$996,PAGOS!$P$2:$P$996,""),""),IFNA(_xlfn.XLOOKUP(A30,PAGOS!$A$2:$A$996,PAGOS!$S$2:$S$996,""),""),IFNA(_xlfn.XLOOKUP(A30,PAGOS!$A$2:$A$996,PAGOS!$V$2:$V$996,""),""),IFNA(_xlfn.XLOOKUP(A30,PAGOS!$A$2:$A$996,PAGOS!$Y$2:$Y$996,""),""),IFNA(_xlfn.XLOOKUP(A30,PAGOS!$A$2:$A$996,PAGOS!$AB$2:$AB$996,""),""),IFNA(_xlfn.XLOOKUP(A30,PAGOS!$A$2:$A$996,PAGOS!$AE$2:$AE$996,""),""),IFNA(_xlfn.XLOOKUP(A30,PAGOS!$A$2:$A$996,PAGOS!$AH$2:$AH$996,""),""),IFNA(_xlfn.XLOOKUP(A30,PAGOS!$A$2:$A$996,PAGOS!$AK$2:$AK$996,""),"")),IF(abonos&gt;0,abonos,pago)))</f>
        <v>800</v>
      </c>
      <c r="E30" s="51" t="str">
        <f>IFERROR(__xludf.DUMMYFUNCTION("IF(A30="""","""",LET(mes,DATE($E$2,MATCH($B$2,'ESTADO CONTABLE'!$A$5:$A$16,0),1),abonos,SUMIFS('ABONOS MENSUALIDADES'!$F$5:$F$500,'ABONOS MENSUALIDADES'!$C$5:$C$500,A30,'ABONOS MENSUALIDADES'!$D$5:$D$500,mes),metodoDirecto,CHOOSE(MATCH($B$2,'ESTADO CONTAB"&amp;"LE'!$A$5:$A$16,0),IF(ISNUMBER(D30),""POR CLASIFICAR"",""""),IFNA(XLOOKUP(A30,PAGOS!$A$2:$A$996,PAGOS!$H$2:$H$996,""""),""""),IFNA(XLOOKUP(A30,PAGOS!$A$2:$A$996,PAGOS!$K$2:$K$996,""""),""""),IFNA(XLOOKUP(A30,PAGOS!$A$2:$A$996,PAGOS!$N$2:$N$996,""""),""""),"&amp;"IFNA(XLOOKUP(A30,PAGOS!$A$2:$A$996,PAGOS!$Q$2:$Q$996,""""),""""),IFNA(XLOOKUP(A30,PAGOS!$A$2:$A$996,PAGOS!$T$2:$T$996,""""),""""),IFNA(XLOOKUP(A30,PAGOS!$A$2:$A$996,PAGOS!$W$2:$W$996,""""),""""),IFNA(XLOOKUP(A30,PAGOS!$A$2:$A$996,PAGOS!$Z$2:$Z$996,""""),"&amp;"""""),IFNA(XLOOKUP(A30,PAGOS!$A$2:$A$996,PAGOS!$AC$2:$AC$996,""""),""""),IFNA(XLOOKUP(A30,PAGOS!$A$2:$A$996,PAGOS!$AF$2:$AF$996,""""),""""),IFNA(XLOOKUP(A30,PAGOS!$A$2:$A$996,PAGOS!$AI$2:$AI$996,""""),""""),IFNA(XLOOKUP(A30,PAGOS!$A$2:$A$996,PAGOS!$AL$2:$"&amp;"AL$996,""""),"""")),IF(abonos&gt;0,IFERROR(TEXTJOIN("" + "",TRUE,UNIQUE(FILTER('ABONOS MENSUALIDADES'!$E$5:$E$500,'ABONOS MENSUALIDADES'!$C$5:$C$500=A30,'ABONOS MENSUALIDADES'!$D$5:$D$500=mes))),""""),metodoDirecto)))"),"TRANSFERENCIA")</f>
        <v>TRANSFERENCIA</v>
      </c>
      <c r="F30" s="51" t="str">
        <f t="array" ref="F30">IF(A30="","",LET(mes,DATE($E$2,MATCH($B$2,'ESTADO CONTABLE'!$A$5:$A$16,0),1),cobrarDesde,IFERROR(INDEX('BASE DE DATOSS'!I:I,ROW()-13),""),pausada,SUMPRODUCT((UPPER(TRIM('PAUSAS MENSUALIDADES'!$A$5:$A$500))=UPPER(TRIM(A30)))*('PAUSAS MENSUALIDADES'!$B$5:$B$500=mes)*(UPPER(TRIM('PAUSAS MENSUALIDADES'!$D$5:$D$500))="APLICAR"))&gt;0,abonoActivo,SUMIFS('ABONOS MENSUALIDADES'!$F$5:$F$500,'ABONOS MENSUALIDADES'!$C$5:$C$500,A30,'ABONOS MENSUALIDADES'!$D$5:$D$500,mes,'ABONOS MENSUALIDADES'!$G$5:$G$500,"&lt;&gt;*CONSOLIDADO EN PAGOS*")&gt;0,esperadaBruta,MAX(IFNA(VLOOKUP(B30,COSTOS!$A$3:$B$13,2,FALSE),0)-150,0),IF(AND(cobrarDesde&lt;&gt;"",mes&lt;cobrarDesde),"AÚN NO INICIA",IF(pausada,"PAUSADA",IF(AND(abonoActivo,COUNTIFS('ABONOS MENSUALIDADES'!$C$5:$C$500,A30,'ABONOS MENSUALIDADES'!$D$5:$D$500,mes,'ABONOS MENSUALIDADES'!$G$5:$G$500,"*MENSUALIDAD LIQUIDADA*")=0),"ABONO",IF(N(D30)&gt;=esperadaBruta,"COBRADA",IF(N(D30)&gt;0,"ABONO","PENDIENTE")))))))</f>
        <v>ABONO</v>
      </c>
      <c r="G30" s="79">
        <f t="array" ref="G30">IF(A30="","",IFERROR(INDEX('BASE DE DATOSS'!I:I,ROW()-13),""))</f>
        <v>46023</v>
      </c>
    </row>
    <row r="31">
      <c r="A31" s="51" t="str">
        <f t="array" ref="A31">IFERROR(INDEX('BASE DE DATOSS'!A:A,ROW()-13),"")</f>
        <v>ARMIDA GABRIELA DE LA CRUZ ALCALA</v>
      </c>
      <c r="B31" s="51" t="str">
        <f t="array" ref="B31">IF(A31="","",IFERROR(INDEX('BASE DE DATOSS'!C:C,ROW()-13),""))</f>
        <v>SABATINO</v>
      </c>
      <c r="C31" s="62">
        <f t="array" ref="C31">IF(A31="","",LET(mes,DATE($E$2,MATCH($B$2,'ESTADO CONTABLE'!$A$5:$A$16,0),1),cobrarDesde,IFERROR(INDEX('BASE DE DATOSS'!I:I,ROW()-13),""),pausada,SUMPRODUCT((UPPER(TRIM('PAUSAS MENSUALIDADES'!$A$5:$A$500))=UPPER(TRIM(A31)))*('PAUSAS MENSUALIDADES'!$B$5:$B$500=mes)*(UPPER(TRIM('PAUSAS MENSUALIDADES'!$D$5:$D$500))="APLICAR"))&gt;0,IF(OR(AND(cobrarDesde&lt;&gt;"",mes&lt;cobrarDesde),pausada),0,MAX(IFNA(VLOOKUP(B31,COSTOS!$A$3:$B$13,2,FALSE),0)-150,0)/1.16)))</f>
        <v>474.137931</v>
      </c>
      <c r="D31" s="62">
        <f t="array" ref="D31">IF(A31="","",LET(mes,DATE($E$2,MATCH($B$2,'ESTADO CONTABLE'!$A$5:$A$16,0),1),abonos,SUMIFS('ABONOS MENSUALIDADES'!$F$5:$F$500,'ABONOS MENSUALIDADES'!$C$5:$C$500,A31,'ABONOS MENSUALIDADES'!$D$5:$D$500,mes),pago,CHOOSE(MATCH($B$2,'ESTADO CONTABLE'!$A$5:$A$16,0),IFNA(_xlfn.XLOOKUP(A31,PAGOS!$A$2:$A$996,PAGOS!$E$2:$E$996,""),""),IFNA(_xlfn.XLOOKUP(A31,PAGOS!$A$2:$A$996,PAGOS!$G$2:$G$996,""),""),IFNA(_xlfn.XLOOKUP(A31,PAGOS!$A$2:$A$996,PAGOS!$J$2:$J$996,""),""),IFNA(_xlfn.XLOOKUP(A31,PAGOS!$A$2:$A$996,PAGOS!$M$2:$M$996,""),""),IFNA(_xlfn.XLOOKUP(A31,PAGOS!$A$2:$A$996,PAGOS!$P$2:$P$996,""),""),IFNA(_xlfn.XLOOKUP(A31,PAGOS!$A$2:$A$996,PAGOS!$S$2:$S$996,""),""),IFNA(_xlfn.XLOOKUP(A31,PAGOS!$A$2:$A$996,PAGOS!$V$2:$V$996,""),""),IFNA(_xlfn.XLOOKUP(A31,PAGOS!$A$2:$A$996,PAGOS!$Y$2:$Y$996,""),""),IFNA(_xlfn.XLOOKUP(A31,PAGOS!$A$2:$A$996,PAGOS!$AB$2:$AB$996,""),""),IFNA(_xlfn.XLOOKUP(A31,PAGOS!$A$2:$A$996,PAGOS!$AE$2:$AE$996,""),""),IFNA(_xlfn.XLOOKUP(A31,PAGOS!$A$2:$A$996,PAGOS!$AH$2:$AH$996,""),""),IFNA(_xlfn.XLOOKUP(A31,PAGOS!$A$2:$A$996,PAGOS!$AK$2:$AK$996,""),"")),IF(abonos&gt;0,abonos,pago)))</f>
        <v>550</v>
      </c>
      <c r="E31" s="51" t="str">
        <f>IFERROR(__xludf.DUMMYFUNCTION("IF(A31="""","""",LET(mes,DATE($E$2,MATCH($B$2,'ESTADO CONTABLE'!$A$5:$A$16,0),1),abonos,SUMIFS('ABONOS MENSUALIDADES'!$F$5:$F$500,'ABONOS MENSUALIDADES'!$C$5:$C$500,A31,'ABONOS MENSUALIDADES'!$D$5:$D$500,mes),metodoDirecto,CHOOSE(MATCH($B$2,'ESTADO CONTAB"&amp;"LE'!$A$5:$A$16,0),IF(ISNUMBER(D31),""POR CLASIFICAR"",""""),IFNA(XLOOKUP(A31,PAGOS!$A$2:$A$996,PAGOS!$H$2:$H$996,""""),""""),IFNA(XLOOKUP(A31,PAGOS!$A$2:$A$996,PAGOS!$K$2:$K$996,""""),""""),IFNA(XLOOKUP(A31,PAGOS!$A$2:$A$996,PAGOS!$N$2:$N$996,""""),""""),"&amp;"IFNA(XLOOKUP(A31,PAGOS!$A$2:$A$996,PAGOS!$Q$2:$Q$996,""""),""""),IFNA(XLOOKUP(A31,PAGOS!$A$2:$A$996,PAGOS!$T$2:$T$996,""""),""""),IFNA(XLOOKUP(A31,PAGOS!$A$2:$A$996,PAGOS!$W$2:$W$996,""""),""""),IFNA(XLOOKUP(A31,PAGOS!$A$2:$A$996,PAGOS!$Z$2:$Z$996,""""),"&amp;"""""),IFNA(XLOOKUP(A31,PAGOS!$A$2:$A$996,PAGOS!$AC$2:$AC$996,""""),""""),IFNA(XLOOKUP(A31,PAGOS!$A$2:$A$996,PAGOS!$AF$2:$AF$996,""""),""""),IFNA(XLOOKUP(A31,PAGOS!$A$2:$A$996,PAGOS!$AI$2:$AI$996,""""),""""),IFNA(XLOOKUP(A31,PAGOS!$A$2:$A$996,PAGOS!$AL$2:$"&amp;"AL$996,""""),"""")),IF(abonos&gt;0,IFERROR(TEXTJOIN("" + "",TRUE,UNIQUE(FILTER('ABONOS MENSUALIDADES'!$E$5:$E$500,'ABONOS MENSUALIDADES'!$C$5:$C$500=A31,'ABONOS MENSUALIDADES'!$D$5:$D$500=mes))),""""),metodoDirecto)))"),"EFECTIVO")</f>
        <v>EFECTIVO</v>
      </c>
      <c r="F31" s="51" t="str">
        <f t="array" ref="F31">IF(A31="","",LET(mes,DATE($E$2,MATCH($B$2,'ESTADO CONTABLE'!$A$5:$A$16,0),1),cobrarDesde,IFERROR(INDEX('BASE DE DATOSS'!I:I,ROW()-13),""),pausada,SUMPRODUCT((UPPER(TRIM('PAUSAS MENSUALIDADES'!$A$5:$A$500))=UPPER(TRIM(A31)))*('PAUSAS MENSUALIDADES'!$B$5:$B$500=mes)*(UPPER(TRIM('PAUSAS MENSUALIDADES'!$D$5:$D$500))="APLICAR"))&gt;0,abonoActivo,SUMIFS('ABONOS MENSUALIDADES'!$F$5:$F$500,'ABONOS MENSUALIDADES'!$C$5:$C$500,A31,'ABONOS MENSUALIDADES'!$D$5:$D$500,mes,'ABONOS MENSUALIDADES'!$G$5:$G$500,"&lt;&gt;*CONSOLIDADO EN PAGOS*")&gt;0,esperadaBruta,MAX(IFNA(VLOOKUP(B31,COSTOS!$A$3:$B$13,2,FALSE),0)-150,0),IF(AND(cobrarDesde&lt;&gt;"",mes&lt;cobrarDesde),"AÚN NO INICIA",IF(pausada,"PAUSADA",IF(AND(abonoActivo,COUNTIFS('ABONOS MENSUALIDADES'!$C$5:$C$500,A31,'ABONOS MENSUALIDADES'!$D$5:$D$500,mes,'ABONOS MENSUALIDADES'!$G$5:$G$500,"*MENSUALIDAD LIQUIDADA*")=0),"ABONO",IF(N(D31)&gt;=esperadaBruta,"COBRADA",IF(N(D31)&gt;0,"ABONO","PENDIENTE")))))))</f>
        <v>COBRADA</v>
      </c>
      <c r="G31" s="79">
        <f t="array" ref="G31">IF(A31="","",IFERROR(INDEX('BASE DE DATOSS'!I:I,ROW()-13),""))</f>
        <v>46023</v>
      </c>
    </row>
    <row r="32">
      <c r="A32" s="51" t="str">
        <f t="array" ref="A32">IFERROR(INDEX('BASE DE DATOSS'!A:A,ROW()-13),"")</f>
        <v>NADIA MIREYA MORENO CARRILLO </v>
      </c>
      <c r="B32" s="51" t="str">
        <f t="array" ref="B32">IF(A32="","",IFERROR(INDEX('BASE DE DATOSS'!C:C,ROW()-13),""))</f>
        <v>ADULTS 2</v>
      </c>
      <c r="C32" s="62">
        <f t="array" ref="C32">IF(A32="","",LET(mes,DATE($E$2,MATCH($B$2,'ESTADO CONTABLE'!$A$5:$A$16,0),1),cobrarDesde,IFERROR(INDEX('BASE DE DATOSS'!I:I,ROW()-13),""),pausada,SUMPRODUCT((UPPER(TRIM('PAUSAS MENSUALIDADES'!$A$5:$A$500))=UPPER(TRIM(A32)))*('PAUSAS MENSUALIDADES'!$B$5:$B$500=mes)*(UPPER(TRIM('PAUSAS MENSUALIDADES'!$D$5:$D$500))="APLICAR"))&gt;0,IF(OR(AND(cobrarDesde&lt;&gt;"",mes&lt;cobrarDesde),pausada),0,MAX(IFNA(VLOOKUP(B32,COSTOS!$A$3:$B$13,2,FALSE),0)-150,0)/1.16)))</f>
        <v>818.9655172</v>
      </c>
      <c r="D32" s="62">
        <f t="array" ref="D32">IF(A32="","",LET(mes,DATE($E$2,MATCH($B$2,'ESTADO CONTABLE'!$A$5:$A$16,0),1),abonos,SUMIFS('ABONOS MENSUALIDADES'!$F$5:$F$500,'ABONOS MENSUALIDADES'!$C$5:$C$500,A32,'ABONOS MENSUALIDADES'!$D$5:$D$500,mes),pago,CHOOSE(MATCH($B$2,'ESTADO CONTABLE'!$A$5:$A$16,0),IFNA(_xlfn.XLOOKUP(A32,PAGOS!$A$2:$A$996,PAGOS!$E$2:$E$996,""),""),IFNA(_xlfn.XLOOKUP(A32,PAGOS!$A$2:$A$996,PAGOS!$G$2:$G$996,""),""),IFNA(_xlfn.XLOOKUP(A32,PAGOS!$A$2:$A$996,PAGOS!$J$2:$J$996,""),""),IFNA(_xlfn.XLOOKUP(A32,PAGOS!$A$2:$A$996,PAGOS!$M$2:$M$996,""),""),IFNA(_xlfn.XLOOKUP(A32,PAGOS!$A$2:$A$996,PAGOS!$P$2:$P$996,""),""),IFNA(_xlfn.XLOOKUP(A32,PAGOS!$A$2:$A$996,PAGOS!$S$2:$S$996,""),""),IFNA(_xlfn.XLOOKUP(A32,PAGOS!$A$2:$A$996,PAGOS!$V$2:$V$996,""),""),IFNA(_xlfn.XLOOKUP(A32,PAGOS!$A$2:$A$996,PAGOS!$Y$2:$Y$996,""),""),IFNA(_xlfn.XLOOKUP(A32,PAGOS!$A$2:$A$996,PAGOS!$AB$2:$AB$996,""),""),IFNA(_xlfn.XLOOKUP(A32,PAGOS!$A$2:$A$996,PAGOS!$AE$2:$AE$996,""),""),IFNA(_xlfn.XLOOKUP(A32,PAGOS!$A$2:$A$996,PAGOS!$AH$2:$AH$996,""),""),IFNA(_xlfn.XLOOKUP(A32,PAGOS!$A$2:$A$996,PAGOS!$AK$2:$AK$996,""),"")),IF(abonos&gt;0,abonos,pago)))</f>
        <v>950</v>
      </c>
      <c r="E32" s="51" t="str">
        <f>IFERROR(__xludf.DUMMYFUNCTION("IF(A32="""","""",LET(mes,DATE($E$2,MATCH($B$2,'ESTADO CONTABLE'!$A$5:$A$16,0),1),abonos,SUMIFS('ABONOS MENSUALIDADES'!$F$5:$F$500,'ABONOS MENSUALIDADES'!$C$5:$C$500,A32,'ABONOS MENSUALIDADES'!$D$5:$D$500,mes),metodoDirecto,CHOOSE(MATCH($B$2,'ESTADO CONTAB"&amp;"LE'!$A$5:$A$16,0),IF(ISNUMBER(D32),""POR CLASIFICAR"",""""),IFNA(XLOOKUP(A32,PAGOS!$A$2:$A$996,PAGOS!$H$2:$H$996,""""),""""),IFNA(XLOOKUP(A32,PAGOS!$A$2:$A$996,PAGOS!$K$2:$K$996,""""),""""),IFNA(XLOOKUP(A32,PAGOS!$A$2:$A$996,PAGOS!$N$2:$N$996,""""),""""),"&amp;"IFNA(XLOOKUP(A32,PAGOS!$A$2:$A$996,PAGOS!$Q$2:$Q$996,""""),""""),IFNA(XLOOKUP(A32,PAGOS!$A$2:$A$996,PAGOS!$T$2:$T$996,""""),""""),IFNA(XLOOKUP(A32,PAGOS!$A$2:$A$996,PAGOS!$W$2:$W$996,""""),""""),IFNA(XLOOKUP(A32,PAGOS!$A$2:$A$996,PAGOS!$Z$2:$Z$996,""""),"&amp;"""""),IFNA(XLOOKUP(A32,PAGOS!$A$2:$A$996,PAGOS!$AC$2:$AC$996,""""),""""),IFNA(XLOOKUP(A32,PAGOS!$A$2:$A$996,PAGOS!$AF$2:$AF$996,""""),""""),IFNA(XLOOKUP(A32,PAGOS!$A$2:$A$996,PAGOS!$AI$2:$AI$996,""""),""""),IFNA(XLOOKUP(A32,PAGOS!$A$2:$A$996,PAGOS!$AL$2:$"&amp;"AL$996,""""),"""")),IF(abonos&gt;0,IFERROR(TEXTJOIN("" + "",TRUE,UNIQUE(FILTER('ABONOS MENSUALIDADES'!$E$5:$E$500,'ABONOS MENSUALIDADES'!$C$5:$C$500=A32,'ABONOS MENSUALIDADES'!$D$5:$D$500=mes))),""""),metodoDirecto)))"),"TRANSFERENCIA")</f>
        <v>TRANSFERENCIA</v>
      </c>
      <c r="F32" s="51" t="str">
        <f t="array" ref="F32">IF(A32="","",LET(mes,DATE($E$2,MATCH($B$2,'ESTADO CONTABLE'!$A$5:$A$16,0),1),cobrarDesde,IFERROR(INDEX('BASE DE DATOSS'!I:I,ROW()-13),""),pausada,SUMPRODUCT((UPPER(TRIM('PAUSAS MENSUALIDADES'!$A$5:$A$500))=UPPER(TRIM(A32)))*('PAUSAS MENSUALIDADES'!$B$5:$B$500=mes)*(UPPER(TRIM('PAUSAS MENSUALIDADES'!$D$5:$D$500))="APLICAR"))&gt;0,abonoActivo,SUMIFS('ABONOS MENSUALIDADES'!$F$5:$F$500,'ABONOS MENSUALIDADES'!$C$5:$C$500,A32,'ABONOS MENSUALIDADES'!$D$5:$D$500,mes,'ABONOS MENSUALIDADES'!$G$5:$G$500,"&lt;&gt;*CONSOLIDADO EN PAGOS*")&gt;0,esperadaBruta,MAX(IFNA(VLOOKUP(B32,COSTOS!$A$3:$B$13,2,FALSE),0)-150,0),IF(AND(cobrarDesde&lt;&gt;"",mes&lt;cobrarDesde),"AÚN NO INICIA",IF(pausada,"PAUSADA",IF(AND(abonoActivo,COUNTIFS('ABONOS MENSUALIDADES'!$C$5:$C$500,A32,'ABONOS MENSUALIDADES'!$D$5:$D$500,mes,'ABONOS MENSUALIDADES'!$G$5:$G$500,"*MENSUALIDAD LIQUIDADA*")=0),"ABONO",IF(N(D32)&gt;=esperadaBruta,"COBRADA",IF(N(D32)&gt;0,"ABONO","PENDIENTE")))))))</f>
        <v>COBRADA</v>
      </c>
      <c r="G32" s="79">
        <f t="array" ref="G32">IF(A32="","",IFERROR(INDEX('BASE DE DATOSS'!I:I,ROW()-13),""))</f>
        <v>46023</v>
      </c>
    </row>
    <row r="33">
      <c r="A33" s="51" t="str">
        <f t="array" ref="A33">IFERROR(INDEX('BASE DE DATOSS'!A:A,ROW()-13),"")</f>
        <v>ARIADNA KATINA MORENO ROSENDO </v>
      </c>
      <c r="B33" s="51" t="str">
        <f t="array" ref="B33">IF(A33="","",IFERROR(INDEX('BASE DE DATOSS'!C:C,ROW()-13),""))</f>
        <v>KIDS 2</v>
      </c>
      <c r="C33" s="62">
        <f t="array" ref="C33">IF(A33="","",LET(mes,DATE($E$2,MATCH($B$2,'ESTADO CONTABLE'!$A$5:$A$16,0),1),cobrarDesde,IFERROR(INDEX('BASE DE DATOSS'!I:I,ROW()-13),""),pausada,SUMPRODUCT((UPPER(TRIM('PAUSAS MENSUALIDADES'!$A$5:$A$500))=UPPER(TRIM(A33)))*('PAUSAS MENSUALIDADES'!$B$5:$B$500=mes)*(UPPER(TRIM('PAUSAS MENSUALIDADES'!$D$5:$D$500))="APLICAR"))&gt;0,IF(OR(AND(cobrarDesde&lt;&gt;"",mes&lt;cobrarDesde),pausada),0,MAX(IFNA(VLOOKUP(B33,COSTOS!$A$3:$B$13,2,FALSE),0)-150,0)/1.16)))</f>
        <v>689.6551724</v>
      </c>
      <c r="D33" s="62">
        <f t="array" ref="D33">IF(A33="","",LET(mes,DATE($E$2,MATCH($B$2,'ESTADO CONTABLE'!$A$5:$A$16,0),1),abonos,SUMIFS('ABONOS MENSUALIDADES'!$F$5:$F$500,'ABONOS MENSUALIDADES'!$C$5:$C$500,A33,'ABONOS MENSUALIDADES'!$D$5:$D$500,mes),pago,CHOOSE(MATCH($B$2,'ESTADO CONTABLE'!$A$5:$A$16,0),IFNA(_xlfn.XLOOKUP(A33,PAGOS!$A$2:$A$996,PAGOS!$E$2:$E$996,""),""),IFNA(_xlfn.XLOOKUP(A33,PAGOS!$A$2:$A$996,PAGOS!$G$2:$G$996,""),""),IFNA(_xlfn.XLOOKUP(A33,PAGOS!$A$2:$A$996,PAGOS!$J$2:$J$996,""),""),IFNA(_xlfn.XLOOKUP(A33,PAGOS!$A$2:$A$996,PAGOS!$M$2:$M$996,""),""),IFNA(_xlfn.XLOOKUP(A33,PAGOS!$A$2:$A$996,PAGOS!$P$2:$P$996,""),""),IFNA(_xlfn.XLOOKUP(A33,PAGOS!$A$2:$A$996,PAGOS!$S$2:$S$996,""),""),IFNA(_xlfn.XLOOKUP(A33,PAGOS!$A$2:$A$996,PAGOS!$V$2:$V$996,""),""),IFNA(_xlfn.XLOOKUP(A33,PAGOS!$A$2:$A$996,PAGOS!$Y$2:$Y$996,""),""),IFNA(_xlfn.XLOOKUP(A33,PAGOS!$A$2:$A$996,PAGOS!$AB$2:$AB$996,""),""),IFNA(_xlfn.XLOOKUP(A33,PAGOS!$A$2:$A$996,PAGOS!$AE$2:$AE$996,""),""),IFNA(_xlfn.XLOOKUP(A33,PAGOS!$A$2:$A$996,PAGOS!$AH$2:$AH$996,""),""),IFNA(_xlfn.XLOOKUP(A33,PAGOS!$A$2:$A$996,PAGOS!$AK$2:$AK$996,""),"")),IF(abonos&gt;0,abonos,pago)))</f>
        <v>800</v>
      </c>
      <c r="E33" s="51" t="str">
        <f>IFERROR(__xludf.DUMMYFUNCTION("IF(A33="""","""",LET(mes,DATE($E$2,MATCH($B$2,'ESTADO CONTABLE'!$A$5:$A$16,0),1),abonos,SUMIFS('ABONOS MENSUALIDADES'!$F$5:$F$500,'ABONOS MENSUALIDADES'!$C$5:$C$500,A33,'ABONOS MENSUALIDADES'!$D$5:$D$500,mes),metodoDirecto,CHOOSE(MATCH($B$2,'ESTADO CONTAB"&amp;"LE'!$A$5:$A$16,0),IF(ISNUMBER(D33),""POR CLASIFICAR"",""""),IFNA(XLOOKUP(A33,PAGOS!$A$2:$A$996,PAGOS!$H$2:$H$996,""""),""""),IFNA(XLOOKUP(A33,PAGOS!$A$2:$A$996,PAGOS!$K$2:$K$996,""""),""""),IFNA(XLOOKUP(A33,PAGOS!$A$2:$A$996,PAGOS!$N$2:$N$996,""""),""""),"&amp;"IFNA(XLOOKUP(A33,PAGOS!$A$2:$A$996,PAGOS!$Q$2:$Q$996,""""),""""),IFNA(XLOOKUP(A33,PAGOS!$A$2:$A$996,PAGOS!$T$2:$T$996,""""),""""),IFNA(XLOOKUP(A33,PAGOS!$A$2:$A$996,PAGOS!$W$2:$W$996,""""),""""),IFNA(XLOOKUP(A33,PAGOS!$A$2:$A$996,PAGOS!$Z$2:$Z$996,""""),"&amp;"""""),IFNA(XLOOKUP(A33,PAGOS!$A$2:$A$996,PAGOS!$AC$2:$AC$996,""""),""""),IFNA(XLOOKUP(A33,PAGOS!$A$2:$A$996,PAGOS!$AF$2:$AF$996,""""),""""),IFNA(XLOOKUP(A33,PAGOS!$A$2:$A$996,PAGOS!$AI$2:$AI$996,""""),""""),IFNA(XLOOKUP(A33,PAGOS!$A$2:$A$996,PAGOS!$AL$2:$"&amp;"AL$996,""""),"""")),IF(abonos&gt;0,IFERROR(TEXTJOIN("" + "",TRUE,UNIQUE(FILTER('ABONOS MENSUALIDADES'!$E$5:$E$500,'ABONOS MENSUALIDADES'!$C$5:$C$500=A33,'ABONOS MENSUALIDADES'!$D$5:$D$500=mes))),""""),metodoDirecto)))"),"EFECTIVO")</f>
        <v>EFECTIVO</v>
      </c>
      <c r="F33" s="51" t="str">
        <f t="array" ref="F33">IF(A33="","",LET(mes,DATE($E$2,MATCH($B$2,'ESTADO CONTABLE'!$A$5:$A$16,0),1),cobrarDesde,IFERROR(INDEX('BASE DE DATOSS'!I:I,ROW()-13),""),pausada,SUMPRODUCT((UPPER(TRIM('PAUSAS MENSUALIDADES'!$A$5:$A$500))=UPPER(TRIM(A33)))*('PAUSAS MENSUALIDADES'!$B$5:$B$500=mes)*(UPPER(TRIM('PAUSAS MENSUALIDADES'!$D$5:$D$500))="APLICAR"))&gt;0,abonoActivo,SUMIFS('ABONOS MENSUALIDADES'!$F$5:$F$500,'ABONOS MENSUALIDADES'!$C$5:$C$500,A33,'ABONOS MENSUALIDADES'!$D$5:$D$500,mes,'ABONOS MENSUALIDADES'!$G$5:$G$500,"&lt;&gt;*CONSOLIDADO EN PAGOS*")&gt;0,esperadaBruta,MAX(IFNA(VLOOKUP(B33,COSTOS!$A$3:$B$13,2,FALSE),0)-150,0),IF(AND(cobrarDesde&lt;&gt;"",mes&lt;cobrarDesde),"AÚN NO INICIA",IF(pausada,"PAUSADA",IF(AND(abonoActivo,COUNTIFS('ABONOS MENSUALIDADES'!$C$5:$C$500,A33,'ABONOS MENSUALIDADES'!$D$5:$D$500,mes,'ABONOS MENSUALIDADES'!$G$5:$G$500,"*MENSUALIDAD LIQUIDADA*")=0),"ABONO",IF(N(D33)&gt;=esperadaBruta,"COBRADA",IF(N(D33)&gt;0,"ABONO","PENDIENTE")))))))</f>
        <v>COBRADA</v>
      </c>
      <c r="G33" s="79">
        <f t="array" ref="G33">IF(A33="","",IFERROR(INDEX('BASE DE DATOSS'!I:I,ROW()-13),""))</f>
        <v>46023</v>
      </c>
    </row>
    <row r="34">
      <c r="A34" s="51" t="str">
        <f t="array" ref="A34">IFERROR(INDEX('BASE DE DATOSS'!A:A,ROW()-13),"")</f>
        <v>ANIELA SIBEL ORDOÑEZ RAMÍREZ </v>
      </c>
      <c r="B34" s="51" t="str">
        <f t="array" ref="B34">IF(A34="","",IFERROR(INDEX('BASE DE DATOSS'!C:C,ROW()-13),""))</f>
        <v>ADULTS 2</v>
      </c>
      <c r="C34" s="62">
        <f t="array" ref="C34">IF(A34="","",LET(mes,DATE($E$2,MATCH($B$2,'ESTADO CONTABLE'!$A$5:$A$16,0),1),cobrarDesde,IFERROR(INDEX('BASE DE DATOSS'!I:I,ROW()-13),""),pausada,SUMPRODUCT((UPPER(TRIM('PAUSAS MENSUALIDADES'!$A$5:$A$500))=UPPER(TRIM(A34)))*('PAUSAS MENSUALIDADES'!$B$5:$B$500=mes)*(UPPER(TRIM('PAUSAS MENSUALIDADES'!$D$5:$D$500))="APLICAR"))&gt;0,IF(OR(AND(cobrarDesde&lt;&gt;"",mes&lt;cobrarDesde),pausada),0,MAX(IFNA(VLOOKUP(B34,COSTOS!$A$3:$B$13,2,FALSE),0)-150,0)/1.16)))</f>
        <v>818.9655172</v>
      </c>
      <c r="D34" s="62">
        <f t="array" ref="D34">IF(A34="","",LET(mes,DATE($E$2,MATCH($B$2,'ESTADO CONTABLE'!$A$5:$A$16,0),1),abonos,SUMIFS('ABONOS MENSUALIDADES'!$F$5:$F$500,'ABONOS MENSUALIDADES'!$C$5:$C$500,A34,'ABONOS MENSUALIDADES'!$D$5:$D$500,mes),pago,CHOOSE(MATCH($B$2,'ESTADO CONTABLE'!$A$5:$A$16,0),IFNA(_xlfn.XLOOKUP(A34,PAGOS!$A$2:$A$996,PAGOS!$E$2:$E$996,""),""),IFNA(_xlfn.XLOOKUP(A34,PAGOS!$A$2:$A$996,PAGOS!$G$2:$G$996,""),""),IFNA(_xlfn.XLOOKUP(A34,PAGOS!$A$2:$A$996,PAGOS!$J$2:$J$996,""),""),IFNA(_xlfn.XLOOKUP(A34,PAGOS!$A$2:$A$996,PAGOS!$M$2:$M$996,""),""),IFNA(_xlfn.XLOOKUP(A34,PAGOS!$A$2:$A$996,PAGOS!$P$2:$P$996,""),""),IFNA(_xlfn.XLOOKUP(A34,PAGOS!$A$2:$A$996,PAGOS!$S$2:$S$996,""),""),IFNA(_xlfn.XLOOKUP(A34,PAGOS!$A$2:$A$996,PAGOS!$V$2:$V$996,""),""),IFNA(_xlfn.XLOOKUP(A34,PAGOS!$A$2:$A$996,PAGOS!$Y$2:$Y$996,""),""),IFNA(_xlfn.XLOOKUP(A34,PAGOS!$A$2:$A$996,PAGOS!$AB$2:$AB$996,""),""),IFNA(_xlfn.XLOOKUP(A34,PAGOS!$A$2:$A$996,PAGOS!$AE$2:$AE$996,""),""),IFNA(_xlfn.XLOOKUP(A34,PAGOS!$A$2:$A$996,PAGOS!$AH$2:$AH$996,""),""),IFNA(_xlfn.XLOOKUP(A34,PAGOS!$A$2:$A$996,PAGOS!$AK$2:$AK$996,""),"")),IF(abonos&gt;0,abonos,pago)))</f>
        <v>950</v>
      </c>
      <c r="E34" s="51" t="str">
        <f>IFERROR(__xludf.DUMMYFUNCTION("IF(A34="""","""",LET(mes,DATE($E$2,MATCH($B$2,'ESTADO CONTABLE'!$A$5:$A$16,0),1),abonos,SUMIFS('ABONOS MENSUALIDADES'!$F$5:$F$500,'ABONOS MENSUALIDADES'!$C$5:$C$500,A34,'ABONOS MENSUALIDADES'!$D$5:$D$500,mes),metodoDirecto,CHOOSE(MATCH($B$2,'ESTADO CONTAB"&amp;"LE'!$A$5:$A$16,0),IF(ISNUMBER(D34),""POR CLASIFICAR"",""""),IFNA(XLOOKUP(A34,PAGOS!$A$2:$A$996,PAGOS!$H$2:$H$996,""""),""""),IFNA(XLOOKUP(A34,PAGOS!$A$2:$A$996,PAGOS!$K$2:$K$996,""""),""""),IFNA(XLOOKUP(A34,PAGOS!$A$2:$A$996,PAGOS!$N$2:$N$996,""""),""""),"&amp;"IFNA(XLOOKUP(A34,PAGOS!$A$2:$A$996,PAGOS!$Q$2:$Q$996,""""),""""),IFNA(XLOOKUP(A34,PAGOS!$A$2:$A$996,PAGOS!$T$2:$T$996,""""),""""),IFNA(XLOOKUP(A34,PAGOS!$A$2:$A$996,PAGOS!$W$2:$W$996,""""),""""),IFNA(XLOOKUP(A34,PAGOS!$A$2:$A$996,PAGOS!$Z$2:$Z$996,""""),"&amp;"""""),IFNA(XLOOKUP(A34,PAGOS!$A$2:$A$996,PAGOS!$AC$2:$AC$996,""""),""""),IFNA(XLOOKUP(A34,PAGOS!$A$2:$A$996,PAGOS!$AF$2:$AF$996,""""),""""),IFNA(XLOOKUP(A34,PAGOS!$A$2:$A$996,PAGOS!$AI$2:$AI$996,""""),""""),IFNA(XLOOKUP(A34,PAGOS!$A$2:$A$996,PAGOS!$AL$2:$"&amp;"AL$996,""""),"""")),IF(abonos&gt;0,IFERROR(TEXTJOIN("" + "",TRUE,UNIQUE(FILTER('ABONOS MENSUALIDADES'!$E$5:$E$500,'ABONOS MENSUALIDADES'!$C$5:$C$500=A34,'ABONOS MENSUALIDADES'!$D$5:$D$500=mes))),""""),metodoDirecto)))"),"TRANSFERENCIA")</f>
        <v>TRANSFERENCIA</v>
      </c>
      <c r="F34" s="51" t="str">
        <f t="array" ref="F34">IF(A34="","",LET(mes,DATE($E$2,MATCH($B$2,'ESTADO CONTABLE'!$A$5:$A$16,0),1),cobrarDesde,IFERROR(INDEX('BASE DE DATOSS'!I:I,ROW()-13),""),pausada,SUMPRODUCT((UPPER(TRIM('PAUSAS MENSUALIDADES'!$A$5:$A$500))=UPPER(TRIM(A34)))*('PAUSAS MENSUALIDADES'!$B$5:$B$500=mes)*(UPPER(TRIM('PAUSAS MENSUALIDADES'!$D$5:$D$500))="APLICAR"))&gt;0,abonoActivo,SUMIFS('ABONOS MENSUALIDADES'!$F$5:$F$500,'ABONOS MENSUALIDADES'!$C$5:$C$500,A34,'ABONOS MENSUALIDADES'!$D$5:$D$500,mes,'ABONOS MENSUALIDADES'!$G$5:$G$500,"&lt;&gt;*CONSOLIDADO EN PAGOS*")&gt;0,esperadaBruta,MAX(IFNA(VLOOKUP(B34,COSTOS!$A$3:$B$13,2,FALSE),0)-150,0),IF(AND(cobrarDesde&lt;&gt;"",mes&lt;cobrarDesde),"AÚN NO INICIA",IF(pausada,"PAUSADA",IF(AND(abonoActivo,COUNTIFS('ABONOS MENSUALIDADES'!$C$5:$C$500,A34,'ABONOS MENSUALIDADES'!$D$5:$D$500,mes,'ABONOS MENSUALIDADES'!$G$5:$G$500,"*MENSUALIDAD LIQUIDADA*")=0),"ABONO",IF(N(D34)&gt;=esperadaBruta,"COBRADA",IF(N(D34)&gt;0,"ABONO","PENDIENTE")))))))</f>
        <v>COBRADA</v>
      </c>
      <c r="G34" s="79">
        <f t="array" ref="G34">IF(A34="","",IFERROR(INDEX('BASE DE DATOSS'!I:I,ROW()-13),""))</f>
        <v>46023</v>
      </c>
    </row>
    <row r="35">
      <c r="A35" s="51" t="str">
        <f t="array" ref="A35">IFERROR(INDEX('BASE DE DATOSS'!A:A,ROW()-13),"")</f>
        <v>DENYS GUALINO PERALTA </v>
      </c>
      <c r="B35" s="51" t="str">
        <f t="array" ref="B35">IF(A35="","",IFERROR(INDEX('BASE DE DATOSS'!C:C,ROW()-13),""))</f>
        <v>ADULTS 2</v>
      </c>
      <c r="C35" s="62">
        <f t="array" ref="C35">IF(A35="","",LET(mes,DATE($E$2,MATCH($B$2,'ESTADO CONTABLE'!$A$5:$A$16,0),1),cobrarDesde,IFERROR(INDEX('BASE DE DATOSS'!I:I,ROW()-13),""),pausada,SUMPRODUCT((UPPER(TRIM('PAUSAS MENSUALIDADES'!$A$5:$A$500))=UPPER(TRIM(A35)))*('PAUSAS MENSUALIDADES'!$B$5:$B$500=mes)*(UPPER(TRIM('PAUSAS MENSUALIDADES'!$D$5:$D$500))="APLICAR"))&gt;0,IF(OR(AND(cobrarDesde&lt;&gt;"",mes&lt;cobrarDesde),pausada),0,MAX(IFNA(VLOOKUP(B35,COSTOS!$A$3:$B$13,2,FALSE),0)-150,0)/1.16)))</f>
        <v>818.9655172</v>
      </c>
      <c r="D35" s="62">
        <f t="array" ref="D35">IF(A35="","",LET(mes,DATE($E$2,MATCH($B$2,'ESTADO CONTABLE'!$A$5:$A$16,0),1),abonos,SUMIFS('ABONOS MENSUALIDADES'!$F$5:$F$500,'ABONOS MENSUALIDADES'!$C$5:$C$500,A35,'ABONOS MENSUALIDADES'!$D$5:$D$500,mes),pago,CHOOSE(MATCH($B$2,'ESTADO CONTABLE'!$A$5:$A$16,0),IFNA(_xlfn.XLOOKUP(A35,PAGOS!$A$2:$A$996,PAGOS!$E$2:$E$996,""),""),IFNA(_xlfn.XLOOKUP(A35,PAGOS!$A$2:$A$996,PAGOS!$G$2:$G$996,""),""),IFNA(_xlfn.XLOOKUP(A35,PAGOS!$A$2:$A$996,PAGOS!$J$2:$J$996,""),""),IFNA(_xlfn.XLOOKUP(A35,PAGOS!$A$2:$A$996,PAGOS!$M$2:$M$996,""),""),IFNA(_xlfn.XLOOKUP(A35,PAGOS!$A$2:$A$996,PAGOS!$P$2:$P$996,""),""),IFNA(_xlfn.XLOOKUP(A35,PAGOS!$A$2:$A$996,PAGOS!$S$2:$S$996,""),""),IFNA(_xlfn.XLOOKUP(A35,PAGOS!$A$2:$A$996,PAGOS!$V$2:$V$996,""),""),IFNA(_xlfn.XLOOKUP(A35,PAGOS!$A$2:$A$996,PAGOS!$Y$2:$Y$996,""),""),IFNA(_xlfn.XLOOKUP(A35,PAGOS!$A$2:$A$996,PAGOS!$AB$2:$AB$996,""),""),IFNA(_xlfn.XLOOKUP(A35,PAGOS!$A$2:$A$996,PAGOS!$AE$2:$AE$996,""),""),IFNA(_xlfn.XLOOKUP(A35,PAGOS!$A$2:$A$996,PAGOS!$AH$2:$AH$996,""),""),IFNA(_xlfn.XLOOKUP(A35,PAGOS!$A$2:$A$996,PAGOS!$AK$2:$AK$996,""),"")),IF(abonos&gt;0,abonos,pago)))</f>
        <v>950</v>
      </c>
      <c r="E35" s="51" t="str">
        <f>IFERROR(__xludf.DUMMYFUNCTION("IF(A35="""","""",LET(mes,DATE($E$2,MATCH($B$2,'ESTADO CONTABLE'!$A$5:$A$16,0),1),abonos,SUMIFS('ABONOS MENSUALIDADES'!$F$5:$F$500,'ABONOS MENSUALIDADES'!$C$5:$C$500,A35,'ABONOS MENSUALIDADES'!$D$5:$D$500,mes),metodoDirecto,CHOOSE(MATCH($B$2,'ESTADO CONTAB"&amp;"LE'!$A$5:$A$16,0),IF(ISNUMBER(D35),""POR CLASIFICAR"",""""),IFNA(XLOOKUP(A35,PAGOS!$A$2:$A$996,PAGOS!$H$2:$H$996,""""),""""),IFNA(XLOOKUP(A35,PAGOS!$A$2:$A$996,PAGOS!$K$2:$K$996,""""),""""),IFNA(XLOOKUP(A35,PAGOS!$A$2:$A$996,PAGOS!$N$2:$N$996,""""),""""),"&amp;"IFNA(XLOOKUP(A35,PAGOS!$A$2:$A$996,PAGOS!$Q$2:$Q$996,""""),""""),IFNA(XLOOKUP(A35,PAGOS!$A$2:$A$996,PAGOS!$T$2:$T$996,""""),""""),IFNA(XLOOKUP(A35,PAGOS!$A$2:$A$996,PAGOS!$W$2:$W$996,""""),""""),IFNA(XLOOKUP(A35,PAGOS!$A$2:$A$996,PAGOS!$Z$2:$Z$996,""""),"&amp;"""""),IFNA(XLOOKUP(A35,PAGOS!$A$2:$A$996,PAGOS!$AC$2:$AC$996,""""),""""),IFNA(XLOOKUP(A35,PAGOS!$A$2:$A$996,PAGOS!$AF$2:$AF$996,""""),""""),IFNA(XLOOKUP(A35,PAGOS!$A$2:$A$996,PAGOS!$AI$2:$AI$996,""""),""""),IFNA(XLOOKUP(A35,PAGOS!$A$2:$A$996,PAGOS!$AL$2:$"&amp;"AL$996,""""),"""")),IF(abonos&gt;0,IFERROR(TEXTJOIN("" + "",TRUE,UNIQUE(FILTER('ABONOS MENSUALIDADES'!$E$5:$E$500,'ABONOS MENSUALIDADES'!$C$5:$C$500=A35,'ABONOS MENSUALIDADES'!$D$5:$D$500=mes))),""""),metodoDirecto)))"),"TRANSFERENCIA")</f>
        <v>TRANSFERENCIA</v>
      </c>
      <c r="F35" s="51" t="str">
        <f t="array" ref="F35">IF(A35="","",LET(mes,DATE($E$2,MATCH($B$2,'ESTADO CONTABLE'!$A$5:$A$16,0),1),cobrarDesde,IFERROR(INDEX('BASE DE DATOSS'!I:I,ROW()-13),""),pausada,SUMPRODUCT((UPPER(TRIM('PAUSAS MENSUALIDADES'!$A$5:$A$500))=UPPER(TRIM(A35)))*('PAUSAS MENSUALIDADES'!$B$5:$B$500=mes)*(UPPER(TRIM('PAUSAS MENSUALIDADES'!$D$5:$D$500))="APLICAR"))&gt;0,abonoActivo,SUMIFS('ABONOS MENSUALIDADES'!$F$5:$F$500,'ABONOS MENSUALIDADES'!$C$5:$C$500,A35,'ABONOS MENSUALIDADES'!$D$5:$D$500,mes,'ABONOS MENSUALIDADES'!$G$5:$G$500,"&lt;&gt;*CONSOLIDADO EN PAGOS*")&gt;0,esperadaBruta,MAX(IFNA(VLOOKUP(B35,COSTOS!$A$3:$B$13,2,FALSE),0)-150,0),IF(AND(cobrarDesde&lt;&gt;"",mes&lt;cobrarDesde),"AÚN NO INICIA",IF(pausada,"PAUSADA",IF(AND(abonoActivo,COUNTIFS('ABONOS MENSUALIDADES'!$C$5:$C$500,A35,'ABONOS MENSUALIDADES'!$D$5:$D$500,mes,'ABONOS MENSUALIDADES'!$G$5:$G$500,"*MENSUALIDAD LIQUIDADA*")=0),"ABONO",IF(N(D35)&gt;=esperadaBruta,"COBRADA",IF(N(D35)&gt;0,"ABONO","PENDIENTE")))))))</f>
        <v>COBRADA</v>
      </c>
      <c r="G35" s="79">
        <f t="array" ref="G35">IF(A35="","",IFERROR(INDEX('BASE DE DATOSS'!I:I,ROW()-13),""))</f>
        <v>46023</v>
      </c>
    </row>
    <row r="36">
      <c r="A36" s="51" t="str">
        <f t="array" ref="A36">IFERROR(INDEX('BASE DE DATOSS'!A:A,ROW()-13),"")</f>
        <v>MARÍA SOFIA CÁRDENAS MENDOZA</v>
      </c>
      <c r="B36" s="51" t="str">
        <f t="array" ref="B36">IF(A36="","",IFERROR(INDEX('BASE DE DATOSS'!C:C,ROW()-13),""))</f>
        <v>JR 2</v>
      </c>
      <c r="C36" s="62">
        <f t="array" ref="C36">IF(A36="","",LET(mes,DATE($E$2,MATCH($B$2,'ESTADO CONTABLE'!$A$5:$A$16,0),1),cobrarDesde,IFERROR(INDEX('BASE DE DATOSS'!I:I,ROW()-13),""),pausada,SUMPRODUCT((UPPER(TRIM('PAUSAS MENSUALIDADES'!$A$5:$A$500))=UPPER(TRIM(A36)))*('PAUSAS MENSUALIDADES'!$B$5:$B$500=mes)*(UPPER(TRIM('PAUSAS MENSUALIDADES'!$D$5:$D$500))="APLICAR"))&gt;0,IF(OR(AND(cobrarDesde&lt;&gt;"",mes&lt;cobrarDesde),pausada),0,MAX(IFNA(VLOOKUP(B36,COSTOS!$A$3:$B$13,2,FALSE),0)-150,0)/1.16)))</f>
        <v>689.6551724</v>
      </c>
      <c r="D36" s="62">
        <f t="array" ref="D36">IF(A36="","",LET(mes,DATE($E$2,MATCH($B$2,'ESTADO CONTABLE'!$A$5:$A$16,0),1),abonos,SUMIFS('ABONOS MENSUALIDADES'!$F$5:$F$500,'ABONOS MENSUALIDADES'!$C$5:$C$500,A36,'ABONOS MENSUALIDADES'!$D$5:$D$500,mes),pago,CHOOSE(MATCH($B$2,'ESTADO CONTABLE'!$A$5:$A$16,0),IFNA(_xlfn.XLOOKUP(A36,PAGOS!$A$2:$A$996,PAGOS!$E$2:$E$996,""),""),IFNA(_xlfn.XLOOKUP(A36,PAGOS!$A$2:$A$996,PAGOS!$G$2:$G$996,""),""),IFNA(_xlfn.XLOOKUP(A36,PAGOS!$A$2:$A$996,PAGOS!$J$2:$J$996,""),""),IFNA(_xlfn.XLOOKUP(A36,PAGOS!$A$2:$A$996,PAGOS!$M$2:$M$996,""),""),IFNA(_xlfn.XLOOKUP(A36,PAGOS!$A$2:$A$996,PAGOS!$P$2:$P$996,""),""),IFNA(_xlfn.XLOOKUP(A36,PAGOS!$A$2:$A$996,PAGOS!$S$2:$S$996,""),""),IFNA(_xlfn.XLOOKUP(A36,PAGOS!$A$2:$A$996,PAGOS!$V$2:$V$996,""),""),IFNA(_xlfn.XLOOKUP(A36,PAGOS!$A$2:$A$996,PAGOS!$Y$2:$Y$996,""),""),IFNA(_xlfn.XLOOKUP(A36,PAGOS!$A$2:$A$996,PAGOS!$AB$2:$AB$996,""),""),IFNA(_xlfn.XLOOKUP(A36,PAGOS!$A$2:$A$996,PAGOS!$AE$2:$AE$996,""),""),IFNA(_xlfn.XLOOKUP(A36,PAGOS!$A$2:$A$996,PAGOS!$AH$2:$AH$996,""),""),IFNA(_xlfn.XLOOKUP(A36,PAGOS!$A$2:$A$996,PAGOS!$AK$2:$AK$996,""),"")),IF(abonos&gt;0,abonos,pago)))</f>
        <v>950</v>
      </c>
      <c r="E36" s="51" t="str">
        <f>IFERROR(__xludf.DUMMYFUNCTION("IF(A36="""","""",LET(mes,DATE($E$2,MATCH($B$2,'ESTADO CONTABLE'!$A$5:$A$16,0),1),abonos,SUMIFS('ABONOS MENSUALIDADES'!$F$5:$F$500,'ABONOS MENSUALIDADES'!$C$5:$C$500,A36,'ABONOS MENSUALIDADES'!$D$5:$D$500,mes),metodoDirecto,CHOOSE(MATCH($B$2,'ESTADO CONTAB"&amp;"LE'!$A$5:$A$16,0),IF(ISNUMBER(D36),""POR CLASIFICAR"",""""),IFNA(XLOOKUP(A36,PAGOS!$A$2:$A$996,PAGOS!$H$2:$H$996,""""),""""),IFNA(XLOOKUP(A36,PAGOS!$A$2:$A$996,PAGOS!$K$2:$K$996,""""),""""),IFNA(XLOOKUP(A36,PAGOS!$A$2:$A$996,PAGOS!$N$2:$N$996,""""),""""),"&amp;"IFNA(XLOOKUP(A36,PAGOS!$A$2:$A$996,PAGOS!$Q$2:$Q$996,""""),""""),IFNA(XLOOKUP(A36,PAGOS!$A$2:$A$996,PAGOS!$T$2:$T$996,""""),""""),IFNA(XLOOKUP(A36,PAGOS!$A$2:$A$996,PAGOS!$W$2:$W$996,""""),""""),IFNA(XLOOKUP(A36,PAGOS!$A$2:$A$996,PAGOS!$Z$2:$Z$996,""""),"&amp;"""""),IFNA(XLOOKUP(A36,PAGOS!$A$2:$A$996,PAGOS!$AC$2:$AC$996,""""),""""),IFNA(XLOOKUP(A36,PAGOS!$A$2:$A$996,PAGOS!$AF$2:$AF$996,""""),""""),IFNA(XLOOKUP(A36,PAGOS!$A$2:$A$996,PAGOS!$AI$2:$AI$996,""""),""""),IFNA(XLOOKUP(A36,PAGOS!$A$2:$A$996,PAGOS!$AL$2:$"&amp;"AL$996,""""),"""")),IF(abonos&gt;0,IFERROR(TEXTJOIN("" + "",TRUE,UNIQUE(FILTER('ABONOS MENSUALIDADES'!$E$5:$E$500,'ABONOS MENSUALIDADES'!$C$5:$C$500=A36,'ABONOS MENSUALIDADES'!$D$5:$D$500=mes))),""""),metodoDirecto)))"),"TRANSFERENCIA")</f>
        <v>TRANSFERENCIA</v>
      </c>
      <c r="F36" s="51" t="str">
        <f t="array" ref="F36">IF(A36="","",LET(mes,DATE($E$2,MATCH($B$2,'ESTADO CONTABLE'!$A$5:$A$16,0),1),cobrarDesde,IFERROR(INDEX('BASE DE DATOSS'!I:I,ROW()-13),""),pausada,SUMPRODUCT((UPPER(TRIM('PAUSAS MENSUALIDADES'!$A$5:$A$500))=UPPER(TRIM(A36)))*('PAUSAS MENSUALIDADES'!$B$5:$B$500=mes)*(UPPER(TRIM('PAUSAS MENSUALIDADES'!$D$5:$D$500))="APLICAR"))&gt;0,abonoActivo,SUMIFS('ABONOS MENSUALIDADES'!$F$5:$F$500,'ABONOS MENSUALIDADES'!$C$5:$C$500,A36,'ABONOS MENSUALIDADES'!$D$5:$D$500,mes,'ABONOS MENSUALIDADES'!$G$5:$G$500,"&lt;&gt;*CONSOLIDADO EN PAGOS*")&gt;0,esperadaBruta,MAX(IFNA(VLOOKUP(B36,COSTOS!$A$3:$B$13,2,FALSE),0)-150,0),IF(AND(cobrarDesde&lt;&gt;"",mes&lt;cobrarDesde),"AÚN NO INICIA",IF(pausada,"PAUSADA",IF(AND(abonoActivo,COUNTIFS('ABONOS MENSUALIDADES'!$C$5:$C$500,A36,'ABONOS MENSUALIDADES'!$D$5:$D$500,mes,'ABONOS MENSUALIDADES'!$G$5:$G$500,"*MENSUALIDAD LIQUIDADA*")=0),"ABONO",IF(N(D36)&gt;=esperadaBruta,"COBRADA",IF(N(D36)&gt;0,"ABONO","PENDIENTE")))))))</f>
        <v>COBRADA</v>
      </c>
      <c r="G36" s="79">
        <f t="array" ref="G36">IF(A36="","",IFERROR(INDEX('BASE DE DATOSS'!I:I,ROW()-13),""))</f>
        <v>46054</v>
      </c>
    </row>
    <row r="37">
      <c r="A37" s="51" t="str">
        <f t="array" ref="A37">IFERROR(INDEX('BASE DE DATOSS'!A:A,ROW()-13),"")</f>
        <v>MARTHA IVONNE CRUZ TORRES</v>
      </c>
      <c r="B37" s="51" t="str">
        <f t="array" ref="B37">IF(A37="","",IFERROR(INDEX('BASE DE DATOSS'!C:C,ROW()-13),""))</f>
        <v>JR 1</v>
      </c>
      <c r="C37" s="62">
        <f t="array" ref="C37">IF(A37="","",LET(mes,DATE($E$2,MATCH($B$2,'ESTADO CONTABLE'!$A$5:$A$16,0),1),cobrarDesde,IFERROR(INDEX('BASE DE DATOSS'!I:I,ROW()-13),""),pausada,SUMPRODUCT((UPPER(TRIM('PAUSAS MENSUALIDADES'!$A$5:$A$500))=UPPER(TRIM(A37)))*('PAUSAS MENSUALIDADES'!$B$5:$B$500=mes)*(UPPER(TRIM('PAUSAS MENSUALIDADES'!$D$5:$D$500))="APLICAR"))&gt;0,IF(OR(AND(cobrarDesde&lt;&gt;"",mes&lt;cobrarDesde),pausada),0,MAX(IFNA(VLOOKUP(B37,COSTOS!$A$3:$B$13,2,FALSE),0)-150,0)/1.16)))</f>
        <v>818.9655172</v>
      </c>
      <c r="D37" s="62">
        <f t="array" ref="D37">IF(A37="","",LET(mes,DATE($E$2,MATCH($B$2,'ESTADO CONTABLE'!$A$5:$A$16,0),1),abonos,SUMIFS('ABONOS MENSUALIDADES'!$F$5:$F$500,'ABONOS MENSUALIDADES'!$C$5:$C$500,A37,'ABONOS MENSUALIDADES'!$D$5:$D$500,mes),pago,CHOOSE(MATCH($B$2,'ESTADO CONTABLE'!$A$5:$A$16,0),IFNA(_xlfn.XLOOKUP(A37,PAGOS!$A$2:$A$996,PAGOS!$E$2:$E$996,""),""),IFNA(_xlfn.XLOOKUP(A37,PAGOS!$A$2:$A$996,PAGOS!$G$2:$G$996,""),""),IFNA(_xlfn.XLOOKUP(A37,PAGOS!$A$2:$A$996,PAGOS!$J$2:$J$996,""),""),IFNA(_xlfn.XLOOKUP(A37,PAGOS!$A$2:$A$996,PAGOS!$M$2:$M$996,""),""),IFNA(_xlfn.XLOOKUP(A37,PAGOS!$A$2:$A$996,PAGOS!$P$2:$P$996,""),""),IFNA(_xlfn.XLOOKUP(A37,PAGOS!$A$2:$A$996,PAGOS!$S$2:$S$996,""),""),IFNA(_xlfn.XLOOKUP(A37,PAGOS!$A$2:$A$996,PAGOS!$V$2:$V$996,""),""),IFNA(_xlfn.XLOOKUP(A37,PAGOS!$A$2:$A$996,PAGOS!$Y$2:$Y$996,""),""),IFNA(_xlfn.XLOOKUP(A37,PAGOS!$A$2:$A$996,PAGOS!$AB$2:$AB$996,""),""),IFNA(_xlfn.XLOOKUP(A37,PAGOS!$A$2:$A$996,PAGOS!$AE$2:$AE$996,""),""),IFNA(_xlfn.XLOOKUP(A37,PAGOS!$A$2:$A$996,PAGOS!$AH$2:$AH$996,""),""),IFNA(_xlfn.XLOOKUP(A37,PAGOS!$A$2:$A$996,PAGOS!$AK$2:$AK$996,""),"")),IF(abonos&gt;0,abonos,pago)))</f>
        <v>950</v>
      </c>
      <c r="E37" s="51" t="str">
        <f>IFERROR(__xludf.DUMMYFUNCTION("IF(A37="""","""",LET(mes,DATE($E$2,MATCH($B$2,'ESTADO CONTABLE'!$A$5:$A$16,0),1),abonos,SUMIFS('ABONOS MENSUALIDADES'!$F$5:$F$500,'ABONOS MENSUALIDADES'!$C$5:$C$500,A37,'ABONOS MENSUALIDADES'!$D$5:$D$500,mes),metodoDirecto,CHOOSE(MATCH($B$2,'ESTADO CONTAB"&amp;"LE'!$A$5:$A$16,0),IF(ISNUMBER(D37),""POR CLASIFICAR"",""""),IFNA(XLOOKUP(A37,PAGOS!$A$2:$A$996,PAGOS!$H$2:$H$996,""""),""""),IFNA(XLOOKUP(A37,PAGOS!$A$2:$A$996,PAGOS!$K$2:$K$996,""""),""""),IFNA(XLOOKUP(A37,PAGOS!$A$2:$A$996,PAGOS!$N$2:$N$996,""""),""""),"&amp;"IFNA(XLOOKUP(A37,PAGOS!$A$2:$A$996,PAGOS!$Q$2:$Q$996,""""),""""),IFNA(XLOOKUP(A37,PAGOS!$A$2:$A$996,PAGOS!$T$2:$T$996,""""),""""),IFNA(XLOOKUP(A37,PAGOS!$A$2:$A$996,PAGOS!$W$2:$W$996,""""),""""),IFNA(XLOOKUP(A37,PAGOS!$A$2:$A$996,PAGOS!$Z$2:$Z$996,""""),"&amp;"""""),IFNA(XLOOKUP(A37,PAGOS!$A$2:$A$996,PAGOS!$AC$2:$AC$996,""""),""""),IFNA(XLOOKUP(A37,PAGOS!$A$2:$A$996,PAGOS!$AF$2:$AF$996,""""),""""),IFNA(XLOOKUP(A37,PAGOS!$A$2:$A$996,PAGOS!$AI$2:$AI$996,""""),""""),IFNA(XLOOKUP(A37,PAGOS!$A$2:$A$996,PAGOS!$AL$2:$"&amp;"AL$996,""""),"""")),IF(abonos&gt;0,IFERROR(TEXTJOIN("" + "",TRUE,UNIQUE(FILTER('ABONOS MENSUALIDADES'!$E$5:$E$500,'ABONOS MENSUALIDADES'!$C$5:$C$500=A37,'ABONOS MENSUALIDADES'!$D$5:$D$500=mes))),""""),metodoDirecto)))"),"EFECTIVO")</f>
        <v>EFECTIVO</v>
      </c>
      <c r="F37" s="51" t="str">
        <f t="array" ref="F37">IF(A37="","",LET(mes,DATE($E$2,MATCH($B$2,'ESTADO CONTABLE'!$A$5:$A$16,0),1),cobrarDesde,IFERROR(INDEX('BASE DE DATOSS'!I:I,ROW()-13),""),pausada,SUMPRODUCT((UPPER(TRIM('PAUSAS MENSUALIDADES'!$A$5:$A$500))=UPPER(TRIM(A37)))*('PAUSAS MENSUALIDADES'!$B$5:$B$500=mes)*(UPPER(TRIM('PAUSAS MENSUALIDADES'!$D$5:$D$500))="APLICAR"))&gt;0,abonoActivo,SUMIFS('ABONOS MENSUALIDADES'!$F$5:$F$500,'ABONOS MENSUALIDADES'!$C$5:$C$500,A37,'ABONOS MENSUALIDADES'!$D$5:$D$500,mes,'ABONOS MENSUALIDADES'!$G$5:$G$500,"&lt;&gt;*CONSOLIDADO EN PAGOS*")&gt;0,esperadaBruta,MAX(IFNA(VLOOKUP(B37,COSTOS!$A$3:$B$13,2,FALSE),0)-150,0),IF(AND(cobrarDesde&lt;&gt;"",mes&lt;cobrarDesde),"AÚN NO INICIA",IF(pausada,"PAUSADA",IF(AND(abonoActivo,COUNTIFS('ABONOS MENSUALIDADES'!$C$5:$C$500,A37,'ABONOS MENSUALIDADES'!$D$5:$D$500,mes,'ABONOS MENSUALIDADES'!$G$5:$G$500,"*MENSUALIDAD LIQUIDADA*")=0),"ABONO",IF(N(D37)&gt;=esperadaBruta,"COBRADA",IF(N(D37)&gt;0,"ABONO","PENDIENTE")))))))</f>
        <v>COBRADA</v>
      </c>
      <c r="G37" s="79">
        <f t="array" ref="G37">IF(A37="","",IFERROR(INDEX('BASE DE DATOSS'!I:I,ROW()-13),""))</f>
        <v>46054</v>
      </c>
    </row>
    <row r="38">
      <c r="A38" s="51" t="str">
        <f t="array" ref="A38">IFERROR(INDEX('BASE DE DATOSS'!A:A,ROW()-13),"")</f>
        <v>GABRIELA GUADALUPE CRUZ TORRES</v>
      </c>
      <c r="B38" s="51" t="str">
        <f t="array" ref="B38">IF(A38="","",IFERROR(INDEX('BASE DE DATOSS'!C:C,ROW()-13),""))</f>
        <v>JR 1</v>
      </c>
      <c r="C38" s="62">
        <f t="array" ref="C38">IF(A38="","",LET(mes,DATE($E$2,MATCH($B$2,'ESTADO CONTABLE'!$A$5:$A$16,0),1),cobrarDesde,IFERROR(INDEX('BASE DE DATOSS'!I:I,ROW()-13),""),pausada,SUMPRODUCT((UPPER(TRIM('PAUSAS MENSUALIDADES'!$A$5:$A$500))=UPPER(TRIM(A38)))*('PAUSAS MENSUALIDADES'!$B$5:$B$500=mes)*(UPPER(TRIM('PAUSAS MENSUALIDADES'!$D$5:$D$500))="APLICAR"))&gt;0,IF(OR(AND(cobrarDesde&lt;&gt;"",mes&lt;cobrarDesde),pausada),0,MAX(IFNA(VLOOKUP(B38,COSTOS!$A$3:$B$13,2,FALSE),0)-150,0)/1.16)))</f>
        <v>818.9655172</v>
      </c>
      <c r="D38" s="62">
        <f t="array" ref="D38">IF(A38="","",LET(mes,DATE($E$2,MATCH($B$2,'ESTADO CONTABLE'!$A$5:$A$16,0),1),abonos,SUMIFS('ABONOS MENSUALIDADES'!$F$5:$F$500,'ABONOS MENSUALIDADES'!$C$5:$C$500,A38,'ABONOS MENSUALIDADES'!$D$5:$D$500,mes),pago,CHOOSE(MATCH($B$2,'ESTADO CONTABLE'!$A$5:$A$16,0),IFNA(_xlfn.XLOOKUP(A38,PAGOS!$A$2:$A$996,PAGOS!$E$2:$E$996,""),""),IFNA(_xlfn.XLOOKUP(A38,PAGOS!$A$2:$A$996,PAGOS!$G$2:$G$996,""),""),IFNA(_xlfn.XLOOKUP(A38,PAGOS!$A$2:$A$996,PAGOS!$J$2:$J$996,""),""),IFNA(_xlfn.XLOOKUP(A38,PAGOS!$A$2:$A$996,PAGOS!$M$2:$M$996,""),""),IFNA(_xlfn.XLOOKUP(A38,PAGOS!$A$2:$A$996,PAGOS!$P$2:$P$996,""),""),IFNA(_xlfn.XLOOKUP(A38,PAGOS!$A$2:$A$996,PAGOS!$S$2:$S$996,""),""),IFNA(_xlfn.XLOOKUP(A38,PAGOS!$A$2:$A$996,PAGOS!$V$2:$V$996,""),""),IFNA(_xlfn.XLOOKUP(A38,PAGOS!$A$2:$A$996,PAGOS!$Y$2:$Y$996,""),""),IFNA(_xlfn.XLOOKUP(A38,PAGOS!$A$2:$A$996,PAGOS!$AB$2:$AB$996,""),""),IFNA(_xlfn.XLOOKUP(A38,PAGOS!$A$2:$A$996,PAGOS!$AE$2:$AE$996,""),""),IFNA(_xlfn.XLOOKUP(A38,PAGOS!$A$2:$A$996,PAGOS!$AH$2:$AH$996,""),""),IFNA(_xlfn.XLOOKUP(A38,PAGOS!$A$2:$A$996,PAGOS!$AK$2:$AK$996,""),"")),IF(abonos&gt;0,abonos,pago)))</f>
        <v>950</v>
      </c>
      <c r="E38" s="51" t="str">
        <f>IFERROR(__xludf.DUMMYFUNCTION("IF(A38="""","""",LET(mes,DATE($E$2,MATCH($B$2,'ESTADO CONTABLE'!$A$5:$A$16,0),1),abonos,SUMIFS('ABONOS MENSUALIDADES'!$F$5:$F$500,'ABONOS MENSUALIDADES'!$C$5:$C$500,A38,'ABONOS MENSUALIDADES'!$D$5:$D$500,mes),metodoDirecto,CHOOSE(MATCH($B$2,'ESTADO CONTAB"&amp;"LE'!$A$5:$A$16,0),IF(ISNUMBER(D38),""POR CLASIFICAR"",""""),IFNA(XLOOKUP(A38,PAGOS!$A$2:$A$996,PAGOS!$H$2:$H$996,""""),""""),IFNA(XLOOKUP(A38,PAGOS!$A$2:$A$996,PAGOS!$K$2:$K$996,""""),""""),IFNA(XLOOKUP(A38,PAGOS!$A$2:$A$996,PAGOS!$N$2:$N$996,""""),""""),"&amp;"IFNA(XLOOKUP(A38,PAGOS!$A$2:$A$996,PAGOS!$Q$2:$Q$996,""""),""""),IFNA(XLOOKUP(A38,PAGOS!$A$2:$A$996,PAGOS!$T$2:$T$996,""""),""""),IFNA(XLOOKUP(A38,PAGOS!$A$2:$A$996,PAGOS!$W$2:$W$996,""""),""""),IFNA(XLOOKUP(A38,PAGOS!$A$2:$A$996,PAGOS!$Z$2:$Z$996,""""),"&amp;"""""),IFNA(XLOOKUP(A38,PAGOS!$A$2:$A$996,PAGOS!$AC$2:$AC$996,""""),""""),IFNA(XLOOKUP(A38,PAGOS!$A$2:$A$996,PAGOS!$AF$2:$AF$996,""""),""""),IFNA(XLOOKUP(A38,PAGOS!$A$2:$A$996,PAGOS!$AI$2:$AI$996,""""),""""),IFNA(XLOOKUP(A38,PAGOS!$A$2:$A$996,PAGOS!$AL$2:$"&amp;"AL$996,""""),"""")),IF(abonos&gt;0,IFERROR(TEXTJOIN("" + "",TRUE,UNIQUE(FILTER('ABONOS MENSUALIDADES'!$E$5:$E$500,'ABONOS MENSUALIDADES'!$C$5:$C$500=A38,'ABONOS MENSUALIDADES'!$D$5:$D$500=mes))),""""),metodoDirecto)))"),"EFECTIVO")</f>
        <v>EFECTIVO</v>
      </c>
      <c r="F38" s="51" t="str">
        <f t="array" ref="F38">IF(A38="","",LET(mes,DATE($E$2,MATCH($B$2,'ESTADO CONTABLE'!$A$5:$A$16,0),1),cobrarDesde,IFERROR(INDEX('BASE DE DATOSS'!I:I,ROW()-13),""),pausada,SUMPRODUCT((UPPER(TRIM('PAUSAS MENSUALIDADES'!$A$5:$A$500))=UPPER(TRIM(A38)))*('PAUSAS MENSUALIDADES'!$B$5:$B$500=mes)*(UPPER(TRIM('PAUSAS MENSUALIDADES'!$D$5:$D$500))="APLICAR"))&gt;0,abonoActivo,SUMIFS('ABONOS MENSUALIDADES'!$F$5:$F$500,'ABONOS MENSUALIDADES'!$C$5:$C$500,A38,'ABONOS MENSUALIDADES'!$D$5:$D$500,mes,'ABONOS MENSUALIDADES'!$G$5:$G$500,"&lt;&gt;*CONSOLIDADO EN PAGOS*")&gt;0,esperadaBruta,MAX(IFNA(VLOOKUP(B38,COSTOS!$A$3:$B$13,2,FALSE),0)-150,0),IF(AND(cobrarDesde&lt;&gt;"",mes&lt;cobrarDesde),"AÚN NO INICIA",IF(pausada,"PAUSADA",IF(AND(abonoActivo,COUNTIFS('ABONOS MENSUALIDADES'!$C$5:$C$500,A38,'ABONOS MENSUALIDADES'!$D$5:$D$500,mes,'ABONOS MENSUALIDADES'!$G$5:$G$500,"*MENSUALIDAD LIQUIDADA*")=0),"ABONO",IF(N(D38)&gt;=esperadaBruta,"COBRADA",IF(N(D38)&gt;0,"ABONO","PENDIENTE")))))))</f>
        <v>COBRADA</v>
      </c>
      <c r="G38" s="79">
        <f t="array" ref="G38">IF(A38="","",IFERROR(INDEX('BASE DE DATOSS'!I:I,ROW()-13),""))</f>
        <v>46054</v>
      </c>
    </row>
    <row r="39">
      <c r="A39" s="51" t="str">
        <f t="array" ref="A39">IFERROR(INDEX('BASE DE DATOSS'!A:A,ROW()-13),"")</f>
        <v>IVANNA ESPINOZA JACINTO</v>
      </c>
      <c r="B39" s="51" t="str">
        <f t="array" ref="B39">IF(A39="","",IFERROR(INDEX('BASE DE DATOSS'!C:C,ROW()-13),""))</f>
        <v>KIDS 1</v>
      </c>
      <c r="C39" s="62">
        <f t="array" ref="C39">IF(A39="","",LET(mes,DATE($E$2,MATCH($B$2,'ESTADO CONTABLE'!$A$5:$A$16,0),1),cobrarDesde,IFERROR(INDEX('BASE DE DATOSS'!I:I,ROW()-13),""),pausada,SUMPRODUCT((UPPER(TRIM('PAUSAS MENSUALIDADES'!$A$5:$A$500))=UPPER(TRIM(A39)))*('PAUSAS MENSUALIDADES'!$B$5:$B$500=mes)*(UPPER(TRIM('PAUSAS MENSUALIDADES'!$D$5:$D$500))="APLICAR"))&gt;0,IF(OR(AND(cobrarDesde&lt;&gt;"",mes&lt;cobrarDesde),pausada),0,MAX(IFNA(VLOOKUP(B39,COSTOS!$A$3:$B$13,2,FALSE),0)-150,0)/1.16)))</f>
        <v>818.9655172</v>
      </c>
      <c r="D39" s="62">
        <f t="array" ref="D39">IF(A39="","",LET(mes,DATE($E$2,MATCH($B$2,'ESTADO CONTABLE'!$A$5:$A$16,0),1),abonos,SUMIFS('ABONOS MENSUALIDADES'!$F$5:$F$500,'ABONOS MENSUALIDADES'!$C$5:$C$500,A39,'ABONOS MENSUALIDADES'!$D$5:$D$500,mes),pago,CHOOSE(MATCH($B$2,'ESTADO CONTABLE'!$A$5:$A$16,0),IFNA(_xlfn.XLOOKUP(A39,PAGOS!$A$2:$A$996,PAGOS!$E$2:$E$996,""),""),IFNA(_xlfn.XLOOKUP(A39,PAGOS!$A$2:$A$996,PAGOS!$G$2:$G$996,""),""),IFNA(_xlfn.XLOOKUP(A39,PAGOS!$A$2:$A$996,PAGOS!$J$2:$J$996,""),""),IFNA(_xlfn.XLOOKUP(A39,PAGOS!$A$2:$A$996,PAGOS!$M$2:$M$996,""),""),IFNA(_xlfn.XLOOKUP(A39,PAGOS!$A$2:$A$996,PAGOS!$P$2:$P$996,""),""),IFNA(_xlfn.XLOOKUP(A39,PAGOS!$A$2:$A$996,PAGOS!$S$2:$S$996,""),""),IFNA(_xlfn.XLOOKUP(A39,PAGOS!$A$2:$A$996,PAGOS!$V$2:$V$996,""),""),IFNA(_xlfn.XLOOKUP(A39,PAGOS!$A$2:$A$996,PAGOS!$Y$2:$Y$996,""),""),IFNA(_xlfn.XLOOKUP(A39,PAGOS!$A$2:$A$996,PAGOS!$AB$2:$AB$996,""),""),IFNA(_xlfn.XLOOKUP(A39,PAGOS!$A$2:$A$996,PAGOS!$AE$2:$AE$996,""),""),IFNA(_xlfn.XLOOKUP(A39,PAGOS!$A$2:$A$996,PAGOS!$AH$2:$AH$996,""),""),IFNA(_xlfn.XLOOKUP(A39,PAGOS!$A$2:$A$996,PAGOS!$AK$2:$AK$996,""),"")),IF(abonos&gt;0,abonos,pago)))</f>
        <v>950</v>
      </c>
      <c r="E39" s="51" t="str">
        <f>IFERROR(__xludf.DUMMYFUNCTION("IF(A39="""","""",LET(mes,DATE($E$2,MATCH($B$2,'ESTADO CONTABLE'!$A$5:$A$16,0),1),abonos,SUMIFS('ABONOS MENSUALIDADES'!$F$5:$F$500,'ABONOS MENSUALIDADES'!$C$5:$C$500,A39,'ABONOS MENSUALIDADES'!$D$5:$D$500,mes),metodoDirecto,CHOOSE(MATCH($B$2,'ESTADO CONTAB"&amp;"LE'!$A$5:$A$16,0),IF(ISNUMBER(D39),""POR CLASIFICAR"",""""),IFNA(XLOOKUP(A39,PAGOS!$A$2:$A$996,PAGOS!$H$2:$H$996,""""),""""),IFNA(XLOOKUP(A39,PAGOS!$A$2:$A$996,PAGOS!$K$2:$K$996,""""),""""),IFNA(XLOOKUP(A39,PAGOS!$A$2:$A$996,PAGOS!$N$2:$N$996,""""),""""),"&amp;"IFNA(XLOOKUP(A39,PAGOS!$A$2:$A$996,PAGOS!$Q$2:$Q$996,""""),""""),IFNA(XLOOKUP(A39,PAGOS!$A$2:$A$996,PAGOS!$T$2:$T$996,""""),""""),IFNA(XLOOKUP(A39,PAGOS!$A$2:$A$996,PAGOS!$W$2:$W$996,""""),""""),IFNA(XLOOKUP(A39,PAGOS!$A$2:$A$996,PAGOS!$Z$2:$Z$996,""""),"&amp;"""""),IFNA(XLOOKUP(A39,PAGOS!$A$2:$A$996,PAGOS!$AC$2:$AC$996,""""),""""),IFNA(XLOOKUP(A39,PAGOS!$A$2:$A$996,PAGOS!$AF$2:$AF$996,""""),""""),IFNA(XLOOKUP(A39,PAGOS!$A$2:$A$996,PAGOS!$AI$2:$AI$996,""""),""""),IFNA(XLOOKUP(A39,PAGOS!$A$2:$A$996,PAGOS!$AL$2:$"&amp;"AL$996,""""),"""")),IF(abonos&gt;0,IFERROR(TEXTJOIN("" + "",TRUE,UNIQUE(FILTER('ABONOS MENSUALIDADES'!$E$5:$E$500,'ABONOS MENSUALIDADES'!$C$5:$C$500=A39,'ABONOS MENSUALIDADES'!$D$5:$D$500=mes))),""""),metodoDirecto)))"),"TRANSFERENCIA")</f>
        <v>TRANSFERENCIA</v>
      </c>
      <c r="F39" s="51" t="str">
        <f t="array" ref="F39">IF(A39="","",LET(mes,DATE($E$2,MATCH($B$2,'ESTADO CONTABLE'!$A$5:$A$16,0),1),cobrarDesde,IFERROR(INDEX('BASE DE DATOSS'!I:I,ROW()-13),""),pausada,SUMPRODUCT((UPPER(TRIM('PAUSAS MENSUALIDADES'!$A$5:$A$500))=UPPER(TRIM(A39)))*('PAUSAS MENSUALIDADES'!$B$5:$B$500=mes)*(UPPER(TRIM('PAUSAS MENSUALIDADES'!$D$5:$D$500))="APLICAR"))&gt;0,abonoActivo,SUMIFS('ABONOS MENSUALIDADES'!$F$5:$F$500,'ABONOS MENSUALIDADES'!$C$5:$C$500,A39,'ABONOS MENSUALIDADES'!$D$5:$D$500,mes,'ABONOS MENSUALIDADES'!$G$5:$G$500,"&lt;&gt;*CONSOLIDADO EN PAGOS*")&gt;0,esperadaBruta,MAX(IFNA(VLOOKUP(B39,COSTOS!$A$3:$B$13,2,FALSE),0)-150,0),IF(AND(cobrarDesde&lt;&gt;"",mes&lt;cobrarDesde),"AÚN NO INICIA",IF(pausada,"PAUSADA",IF(AND(abonoActivo,COUNTIFS('ABONOS MENSUALIDADES'!$C$5:$C$500,A39,'ABONOS MENSUALIDADES'!$D$5:$D$500,mes,'ABONOS MENSUALIDADES'!$G$5:$G$500,"*MENSUALIDAD LIQUIDADA*")=0),"ABONO",IF(N(D39)&gt;=esperadaBruta,"COBRADA",IF(N(D39)&gt;0,"ABONO","PENDIENTE")))))))</f>
        <v>COBRADA</v>
      </c>
      <c r="G39" s="79">
        <f t="array" ref="G39">IF(A39="","",IFERROR(INDEX('BASE DE DATOSS'!I:I,ROW()-13),""))</f>
        <v>46054</v>
      </c>
    </row>
    <row r="40">
      <c r="A40" s="51" t="str">
        <f t="array" ref="A40">IFERROR(INDEX('BASE DE DATOSS'!A:A,ROW()-13),"")</f>
        <v>ISABELA ESTEFANIA CASTILLO LLAMAS</v>
      </c>
      <c r="B40" s="51" t="str">
        <f t="array" ref="B40">IF(A40="","",IFERROR(INDEX('BASE DE DATOSS'!C:C,ROW()-13),""))</f>
        <v>KIDS 1</v>
      </c>
      <c r="C40" s="62">
        <f t="array" ref="C40">IF(A40="","",LET(mes,DATE($E$2,MATCH($B$2,'ESTADO CONTABLE'!$A$5:$A$16,0),1),cobrarDesde,IFERROR(INDEX('BASE DE DATOSS'!I:I,ROW()-13),""),pausada,SUMPRODUCT((UPPER(TRIM('PAUSAS MENSUALIDADES'!$A$5:$A$500))=UPPER(TRIM(A40)))*('PAUSAS MENSUALIDADES'!$B$5:$B$500=mes)*(UPPER(TRIM('PAUSAS MENSUALIDADES'!$D$5:$D$500))="APLICAR"))&gt;0,IF(OR(AND(cobrarDesde&lt;&gt;"",mes&lt;cobrarDesde),pausada),0,MAX(IFNA(VLOOKUP(B40,COSTOS!$A$3:$B$13,2,FALSE),0)-150,0)/1.16)))</f>
        <v>818.9655172</v>
      </c>
      <c r="D40" s="62">
        <f t="array" ref="D40">IF(A40="","",LET(mes,DATE($E$2,MATCH($B$2,'ESTADO CONTABLE'!$A$5:$A$16,0),1),abonos,SUMIFS('ABONOS MENSUALIDADES'!$F$5:$F$500,'ABONOS MENSUALIDADES'!$C$5:$C$500,A40,'ABONOS MENSUALIDADES'!$D$5:$D$500,mes),pago,CHOOSE(MATCH($B$2,'ESTADO CONTABLE'!$A$5:$A$16,0),IFNA(_xlfn.XLOOKUP(A40,PAGOS!$A$2:$A$996,PAGOS!$E$2:$E$996,""),""),IFNA(_xlfn.XLOOKUP(A40,PAGOS!$A$2:$A$996,PAGOS!$G$2:$G$996,""),""),IFNA(_xlfn.XLOOKUP(A40,PAGOS!$A$2:$A$996,PAGOS!$J$2:$J$996,""),""),IFNA(_xlfn.XLOOKUP(A40,PAGOS!$A$2:$A$996,PAGOS!$M$2:$M$996,""),""),IFNA(_xlfn.XLOOKUP(A40,PAGOS!$A$2:$A$996,PAGOS!$P$2:$P$996,""),""),IFNA(_xlfn.XLOOKUP(A40,PAGOS!$A$2:$A$996,PAGOS!$S$2:$S$996,""),""),IFNA(_xlfn.XLOOKUP(A40,PAGOS!$A$2:$A$996,PAGOS!$V$2:$V$996,""),""),IFNA(_xlfn.XLOOKUP(A40,PAGOS!$A$2:$A$996,PAGOS!$Y$2:$Y$996,""),""),IFNA(_xlfn.XLOOKUP(A40,PAGOS!$A$2:$A$996,PAGOS!$AB$2:$AB$996,""),""),IFNA(_xlfn.XLOOKUP(A40,PAGOS!$A$2:$A$996,PAGOS!$AE$2:$AE$996,""),""),IFNA(_xlfn.XLOOKUP(A40,PAGOS!$A$2:$A$996,PAGOS!$AH$2:$AH$996,""),""),IFNA(_xlfn.XLOOKUP(A40,PAGOS!$A$2:$A$996,PAGOS!$AK$2:$AK$996,""),"")),IF(abonos&gt;0,abonos,pago)))</f>
        <v>950</v>
      </c>
      <c r="E40" s="51" t="str">
        <f>IFERROR(__xludf.DUMMYFUNCTION("IF(A40="""","""",LET(mes,DATE($E$2,MATCH($B$2,'ESTADO CONTABLE'!$A$5:$A$16,0),1),abonos,SUMIFS('ABONOS MENSUALIDADES'!$F$5:$F$500,'ABONOS MENSUALIDADES'!$C$5:$C$500,A40,'ABONOS MENSUALIDADES'!$D$5:$D$500,mes),metodoDirecto,CHOOSE(MATCH($B$2,'ESTADO CONTAB"&amp;"LE'!$A$5:$A$16,0),IF(ISNUMBER(D40),""POR CLASIFICAR"",""""),IFNA(XLOOKUP(A40,PAGOS!$A$2:$A$996,PAGOS!$H$2:$H$996,""""),""""),IFNA(XLOOKUP(A40,PAGOS!$A$2:$A$996,PAGOS!$K$2:$K$996,""""),""""),IFNA(XLOOKUP(A40,PAGOS!$A$2:$A$996,PAGOS!$N$2:$N$996,""""),""""),"&amp;"IFNA(XLOOKUP(A40,PAGOS!$A$2:$A$996,PAGOS!$Q$2:$Q$996,""""),""""),IFNA(XLOOKUP(A40,PAGOS!$A$2:$A$996,PAGOS!$T$2:$T$996,""""),""""),IFNA(XLOOKUP(A40,PAGOS!$A$2:$A$996,PAGOS!$W$2:$W$996,""""),""""),IFNA(XLOOKUP(A40,PAGOS!$A$2:$A$996,PAGOS!$Z$2:$Z$996,""""),"&amp;"""""),IFNA(XLOOKUP(A40,PAGOS!$A$2:$A$996,PAGOS!$AC$2:$AC$996,""""),""""),IFNA(XLOOKUP(A40,PAGOS!$A$2:$A$996,PAGOS!$AF$2:$AF$996,""""),""""),IFNA(XLOOKUP(A40,PAGOS!$A$2:$A$996,PAGOS!$AI$2:$AI$996,""""),""""),IFNA(XLOOKUP(A40,PAGOS!$A$2:$A$996,PAGOS!$AL$2:$"&amp;"AL$996,""""),"""")),IF(abonos&gt;0,IFERROR(TEXTJOIN("" + "",TRUE,UNIQUE(FILTER('ABONOS MENSUALIDADES'!$E$5:$E$500,'ABONOS MENSUALIDADES'!$C$5:$C$500=A40,'ABONOS MENSUALIDADES'!$D$5:$D$500=mes))),""""),metodoDirecto)))"),"TRANSFERENCIA")</f>
        <v>TRANSFERENCIA</v>
      </c>
      <c r="F40" s="51" t="str">
        <f t="array" ref="F40">IF(A40="","",LET(mes,DATE($E$2,MATCH($B$2,'ESTADO CONTABLE'!$A$5:$A$16,0),1),cobrarDesde,IFERROR(INDEX('BASE DE DATOSS'!I:I,ROW()-13),""),pausada,SUMPRODUCT((UPPER(TRIM('PAUSAS MENSUALIDADES'!$A$5:$A$500))=UPPER(TRIM(A40)))*('PAUSAS MENSUALIDADES'!$B$5:$B$500=mes)*(UPPER(TRIM('PAUSAS MENSUALIDADES'!$D$5:$D$500))="APLICAR"))&gt;0,abonoActivo,SUMIFS('ABONOS MENSUALIDADES'!$F$5:$F$500,'ABONOS MENSUALIDADES'!$C$5:$C$500,A40,'ABONOS MENSUALIDADES'!$D$5:$D$500,mes,'ABONOS MENSUALIDADES'!$G$5:$G$500,"&lt;&gt;*CONSOLIDADO EN PAGOS*")&gt;0,esperadaBruta,MAX(IFNA(VLOOKUP(B40,COSTOS!$A$3:$B$13,2,FALSE),0)-150,0),IF(AND(cobrarDesde&lt;&gt;"",mes&lt;cobrarDesde),"AÚN NO INICIA",IF(pausada,"PAUSADA",IF(AND(abonoActivo,COUNTIFS('ABONOS MENSUALIDADES'!$C$5:$C$500,A40,'ABONOS MENSUALIDADES'!$D$5:$D$500,mes,'ABONOS MENSUALIDADES'!$G$5:$G$500,"*MENSUALIDAD LIQUIDADA*")=0),"ABONO",IF(N(D40)&gt;=esperadaBruta,"COBRADA",IF(N(D40)&gt;0,"ABONO","PENDIENTE")))))))</f>
        <v>COBRADA</v>
      </c>
      <c r="G40" s="79">
        <f t="array" ref="G40">IF(A40="","",IFERROR(INDEX('BASE DE DATOSS'!I:I,ROW()-13),""))</f>
        <v>46054</v>
      </c>
    </row>
    <row r="41">
      <c r="A41" s="51" t="str">
        <f t="array" ref="A41">IFERROR(INDEX('BASE DE DATOSS'!A:A,ROW()-13),"")</f>
        <v>DIANA MARISOL OCHOA CORONA </v>
      </c>
      <c r="B41" s="51" t="str">
        <f t="array" ref="B41">IF(A41="","",IFERROR(INDEX('BASE DE DATOSS'!C:C,ROW()-13),""))</f>
        <v>ADULTS 1</v>
      </c>
      <c r="C41" s="62">
        <f t="array" ref="C41">IF(A41="","",LET(mes,DATE($E$2,MATCH($B$2,'ESTADO CONTABLE'!$A$5:$A$16,0),1),cobrarDesde,IFERROR(INDEX('BASE DE DATOSS'!I:I,ROW()-13),""),pausada,SUMPRODUCT((UPPER(TRIM('PAUSAS MENSUALIDADES'!$A$5:$A$500))=UPPER(TRIM(A41)))*('PAUSAS MENSUALIDADES'!$B$5:$B$500=mes)*(UPPER(TRIM('PAUSAS MENSUALIDADES'!$D$5:$D$500))="APLICAR"))&gt;0,IF(OR(AND(cobrarDesde&lt;&gt;"",mes&lt;cobrarDesde),pausada),0,MAX(IFNA(VLOOKUP(B41,COSTOS!$A$3:$B$13,2,FALSE),0)-150,0)/1.16)))</f>
        <v>991.3793103</v>
      </c>
      <c r="D41" s="62">
        <f t="array" ref="D41">IF(A41="","",LET(mes,DATE($E$2,MATCH($B$2,'ESTADO CONTABLE'!$A$5:$A$16,0),1),abonos,SUMIFS('ABONOS MENSUALIDADES'!$F$5:$F$500,'ABONOS MENSUALIDADES'!$C$5:$C$500,A41,'ABONOS MENSUALIDADES'!$D$5:$D$500,mes),pago,CHOOSE(MATCH($B$2,'ESTADO CONTABLE'!$A$5:$A$16,0),IFNA(_xlfn.XLOOKUP(A41,PAGOS!$A$2:$A$996,PAGOS!$E$2:$E$996,""),""),IFNA(_xlfn.XLOOKUP(A41,PAGOS!$A$2:$A$996,PAGOS!$G$2:$G$996,""),""),IFNA(_xlfn.XLOOKUP(A41,PAGOS!$A$2:$A$996,PAGOS!$J$2:$J$996,""),""),IFNA(_xlfn.XLOOKUP(A41,PAGOS!$A$2:$A$996,PAGOS!$M$2:$M$996,""),""),IFNA(_xlfn.XLOOKUP(A41,PAGOS!$A$2:$A$996,PAGOS!$P$2:$P$996,""),""),IFNA(_xlfn.XLOOKUP(A41,PAGOS!$A$2:$A$996,PAGOS!$S$2:$S$996,""),""),IFNA(_xlfn.XLOOKUP(A41,PAGOS!$A$2:$A$996,PAGOS!$V$2:$V$996,""),""),IFNA(_xlfn.XLOOKUP(A41,PAGOS!$A$2:$A$996,PAGOS!$Y$2:$Y$996,""),""),IFNA(_xlfn.XLOOKUP(A41,PAGOS!$A$2:$A$996,PAGOS!$AB$2:$AB$996,""),""),IFNA(_xlfn.XLOOKUP(A41,PAGOS!$A$2:$A$996,PAGOS!$AE$2:$AE$996,""),""),IFNA(_xlfn.XLOOKUP(A41,PAGOS!$A$2:$A$996,PAGOS!$AH$2:$AH$996,""),""),IFNA(_xlfn.XLOOKUP(A41,PAGOS!$A$2:$A$996,PAGOS!$AK$2:$AK$996,""),"")),IF(abonos&gt;0,abonos,pago)))</f>
        <v>1300</v>
      </c>
      <c r="E41" s="51" t="str">
        <f>IFERROR(__xludf.DUMMYFUNCTION("IF(A41="""","""",LET(mes,DATE($E$2,MATCH($B$2,'ESTADO CONTABLE'!$A$5:$A$16,0),1),abonos,SUMIFS('ABONOS MENSUALIDADES'!$F$5:$F$500,'ABONOS MENSUALIDADES'!$C$5:$C$500,A41,'ABONOS MENSUALIDADES'!$D$5:$D$500,mes),metodoDirecto,CHOOSE(MATCH($B$2,'ESTADO CONTAB"&amp;"LE'!$A$5:$A$16,0),IF(ISNUMBER(D41),""POR CLASIFICAR"",""""),IFNA(XLOOKUP(A41,PAGOS!$A$2:$A$996,PAGOS!$H$2:$H$996,""""),""""),IFNA(XLOOKUP(A41,PAGOS!$A$2:$A$996,PAGOS!$K$2:$K$996,""""),""""),IFNA(XLOOKUP(A41,PAGOS!$A$2:$A$996,PAGOS!$N$2:$N$996,""""),""""),"&amp;"IFNA(XLOOKUP(A41,PAGOS!$A$2:$A$996,PAGOS!$Q$2:$Q$996,""""),""""),IFNA(XLOOKUP(A41,PAGOS!$A$2:$A$996,PAGOS!$T$2:$T$996,""""),""""),IFNA(XLOOKUP(A41,PAGOS!$A$2:$A$996,PAGOS!$W$2:$W$996,""""),""""),IFNA(XLOOKUP(A41,PAGOS!$A$2:$A$996,PAGOS!$Z$2:$Z$996,""""),"&amp;"""""),IFNA(XLOOKUP(A41,PAGOS!$A$2:$A$996,PAGOS!$AC$2:$AC$996,""""),""""),IFNA(XLOOKUP(A41,PAGOS!$A$2:$A$996,PAGOS!$AF$2:$AF$996,""""),""""),IFNA(XLOOKUP(A41,PAGOS!$A$2:$A$996,PAGOS!$AI$2:$AI$996,""""),""""),IFNA(XLOOKUP(A41,PAGOS!$A$2:$A$996,PAGOS!$AL$2:$"&amp;"AL$996,""""),"""")),IF(abonos&gt;0,IFERROR(TEXTJOIN("" + "",TRUE,UNIQUE(FILTER('ABONOS MENSUALIDADES'!$E$5:$E$500,'ABONOS MENSUALIDADES'!$C$5:$C$500=A41,'ABONOS MENSUALIDADES'!$D$5:$D$500=mes))),""""),metodoDirecto)))"),"EFECTIVO")</f>
        <v>EFECTIVO</v>
      </c>
      <c r="F41" s="51" t="str">
        <f t="array" ref="F41">IF(A41="","",LET(mes,DATE($E$2,MATCH($B$2,'ESTADO CONTABLE'!$A$5:$A$16,0),1),cobrarDesde,IFERROR(INDEX('BASE DE DATOSS'!I:I,ROW()-13),""),pausada,SUMPRODUCT((UPPER(TRIM('PAUSAS MENSUALIDADES'!$A$5:$A$500))=UPPER(TRIM(A41)))*('PAUSAS MENSUALIDADES'!$B$5:$B$500=mes)*(UPPER(TRIM('PAUSAS MENSUALIDADES'!$D$5:$D$500))="APLICAR"))&gt;0,abonoActivo,SUMIFS('ABONOS MENSUALIDADES'!$F$5:$F$500,'ABONOS MENSUALIDADES'!$C$5:$C$500,A41,'ABONOS MENSUALIDADES'!$D$5:$D$500,mes,'ABONOS MENSUALIDADES'!$G$5:$G$500,"&lt;&gt;*CONSOLIDADO EN PAGOS*")&gt;0,esperadaBruta,MAX(IFNA(VLOOKUP(B41,COSTOS!$A$3:$B$13,2,FALSE),0)-150,0),IF(AND(cobrarDesde&lt;&gt;"",mes&lt;cobrarDesde),"AÚN NO INICIA",IF(pausada,"PAUSADA",IF(AND(abonoActivo,COUNTIFS('ABONOS MENSUALIDADES'!$C$5:$C$500,A41,'ABONOS MENSUALIDADES'!$D$5:$D$500,mes,'ABONOS MENSUALIDADES'!$G$5:$G$500,"*MENSUALIDAD LIQUIDADA*")=0),"ABONO",IF(N(D41)&gt;=esperadaBruta,"COBRADA",IF(N(D41)&gt;0,"ABONO","PENDIENTE")))))))</f>
        <v>COBRADA</v>
      </c>
      <c r="G41" s="79">
        <f t="array" ref="G41">IF(A41="","",IFERROR(INDEX('BASE DE DATOSS'!I:I,ROW()-13),""))</f>
        <v>46054</v>
      </c>
    </row>
    <row r="42">
      <c r="A42" s="51" t="str">
        <f t="array" ref="A42">IFERROR(INDEX('BASE DE DATOSS'!A:A,ROW()-13),"")</f>
        <v>EVA REGINA FUENTES VEGA</v>
      </c>
      <c r="B42" s="51" t="str">
        <f t="array" ref="B42">IF(A42="","",IFERROR(INDEX('BASE DE DATOSS'!C:C,ROW()-13),""))</f>
        <v>KIDS 1</v>
      </c>
      <c r="C42" s="62">
        <f t="array" ref="C42">IF(A42="","",LET(mes,DATE($E$2,MATCH($B$2,'ESTADO CONTABLE'!$A$5:$A$16,0),1),cobrarDesde,IFERROR(INDEX('BASE DE DATOSS'!I:I,ROW()-13),""),pausada,SUMPRODUCT((UPPER(TRIM('PAUSAS MENSUALIDADES'!$A$5:$A$500))=UPPER(TRIM(A42)))*('PAUSAS MENSUALIDADES'!$B$5:$B$500=mes)*(UPPER(TRIM('PAUSAS MENSUALIDADES'!$D$5:$D$500))="APLICAR"))&gt;0,IF(OR(AND(cobrarDesde&lt;&gt;"",mes&lt;cobrarDesde),pausada),0,MAX(IFNA(VLOOKUP(B42,COSTOS!$A$3:$B$13,2,FALSE),0)-150,0)/1.16)))</f>
        <v>818.9655172</v>
      </c>
      <c r="D42" s="62">
        <f t="array" ref="D42">IF(A42="","",LET(mes,DATE($E$2,MATCH($B$2,'ESTADO CONTABLE'!$A$5:$A$16,0),1),abonos,SUMIFS('ABONOS MENSUALIDADES'!$F$5:$F$500,'ABONOS MENSUALIDADES'!$C$5:$C$500,A42,'ABONOS MENSUALIDADES'!$D$5:$D$500,mes),pago,CHOOSE(MATCH($B$2,'ESTADO CONTABLE'!$A$5:$A$16,0),IFNA(_xlfn.XLOOKUP(A42,PAGOS!$A$2:$A$996,PAGOS!$E$2:$E$996,""),""),IFNA(_xlfn.XLOOKUP(A42,PAGOS!$A$2:$A$996,PAGOS!$G$2:$G$996,""),""),IFNA(_xlfn.XLOOKUP(A42,PAGOS!$A$2:$A$996,PAGOS!$J$2:$J$996,""),""),IFNA(_xlfn.XLOOKUP(A42,PAGOS!$A$2:$A$996,PAGOS!$M$2:$M$996,""),""),IFNA(_xlfn.XLOOKUP(A42,PAGOS!$A$2:$A$996,PAGOS!$P$2:$P$996,""),""),IFNA(_xlfn.XLOOKUP(A42,PAGOS!$A$2:$A$996,PAGOS!$S$2:$S$996,""),""),IFNA(_xlfn.XLOOKUP(A42,PAGOS!$A$2:$A$996,PAGOS!$V$2:$V$996,""),""),IFNA(_xlfn.XLOOKUP(A42,PAGOS!$A$2:$A$996,PAGOS!$Y$2:$Y$996,""),""),IFNA(_xlfn.XLOOKUP(A42,PAGOS!$A$2:$A$996,PAGOS!$AB$2:$AB$996,""),""),IFNA(_xlfn.XLOOKUP(A42,PAGOS!$A$2:$A$996,PAGOS!$AE$2:$AE$996,""),""),IFNA(_xlfn.XLOOKUP(A42,PAGOS!$A$2:$A$996,PAGOS!$AH$2:$AH$996,""),""),IFNA(_xlfn.XLOOKUP(A42,PAGOS!$A$2:$A$996,PAGOS!$AK$2:$AK$996,""),"")),IF(abonos&gt;0,abonos,pago)))</f>
        <v>1100</v>
      </c>
      <c r="E42" s="51" t="str">
        <f>IFERROR(__xludf.DUMMYFUNCTION("IF(A42="""","""",LET(mes,DATE($E$2,MATCH($B$2,'ESTADO CONTABLE'!$A$5:$A$16,0),1),abonos,SUMIFS('ABONOS MENSUALIDADES'!$F$5:$F$500,'ABONOS MENSUALIDADES'!$C$5:$C$500,A42,'ABONOS MENSUALIDADES'!$D$5:$D$500,mes),metodoDirecto,CHOOSE(MATCH($B$2,'ESTADO CONTAB"&amp;"LE'!$A$5:$A$16,0),IF(ISNUMBER(D42),""POR CLASIFICAR"",""""),IFNA(XLOOKUP(A42,PAGOS!$A$2:$A$996,PAGOS!$H$2:$H$996,""""),""""),IFNA(XLOOKUP(A42,PAGOS!$A$2:$A$996,PAGOS!$K$2:$K$996,""""),""""),IFNA(XLOOKUP(A42,PAGOS!$A$2:$A$996,PAGOS!$N$2:$N$996,""""),""""),"&amp;"IFNA(XLOOKUP(A42,PAGOS!$A$2:$A$996,PAGOS!$Q$2:$Q$996,""""),""""),IFNA(XLOOKUP(A42,PAGOS!$A$2:$A$996,PAGOS!$T$2:$T$996,""""),""""),IFNA(XLOOKUP(A42,PAGOS!$A$2:$A$996,PAGOS!$W$2:$W$996,""""),""""),IFNA(XLOOKUP(A42,PAGOS!$A$2:$A$996,PAGOS!$Z$2:$Z$996,""""),"&amp;"""""),IFNA(XLOOKUP(A42,PAGOS!$A$2:$A$996,PAGOS!$AC$2:$AC$996,""""),""""),IFNA(XLOOKUP(A42,PAGOS!$A$2:$A$996,PAGOS!$AF$2:$AF$996,""""),""""),IFNA(XLOOKUP(A42,PAGOS!$A$2:$A$996,PAGOS!$AI$2:$AI$996,""""),""""),IFNA(XLOOKUP(A42,PAGOS!$A$2:$A$996,PAGOS!$AL$2:$"&amp;"AL$996,""""),"""")),IF(abonos&gt;0,IFERROR(TEXTJOIN("" + "",TRUE,UNIQUE(FILTER('ABONOS MENSUALIDADES'!$E$5:$E$500,'ABONOS MENSUALIDADES'!$C$5:$C$500=A42,'ABONOS MENSUALIDADES'!$D$5:$D$500=mes))),""""),metodoDirecto)))"),"TRANSFERENCIA")</f>
        <v>TRANSFERENCIA</v>
      </c>
      <c r="F42" s="51" t="str">
        <f t="array" ref="F42">IF(A42="","",LET(mes,DATE($E$2,MATCH($B$2,'ESTADO CONTABLE'!$A$5:$A$16,0),1),cobrarDesde,IFERROR(INDEX('BASE DE DATOSS'!I:I,ROW()-13),""),pausada,SUMPRODUCT((UPPER(TRIM('PAUSAS MENSUALIDADES'!$A$5:$A$500))=UPPER(TRIM(A42)))*('PAUSAS MENSUALIDADES'!$B$5:$B$500=mes)*(UPPER(TRIM('PAUSAS MENSUALIDADES'!$D$5:$D$500))="APLICAR"))&gt;0,abonoActivo,SUMIFS('ABONOS MENSUALIDADES'!$F$5:$F$500,'ABONOS MENSUALIDADES'!$C$5:$C$500,A42,'ABONOS MENSUALIDADES'!$D$5:$D$500,mes,'ABONOS MENSUALIDADES'!$G$5:$G$500,"&lt;&gt;*CONSOLIDADO EN PAGOS*")&gt;0,esperadaBruta,MAX(IFNA(VLOOKUP(B42,COSTOS!$A$3:$B$13,2,FALSE),0)-150,0),IF(AND(cobrarDesde&lt;&gt;"",mes&lt;cobrarDesde),"AÚN NO INICIA",IF(pausada,"PAUSADA",IF(AND(abonoActivo,COUNTIFS('ABONOS MENSUALIDADES'!$C$5:$C$500,A42,'ABONOS MENSUALIDADES'!$D$5:$D$500,mes,'ABONOS MENSUALIDADES'!$G$5:$G$500,"*MENSUALIDAD LIQUIDADA*")=0),"ABONO",IF(N(D42)&gt;=esperadaBruta,"COBRADA",IF(N(D42)&gt;0,"ABONO","PENDIENTE")))))))</f>
        <v>COBRADA</v>
      </c>
      <c r="G42" s="79">
        <f t="array" ref="G42">IF(A42="","",IFERROR(INDEX('BASE DE DATOSS'!I:I,ROW()-13),""))</f>
        <v>46082</v>
      </c>
    </row>
    <row r="43">
      <c r="A43" s="51" t="str">
        <f t="array" ref="A43">IFERROR(INDEX('BASE DE DATOSS'!A:A,ROW()-13),"")</f>
        <v>JESSICA FERNANDEZ GUTIERREZ</v>
      </c>
      <c r="B43" s="51" t="str">
        <f t="array" ref="B43">IF(A43="","",IFERROR(INDEX('BASE DE DATOSS'!C:C,ROW()-13),""))</f>
        <v>MATUTINO</v>
      </c>
      <c r="C43" s="62">
        <f t="array" ref="C43">IF(A43="","",LET(mes,DATE($E$2,MATCH($B$2,'ESTADO CONTABLE'!$A$5:$A$16,0),1),cobrarDesde,IFERROR(INDEX('BASE DE DATOSS'!I:I,ROW()-13),""),pausada,SUMPRODUCT((UPPER(TRIM('PAUSAS MENSUALIDADES'!$A$5:$A$500))=UPPER(TRIM(A43)))*('PAUSAS MENSUALIDADES'!$B$5:$B$500=mes)*(UPPER(TRIM('PAUSAS MENSUALIDADES'!$D$5:$D$500))="APLICAR"))&gt;0,IF(OR(AND(cobrarDesde&lt;&gt;"",mes&lt;cobrarDesde),pausada),0,MAX(IFNA(VLOOKUP(B43,COSTOS!$A$3:$B$13,2,FALSE),0)-150,0)/1.16)))</f>
        <v>818.9655172</v>
      </c>
      <c r="D43" s="62">
        <f t="array" ref="D43">IF(A43="","",LET(mes,DATE($E$2,MATCH($B$2,'ESTADO CONTABLE'!$A$5:$A$16,0),1),abonos,SUMIFS('ABONOS MENSUALIDADES'!$F$5:$F$500,'ABONOS MENSUALIDADES'!$C$5:$C$500,A43,'ABONOS MENSUALIDADES'!$D$5:$D$500,mes),pago,CHOOSE(MATCH($B$2,'ESTADO CONTABLE'!$A$5:$A$16,0),IFNA(_xlfn.XLOOKUP(A43,PAGOS!$A$2:$A$996,PAGOS!$E$2:$E$996,""),""),IFNA(_xlfn.XLOOKUP(A43,PAGOS!$A$2:$A$996,PAGOS!$G$2:$G$996,""),""),IFNA(_xlfn.XLOOKUP(A43,PAGOS!$A$2:$A$996,PAGOS!$J$2:$J$996,""),""),IFNA(_xlfn.XLOOKUP(A43,PAGOS!$A$2:$A$996,PAGOS!$M$2:$M$996,""),""),IFNA(_xlfn.XLOOKUP(A43,PAGOS!$A$2:$A$996,PAGOS!$P$2:$P$996,""),""),IFNA(_xlfn.XLOOKUP(A43,PAGOS!$A$2:$A$996,PAGOS!$S$2:$S$996,""),""),IFNA(_xlfn.XLOOKUP(A43,PAGOS!$A$2:$A$996,PAGOS!$V$2:$V$996,""),""),IFNA(_xlfn.XLOOKUP(A43,PAGOS!$A$2:$A$996,PAGOS!$Y$2:$Y$996,""),""),IFNA(_xlfn.XLOOKUP(A43,PAGOS!$A$2:$A$996,PAGOS!$AB$2:$AB$996,""),""),IFNA(_xlfn.XLOOKUP(A43,PAGOS!$A$2:$A$996,PAGOS!$AE$2:$AE$996,""),""),IFNA(_xlfn.XLOOKUP(A43,PAGOS!$A$2:$A$996,PAGOS!$AH$2:$AH$996,""),""),IFNA(_xlfn.XLOOKUP(A43,PAGOS!$A$2:$A$996,PAGOS!$AK$2:$AK$996,""),"")),IF(abonos&gt;0,abonos,pago)))</f>
        <v>950</v>
      </c>
      <c r="E43" s="51" t="str">
        <f>IFERROR(__xludf.DUMMYFUNCTION("IF(A43="""","""",LET(mes,DATE($E$2,MATCH($B$2,'ESTADO CONTABLE'!$A$5:$A$16,0),1),abonos,SUMIFS('ABONOS MENSUALIDADES'!$F$5:$F$500,'ABONOS MENSUALIDADES'!$C$5:$C$500,A43,'ABONOS MENSUALIDADES'!$D$5:$D$500,mes),metodoDirecto,CHOOSE(MATCH($B$2,'ESTADO CONTAB"&amp;"LE'!$A$5:$A$16,0),IF(ISNUMBER(D43),""POR CLASIFICAR"",""""),IFNA(XLOOKUP(A43,PAGOS!$A$2:$A$996,PAGOS!$H$2:$H$996,""""),""""),IFNA(XLOOKUP(A43,PAGOS!$A$2:$A$996,PAGOS!$K$2:$K$996,""""),""""),IFNA(XLOOKUP(A43,PAGOS!$A$2:$A$996,PAGOS!$N$2:$N$996,""""),""""),"&amp;"IFNA(XLOOKUP(A43,PAGOS!$A$2:$A$996,PAGOS!$Q$2:$Q$996,""""),""""),IFNA(XLOOKUP(A43,PAGOS!$A$2:$A$996,PAGOS!$T$2:$T$996,""""),""""),IFNA(XLOOKUP(A43,PAGOS!$A$2:$A$996,PAGOS!$W$2:$W$996,""""),""""),IFNA(XLOOKUP(A43,PAGOS!$A$2:$A$996,PAGOS!$Z$2:$Z$996,""""),"&amp;"""""),IFNA(XLOOKUP(A43,PAGOS!$A$2:$A$996,PAGOS!$AC$2:$AC$996,""""),""""),IFNA(XLOOKUP(A43,PAGOS!$A$2:$A$996,PAGOS!$AF$2:$AF$996,""""),""""),IFNA(XLOOKUP(A43,PAGOS!$A$2:$A$996,PAGOS!$AI$2:$AI$996,""""),""""),IFNA(XLOOKUP(A43,PAGOS!$A$2:$A$996,PAGOS!$AL$2:$"&amp;"AL$996,""""),"""")),IF(abonos&gt;0,IFERROR(TEXTJOIN("" + "",TRUE,UNIQUE(FILTER('ABONOS MENSUALIDADES'!$E$5:$E$500,'ABONOS MENSUALIDADES'!$C$5:$C$500=A43,'ABONOS MENSUALIDADES'!$D$5:$D$500=mes))),""""),metodoDirecto)))"),"TERMINAL")</f>
        <v>TERMINAL</v>
      </c>
      <c r="F43" s="51" t="str">
        <f t="array" ref="F43">IF(A43="","",LET(mes,DATE($E$2,MATCH($B$2,'ESTADO CONTABLE'!$A$5:$A$16,0),1),cobrarDesde,IFERROR(INDEX('BASE DE DATOSS'!I:I,ROW()-13),""),pausada,SUMPRODUCT((UPPER(TRIM('PAUSAS MENSUALIDADES'!$A$5:$A$500))=UPPER(TRIM(A43)))*('PAUSAS MENSUALIDADES'!$B$5:$B$500=mes)*(UPPER(TRIM('PAUSAS MENSUALIDADES'!$D$5:$D$500))="APLICAR"))&gt;0,abonoActivo,SUMIFS('ABONOS MENSUALIDADES'!$F$5:$F$500,'ABONOS MENSUALIDADES'!$C$5:$C$500,A43,'ABONOS MENSUALIDADES'!$D$5:$D$500,mes,'ABONOS MENSUALIDADES'!$G$5:$G$500,"&lt;&gt;*CONSOLIDADO EN PAGOS*")&gt;0,esperadaBruta,MAX(IFNA(VLOOKUP(B43,COSTOS!$A$3:$B$13,2,FALSE),0)-150,0),IF(AND(cobrarDesde&lt;&gt;"",mes&lt;cobrarDesde),"AÚN NO INICIA",IF(pausada,"PAUSADA",IF(AND(abonoActivo,COUNTIFS('ABONOS MENSUALIDADES'!$C$5:$C$500,A43,'ABONOS MENSUALIDADES'!$D$5:$D$500,mes,'ABONOS MENSUALIDADES'!$G$5:$G$500,"*MENSUALIDAD LIQUIDADA*")=0),"ABONO",IF(N(D43)&gt;=esperadaBruta,"COBRADA",IF(N(D43)&gt;0,"ABONO","PENDIENTE")))))))</f>
        <v>COBRADA</v>
      </c>
      <c r="G43" s="79">
        <f t="array" ref="G43">IF(A43="","",IFERROR(INDEX('BASE DE DATOSS'!I:I,ROW()-13),""))</f>
        <v>46082</v>
      </c>
    </row>
    <row r="44">
      <c r="A44" s="51" t="str">
        <f t="array" ref="A44">IFERROR(INDEX('BASE DE DATOSS'!A:A,ROW()-13),"")</f>
        <v>CINTHIA MICHELLE CAZARES GUTIERREZ</v>
      </c>
      <c r="B44" s="51" t="str">
        <f t="array" ref="B44">IF(A44="","",IFERROR(INDEX('BASE DE DATOSS'!C:C,ROW()-13),""))</f>
        <v>KIDS 1</v>
      </c>
      <c r="C44" s="62">
        <f t="array" ref="C44">IF(A44="","",LET(mes,DATE($E$2,MATCH($B$2,'ESTADO CONTABLE'!$A$5:$A$16,0),1),cobrarDesde,IFERROR(INDEX('BASE DE DATOSS'!I:I,ROW()-13),""),pausada,SUMPRODUCT((UPPER(TRIM('PAUSAS MENSUALIDADES'!$A$5:$A$500))=UPPER(TRIM(A44)))*('PAUSAS MENSUALIDADES'!$B$5:$B$500=mes)*(UPPER(TRIM('PAUSAS MENSUALIDADES'!$D$5:$D$500))="APLICAR"))&gt;0,IF(OR(AND(cobrarDesde&lt;&gt;"",mes&lt;cobrarDesde),pausada),0,MAX(IFNA(VLOOKUP(B44,COSTOS!$A$3:$B$13,2,FALSE),0)-150,0)/1.16)))</f>
        <v>818.9655172</v>
      </c>
      <c r="D44" s="62">
        <f t="array" ref="D44">IF(A44="","",LET(mes,DATE($E$2,MATCH($B$2,'ESTADO CONTABLE'!$A$5:$A$16,0),1),abonos,SUMIFS('ABONOS MENSUALIDADES'!$F$5:$F$500,'ABONOS MENSUALIDADES'!$C$5:$C$500,A44,'ABONOS MENSUALIDADES'!$D$5:$D$500,mes),pago,CHOOSE(MATCH($B$2,'ESTADO CONTABLE'!$A$5:$A$16,0),IFNA(_xlfn.XLOOKUP(A44,PAGOS!$A$2:$A$996,PAGOS!$E$2:$E$996,""),""),IFNA(_xlfn.XLOOKUP(A44,PAGOS!$A$2:$A$996,PAGOS!$G$2:$G$996,""),""),IFNA(_xlfn.XLOOKUP(A44,PAGOS!$A$2:$A$996,PAGOS!$J$2:$J$996,""),""),IFNA(_xlfn.XLOOKUP(A44,PAGOS!$A$2:$A$996,PAGOS!$M$2:$M$996,""),""),IFNA(_xlfn.XLOOKUP(A44,PAGOS!$A$2:$A$996,PAGOS!$P$2:$P$996,""),""),IFNA(_xlfn.XLOOKUP(A44,PAGOS!$A$2:$A$996,PAGOS!$S$2:$S$996,""),""),IFNA(_xlfn.XLOOKUP(A44,PAGOS!$A$2:$A$996,PAGOS!$V$2:$V$996,""),""),IFNA(_xlfn.XLOOKUP(A44,PAGOS!$A$2:$A$996,PAGOS!$Y$2:$Y$996,""),""),IFNA(_xlfn.XLOOKUP(A44,PAGOS!$A$2:$A$996,PAGOS!$AB$2:$AB$996,""),""),IFNA(_xlfn.XLOOKUP(A44,PAGOS!$A$2:$A$996,PAGOS!$AE$2:$AE$996,""),""),IFNA(_xlfn.XLOOKUP(A44,PAGOS!$A$2:$A$996,PAGOS!$AH$2:$AH$996,""),""),IFNA(_xlfn.XLOOKUP(A44,PAGOS!$A$2:$A$996,PAGOS!$AK$2:$AK$996,""),"")),IF(abonos&gt;0,abonos,pago)))</f>
        <v>1100</v>
      </c>
      <c r="E44" s="51" t="str">
        <f>IFERROR(__xludf.DUMMYFUNCTION("IF(A44="""","""",LET(mes,DATE($E$2,MATCH($B$2,'ESTADO CONTABLE'!$A$5:$A$16,0),1),abonos,SUMIFS('ABONOS MENSUALIDADES'!$F$5:$F$500,'ABONOS MENSUALIDADES'!$C$5:$C$500,A44,'ABONOS MENSUALIDADES'!$D$5:$D$500,mes),metodoDirecto,CHOOSE(MATCH($B$2,'ESTADO CONTAB"&amp;"LE'!$A$5:$A$16,0),IF(ISNUMBER(D44),""POR CLASIFICAR"",""""),IFNA(XLOOKUP(A44,PAGOS!$A$2:$A$996,PAGOS!$H$2:$H$996,""""),""""),IFNA(XLOOKUP(A44,PAGOS!$A$2:$A$996,PAGOS!$K$2:$K$996,""""),""""),IFNA(XLOOKUP(A44,PAGOS!$A$2:$A$996,PAGOS!$N$2:$N$996,""""),""""),"&amp;"IFNA(XLOOKUP(A44,PAGOS!$A$2:$A$996,PAGOS!$Q$2:$Q$996,""""),""""),IFNA(XLOOKUP(A44,PAGOS!$A$2:$A$996,PAGOS!$T$2:$T$996,""""),""""),IFNA(XLOOKUP(A44,PAGOS!$A$2:$A$996,PAGOS!$W$2:$W$996,""""),""""),IFNA(XLOOKUP(A44,PAGOS!$A$2:$A$996,PAGOS!$Z$2:$Z$996,""""),"&amp;"""""),IFNA(XLOOKUP(A44,PAGOS!$A$2:$A$996,PAGOS!$AC$2:$AC$996,""""),""""),IFNA(XLOOKUP(A44,PAGOS!$A$2:$A$996,PAGOS!$AF$2:$AF$996,""""),""""),IFNA(XLOOKUP(A44,PAGOS!$A$2:$A$996,PAGOS!$AI$2:$AI$996,""""),""""),IFNA(XLOOKUP(A44,PAGOS!$A$2:$A$996,PAGOS!$AL$2:$"&amp;"AL$996,""""),"""")),IF(abonos&gt;0,IFERROR(TEXTJOIN("" + "",TRUE,UNIQUE(FILTER('ABONOS MENSUALIDADES'!$E$5:$E$500,'ABONOS MENSUALIDADES'!$C$5:$C$500=A44,'ABONOS MENSUALIDADES'!$D$5:$D$500=mes))),""""),metodoDirecto)))"),"TRANSFERENCIA")</f>
        <v>TRANSFERENCIA</v>
      </c>
      <c r="F44" s="51" t="str">
        <f t="array" ref="F44">IF(A44="","",LET(mes,DATE($E$2,MATCH($B$2,'ESTADO CONTABLE'!$A$5:$A$16,0),1),cobrarDesde,IFERROR(INDEX('BASE DE DATOSS'!I:I,ROW()-13),""),pausada,SUMPRODUCT((UPPER(TRIM('PAUSAS MENSUALIDADES'!$A$5:$A$500))=UPPER(TRIM(A44)))*('PAUSAS MENSUALIDADES'!$B$5:$B$500=mes)*(UPPER(TRIM('PAUSAS MENSUALIDADES'!$D$5:$D$500))="APLICAR"))&gt;0,abonoActivo,SUMIFS('ABONOS MENSUALIDADES'!$F$5:$F$500,'ABONOS MENSUALIDADES'!$C$5:$C$500,A44,'ABONOS MENSUALIDADES'!$D$5:$D$500,mes,'ABONOS MENSUALIDADES'!$G$5:$G$500,"&lt;&gt;*CONSOLIDADO EN PAGOS*")&gt;0,esperadaBruta,MAX(IFNA(VLOOKUP(B44,COSTOS!$A$3:$B$13,2,FALSE),0)-150,0),IF(AND(cobrarDesde&lt;&gt;"",mes&lt;cobrarDesde),"AÚN NO INICIA",IF(pausada,"PAUSADA",IF(AND(abonoActivo,COUNTIFS('ABONOS MENSUALIDADES'!$C$5:$C$500,A44,'ABONOS MENSUALIDADES'!$D$5:$D$500,mes,'ABONOS MENSUALIDADES'!$G$5:$G$500,"*MENSUALIDAD LIQUIDADA*")=0),"ABONO",IF(N(D44)&gt;=esperadaBruta,"COBRADA",IF(N(D44)&gt;0,"ABONO","PENDIENTE")))))))</f>
        <v>COBRADA</v>
      </c>
      <c r="G44" s="79">
        <f t="array" ref="G44">IF(A44="","",IFERROR(INDEX('BASE DE DATOSS'!I:I,ROW()-13),""))</f>
        <v>46113</v>
      </c>
    </row>
    <row r="45">
      <c r="A45" s="51" t="str">
        <f t="array" ref="A45">IFERROR(INDEX('BASE DE DATOSS'!A:A,ROW()-13),"")</f>
        <v>ALLISON AMEZCUA LUNA</v>
      </c>
      <c r="B45" s="51" t="str">
        <f t="array" ref="B45">IF(A45="","",IFERROR(INDEX('BASE DE DATOSS'!C:C,ROW()-13),""))</f>
        <v>JR 2</v>
      </c>
      <c r="C45" s="62">
        <f t="array" ref="C45">IF(A45="","",LET(mes,DATE($E$2,MATCH($B$2,'ESTADO CONTABLE'!$A$5:$A$16,0),1),cobrarDesde,IFERROR(INDEX('BASE DE DATOSS'!I:I,ROW()-13),""),pausada,SUMPRODUCT((UPPER(TRIM('PAUSAS MENSUALIDADES'!$A$5:$A$500))=UPPER(TRIM(A45)))*('PAUSAS MENSUALIDADES'!$B$5:$B$500=mes)*(UPPER(TRIM('PAUSAS MENSUALIDADES'!$D$5:$D$500))="APLICAR"))&gt;0,IF(OR(AND(cobrarDesde&lt;&gt;"",mes&lt;cobrarDesde),pausada),0,MAX(IFNA(VLOOKUP(B45,COSTOS!$A$3:$B$13,2,FALSE),0)-150,0)/1.16)))</f>
        <v>689.6551724</v>
      </c>
      <c r="D45" s="62">
        <f t="array" ref="D45">IF(A45="","",LET(mes,DATE($E$2,MATCH($B$2,'ESTADO CONTABLE'!$A$5:$A$16,0),1),abonos,SUMIFS('ABONOS MENSUALIDADES'!$F$5:$F$500,'ABONOS MENSUALIDADES'!$C$5:$C$500,A45,'ABONOS MENSUALIDADES'!$D$5:$D$500,mes),pago,CHOOSE(MATCH($B$2,'ESTADO CONTABLE'!$A$5:$A$16,0),IFNA(_xlfn.XLOOKUP(A45,PAGOS!$A$2:$A$996,PAGOS!$E$2:$E$996,""),""),IFNA(_xlfn.XLOOKUP(A45,PAGOS!$A$2:$A$996,PAGOS!$G$2:$G$996,""),""),IFNA(_xlfn.XLOOKUP(A45,PAGOS!$A$2:$A$996,PAGOS!$J$2:$J$996,""),""),IFNA(_xlfn.XLOOKUP(A45,PAGOS!$A$2:$A$996,PAGOS!$M$2:$M$996,""),""),IFNA(_xlfn.XLOOKUP(A45,PAGOS!$A$2:$A$996,PAGOS!$P$2:$P$996,""),""),IFNA(_xlfn.XLOOKUP(A45,PAGOS!$A$2:$A$996,PAGOS!$S$2:$S$996,""),""),IFNA(_xlfn.XLOOKUP(A45,PAGOS!$A$2:$A$996,PAGOS!$V$2:$V$996,""),""),IFNA(_xlfn.XLOOKUP(A45,PAGOS!$A$2:$A$996,PAGOS!$Y$2:$Y$996,""),""),IFNA(_xlfn.XLOOKUP(A45,PAGOS!$A$2:$A$996,PAGOS!$AB$2:$AB$996,""),""),IFNA(_xlfn.XLOOKUP(A45,PAGOS!$A$2:$A$996,PAGOS!$AE$2:$AE$996,""),""),IFNA(_xlfn.XLOOKUP(A45,PAGOS!$A$2:$A$996,PAGOS!$AH$2:$AH$996,""),""),IFNA(_xlfn.XLOOKUP(A45,PAGOS!$A$2:$A$996,PAGOS!$AK$2:$AK$996,""),"")),IF(abonos&gt;0,abonos,pago)))</f>
        <v>950</v>
      </c>
      <c r="E45" s="51" t="str">
        <f>IFERROR(__xludf.DUMMYFUNCTION("IF(A45="""","""",LET(mes,DATE($E$2,MATCH($B$2,'ESTADO CONTABLE'!$A$5:$A$16,0),1),abonos,SUMIFS('ABONOS MENSUALIDADES'!$F$5:$F$500,'ABONOS MENSUALIDADES'!$C$5:$C$500,A45,'ABONOS MENSUALIDADES'!$D$5:$D$500,mes),metodoDirecto,CHOOSE(MATCH($B$2,'ESTADO CONTAB"&amp;"LE'!$A$5:$A$16,0),IF(ISNUMBER(D45),""POR CLASIFICAR"",""""),IFNA(XLOOKUP(A45,PAGOS!$A$2:$A$996,PAGOS!$H$2:$H$996,""""),""""),IFNA(XLOOKUP(A45,PAGOS!$A$2:$A$996,PAGOS!$K$2:$K$996,""""),""""),IFNA(XLOOKUP(A45,PAGOS!$A$2:$A$996,PAGOS!$N$2:$N$996,""""),""""),"&amp;"IFNA(XLOOKUP(A45,PAGOS!$A$2:$A$996,PAGOS!$Q$2:$Q$996,""""),""""),IFNA(XLOOKUP(A45,PAGOS!$A$2:$A$996,PAGOS!$T$2:$T$996,""""),""""),IFNA(XLOOKUP(A45,PAGOS!$A$2:$A$996,PAGOS!$W$2:$W$996,""""),""""),IFNA(XLOOKUP(A45,PAGOS!$A$2:$A$996,PAGOS!$Z$2:$Z$996,""""),"&amp;"""""),IFNA(XLOOKUP(A45,PAGOS!$A$2:$A$996,PAGOS!$AC$2:$AC$996,""""),""""),IFNA(XLOOKUP(A45,PAGOS!$A$2:$A$996,PAGOS!$AF$2:$AF$996,""""),""""),IFNA(XLOOKUP(A45,PAGOS!$A$2:$A$996,PAGOS!$AI$2:$AI$996,""""),""""),IFNA(XLOOKUP(A45,PAGOS!$A$2:$A$996,PAGOS!$AL$2:$"&amp;"AL$996,""""),"""")),IF(abonos&gt;0,IFERROR(TEXTJOIN("" + "",TRUE,UNIQUE(FILTER('ABONOS MENSUALIDADES'!$E$5:$E$500,'ABONOS MENSUALIDADES'!$C$5:$C$500=A45,'ABONOS MENSUALIDADES'!$D$5:$D$500=mes))),""""),metodoDirecto)))"),"TRANSFERENCIA + EFECTIVO")</f>
        <v>TRANSFERENCIA + EFECTIVO</v>
      </c>
      <c r="F45" s="51" t="str">
        <f t="array" ref="F45">IF(A45="","",LET(mes,DATE($E$2,MATCH($B$2,'ESTADO CONTABLE'!$A$5:$A$16,0),1),cobrarDesde,IFERROR(INDEX('BASE DE DATOSS'!I:I,ROW()-13),""),pausada,SUMPRODUCT((UPPER(TRIM('PAUSAS MENSUALIDADES'!$A$5:$A$500))=UPPER(TRIM(A45)))*('PAUSAS MENSUALIDADES'!$B$5:$B$500=mes)*(UPPER(TRIM('PAUSAS MENSUALIDADES'!$D$5:$D$500))="APLICAR"))&gt;0,abonoActivo,SUMIFS('ABONOS MENSUALIDADES'!$F$5:$F$500,'ABONOS MENSUALIDADES'!$C$5:$C$500,A45,'ABONOS MENSUALIDADES'!$D$5:$D$500,mes,'ABONOS MENSUALIDADES'!$G$5:$G$500,"&lt;&gt;*CONSOLIDADO EN PAGOS*")&gt;0,esperadaBruta,MAX(IFNA(VLOOKUP(B45,COSTOS!$A$3:$B$13,2,FALSE),0)-150,0),IF(AND(cobrarDesde&lt;&gt;"",mes&lt;cobrarDesde),"AÚN NO INICIA",IF(pausada,"PAUSADA",IF(AND(abonoActivo,COUNTIFS('ABONOS MENSUALIDADES'!$C$5:$C$500,A45,'ABONOS MENSUALIDADES'!$D$5:$D$500,mes,'ABONOS MENSUALIDADES'!$G$5:$G$500,"*MENSUALIDAD LIQUIDADA*")=0),"ABONO",IF(N(D45)&gt;=esperadaBruta,"COBRADA",IF(N(D45)&gt;0,"ABONO","PENDIENTE")))))))</f>
        <v>COBRADA</v>
      </c>
      <c r="G45" s="79">
        <f t="array" ref="G45">IF(A45="","",IFERROR(INDEX('BASE DE DATOSS'!I:I,ROW()-13),""))</f>
        <v>46113</v>
      </c>
    </row>
    <row r="46">
      <c r="A46" s="51" t="str">
        <f t="array" ref="A46">IFERROR(INDEX('BASE DE DATOSS'!A:A,ROW()-13),"")</f>
        <v>RENATA AMEZCUA LUNA</v>
      </c>
      <c r="B46" s="51" t="str">
        <f t="array" ref="B46">IF(A46="","",IFERROR(INDEX('BASE DE DATOSS'!C:C,ROW()-13),""))</f>
        <v>JR 2</v>
      </c>
      <c r="C46" s="62">
        <f t="array" ref="C46">IF(A46="","",LET(mes,DATE($E$2,MATCH($B$2,'ESTADO CONTABLE'!$A$5:$A$16,0),1),cobrarDesde,IFERROR(INDEX('BASE DE DATOSS'!I:I,ROW()-13),""),pausada,SUMPRODUCT((UPPER(TRIM('PAUSAS MENSUALIDADES'!$A$5:$A$500))=UPPER(TRIM(A46)))*('PAUSAS MENSUALIDADES'!$B$5:$B$500=mes)*(UPPER(TRIM('PAUSAS MENSUALIDADES'!$D$5:$D$500))="APLICAR"))&gt;0,IF(OR(AND(cobrarDesde&lt;&gt;"",mes&lt;cobrarDesde),pausada),0,MAX(IFNA(VLOOKUP(B46,COSTOS!$A$3:$B$13,2,FALSE),0)-150,0)/1.16)))</f>
        <v>689.6551724</v>
      </c>
      <c r="D46" s="62">
        <f t="array" ref="D46">IF(A46="","",LET(mes,DATE($E$2,MATCH($B$2,'ESTADO CONTABLE'!$A$5:$A$16,0),1),abonos,SUMIFS('ABONOS MENSUALIDADES'!$F$5:$F$500,'ABONOS MENSUALIDADES'!$C$5:$C$500,A46,'ABONOS MENSUALIDADES'!$D$5:$D$500,mes),pago,CHOOSE(MATCH($B$2,'ESTADO CONTABLE'!$A$5:$A$16,0),IFNA(_xlfn.XLOOKUP(A46,PAGOS!$A$2:$A$996,PAGOS!$E$2:$E$996,""),""),IFNA(_xlfn.XLOOKUP(A46,PAGOS!$A$2:$A$996,PAGOS!$G$2:$G$996,""),""),IFNA(_xlfn.XLOOKUP(A46,PAGOS!$A$2:$A$996,PAGOS!$J$2:$J$996,""),""),IFNA(_xlfn.XLOOKUP(A46,PAGOS!$A$2:$A$996,PAGOS!$M$2:$M$996,""),""),IFNA(_xlfn.XLOOKUP(A46,PAGOS!$A$2:$A$996,PAGOS!$P$2:$P$996,""),""),IFNA(_xlfn.XLOOKUP(A46,PAGOS!$A$2:$A$996,PAGOS!$S$2:$S$996,""),""),IFNA(_xlfn.XLOOKUP(A46,PAGOS!$A$2:$A$996,PAGOS!$V$2:$V$996,""),""),IFNA(_xlfn.XLOOKUP(A46,PAGOS!$A$2:$A$996,PAGOS!$Y$2:$Y$996,""),""),IFNA(_xlfn.XLOOKUP(A46,PAGOS!$A$2:$A$996,PAGOS!$AB$2:$AB$996,""),""),IFNA(_xlfn.XLOOKUP(A46,PAGOS!$A$2:$A$996,PAGOS!$AE$2:$AE$996,""),""),IFNA(_xlfn.XLOOKUP(A46,PAGOS!$A$2:$A$996,PAGOS!$AH$2:$AH$996,""),""),IFNA(_xlfn.XLOOKUP(A46,PAGOS!$A$2:$A$996,PAGOS!$AK$2:$AK$996,""),"")),IF(abonos&gt;0,abonos,pago)))</f>
        <v>950</v>
      </c>
      <c r="E46" s="51" t="str">
        <f>IFERROR(__xludf.DUMMYFUNCTION("IF(A46="""","""",LET(mes,DATE($E$2,MATCH($B$2,'ESTADO CONTABLE'!$A$5:$A$16,0),1),abonos,SUMIFS('ABONOS MENSUALIDADES'!$F$5:$F$500,'ABONOS MENSUALIDADES'!$C$5:$C$500,A46,'ABONOS MENSUALIDADES'!$D$5:$D$500,mes),metodoDirecto,CHOOSE(MATCH($B$2,'ESTADO CONTAB"&amp;"LE'!$A$5:$A$16,0),IF(ISNUMBER(D46),""POR CLASIFICAR"",""""),IFNA(XLOOKUP(A46,PAGOS!$A$2:$A$996,PAGOS!$H$2:$H$996,""""),""""),IFNA(XLOOKUP(A46,PAGOS!$A$2:$A$996,PAGOS!$K$2:$K$996,""""),""""),IFNA(XLOOKUP(A46,PAGOS!$A$2:$A$996,PAGOS!$N$2:$N$996,""""),""""),"&amp;"IFNA(XLOOKUP(A46,PAGOS!$A$2:$A$996,PAGOS!$Q$2:$Q$996,""""),""""),IFNA(XLOOKUP(A46,PAGOS!$A$2:$A$996,PAGOS!$T$2:$T$996,""""),""""),IFNA(XLOOKUP(A46,PAGOS!$A$2:$A$996,PAGOS!$W$2:$W$996,""""),""""),IFNA(XLOOKUP(A46,PAGOS!$A$2:$A$996,PAGOS!$Z$2:$Z$996,""""),"&amp;"""""),IFNA(XLOOKUP(A46,PAGOS!$A$2:$A$996,PAGOS!$AC$2:$AC$996,""""),""""),IFNA(XLOOKUP(A46,PAGOS!$A$2:$A$996,PAGOS!$AF$2:$AF$996,""""),""""),IFNA(XLOOKUP(A46,PAGOS!$A$2:$A$996,PAGOS!$AI$2:$AI$996,""""),""""),IFNA(XLOOKUP(A46,PAGOS!$A$2:$A$996,PAGOS!$AL$2:$"&amp;"AL$996,""""),"""")),IF(abonos&gt;0,IFERROR(TEXTJOIN("" + "",TRUE,UNIQUE(FILTER('ABONOS MENSUALIDADES'!$E$5:$E$500,'ABONOS MENSUALIDADES'!$C$5:$C$500=A46,'ABONOS MENSUALIDADES'!$D$5:$D$500=mes))),""""),metodoDirecto)))"),"TRANSFERENCIA + EFECTIVO")</f>
        <v>TRANSFERENCIA + EFECTIVO</v>
      </c>
      <c r="F46" s="51" t="str">
        <f t="array" ref="F46">IF(A46="","",LET(mes,DATE($E$2,MATCH($B$2,'ESTADO CONTABLE'!$A$5:$A$16,0),1),cobrarDesde,IFERROR(INDEX('BASE DE DATOSS'!I:I,ROW()-13),""),pausada,SUMPRODUCT((UPPER(TRIM('PAUSAS MENSUALIDADES'!$A$5:$A$500))=UPPER(TRIM(A46)))*('PAUSAS MENSUALIDADES'!$B$5:$B$500=mes)*(UPPER(TRIM('PAUSAS MENSUALIDADES'!$D$5:$D$500))="APLICAR"))&gt;0,abonoActivo,SUMIFS('ABONOS MENSUALIDADES'!$F$5:$F$500,'ABONOS MENSUALIDADES'!$C$5:$C$500,A46,'ABONOS MENSUALIDADES'!$D$5:$D$500,mes,'ABONOS MENSUALIDADES'!$G$5:$G$500,"&lt;&gt;*CONSOLIDADO EN PAGOS*")&gt;0,esperadaBruta,MAX(IFNA(VLOOKUP(B46,COSTOS!$A$3:$B$13,2,FALSE),0)-150,0),IF(AND(cobrarDesde&lt;&gt;"",mes&lt;cobrarDesde),"AÚN NO INICIA",IF(pausada,"PAUSADA",IF(AND(abonoActivo,COUNTIFS('ABONOS MENSUALIDADES'!$C$5:$C$500,A46,'ABONOS MENSUALIDADES'!$D$5:$D$500,mes,'ABONOS MENSUALIDADES'!$G$5:$G$500,"*MENSUALIDAD LIQUIDADA*")=0),"ABONO",IF(N(D46)&gt;=esperadaBruta,"COBRADA",IF(N(D46)&gt;0,"ABONO","PENDIENTE")))))))</f>
        <v>COBRADA</v>
      </c>
      <c r="G46" s="79">
        <f t="array" ref="G46">IF(A46="","",IFERROR(INDEX('BASE DE DATOSS'!I:I,ROW()-13),""))</f>
        <v>46113</v>
      </c>
    </row>
    <row r="47">
      <c r="A47" s="51" t="str">
        <f t="array" ref="A47">IFERROR(INDEX('BASE DE DATOSS'!A:A,ROW()-13),"")</f>
        <v>IRIS SAORI LOZANO PADILLA</v>
      </c>
      <c r="B47" s="51" t="str">
        <f t="array" ref="B47">IF(A47="","",IFERROR(INDEX('BASE DE DATOSS'!C:C,ROW()-13),""))</f>
        <v>JR 2</v>
      </c>
      <c r="C47" s="62">
        <f t="array" ref="C47">IF(A47="","",LET(mes,DATE($E$2,MATCH($B$2,'ESTADO CONTABLE'!$A$5:$A$16,0),1),cobrarDesde,IFERROR(INDEX('BASE DE DATOSS'!I:I,ROW()-13),""),pausada,SUMPRODUCT((UPPER(TRIM('PAUSAS MENSUALIDADES'!$A$5:$A$500))=UPPER(TRIM(A47)))*('PAUSAS MENSUALIDADES'!$B$5:$B$500=mes)*(UPPER(TRIM('PAUSAS MENSUALIDADES'!$D$5:$D$500))="APLICAR"))&gt;0,IF(OR(AND(cobrarDesde&lt;&gt;"",mes&lt;cobrarDesde),pausada),0,MAX(IFNA(VLOOKUP(B47,COSTOS!$A$3:$B$13,2,FALSE),0)-150,0)/1.16)))</f>
        <v>689.6551724</v>
      </c>
      <c r="D47" s="62">
        <f t="array" ref="D47">IF(A47="","",LET(mes,DATE($E$2,MATCH($B$2,'ESTADO CONTABLE'!$A$5:$A$16,0),1),abonos,SUMIFS('ABONOS MENSUALIDADES'!$F$5:$F$500,'ABONOS MENSUALIDADES'!$C$5:$C$500,A47,'ABONOS MENSUALIDADES'!$D$5:$D$500,mes),pago,CHOOSE(MATCH($B$2,'ESTADO CONTABLE'!$A$5:$A$16,0),IFNA(_xlfn.XLOOKUP(A47,PAGOS!$A$2:$A$996,PAGOS!$E$2:$E$996,""),""),IFNA(_xlfn.XLOOKUP(A47,PAGOS!$A$2:$A$996,PAGOS!$G$2:$G$996,""),""),IFNA(_xlfn.XLOOKUP(A47,PAGOS!$A$2:$A$996,PAGOS!$J$2:$J$996,""),""),IFNA(_xlfn.XLOOKUP(A47,PAGOS!$A$2:$A$996,PAGOS!$M$2:$M$996,""),""),IFNA(_xlfn.XLOOKUP(A47,PAGOS!$A$2:$A$996,PAGOS!$P$2:$P$996,""),""),IFNA(_xlfn.XLOOKUP(A47,PAGOS!$A$2:$A$996,PAGOS!$S$2:$S$996,""),""),IFNA(_xlfn.XLOOKUP(A47,PAGOS!$A$2:$A$996,PAGOS!$V$2:$V$996,""),""),IFNA(_xlfn.XLOOKUP(A47,PAGOS!$A$2:$A$996,PAGOS!$Y$2:$Y$996,""),""),IFNA(_xlfn.XLOOKUP(A47,PAGOS!$A$2:$A$996,PAGOS!$AB$2:$AB$996,""),""),IFNA(_xlfn.XLOOKUP(A47,PAGOS!$A$2:$A$996,PAGOS!$AE$2:$AE$996,""),""),IFNA(_xlfn.XLOOKUP(A47,PAGOS!$A$2:$A$996,PAGOS!$AH$2:$AH$996,""),""),IFNA(_xlfn.XLOOKUP(A47,PAGOS!$A$2:$A$996,PAGOS!$AK$2:$AK$996,""),"")),IF(abonos&gt;0,abonos,pago)))</f>
        <v>800</v>
      </c>
      <c r="E47" s="51" t="str">
        <f>IFERROR(__xludf.DUMMYFUNCTION("IF(A47="""","""",LET(mes,DATE($E$2,MATCH($B$2,'ESTADO CONTABLE'!$A$5:$A$16,0),1),abonos,SUMIFS('ABONOS MENSUALIDADES'!$F$5:$F$500,'ABONOS MENSUALIDADES'!$C$5:$C$500,A47,'ABONOS MENSUALIDADES'!$D$5:$D$500,mes),metodoDirecto,CHOOSE(MATCH($B$2,'ESTADO CONTAB"&amp;"LE'!$A$5:$A$16,0),IF(ISNUMBER(D47),""POR CLASIFICAR"",""""),IFNA(XLOOKUP(A47,PAGOS!$A$2:$A$996,PAGOS!$H$2:$H$996,""""),""""),IFNA(XLOOKUP(A47,PAGOS!$A$2:$A$996,PAGOS!$K$2:$K$996,""""),""""),IFNA(XLOOKUP(A47,PAGOS!$A$2:$A$996,PAGOS!$N$2:$N$996,""""),""""),"&amp;"IFNA(XLOOKUP(A47,PAGOS!$A$2:$A$996,PAGOS!$Q$2:$Q$996,""""),""""),IFNA(XLOOKUP(A47,PAGOS!$A$2:$A$996,PAGOS!$T$2:$T$996,""""),""""),IFNA(XLOOKUP(A47,PAGOS!$A$2:$A$996,PAGOS!$W$2:$W$996,""""),""""),IFNA(XLOOKUP(A47,PAGOS!$A$2:$A$996,PAGOS!$Z$2:$Z$996,""""),"&amp;"""""),IFNA(XLOOKUP(A47,PAGOS!$A$2:$A$996,PAGOS!$AC$2:$AC$996,""""),""""),IFNA(XLOOKUP(A47,PAGOS!$A$2:$A$996,PAGOS!$AF$2:$AF$996,""""),""""),IFNA(XLOOKUP(A47,PAGOS!$A$2:$A$996,PAGOS!$AI$2:$AI$996,""""),""""),IFNA(XLOOKUP(A47,PAGOS!$A$2:$A$996,PAGOS!$AL$2:$"&amp;"AL$996,""""),"""")),IF(abonos&gt;0,IFERROR(TEXTJOIN("" + "",TRUE,UNIQUE(FILTER('ABONOS MENSUALIDADES'!$E$5:$E$500,'ABONOS MENSUALIDADES'!$C$5:$C$500=A47,'ABONOS MENSUALIDADES'!$D$5:$D$500=mes))),""""),metodoDirecto)))"),"EFECTIVO")</f>
        <v>EFECTIVO</v>
      </c>
      <c r="F47" s="51" t="str">
        <f t="array" ref="F47">IF(A47="","",LET(mes,DATE($E$2,MATCH($B$2,'ESTADO CONTABLE'!$A$5:$A$16,0),1),cobrarDesde,IFERROR(INDEX('BASE DE DATOSS'!I:I,ROW()-13),""),pausada,SUMPRODUCT((UPPER(TRIM('PAUSAS MENSUALIDADES'!$A$5:$A$500))=UPPER(TRIM(A47)))*('PAUSAS MENSUALIDADES'!$B$5:$B$500=mes)*(UPPER(TRIM('PAUSAS MENSUALIDADES'!$D$5:$D$500))="APLICAR"))&gt;0,abonoActivo,SUMIFS('ABONOS MENSUALIDADES'!$F$5:$F$500,'ABONOS MENSUALIDADES'!$C$5:$C$500,A47,'ABONOS MENSUALIDADES'!$D$5:$D$500,mes,'ABONOS MENSUALIDADES'!$G$5:$G$500,"&lt;&gt;*CONSOLIDADO EN PAGOS*")&gt;0,esperadaBruta,MAX(IFNA(VLOOKUP(B47,COSTOS!$A$3:$B$13,2,FALSE),0)-150,0),IF(AND(cobrarDesde&lt;&gt;"",mes&lt;cobrarDesde),"AÚN NO INICIA",IF(pausada,"PAUSADA",IF(AND(abonoActivo,COUNTIFS('ABONOS MENSUALIDADES'!$C$5:$C$500,A47,'ABONOS MENSUALIDADES'!$D$5:$D$500,mes,'ABONOS MENSUALIDADES'!$G$5:$G$500,"*MENSUALIDAD LIQUIDADA*")=0),"ABONO",IF(N(D47)&gt;=esperadaBruta,"COBRADA",IF(N(D47)&gt;0,"ABONO","PENDIENTE")))))))</f>
        <v>COBRADA</v>
      </c>
      <c r="G47" s="79">
        <f t="array" ref="G47">IF(A47="","",IFERROR(INDEX('BASE DE DATOSS'!I:I,ROW()-13),""))</f>
        <v>46113</v>
      </c>
    </row>
    <row r="48">
      <c r="A48" s="51" t="str">
        <f t="array" ref="A48">IFERROR(INDEX('BASE DE DATOSS'!A:A,ROW()-13),"")</f>
        <v>IRKA VICTORIA GARCIA NAVARRO</v>
      </c>
      <c r="B48" s="51" t="str">
        <f t="array" ref="B48">IF(A48="","",IFERROR(INDEX('BASE DE DATOSS'!C:C,ROW()-13),""))</f>
        <v>JR 1</v>
      </c>
      <c r="C48" s="62">
        <f t="array" ref="C48">IF(A48="","",LET(mes,DATE($E$2,MATCH($B$2,'ESTADO CONTABLE'!$A$5:$A$16,0),1),cobrarDesde,IFERROR(INDEX('BASE DE DATOSS'!I:I,ROW()-13),""),pausada,SUMPRODUCT((UPPER(TRIM('PAUSAS MENSUALIDADES'!$A$5:$A$500))=UPPER(TRIM(A48)))*('PAUSAS MENSUALIDADES'!$B$5:$B$500=mes)*(UPPER(TRIM('PAUSAS MENSUALIDADES'!$D$5:$D$500))="APLICAR"))&gt;0,IF(OR(AND(cobrarDesde&lt;&gt;"",mes&lt;cobrarDesde),pausada),0,MAX(IFNA(VLOOKUP(B48,COSTOS!$A$3:$B$13,2,FALSE),0)-150,0)/1.16)))</f>
        <v>818.9655172</v>
      </c>
      <c r="D48" s="62">
        <f t="array" ref="D48">IF(A48="","",LET(mes,DATE($E$2,MATCH($B$2,'ESTADO CONTABLE'!$A$5:$A$16,0),1),abonos,SUMIFS('ABONOS MENSUALIDADES'!$F$5:$F$500,'ABONOS MENSUALIDADES'!$C$5:$C$500,A48,'ABONOS MENSUALIDADES'!$D$5:$D$500,mes),pago,CHOOSE(MATCH($B$2,'ESTADO CONTABLE'!$A$5:$A$16,0),IFNA(_xlfn.XLOOKUP(A48,PAGOS!$A$2:$A$996,PAGOS!$E$2:$E$996,""),""),IFNA(_xlfn.XLOOKUP(A48,PAGOS!$A$2:$A$996,PAGOS!$G$2:$G$996,""),""),IFNA(_xlfn.XLOOKUP(A48,PAGOS!$A$2:$A$996,PAGOS!$J$2:$J$996,""),""),IFNA(_xlfn.XLOOKUP(A48,PAGOS!$A$2:$A$996,PAGOS!$M$2:$M$996,""),""),IFNA(_xlfn.XLOOKUP(A48,PAGOS!$A$2:$A$996,PAGOS!$P$2:$P$996,""),""),IFNA(_xlfn.XLOOKUP(A48,PAGOS!$A$2:$A$996,PAGOS!$S$2:$S$996,""),""),IFNA(_xlfn.XLOOKUP(A48,PAGOS!$A$2:$A$996,PAGOS!$V$2:$V$996,""),""),IFNA(_xlfn.XLOOKUP(A48,PAGOS!$A$2:$A$996,PAGOS!$Y$2:$Y$996,""),""),IFNA(_xlfn.XLOOKUP(A48,PAGOS!$A$2:$A$996,PAGOS!$AB$2:$AB$996,""),""),IFNA(_xlfn.XLOOKUP(A48,PAGOS!$A$2:$A$996,PAGOS!$AE$2:$AE$996,""),""),IFNA(_xlfn.XLOOKUP(A48,PAGOS!$A$2:$A$996,PAGOS!$AH$2:$AH$996,""),""),IFNA(_xlfn.XLOOKUP(A48,PAGOS!$A$2:$A$996,PAGOS!$AK$2:$AK$996,""),"")),IF(abonos&gt;0,abonos,pago)))</f>
        <v>950</v>
      </c>
      <c r="E48" s="51" t="str">
        <f>IFERROR(__xludf.DUMMYFUNCTION("IF(A48="""","""",LET(mes,DATE($E$2,MATCH($B$2,'ESTADO CONTABLE'!$A$5:$A$16,0),1),abonos,SUMIFS('ABONOS MENSUALIDADES'!$F$5:$F$500,'ABONOS MENSUALIDADES'!$C$5:$C$500,A48,'ABONOS MENSUALIDADES'!$D$5:$D$500,mes),metodoDirecto,CHOOSE(MATCH($B$2,'ESTADO CONTAB"&amp;"LE'!$A$5:$A$16,0),IF(ISNUMBER(D48),""POR CLASIFICAR"",""""),IFNA(XLOOKUP(A48,PAGOS!$A$2:$A$996,PAGOS!$H$2:$H$996,""""),""""),IFNA(XLOOKUP(A48,PAGOS!$A$2:$A$996,PAGOS!$K$2:$K$996,""""),""""),IFNA(XLOOKUP(A48,PAGOS!$A$2:$A$996,PAGOS!$N$2:$N$996,""""),""""),"&amp;"IFNA(XLOOKUP(A48,PAGOS!$A$2:$A$996,PAGOS!$Q$2:$Q$996,""""),""""),IFNA(XLOOKUP(A48,PAGOS!$A$2:$A$996,PAGOS!$T$2:$T$996,""""),""""),IFNA(XLOOKUP(A48,PAGOS!$A$2:$A$996,PAGOS!$W$2:$W$996,""""),""""),IFNA(XLOOKUP(A48,PAGOS!$A$2:$A$996,PAGOS!$Z$2:$Z$996,""""),"&amp;"""""),IFNA(XLOOKUP(A48,PAGOS!$A$2:$A$996,PAGOS!$AC$2:$AC$996,""""),""""),IFNA(XLOOKUP(A48,PAGOS!$A$2:$A$996,PAGOS!$AF$2:$AF$996,""""),""""),IFNA(XLOOKUP(A48,PAGOS!$A$2:$A$996,PAGOS!$AI$2:$AI$996,""""),""""),IFNA(XLOOKUP(A48,PAGOS!$A$2:$A$996,PAGOS!$AL$2:$"&amp;"AL$996,""""),"""")),IF(abonos&gt;0,IFERROR(TEXTJOIN("" + "",TRUE,UNIQUE(FILTER('ABONOS MENSUALIDADES'!$E$5:$E$500,'ABONOS MENSUALIDADES'!$C$5:$C$500=A48,'ABONOS MENSUALIDADES'!$D$5:$D$500=mes))),""""),metodoDirecto)))"),"TERMINAL")</f>
        <v>TERMINAL</v>
      </c>
      <c r="F48" s="51" t="str">
        <f t="array" ref="F48">IF(A48="","",LET(mes,DATE($E$2,MATCH($B$2,'ESTADO CONTABLE'!$A$5:$A$16,0),1),cobrarDesde,IFERROR(INDEX('BASE DE DATOSS'!I:I,ROW()-13),""),pausada,SUMPRODUCT((UPPER(TRIM('PAUSAS MENSUALIDADES'!$A$5:$A$500))=UPPER(TRIM(A48)))*('PAUSAS MENSUALIDADES'!$B$5:$B$500=mes)*(UPPER(TRIM('PAUSAS MENSUALIDADES'!$D$5:$D$500))="APLICAR"))&gt;0,abonoActivo,SUMIFS('ABONOS MENSUALIDADES'!$F$5:$F$500,'ABONOS MENSUALIDADES'!$C$5:$C$500,A48,'ABONOS MENSUALIDADES'!$D$5:$D$500,mes,'ABONOS MENSUALIDADES'!$G$5:$G$500,"&lt;&gt;*CONSOLIDADO EN PAGOS*")&gt;0,esperadaBruta,MAX(IFNA(VLOOKUP(B48,COSTOS!$A$3:$B$13,2,FALSE),0)-150,0),IF(AND(cobrarDesde&lt;&gt;"",mes&lt;cobrarDesde),"AÚN NO INICIA",IF(pausada,"PAUSADA",IF(AND(abonoActivo,COUNTIFS('ABONOS MENSUALIDADES'!$C$5:$C$500,A48,'ABONOS MENSUALIDADES'!$D$5:$D$500,mes,'ABONOS MENSUALIDADES'!$G$5:$G$500,"*MENSUALIDAD LIQUIDADA*")=0),"ABONO",IF(N(D48)&gt;=esperadaBruta,"COBRADA",IF(N(D48)&gt;0,"ABONO","PENDIENTE")))))))</f>
        <v>COBRADA</v>
      </c>
      <c r="G48" s="79">
        <f t="array" ref="G48">IF(A48="","",IFERROR(INDEX('BASE DE DATOSS'!I:I,ROW()-13),""))</f>
        <v>46113</v>
      </c>
    </row>
    <row r="49">
      <c r="A49" s="51" t="str">
        <f t="array" ref="A49">IFERROR(INDEX('BASE DE DATOSS'!A:A,ROW()-13),"")</f>
        <v>BRENDA YUDITH CASTELL MARTINEZ</v>
      </c>
      <c r="B49" s="51" t="str">
        <f t="array" ref="B49">IF(A49="","",IFERROR(INDEX('BASE DE DATOSS'!C:C,ROW()-13),""))</f>
        <v>MATUTINO</v>
      </c>
      <c r="C49" s="62">
        <f t="array" ref="C49">IF(A49="","",LET(mes,DATE($E$2,MATCH($B$2,'ESTADO CONTABLE'!$A$5:$A$16,0),1),cobrarDesde,IFERROR(INDEX('BASE DE DATOSS'!I:I,ROW()-13),""),pausada,SUMPRODUCT((UPPER(TRIM('PAUSAS MENSUALIDADES'!$A$5:$A$500))=UPPER(TRIM(A49)))*('PAUSAS MENSUALIDADES'!$B$5:$B$500=mes)*(UPPER(TRIM('PAUSAS MENSUALIDADES'!$D$5:$D$500))="APLICAR"))&gt;0,IF(OR(AND(cobrarDesde&lt;&gt;"",mes&lt;cobrarDesde),pausada),0,MAX(IFNA(VLOOKUP(B49,COSTOS!$A$3:$B$13,2,FALSE),0)-150,0)/1.16)))</f>
        <v>818.9655172</v>
      </c>
      <c r="D49" s="62">
        <f t="array" ref="D49">IF(A49="","",LET(mes,DATE($E$2,MATCH($B$2,'ESTADO CONTABLE'!$A$5:$A$16,0),1),abonos,SUMIFS('ABONOS MENSUALIDADES'!$F$5:$F$500,'ABONOS MENSUALIDADES'!$C$5:$C$500,A49,'ABONOS MENSUALIDADES'!$D$5:$D$500,mes),pago,CHOOSE(MATCH($B$2,'ESTADO CONTABLE'!$A$5:$A$16,0),IFNA(_xlfn.XLOOKUP(A49,PAGOS!$A$2:$A$996,PAGOS!$E$2:$E$996,""),""),IFNA(_xlfn.XLOOKUP(A49,PAGOS!$A$2:$A$996,PAGOS!$G$2:$G$996,""),""),IFNA(_xlfn.XLOOKUP(A49,PAGOS!$A$2:$A$996,PAGOS!$J$2:$J$996,""),""),IFNA(_xlfn.XLOOKUP(A49,PAGOS!$A$2:$A$996,PAGOS!$M$2:$M$996,""),""),IFNA(_xlfn.XLOOKUP(A49,PAGOS!$A$2:$A$996,PAGOS!$P$2:$P$996,""),""),IFNA(_xlfn.XLOOKUP(A49,PAGOS!$A$2:$A$996,PAGOS!$S$2:$S$996,""),""),IFNA(_xlfn.XLOOKUP(A49,PAGOS!$A$2:$A$996,PAGOS!$V$2:$V$996,""),""),IFNA(_xlfn.XLOOKUP(A49,PAGOS!$A$2:$A$996,PAGOS!$Y$2:$Y$996,""),""),IFNA(_xlfn.XLOOKUP(A49,PAGOS!$A$2:$A$996,PAGOS!$AB$2:$AB$996,""),""),IFNA(_xlfn.XLOOKUP(A49,PAGOS!$A$2:$A$996,PAGOS!$AE$2:$AE$996,""),""),IFNA(_xlfn.XLOOKUP(A49,PAGOS!$A$2:$A$996,PAGOS!$AH$2:$AH$996,""),""),IFNA(_xlfn.XLOOKUP(A49,PAGOS!$A$2:$A$996,PAGOS!$AK$2:$AK$996,""),"")),IF(abonos&gt;0,abonos,pago)))</f>
        <v>950</v>
      </c>
      <c r="E49" s="51" t="str">
        <f>IFERROR(__xludf.DUMMYFUNCTION("IF(A49="""","""",LET(mes,DATE($E$2,MATCH($B$2,'ESTADO CONTABLE'!$A$5:$A$16,0),1),abonos,SUMIFS('ABONOS MENSUALIDADES'!$F$5:$F$500,'ABONOS MENSUALIDADES'!$C$5:$C$500,A49,'ABONOS MENSUALIDADES'!$D$5:$D$500,mes),metodoDirecto,CHOOSE(MATCH($B$2,'ESTADO CONTAB"&amp;"LE'!$A$5:$A$16,0),IF(ISNUMBER(D49),""POR CLASIFICAR"",""""),IFNA(XLOOKUP(A49,PAGOS!$A$2:$A$996,PAGOS!$H$2:$H$996,""""),""""),IFNA(XLOOKUP(A49,PAGOS!$A$2:$A$996,PAGOS!$K$2:$K$996,""""),""""),IFNA(XLOOKUP(A49,PAGOS!$A$2:$A$996,PAGOS!$N$2:$N$996,""""),""""),"&amp;"IFNA(XLOOKUP(A49,PAGOS!$A$2:$A$996,PAGOS!$Q$2:$Q$996,""""),""""),IFNA(XLOOKUP(A49,PAGOS!$A$2:$A$996,PAGOS!$T$2:$T$996,""""),""""),IFNA(XLOOKUP(A49,PAGOS!$A$2:$A$996,PAGOS!$W$2:$W$996,""""),""""),IFNA(XLOOKUP(A49,PAGOS!$A$2:$A$996,PAGOS!$Z$2:$Z$996,""""),"&amp;"""""),IFNA(XLOOKUP(A49,PAGOS!$A$2:$A$996,PAGOS!$AC$2:$AC$996,""""),""""),IFNA(XLOOKUP(A49,PAGOS!$A$2:$A$996,PAGOS!$AF$2:$AF$996,""""),""""),IFNA(XLOOKUP(A49,PAGOS!$A$2:$A$996,PAGOS!$AI$2:$AI$996,""""),""""),IFNA(XLOOKUP(A49,PAGOS!$A$2:$A$996,PAGOS!$AL$2:$"&amp;"AL$996,""""),"""")),IF(abonos&gt;0,IFERROR(TEXTJOIN("" + "",TRUE,UNIQUE(FILTER('ABONOS MENSUALIDADES'!$E$5:$E$500,'ABONOS MENSUALIDADES'!$C$5:$C$500=A49,'ABONOS MENSUALIDADES'!$D$5:$D$500=mes))),""""),metodoDirecto)))"),"EFECTIVO")</f>
        <v>EFECTIVO</v>
      </c>
      <c r="F49" s="51" t="str">
        <f t="array" ref="F49">IF(A49="","",LET(mes,DATE($E$2,MATCH($B$2,'ESTADO CONTABLE'!$A$5:$A$16,0),1),cobrarDesde,IFERROR(INDEX('BASE DE DATOSS'!I:I,ROW()-13),""),pausada,SUMPRODUCT((UPPER(TRIM('PAUSAS MENSUALIDADES'!$A$5:$A$500))=UPPER(TRIM(A49)))*('PAUSAS MENSUALIDADES'!$B$5:$B$500=mes)*(UPPER(TRIM('PAUSAS MENSUALIDADES'!$D$5:$D$500))="APLICAR"))&gt;0,abonoActivo,SUMIFS('ABONOS MENSUALIDADES'!$F$5:$F$500,'ABONOS MENSUALIDADES'!$C$5:$C$500,A49,'ABONOS MENSUALIDADES'!$D$5:$D$500,mes,'ABONOS MENSUALIDADES'!$G$5:$G$500,"&lt;&gt;*CONSOLIDADO EN PAGOS*")&gt;0,esperadaBruta,MAX(IFNA(VLOOKUP(B49,COSTOS!$A$3:$B$13,2,FALSE),0)-150,0),IF(AND(cobrarDesde&lt;&gt;"",mes&lt;cobrarDesde),"AÚN NO INICIA",IF(pausada,"PAUSADA",IF(AND(abonoActivo,COUNTIFS('ABONOS MENSUALIDADES'!$C$5:$C$500,A49,'ABONOS MENSUALIDADES'!$D$5:$D$500,mes,'ABONOS MENSUALIDADES'!$G$5:$G$500,"*MENSUALIDAD LIQUIDADA*")=0),"ABONO",IF(N(D49)&gt;=esperadaBruta,"COBRADA",IF(N(D49)&gt;0,"ABONO","PENDIENTE")))))))</f>
        <v>COBRADA</v>
      </c>
      <c r="G49" s="79">
        <f t="array" ref="G49">IF(A49="","",IFERROR(INDEX('BASE DE DATOSS'!I:I,ROW()-13),""))</f>
        <v>46113</v>
      </c>
    </row>
    <row r="50">
      <c r="A50" s="51" t="str">
        <f t="array" ref="A50">IFERROR(INDEX('BASE DE DATOSS'!A:A,ROW()-13),"")</f>
        <v>AMERICA ALVAREZ SEPULVEDA</v>
      </c>
      <c r="B50" s="51" t="str">
        <f t="array" ref="B50">IF(A50="","",IFERROR(INDEX('BASE DE DATOSS'!C:C,ROW()-13),""))</f>
        <v>ADULTS 1</v>
      </c>
      <c r="C50" s="62">
        <f t="array" ref="C50">IF(A50="","",LET(mes,DATE($E$2,MATCH($B$2,'ESTADO CONTABLE'!$A$5:$A$16,0),1),cobrarDesde,IFERROR(INDEX('BASE DE DATOSS'!I:I,ROW()-13),""),pausada,SUMPRODUCT((UPPER(TRIM('PAUSAS MENSUALIDADES'!$A$5:$A$500))=UPPER(TRIM(A50)))*('PAUSAS MENSUALIDADES'!$B$5:$B$500=mes)*(UPPER(TRIM('PAUSAS MENSUALIDADES'!$D$5:$D$500))="APLICAR"))&gt;0,IF(OR(AND(cobrarDesde&lt;&gt;"",mes&lt;cobrarDesde),pausada),0,MAX(IFNA(VLOOKUP(B50,COSTOS!$A$3:$B$13,2,FALSE),0)-150,0)/1.16)))</f>
        <v>0</v>
      </c>
      <c r="D50" s="62" t="str">
        <f t="array" ref="D50">IF(A50="","",LET(mes,DATE($E$2,MATCH($B$2,'ESTADO CONTABLE'!$A$5:$A$16,0),1),abonos,SUMIFS('ABONOS MENSUALIDADES'!$F$5:$F$500,'ABONOS MENSUALIDADES'!$C$5:$C$500,A50,'ABONOS MENSUALIDADES'!$D$5:$D$500,mes),pago,CHOOSE(MATCH($B$2,'ESTADO CONTABLE'!$A$5:$A$16,0),IFNA(_xlfn.XLOOKUP(A50,PAGOS!$A$2:$A$996,PAGOS!$E$2:$E$996,""),""),IFNA(_xlfn.XLOOKUP(A50,PAGOS!$A$2:$A$996,PAGOS!$G$2:$G$996,""),""),IFNA(_xlfn.XLOOKUP(A50,PAGOS!$A$2:$A$996,PAGOS!$J$2:$J$996,""),""),IFNA(_xlfn.XLOOKUP(A50,PAGOS!$A$2:$A$996,PAGOS!$M$2:$M$996,""),""),IFNA(_xlfn.XLOOKUP(A50,PAGOS!$A$2:$A$996,PAGOS!$P$2:$P$996,""),""),IFNA(_xlfn.XLOOKUP(A50,PAGOS!$A$2:$A$996,PAGOS!$S$2:$S$996,""),""),IFNA(_xlfn.XLOOKUP(A50,PAGOS!$A$2:$A$996,PAGOS!$V$2:$V$996,""),""),IFNA(_xlfn.XLOOKUP(A50,PAGOS!$A$2:$A$996,PAGOS!$Y$2:$Y$996,""),""),IFNA(_xlfn.XLOOKUP(A50,PAGOS!$A$2:$A$996,PAGOS!$AB$2:$AB$996,""),""),IFNA(_xlfn.XLOOKUP(A50,PAGOS!$A$2:$A$996,PAGOS!$AE$2:$AE$996,""),""),IFNA(_xlfn.XLOOKUP(A50,PAGOS!$A$2:$A$996,PAGOS!$AH$2:$AH$996,""),""),IFNA(_xlfn.XLOOKUP(A50,PAGOS!$A$2:$A$996,PAGOS!$AK$2:$AK$996,""),"")),IF(abonos&gt;0,abonos,pago)))</f>
        <v/>
      </c>
      <c r="E50" s="51" t="str">
        <f>IFERROR(__xludf.DUMMYFUNCTION("IF(A50="""","""",LET(mes,DATE($E$2,MATCH($B$2,'ESTADO CONTABLE'!$A$5:$A$16,0),1),abonos,SUMIFS('ABONOS MENSUALIDADES'!$F$5:$F$500,'ABONOS MENSUALIDADES'!$C$5:$C$500,A50,'ABONOS MENSUALIDADES'!$D$5:$D$500,mes),metodoDirecto,CHOOSE(MATCH($B$2,'ESTADO CONTAB"&amp;"LE'!$A$5:$A$16,0),IF(ISNUMBER(D50),""POR CLASIFICAR"",""""),IFNA(XLOOKUP(A50,PAGOS!$A$2:$A$996,PAGOS!$H$2:$H$996,""""),""""),IFNA(XLOOKUP(A50,PAGOS!$A$2:$A$996,PAGOS!$K$2:$K$996,""""),""""),IFNA(XLOOKUP(A50,PAGOS!$A$2:$A$996,PAGOS!$N$2:$N$996,""""),""""),"&amp;"IFNA(XLOOKUP(A50,PAGOS!$A$2:$A$996,PAGOS!$Q$2:$Q$996,""""),""""),IFNA(XLOOKUP(A50,PAGOS!$A$2:$A$996,PAGOS!$T$2:$T$996,""""),""""),IFNA(XLOOKUP(A50,PAGOS!$A$2:$A$996,PAGOS!$W$2:$W$996,""""),""""),IFNA(XLOOKUP(A50,PAGOS!$A$2:$A$996,PAGOS!$Z$2:$Z$996,""""),"&amp;"""""),IFNA(XLOOKUP(A50,PAGOS!$A$2:$A$996,PAGOS!$AC$2:$AC$996,""""),""""),IFNA(XLOOKUP(A50,PAGOS!$A$2:$A$996,PAGOS!$AF$2:$AF$996,""""),""""),IFNA(XLOOKUP(A50,PAGOS!$A$2:$A$996,PAGOS!$AI$2:$AI$996,""""),""""),IFNA(XLOOKUP(A50,PAGOS!$A$2:$A$996,PAGOS!$AL$2:$"&amp;"AL$996,""""),"""")),IF(abonos&gt;0,IFERROR(TEXTJOIN("" + "",TRUE,UNIQUE(FILTER('ABONOS MENSUALIDADES'!$E$5:$E$500,'ABONOS MENSUALIDADES'!$C$5:$C$500=A50,'ABONOS MENSUALIDADES'!$D$5:$D$500=mes))),""""),metodoDirecto)))"),"")</f>
        <v/>
      </c>
      <c r="F50" s="51" t="str">
        <f t="array" ref="F50">IF(A50="","",LET(mes,DATE($E$2,MATCH($B$2,'ESTADO CONTABLE'!$A$5:$A$16,0),1),cobrarDesde,IFERROR(INDEX('BASE DE DATOSS'!I:I,ROW()-13),""),pausada,SUMPRODUCT((UPPER(TRIM('PAUSAS MENSUALIDADES'!$A$5:$A$500))=UPPER(TRIM(A50)))*('PAUSAS MENSUALIDADES'!$B$5:$B$500=mes)*(UPPER(TRIM('PAUSAS MENSUALIDADES'!$D$5:$D$500))="APLICAR"))&gt;0,abonoActivo,SUMIFS('ABONOS MENSUALIDADES'!$F$5:$F$500,'ABONOS MENSUALIDADES'!$C$5:$C$500,A50,'ABONOS MENSUALIDADES'!$D$5:$D$500,mes,'ABONOS MENSUALIDADES'!$G$5:$G$500,"&lt;&gt;*CONSOLIDADO EN PAGOS*")&gt;0,esperadaBruta,MAX(IFNA(VLOOKUP(B50,COSTOS!$A$3:$B$13,2,FALSE),0)-150,0),IF(AND(cobrarDesde&lt;&gt;"",mes&lt;cobrarDesde),"AÚN NO INICIA",IF(pausada,"PAUSADA",IF(AND(abonoActivo,COUNTIFS('ABONOS MENSUALIDADES'!$C$5:$C$500,A50,'ABONOS MENSUALIDADES'!$D$5:$D$500,mes,'ABONOS MENSUALIDADES'!$G$5:$G$500,"*MENSUALIDAD LIQUIDADA*")=0),"ABONO",IF(N(D50)&gt;=esperadaBruta,"COBRADA",IF(N(D50)&gt;0,"ABONO","PENDIENTE")))))))</f>
        <v>PAUSADA</v>
      </c>
      <c r="G50" s="79">
        <f t="array" ref="G50">IF(A50="","",IFERROR(INDEX('BASE DE DATOSS'!I:I,ROW()-13),""))</f>
        <v>46143</v>
      </c>
    </row>
    <row r="51">
      <c r="A51" s="51" t="str">
        <f t="array" ref="A51">IFERROR(INDEX('BASE DE DATOSS'!A:A,ROW()-13),"")</f>
        <v>MAIA VICTORIA OCHOA COBIAN</v>
      </c>
      <c r="B51" s="51" t="str">
        <f t="array" ref="B51">IF(A51="","",IFERROR(INDEX('BASE DE DATOSS'!C:C,ROW()-13),""))</f>
        <v>JR 1</v>
      </c>
      <c r="C51" s="62">
        <f t="array" ref="C51">IF(A51="","",LET(mes,DATE($E$2,MATCH($B$2,'ESTADO CONTABLE'!$A$5:$A$16,0),1),cobrarDesde,IFERROR(INDEX('BASE DE DATOSS'!I:I,ROW()-13),""),pausada,SUMPRODUCT((UPPER(TRIM('PAUSAS MENSUALIDADES'!$A$5:$A$500))=UPPER(TRIM(A51)))*('PAUSAS MENSUALIDADES'!$B$5:$B$500=mes)*(UPPER(TRIM('PAUSAS MENSUALIDADES'!$D$5:$D$500))="APLICAR"))&gt;0,IF(OR(AND(cobrarDesde&lt;&gt;"",mes&lt;cobrarDesde),pausada),0,MAX(IFNA(VLOOKUP(B51,COSTOS!$A$3:$B$13,2,FALSE),0)-150,0)/1.16)))</f>
        <v>818.9655172</v>
      </c>
      <c r="D51" s="62">
        <f t="array" ref="D51">IF(A51="","",LET(mes,DATE($E$2,MATCH($B$2,'ESTADO CONTABLE'!$A$5:$A$16,0),1),abonos,SUMIFS('ABONOS MENSUALIDADES'!$F$5:$F$500,'ABONOS MENSUALIDADES'!$C$5:$C$500,A51,'ABONOS MENSUALIDADES'!$D$5:$D$500,mes),pago,CHOOSE(MATCH($B$2,'ESTADO CONTABLE'!$A$5:$A$16,0),IFNA(_xlfn.XLOOKUP(A51,PAGOS!$A$2:$A$996,PAGOS!$E$2:$E$996,""),""),IFNA(_xlfn.XLOOKUP(A51,PAGOS!$A$2:$A$996,PAGOS!$G$2:$G$996,""),""),IFNA(_xlfn.XLOOKUP(A51,PAGOS!$A$2:$A$996,PAGOS!$J$2:$J$996,""),""),IFNA(_xlfn.XLOOKUP(A51,PAGOS!$A$2:$A$996,PAGOS!$M$2:$M$996,""),""),IFNA(_xlfn.XLOOKUP(A51,PAGOS!$A$2:$A$996,PAGOS!$P$2:$P$996,""),""),IFNA(_xlfn.XLOOKUP(A51,PAGOS!$A$2:$A$996,PAGOS!$S$2:$S$996,""),""),IFNA(_xlfn.XLOOKUP(A51,PAGOS!$A$2:$A$996,PAGOS!$V$2:$V$996,""),""),IFNA(_xlfn.XLOOKUP(A51,PAGOS!$A$2:$A$996,PAGOS!$Y$2:$Y$996,""),""),IFNA(_xlfn.XLOOKUP(A51,PAGOS!$A$2:$A$996,PAGOS!$AB$2:$AB$996,""),""),IFNA(_xlfn.XLOOKUP(A51,PAGOS!$A$2:$A$996,PAGOS!$AE$2:$AE$996,""),""),IFNA(_xlfn.XLOOKUP(A51,PAGOS!$A$2:$A$996,PAGOS!$AH$2:$AH$996,""),""),IFNA(_xlfn.XLOOKUP(A51,PAGOS!$A$2:$A$996,PAGOS!$AK$2:$AK$996,""),"")),IF(abonos&gt;0,abonos,pago)))</f>
        <v>950</v>
      </c>
      <c r="E51" s="51" t="str">
        <f>IFERROR(__xludf.DUMMYFUNCTION("IF(A51="""","""",LET(mes,DATE($E$2,MATCH($B$2,'ESTADO CONTABLE'!$A$5:$A$16,0),1),abonos,SUMIFS('ABONOS MENSUALIDADES'!$F$5:$F$500,'ABONOS MENSUALIDADES'!$C$5:$C$500,A51,'ABONOS MENSUALIDADES'!$D$5:$D$500,mes),metodoDirecto,CHOOSE(MATCH($B$2,'ESTADO CONTAB"&amp;"LE'!$A$5:$A$16,0),IF(ISNUMBER(D51),""POR CLASIFICAR"",""""),IFNA(XLOOKUP(A51,PAGOS!$A$2:$A$996,PAGOS!$H$2:$H$996,""""),""""),IFNA(XLOOKUP(A51,PAGOS!$A$2:$A$996,PAGOS!$K$2:$K$996,""""),""""),IFNA(XLOOKUP(A51,PAGOS!$A$2:$A$996,PAGOS!$N$2:$N$996,""""),""""),"&amp;"IFNA(XLOOKUP(A51,PAGOS!$A$2:$A$996,PAGOS!$Q$2:$Q$996,""""),""""),IFNA(XLOOKUP(A51,PAGOS!$A$2:$A$996,PAGOS!$T$2:$T$996,""""),""""),IFNA(XLOOKUP(A51,PAGOS!$A$2:$A$996,PAGOS!$W$2:$W$996,""""),""""),IFNA(XLOOKUP(A51,PAGOS!$A$2:$A$996,PAGOS!$Z$2:$Z$996,""""),"&amp;"""""),IFNA(XLOOKUP(A51,PAGOS!$A$2:$A$996,PAGOS!$AC$2:$AC$996,""""),""""),IFNA(XLOOKUP(A51,PAGOS!$A$2:$A$996,PAGOS!$AF$2:$AF$996,""""),""""),IFNA(XLOOKUP(A51,PAGOS!$A$2:$A$996,PAGOS!$AI$2:$AI$996,""""),""""),IFNA(XLOOKUP(A51,PAGOS!$A$2:$A$996,PAGOS!$AL$2:$"&amp;"AL$996,""""),"""")),IF(abonos&gt;0,IFERROR(TEXTJOIN("" + "",TRUE,UNIQUE(FILTER('ABONOS MENSUALIDADES'!$E$5:$E$500,'ABONOS MENSUALIDADES'!$C$5:$C$500=A51,'ABONOS MENSUALIDADES'!$D$5:$D$500=mes))),""""),metodoDirecto)))"),"EFECTIVO")</f>
        <v>EFECTIVO</v>
      </c>
      <c r="F51" s="51" t="str">
        <f t="array" ref="F51">IF(A51="","",LET(mes,DATE($E$2,MATCH($B$2,'ESTADO CONTABLE'!$A$5:$A$16,0),1),cobrarDesde,IFERROR(INDEX('BASE DE DATOSS'!I:I,ROW()-13),""),pausada,SUMPRODUCT((UPPER(TRIM('PAUSAS MENSUALIDADES'!$A$5:$A$500))=UPPER(TRIM(A51)))*('PAUSAS MENSUALIDADES'!$B$5:$B$500=mes)*(UPPER(TRIM('PAUSAS MENSUALIDADES'!$D$5:$D$500))="APLICAR"))&gt;0,abonoActivo,SUMIFS('ABONOS MENSUALIDADES'!$F$5:$F$500,'ABONOS MENSUALIDADES'!$C$5:$C$500,A51,'ABONOS MENSUALIDADES'!$D$5:$D$500,mes,'ABONOS MENSUALIDADES'!$G$5:$G$500,"&lt;&gt;*CONSOLIDADO EN PAGOS*")&gt;0,esperadaBruta,MAX(IFNA(VLOOKUP(B51,COSTOS!$A$3:$B$13,2,FALSE),0)-150,0),IF(AND(cobrarDesde&lt;&gt;"",mes&lt;cobrarDesde),"AÚN NO INICIA",IF(pausada,"PAUSADA",IF(AND(abonoActivo,COUNTIFS('ABONOS MENSUALIDADES'!$C$5:$C$500,A51,'ABONOS MENSUALIDADES'!$D$5:$D$500,mes,'ABONOS MENSUALIDADES'!$G$5:$G$500,"*MENSUALIDAD LIQUIDADA*")=0),"ABONO",IF(N(D51)&gt;=esperadaBruta,"COBRADA",IF(N(D51)&gt;0,"ABONO","PENDIENTE")))))))</f>
        <v>COBRADA</v>
      </c>
      <c r="G51" s="79">
        <f t="array" ref="G51">IF(A51="","",IFERROR(INDEX('BASE DE DATOSS'!I:I,ROW()-13),""))</f>
        <v>46174</v>
      </c>
    </row>
    <row r="52">
      <c r="A52" s="51" t="str">
        <f t="array" ref="A52">IFERROR(INDEX('BASE DE DATOSS'!A:A,ROW()-13),"")</f>
        <v>ISABELLA ZOE CASTAÑEDA LUNA</v>
      </c>
      <c r="B52" s="51" t="str">
        <f t="array" ref="B52">IF(A52="","",IFERROR(INDEX('BASE DE DATOSS'!C:C,ROW()-13),""))</f>
        <v>JR 2</v>
      </c>
      <c r="C52" s="62">
        <f t="array" ref="C52">IF(A52="","",LET(mes,DATE($E$2,MATCH($B$2,'ESTADO CONTABLE'!$A$5:$A$16,0),1),cobrarDesde,IFERROR(INDEX('BASE DE DATOSS'!I:I,ROW()-13),""),pausada,SUMPRODUCT((UPPER(TRIM('PAUSAS MENSUALIDADES'!$A$5:$A$500))=UPPER(TRIM(A52)))*('PAUSAS MENSUALIDADES'!$B$5:$B$500=mes)*(UPPER(TRIM('PAUSAS MENSUALIDADES'!$D$5:$D$500))="APLICAR"))&gt;0,IF(OR(AND(cobrarDesde&lt;&gt;"",mes&lt;cobrarDesde),pausada),0,MAX(IFNA(VLOOKUP(B52,COSTOS!$A$3:$B$13,2,FALSE),0)-150,0)/1.16)))</f>
        <v>689.6551724</v>
      </c>
      <c r="D52" s="62">
        <f t="array" ref="D52">IF(A52="","",LET(mes,DATE($E$2,MATCH($B$2,'ESTADO CONTABLE'!$A$5:$A$16,0),1),abonos,SUMIFS('ABONOS MENSUALIDADES'!$F$5:$F$500,'ABONOS MENSUALIDADES'!$C$5:$C$500,A52,'ABONOS MENSUALIDADES'!$D$5:$D$500,mes),pago,CHOOSE(MATCH($B$2,'ESTADO CONTABLE'!$A$5:$A$16,0),IFNA(_xlfn.XLOOKUP(A52,PAGOS!$A$2:$A$996,PAGOS!$E$2:$E$996,""),""),IFNA(_xlfn.XLOOKUP(A52,PAGOS!$A$2:$A$996,PAGOS!$G$2:$G$996,""),""),IFNA(_xlfn.XLOOKUP(A52,PAGOS!$A$2:$A$996,PAGOS!$J$2:$J$996,""),""),IFNA(_xlfn.XLOOKUP(A52,PAGOS!$A$2:$A$996,PAGOS!$M$2:$M$996,""),""),IFNA(_xlfn.XLOOKUP(A52,PAGOS!$A$2:$A$996,PAGOS!$P$2:$P$996,""),""),IFNA(_xlfn.XLOOKUP(A52,PAGOS!$A$2:$A$996,PAGOS!$S$2:$S$996,""),""),IFNA(_xlfn.XLOOKUP(A52,PAGOS!$A$2:$A$996,PAGOS!$V$2:$V$996,""),""),IFNA(_xlfn.XLOOKUP(A52,PAGOS!$A$2:$A$996,PAGOS!$Y$2:$Y$996,""),""),IFNA(_xlfn.XLOOKUP(A52,PAGOS!$A$2:$A$996,PAGOS!$AB$2:$AB$996,""),""),IFNA(_xlfn.XLOOKUP(A52,PAGOS!$A$2:$A$996,PAGOS!$AE$2:$AE$996,""),""),IFNA(_xlfn.XLOOKUP(A52,PAGOS!$A$2:$A$996,PAGOS!$AH$2:$AH$996,""),""),IFNA(_xlfn.XLOOKUP(A52,PAGOS!$A$2:$A$996,PAGOS!$AK$2:$AK$996,""),"")),IF(abonos&gt;0,abonos,pago)))</f>
        <v>950</v>
      </c>
      <c r="E52" s="51" t="str">
        <f>IFERROR(__xludf.DUMMYFUNCTION("IF(A52="""","""",LET(mes,DATE($E$2,MATCH($B$2,'ESTADO CONTABLE'!$A$5:$A$16,0),1),abonos,SUMIFS('ABONOS MENSUALIDADES'!$F$5:$F$500,'ABONOS MENSUALIDADES'!$C$5:$C$500,A52,'ABONOS MENSUALIDADES'!$D$5:$D$500,mes),metodoDirecto,CHOOSE(MATCH($B$2,'ESTADO CONTAB"&amp;"LE'!$A$5:$A$16,0),IF(ISNUMBER(D52),""POR CLASIFICAR"",""""),IFNA(XLOOKUP(A52,PAGOS!$A$2:$A$996,PAGOS!$H$2:$H$996,""""),""""),IFNA(XLOOKUP(A52,PAGOS!$A$2:$A$996,PAGOS!$K$2:$K$996,""""),""""),IFNA(XLOOKUP(A52,PAGOS!$A$2:$A$996,PAGOS!$N$2:$N$996,""""),""""),"&amp;"IFNA(XLOOKUP(A52,PAGOS!$A$2:$A$996,PAGOS!$Q$2:$Q$996,""""),""""),IFNA(XLOOKUP(A52,PAGOS!$A$2:$A$996,PAGOS!$T$2:$T$996,""""),""""),IFNA(XLOOKUP(A52,PAGOS!$A$2:$A$996,PAGOS!$W$2:$W$996,""""),""""),IFNA(XLOOKUP(A52,PAGOS!$A$2:$A$996,PAGOS!$Z$2:$Z$996,""""),"&amp;"""""),IFNA(XLOOKUP(A52,PAGOS!$A$2:$A$996,PAGOS!$AC$2:$AC$996,""""),""""),IFNA(XLOOKUP(A52,PAGOS!$A$2:$A$996,PAGOS!$AF$2:$AF$996,""""),""""),IFNA(XLOOKUP(A52,PAGOS!$A$2:$A$996,PAGOS!$AI$2:$AI$996,""""),""""),IFNA(XLOOKUP(A52,PAGOS!$A$2:$A$996,PAGOS!$AL$2:$"&amp;"AL$996,""""),"""")),IF(abonos&gt;0,IFERROR(TEXTJOIN("" + "",TRUE,UNIQUE(FILTER('ABONOS MENSUALIDADES'!$E$5:$E$500,'ABONOS MENSUALIDADES'!$C$5:$C$500=A52,'ABONOS MENSUALIDADES'!$D$5:$D$500=mes))),""""),metodoDirecto)))"),"EFECTIVO")</f>
        <v>EFECTIVO</v>
      </c>
      <c r="F52" s="51" t="str">
        <f t="array" ref="F52">IF(A52="","",LET(mes,DATE($E$2,MATCH($B$2,'ESTADO CONTABLE'!$A$5:$A$16,0),1),cobrarDesde,IFERROR(INDEX('BASE DE DATOSS'!I:I,ROW()-13),""),pausada,SUMPRODUCT((UPPER(TRIM('PAUSAS MENSUALIDADES'!$A$5:$A$500))=UPPER(TRIM(A52)))*('PAUSAS MENSUALIDADES'!$B$5:$B$500=mes)*(UPPER(TRIM('PAUSAS MENSUALIDADES'!$D$5:$D$500))="APLICAR"))&gt;0,abonoActivo,SUMIFS('ABONOS MENSUALIDADES'!$F$5:$F$500,'ABONOS MENSUALIDADES'!$C$5:$C$500,A52,'ABONOS MENSUALIDADES'!$D$5:$D$500,mes,'ABONOS MENSUALIDADES'!$G$5:$G$500,"&lt;&gt;*CONSOLIDADO EN PAGOS*")&gt;0,esperadaBruta,MAX(IFNA(VLOOKUP(B52,COSTOS!$A$3:$B$13,2,FALSE),0)-150,0),IF(AND(cobrarDesde&lt;&gt;"",mes&lt;cobrarDesde),"AÚN NO INICIA",IF(pausada,"PAUSADA",IF(AND(abonoActivo,COUNTIFS('ABONOS MENSUALIDADES'!$C$5:$C$500,A52,'ABONOS MENSUALIDADES'!$D$5:$D$500,mes,'ABONOS MENSUALIDADES'!$G$5:$G$500,"*MENSUALIDAD LIQUIDADA*")=0),"ABONO",IF(N(D52)&gt;=esperadaBruta,"COBRADA",IF(N(D52)&gt;0,"ABONO","PENDIENTE")))))))</f>
        <v>COBRADA</v>
      </c>
      <c r="G52" s="79">
        <f t="array" ref="G52">IF(A52="","",IFERROR(INDEX('BASE DE DATOSS'!I:I,ROW()-13),""))</f>
        <v>46174</v>
      </c>
    </row>
    <row r="53">
      <c r="A53" s="51" t="str">
        <f t="array" ref="A53">IFERROR(INDEX('BASE DE DATOSS'!A:A,ROW()-13),"")</f>
        <v>NOVA RAMIREZ</v>
      </c>
      <c r="B53" s="51" t="str">
        <f t="array" ref="B53">IF(A53="","",IFERROR(INDEX('BASE DE DATOSS'!C:C,ROW()-13),""))</f>
        <v>KIDS 1</v>
      </c>
      <c r="C53" s="62">
        <f t="array" ref="C53">IF(A53="","",LET(mes,DATE($E$2,MATCH($B$2,'ESTADO CONTABLE'!$A$5:$A$16,0),1),cobrarDesde,IFERROR(INDEX('BASE DE DATOSS'!I:I,ROW()-13),""),pausada,SUMPRODUCT((UPPER(TRIM('PAUSAS MENSUALIDADES'!$A$5:$A$500))=UPPER(TRIM(A53)))*('PAUSAS MENSUALIDADES'!$B$5:$B$500=mes)*(UPPER(TRIM('PAUSAS MENSUALIDADES'!$D$5:$D$500))="APLICAR"))&gt;0,IF(OR(AND(cobrarDesde&lt;&gt;"",mes&lt;cobrarDesde),pausada),0,MAX(IFNA(VLOOKUP(B53,COSTOS!$A$3:$B$13,2,FALSE),0)-150,0)/1.16)))</f>
        <v>818.9655172</v>
      </c>
      <c r="D53" s="62">
        <f t="array" ref="D53">IF(A53="","",LET(mes,DATE($E$2,MATCH($B$2,'ESTADO CONTABLE'!$A$5:$A$16,0),1),abonos,SUMIFS('ABONOS MENSUALIDADES'!$F$5:$F$500,'ABONOS MENSUALIDADES'!$C$5:$C$500,A53,'ABONOS MENSUALIDADES'!$D$5:$D$500,mes),pago,CHOOSE(MATCH($B$2,'ESTADO CONTABLE'!$A$5:$A$16,0),IFNA(_xlfn.XLOOKUP(A53,PAGOS!$A$2:$A$996,PAGOS!$E$2:$E$996,""),""),IFNA(_xlfn.XLOOKUP(A53,PAGOS!$A$2:$A$996,PAGOS!$G$2:$G$996,""),""),IFNA(_xlfn.XLOOKUP(A53,PAGOS!$A$2:$A$996,PAGOS!$J$2:$J$996,""),""),IFNA(_xlfn.XLOOKUP(A53,PAGOS!$A$2:$A$996,PAGOS!$M$2:$M$996,""),""),IFNA(_xlfn.XLOOKUP(A53,PAGOS!$A$2:$A$996,PAGOS!$P$2:$P$996,""),""),IFNA(_xlfn.XLOOKUP(A53,PAGOS!$A$2:$A$996,PAGOS!$S$2:$S$996,""),""),IFNA(_xlfn.XLOOKUP(A53,PAGOS!$A$2:$A$996,PAGOS!$V$2:$V$996,""),""),IFNA(_xlfn.XLOOKUP(A53,PAGOS!$A$2:$A$996,PAGOS!$Y$2:$Y$996,""),""),IFNA(_xlfn.XLOOKUP(A53,PAGOS!$A$2:$A$996,PAGOS!$AB$2:$AB$996,""),""),IFNA(_xlfn.XLOOKUP(A53,PAGOS!$A$2:$A$996,PAGOS!$AE$2:$AE$996,""),""),IFNA(_xlfn.XLOOKUP(A53,PAGOS!$A$2:$A$996,PAGOS!$AH$2:$AH$996,""),""),IFNA(_xlfn.XLOOKUP(A53,PAGOS!$A$2:$A$996,PAGOS!$AK$2:$AK$996,""),"")),IF(abonos&gt;0,abonos,pago)))</f>
        <v>950</v>
      </c>
      <c r="E53" s="51" t="str">
        <f>IFERROR(__xludf.DUMMYFUNCTION("IF(A53="""","""",LET(mes,DATE($E$2,MATCH($B$2,'ESTADO CONTABLE'!$A$5:$A$16,0),1),abonos,SUMIFS('ABONOS MENSUALIDADES'!$F$5:$F$500,'ABONOS MENSUALIDADES'!$C$5:$C$500,A53,'ABONOS MENSUALIDADES'!$D$5:$D$500,mes),metodoDirecto,CHOOSE(MATCH($B$2,'ESTADO CONTAB"&amp;"LE'!$A$5:$A$16,0),IF(ISNUMBER(D53),""POR CLASIFICAR"",""""),IFNA(XLOOKUP(A53,PAGOS!$A$2:$A$996,PAGOS!$H$2:$H$996,""""),""""),IFNA(XLOOKUP(A53,PAGOS!$A$2:$A$996,PAGOS!$K$2:$K$996,""""),""""),IFNA(XLOOKUP(A53,PAGOS!$A$2:$A$996,PAGOS!$N$2:$N$996,""""),""""),"&amp;"IFNA(XLOOKUP(A53,PAGOS!$A$2:$A$996,PAGOS!$Q$2:$Q$996,""""),""""),IFNA(XLOOKUP(A53,PAGOS!$A$2:$A$996,PAGOS!$T$2:$T$996,""""),""""),IFNA(XLOOKUP(A53,PAGOS!$A$2:$A$996,PAGOS!$W$2:$W$996,""""),""""),IFNA(XLOOKUP(A53,PAGOS!$A$2:$A$996,PAGOS!$Z$2:$Z$996,""""),"&amp;"""""),IFNA(XLOOKUP(A53,PAGOS!$A$2:$A$996,PAGOS!$AC$2:$AC$996,""""),""""),IFNA(XLOOKUP(A53,PAGOS!$A$2:$A$996,PAGOS!$AF$2:$AF$996,""""),""""),IFNA(XLOOKUP(A53,PAGOS!$A$2:$A$996,PAGOS!$AI$2:$AI$996,""""),""""),IFNA(XLOOKUP(A53,PAGOS!$A$2:$A$996,PAGOS!$AL$2:$"&amp;"AL$996,""""),"""")),IF(abonos&gt;0,IFERROR(TEXTJOIN("" + "",TRUE,UNIQUE(FILTER('ABONOS MENSUALIDADES'!$E$5:$E$500,'ABONOS MENSUALIDADES'!$C$5:$C$500=A53,'ABONOS MENSUALIDADES'!$D$5:$D$500=mes))),""""),metodoDirecto)))"),"TERMINAL")</f>
        <v>TERMINAL</v>
      </c>
      <c r="F53" s="51" t="str">
        <f t="array" ref="F53">IF(A53="","",LET(mes,DATE($E$2,MATCH($B$2,'ESTADO CONTABLE'!$A$5:$A$16,0),1),cobrarDesde,IFERROR(INDEX('BASE DE DATOSS'!I:I,ROW()-13),""),pausada,SUMPRODUCT((UPPER(TRIM('PAUSAS MENSUALIDADES'!$A$5:$A$500))=UPPER(TRIM(A53)))*('PAUSAS MENSUALIDADES'!$B$5:$B$500=mes)*(UPPER(TRIM('PAUSAS MENSUALIDADES'!$D$5:$D$500))="APLICAR"))&gt;0,abonoActivo,SUMIFS('ABONOS MENSUALIDADES'!$F$5:$F$500,'ABONOS MENSUALIDADES'!$C$5:$C$500,A53,'ABONOS MENSUALIDADES'!$D$5:$D$500,mes,'ABONOS MENSUALIDADES'!$G$5:$G$500,"&lt;&gt;*CONSOLIDADO EN PAGOS*")&gt;0,esperadaBruta,MAX(IFNA(VLOOKUP(B53,COSTOS!$A$3:$B$13,2,FALSE),0)-150,0),IF(AND(cobrarDesde&lt;&gt;"",mes&lt;cobrarDesde),"AÚN NO INICIA",IF(pausada,"PAUSADA",IF(AND(abonoActivo,COUNTIFS('ABONOS MENSUALIDADES'!$C$5:$C$500,A53,'ABONOS MENSUALIDADES'!$D$5:$D$500,mes,'ABONOS MENSUALIDADES'!$G$5:$G$500,"*MENSUALIDAD LIQUIDADA*")=0),"ABONO",IF(N(D53)&gt;=esperadaBruta,"COBRADA",IF(N(D53)&gt;0,"ABONO","PENDIENTE")))))))</f>
        <v>COBRADA</v>
      </c>
      <c r="G53" s="79">
        <f t="array" ref="G53">IF(A53="","",IFERROR(INDEX('BASE DE DATOSS'!I:I,ROW()-13),""))</f>
        <v>46174</v>
      </c>
    </row>
    <row r="54">
      <c r="A54" s="51" t="str">
        <f t="array" ref="A54">IFERROR(INDEX('BASE DE DATOSS'!A:A,ROW()-13),"")</f>
        <v>ANDREA FERNANDA</v>
      </c>
      <c r="B54" s="51" t="str">
        <f t="array" ref="B54">IF(A54="","",IFERROR(INDEX('BASE DE DATOSS'!C:C,ROW()-13),""))</f>
        <v>SABATINO</v>
      </c>
      <c r="C54" s="62">
        <f t="array" ref="C54">IF(A54="","",LET(mes,DATE($E$2,MATCH($B$2,'ESTADO CONTABLE'!$A$5:$A$16,0),1),cobrarDesde,IFERROR(INDEX('BASE DE DATOSS'!I:I,ROW()-13),""),pausada,SUMPRODUCT((UPPER(TRIM('PAUSAS MENSUALIDADES'!$A$5:$A$500))=UPPER(TRIM(A54)))*('PAUSAS MENSUALIDADES'!$B$5:$B$500=mes)*(UPPER(TRIM('PAUSAS MENSUALIDADES'!$D$5:$D$500))="APLICAR"))&gt;0,IF(OR(AND(cobrarDesde&lt;&gt;"",mes&lt;cobrarDesde),pausada),0,MAX(IFNA(VLOOKUP(B54,COSTOS!$A$3:$B$13,2,FALSE),0)-150,0)/1.16)))</f>
        <v>474.137931</v>
      </c>
      <c r="D54" s="62">
        <f t="array" ref="D54">IF(A54="","",LET(mes,DATE($E$2,MATCH($B$2,'ESTADO CONTABLE'!$A$5:$A$16,0),1),abonos,SUMIFS('ABONOS MENSUALIDADES'!$F$5:$F$500,'ABONOS MENSUALIDADES'!$C$5:$C$500,A54,'ABONOS MENSUALIDADES'!$D$5:$D$500,mes),pago,CHOOSE(MATCH($B$2,'ESTADO CONTABLE'!$A$5:$A$16,0),IFNA(_xlfn.XLOOKUP(A54,PAGOS!$A$2:$A$996,PAGOS!$E$2:$E$996,""),""),IFNA(_xlfn.XLOOKUP(A54,PAGOS!$A$2:$A$996,PAGOS!$G$2:$G$996,""),""),IFNA(_xlfn.XLOOKUP(A54,PAGOS!$A$2:$A$996,PAGOS!$J$2:$J$996,""),""),IFNA(_xlfn.XLOOKUP(A54,PAGOS!$A$2:$A$996,PAGOS!$M$2:$M$996,""),""),IFNA(_xlfn.XLOOKUP(A54,PAGOS!$A$2:$A$996,PAGOS!$P$2:$P$996,""),""),IFNA(_xlfn.XLOOKUP(A54,PAGOS!$A$2:$A$996,PAGOS!$S$2:$S$996,""),""),IFNA(_xlfn.XLOOKUP(A54,PAGOS!$A$2:$A$996,PAGOS!$V$2:$V$996,""),""),IFNA(_xlfn.XLOOKUP(A54,PAGOS!$A$2:$A$996,PAGOS!$Y$2:$Y$996,""),""),IFNA(_xlfn.XLOOKUP(A54,PAGOS!$A$2:$A$996,PAGOS!$AB$2:$AB$996,""),""),IFNA(_xlfn.XLOOKUP(A54,PAGOS!$A$2:$A$996,PAGOS!$AE$2:$AE$996,""),""),IFNA(_xlfn.XLOOKUP(A54,PAGOS!$A$2:$A$996,PAGOS!$AH$2:$AH$996,""),""),IFNA(_xlfn.XLOOKUP(A54,PAGOS!$A$2:$A$996,PAGOS!$AK$2:$AK$996,""),"")),IF(abonos&gt;0,abonos,pago)))</f>
        <v>550</v>
      </c>
      <c r="E54" s="51" t="str">
        <f>IFERROR(__xludf.DUMMYFUNCTION("IF(A54="""","""",LET(mes,DATE($E$2,MATCH($B$2,'ESTADO CONTABLE'!$A$5:$A$16,0),1),abonos,SUMIFS('ABONOS MENSUALIDADES'!$F$5:$F$500,'ABONOS MENSUALIDADES'!$C$5:$C$500,A54,'ABONOS MENSUALIDADES'!$D$5:$D$500,mes),metodoDirecto,CHOOSE(MATCH($B$2,'ESTADO CONTAB"&amp;"LE'!$A$5:$A$16,0),IF(ISNUMBER(D54),""POR CLASIFICAR"",""""),IFNA(XLOOKUP(A54,PAGOS!$A$2:$A$996,PAGOS!$H$2:$H$996,""""),""""),IFNA(XLOOKUP(A54,PAGOS!$A$2:$A$996,PAGOS!$K$2:$K$996,""""),""""),IFNA(XLOOKUP(A54,PAGOS!$A$2:$A$996,PAGOS!$N$2:$N$996,""""),""""),"&amp;"IFNA(XLOOKUP(A54,PAGOS!$A$2:$A$996,PAGOS!$Q$2:$Q$996,""""),""""),IFNA(XLOOKUP(A54,PAGOS!$A$2:$A$996,PAGOS!$T$2:$T$996,""""),""""),IFNA(XLOOKUP(A54,PAGOS!$A$2:$A$996,PAGOS!$W$2:$W$996,""""),""""),IFNA(XLOOKUP(A54,PAGOS!$A$2:$A$996,PAGOS!$Z$2:$Z$996,""""),"&amp;"""""),IFNA(XLOOKUP(A54,PAGOS!$A$2:$A$996,PAGOS!$AC$2:$AC$996,""""),""""),IFNA(XLOOKUP(A54,PAGOS!$A$2:$A$996,PAGOS!$AF$2:$AF$996,""""),""""),IFNA(XLOOKUP(A54,PAGOS!$A$2:$A$996,PAGOS!$AI$2:$AI$996,""""),""""),IFNA(XLOOKUP(A54,PAGOS!$A$2:$A$996,PAGOS!$AL$2:$"&amp;"AL$996,""""),"""")),IF(abonos&gt;0,IFERROR(TEXTJOIN("" + "",TRUE,UNIQUE(FILTER('ABONOS MENSUALIDADES'!$E$5:$E$500,'ABONOS MENSUALIDADES'!$C$5:$C$500=A54,'ABONOS MENSUALIDADES'!$D$5:$D$500=mes))),""""),metodoDirecto)))"),"TRANSFERENCIA")</f>
        <v>TRANSFERENCIA</v>
      </c>
      <c r="F54" s="51" t="str">
        <f t="array" ref="F54">IF(A54="","",LET(mes,DATE($E$2,MATCH($B$2,'ESTADO CONTABLE'!$A$5:$A$16,0),1),cobrarDesde,IFERROR(INDEX('BASE DE DATOSS'!I:I,ROW()-13),""),pausada,SUMPRODUCT((UPPER(TRIM('PAUSAS MENSUALIDADES'!$A$5:$A$500))=UPPER(TRIM(A54)))*('PAUSAS MENSUALIDADES'!$B$5:$B$500=mes)*(UPPER(TRIM('PAUSAS MENSUALIDADES'!$D$5:$D$500))="APLICAR"))&gt;0,abonoActivo,SUMIFS('ABONOS MENSUALIDADES'!$F$5:$F$500,'ABONOS MENSUALIDADES'!$C$5:$C$500,A54,'ABONOS MENSUALIDADES'!$D$5:$D$500,mes,'ABONOS MENSUALIDADES'!$G$5:$G$500,"&lt;&gt;*CONSOLIDADO EN PAGOS*")&gt;0,esperadaBruta,MAX(IFNA(VLOOKUP(B54,COSTOS!$A$3:$B$13,2,FALSE),0)-150,0),IF(AND(cobrarDesde&lt;&gt;"",mes&lt;cobrarDesde),"AÚN NO INICIA",IF(pausada,"PAUSADA",IF(AND(abonoActivo,COUNTIFS('ABONOS MENSUALIDADES'!$C$5:$C$500,A54,'ABONOS MENSUALIDADES'!$D$5:$D$500,mes,'ABONOS MENSUALIDADES'!$G$5:$G$500,"*MENSUALIDAD LIQUIDADA*")=0),"ABONO",IF(N(D54)&gt;=esperadaBruta,"COBRADA",IF(N(D54)&gt;0,"ABONO","PENDIENTE")))))))</f>
        <v>COBRADA</v>
      </c>
      <c r="G54" s="79">
        <f t="array" ref="G54">IF(A54="","",IFERROR(INDEX('BASE DE DATOSS'!I:I,ROW()-13),""))</f>
        <v>46174</v>
      </c>
    </row>
    <row r="55">
      <c r="A55" s="51" t="str">
        <f t="array" ref="A55">IFERROR(INDEX('BASE DE DATOSS'!A:A,ROW()-13),"")</f>
        <v>DIANA VALENTINA CONTRERAS GARCIA</v>
      </c>
      <c r="B55" s="51" t="str">
        <f t="array" ref="B55">IF(A55="","",IFERROR(INDEX('BASE DE DATOSS'!C:C,ROW()-13),""))</f>
        <v>ADULTS 2</v>
      </c>
      <c r="C55" s="62">
        <f t="array" ref="C55">IF(A55="","",LET(mes,DATE($E$2,MATCH($B$2,'ESTADO CONTABLE'!$A$5:$A$16,0),1),cobrarDesde,IFERROR(INDEX('BASE DE DATOSS'!I:I,ROW()-13),""),pausada,SUMPRODUCT((UPPER(TRIM('PAUSAS MENSUALIDADES'!$A$5:$A$500))=UPPER(TRIM(A55)))*('PAUSAS MENSUALIDADES'!$B$5:$B$500=mes)*(UPPER(TRIM('PAUSAS MENSUALIDADES'!$D$5:$D$500))="APLICAR"))&gt;0,IF(OR(AND(cobrarDesde&lt;&gt;"",mes&lt;cobrarDesde),pausada),0,MAX(IFNA(VLOOKUP(B55,COSTOS!$A$3:$B$13,2,FALSE),0)-150,0)/1.16)))</f>
        <v>818.9655172</v>
      </c>
      <c r="D55" s="62">
        <f t="array" ref="D55">IF(A55="","",LET(mes,DATE($E$2,MATCH($B$2,'ESTADO CONTABLE'!$A$5:$A$16,0),1),abonos,SUMIFS('ABONOS MENSUALIDADES'!$F$5:$F$500,'ABONOS MENSUALIDADES'!$C$5:$C$500,A55,'ABONOS MENSUALIDADES'!$D$5:$D$500,mes),pago,CHOOSE(MATCH($B$2,'ESTADO CONTABLE'!$A$5:$A$16,0),IFNA(_xlfn.XLOOKUP(A55,PAGOS!$A$2:$A$996,PAGOS!$E$2:$E$996,""),""),IFNA(_xlfn.XLOOKUP(A55,PAGOS!$A$2:$A$996,PAGOS!$G$2:$G$996,""),""),IFNA(_xlfn.XLOOKUP(A55,PAGOS!$A$2:$A$996,PAGOS!$J$2:$J$996,""),""),IFNA(_xlfn.XLOOKUP(A55,PAGOS!$A$2:$A$996,PAGOS!$M$2:$M$996,""),""),IFNA(_xlfn.XLOOKUP(A55,PAGOS!$A$2:$A$996,PAGOS!$P$2:$P$996,""),""),IFNA(_xlfn.XLOOKUP(A55,PAGOS!$A$2:$A$996,PAGOS!$S$2:$S$996,""),""),IFNA(_xlfn.XLOOKUP(A55,PAGOS!$A$2:$A$996,PAGOS!$V$2:$V$996,""),""),IFNA(_xlfn.XLOOKUP(A55,PAGOS!$A$2:$A$996,PAGOS!$Y$2:$Y$996,""),""),IFNA(_xlfn.XLOOKUP(A55,PAGOS!$A$2:$A$996,PAGOS!$AB$2:$AB$996,""),""),IFNA(_xlfn.XLOOKUP(A55,PAGOS!$A$2:$A$996,PAGOS!$AE$2:$AE$996,""),""),IFNA(_xlfn.XLOOKUP(A55,PAGOS!$A$2:$A$996,PAGOS!$AH$2:$AH$996,""),""),IFNA(_xlfn.XLOOKUP(A55,PAGOS!$A$2:$A$996,PAGOS!$AK$2:$AK$996,""),"")),IF(abonos&gt;0,abonos,pago)))</f>
        <v>950</v>
      </c>
      <c r="E55" s="51" t="str">
        <f>IFERROR(__xludf.DUMMYFUNCTION("IF(A55="""","""",LET(mes,DATE($E$2,MATCH($B$2,'ESTADO CONTABLE'!$A$5:$A$16,0),1),abonos,SUMIFS('ABONOS MENSUALIDADES'!$F$5:$F$500,'ABONOS MENSUALIDADES'!$C$5:$C$500,A55,'ABONOS MENSUALIDADES'!$D$5:$D$500,mes),metodoDirecto,CHOOSE(MATCH($B$2,'ESTADO CONTAB"&amp;"LE'!$A$5:$A$16,0),IF(ISNUMBER(D55),""POR CLASIFICAR"",""""),IFNA(XLOOKUP(A55,PAGOS!$A$2:$A$996,PAGOS!$H$2:$H$996,""""),""""),IFNA(XLOOKUP(A55,PAGOS!$A$2:$A$996,PAGOS!$K$2:$K$996,""""),""""),IFNA(XLOOKUP(A55,PAGOS!$A$2:$A$996,PAGOS!$N$2:$N$996,""""),""""),"&amp;"IFNA(XLOOKUP(A55,PAGOS!$A$2:$A$996,PAGOS!$Q$2:$Q$996,""""),""""),IFNA(XLOOKUP(A55,PAGOS!$A$2:$A$996,PAGOS!$T$2:$T$996,""""),""""),IFNA(XLOOKUP(A55,PAGOS!$A$2:$A$996,PAGOS!$W$2:$W$996,""""),""""),IFNA(XLOOKUP(A55,PAGOS!$A$2:$A$996,PAGOS!$Z$2:$Z$996,""""),"&amp;"""""),IFNA(XLOOKUP(A55,PAGOS!$A$2:$A$996,PAGOS!$AC$2:$AC$996,""""),""""),IFNA(XLOOKUP(A55,PAGOS!$A$2:$A$996,PAGOS!$AF$2:$AF$996,""""),""""),IFNA(XLOOKUP(A55,PAGOS!$A$2:$A$996,PAGOS!$AI$2:$AI$996,""""),""""),IFNA(XLOOKUP(A55,PAGOS!$A$2:$A$996,PAGOS!$AL$2:$"&amp;"AL$996,""""),"""")),IF(abonos&gt;0,IFERROR(TEXTJOIN("" + "",TRUE,UNIQUE(FILTER('ABONOS MENSUALIDADES'!$E$5:$E$500,'ABONOS MENSUALIDADES'!$C$5:$C$500=A55,'ABONOS MENSUALIDADES'!$D$5:$D$500=mes))),""""),metodoDirecto)))"),"EFECTIVO")</f>
        <v>EFECTIVO</v>
      </c>
      <c r="F55" s="51" t="str">
        <f t="array" ref="F55">IF(A55="","",LET(mes,DATE($E$2,MATCH($B$2,'ESTADO CONTABLE'!$A$5:$A$16,0),1),cobrarDesde,IFERROR(INDEX('BASE DE DATOSS'!I:I,ROW()-13),""),pausada,SUMPRODUCT((UPPER(TRIM('PAUSAS MENSUALIDADES'!$A$5:$A$500))=UPPER(TRIM(A55)))*('PAUSAS MENSUALIDADES'!$B$5:$B$500=mes)*(UPPER(TRIM('PAUSAS MENSUALIDADES'!$D$5:$D$500))="APLICAR"))&gt;0,abonoActivo,SUMIFS('ABONOS MENSUALIDADES'!$F$5:$F$500,'ABONOS MENSUALIDADES'!$C$5:$C$500,A55,'ABONOS MENSUALIDADES'!$D$5:$D$500,mes,'ABONOS MENSUALIDADES'!$G$5:$G$500,"&lt;&gt;*CONSOLIDADO EN PAGOS*")&gt;0,esperadaBruta,MAX(IFNA(VLOOKUP(B55,COSTOS!$A$3:$B$13,2,FALSE),0)-150,0),IF(AND(cobrarDesde&lt;&gt;"",mes&lt;cobrarDesde),"AÚN NO INICIA",IF(pausada,"PAUSADA",IF(AND(abonoActivo,COUNTIFS('ABONOS MENSUALIDADES'!$C$5:$C$500,A55,'ABONOS MENSUALIDADES'!$D$5:$D$500,mes,'ABONOS MENSUALIDADES'!$G$5:$G$500,"*MENSUALIDAD LIQUIDADA*")=0),"ABONO",IF(N(D55)&gt;=esperadaBruta,"COBRADA",IF(N(D55)&gt;0,"ABONO","PENDIENTE")))))))</f>
        <v>COBRADA</v>
      </c>
      <c r="G55" s="79">
        <f t="array" ref="G55">IF(A55="","",IFERROR(INDEX('BASE DE DATOSS'!I:I,ROW()-13),""))</f>
        <v>46174</v>
      </c>
    </row>
    <row r="56">
      <c r="A56" s="51" t="str">
        <f t="array" ref="A56">IFERROR(INDEX('BASE DE DATOSS'!A:A,ROW()-13),"")</f>
        <v>KARLA ELIZABETH CERNAS GARCÍA</v>
      </c>
      <c r="B56" s="51" t="str">
        <f t="array" ref="B56">IF(A56="","",IFERROR(INDEX('BASE DE DATOSS'!C:C,ROW()-13),""))</f>
        <v>SABATINO</v>
      </c>
      <c r="C56" s="62">
        <f t="array" ref="C56">IF(A56="","",LET(mes,DATE($E$2,MATCH($B$2,'ESTADO CONTABLE'!$A$5:$A$16,0),1),cobrarDesde,IFERROR(INDEX('BASE DE DATOSS'!I:I,ROW()-13),""),pausada,SUMPRODUCT((UPPER(TRIM('PAUSAS MENSUALIDADES'!$A$5:$A$500))=UPPER(TRIM(A56)))*('PAUSAS MENSUALIDADES'!$B$5:$B$500=mes)*(UPPER(TRIM('PAUSAS MENSUALIDADES'!$D$5:$D$500))="APLICAR"))&gt;0,IF(OR(AND(cobrarDesde&lt;&gt;"",mes&lt;cobrarDesde),pausada),0,MAX(IFNA(VLOOKUP(B56,COSTOS!$A$3:$B$13,2,FALSE),0)-150,0)/1.16)))</f>
        <v>474.137931</v>
      </c>
      <c r="D56" s="62">
        <f t="array" ref="D56">IF(A56="","",LET(mes,DATE($E$2,MATCH($B$2,'ESTADO CONTABLE'!$A$5:$A$16,0),1),abonos,SUMIFS('ABONOS MENSUALIDADES'!$F$5:$F$500,'ABONOS MENSUALIDADES'!$C$5:$C$500,A56,'ABONOS MENSUALIDADES'!$D$5:$D$500,mes),pago,CHOOSE(MATCH($B$2,'ESTADO CONTABLE'!$A$5:$A$16,0),IFNA(_xlfn.XLOOKUP(A56,PAGOS!$A$2:$A$996,PAGOS!$E$2:$E$996,""),""),IFNA(_xlfn.XLOOKUP(A56,PAGOS!$A$2:$A$996,PAGOS!$G$2:$G$996,""),""),IFNA(_xlfn.XLOOKUP(A56,PAGOS!$A$2:$A$996,PAGOS!$J$2:$J$996,""),""),IFNA(_xlfn.XLOOKUP(A56,PAGOS!$A$2:$A$996,PAGOS!$M$2:$M$996,""),""),IFNA(_xlfn.XLOOKUP(A56,PAGOS!$A$2:$A$996,PAGOS!$P$2:$P$996,""),""),IFNA(_xlfn.XLOOKUP(A56,PAGOS!$A$2:$A$996,PAGOS!$S$2:$S$996,""),""),IFNA(_xlfn.XLOOKUP(A56,PAGOS!$A$2:$A$996,PAGOS!$V$2:$V$996,""),""),IFNA(_xlfn.XLOOKUP(A56,PAGOS!$A$2:$A$996,PAGOS!$Y$2:$Y$996,""),""),IFNA(_xlfn.XLOOKUP(A56,PAGOS!$A$2:$A$996,PAGOS!$AB$2:$AB$996,""),""),IFNA(_xlfn.XLOOKUP(A56,PAGOS!$A$2:$A$996,PAGOS!$AE$2:$AE$996,""),""),IFNA(_xlfn.XLOOKUP(A56,PAGOS!$A$2:$A$996,PAGOS!$AH$2:$AH$996,""),""),IFNA(_xlfn.XLOOKUP(A56,PAGOS!$A$2:$A$996,PAGOS!$AK$2:$AK$996,""),"")),IF(abonos&gt;0,abonos,pago)))</f>
        <v>550</v>
      </c>
      <c r="E56" s="51" t="str">
        <f>IFERROR(__xludf.DUMMYFUNCTION("IF(A56="""","""",LET(mes,DATE($E$2,MATCH($B$2,'ESTADO CONTABLE'!$A$5:$A$16,0),1),abonos,SUMIFS('ABONOS MENSUALIDADES'!$F$5:$F$500,'ABONOS MENSUALIDADES'!$C$5:$C$500,A56,'ABONOS MENSUALIDADES'!$D$5:$D$500,mes),metodoDirecto,CHOOSE(MATCH($B$2,'ESTADO CONTAB"&amp;"LE'!$A$5:$A$16,0),IF(ISNUMBER(D56),""POR CLASIFICAR"",""""),IFNA(XLOOKUP(A56,PAGOS!$A$2:$A$996,PAGOS!$H$2:$H$996,""""),""""),IFNA(XLOOKUP(A56,PAGOS!$A$2:$A$996,PAGOS!$K$2:$K$996,""""),""""),IFNA(XLOOKUP(A56,PAGOS!$A$2:$A$996,PAGOS!$N$2:$N$996,""""),""""),"&amp;"IFNA(XLOOKUP(A56,PAGOS!$A$2:$A$996,PAGOS!$Q$2:$Q$996,""""),""""),IFNA(XLOOKUP(A56,PAGOS!$A$2:$A$996,PAGOS!$T$2:$T$996,""""),""""),IFNA(XLOOKUP(A56,PAGOS!$A$2:$A$996,PAGOS!$W$2:$W$996,""""),""""),IFNA(XLOOKUP(A56,PAGOS!$A$2:$A$996,PAGOS!$Z$2:$Z$996,""""),"&amp;"""""),IFNA(XLOOKUP(A56,PAGOS!$A$2:$A$996,PAGOS!$AC$2:$AC$996,""""),""""),IFNA(XLOOKUP(A56,PAGOS!$A$2:$A$996,PAGOS!$AF$2:$AF$996,""""),""""),IFNA(XLOOKUP(A56,PAGOS!$A$2:$A$996,PAGOS!$AI$2:$AI$996,""""),""""),IFNA(XLOOKUP(A56,PAGOS!$A$2:$A$996,PAGOS!$AL$2:$"&amp;"AL$996,""""),"""")),IF(abonos&gt;0,IFERROR(TEXTJOIN("" + "",TRUE,UNIQUE(FILTER('ABONOS MENSUALIDADES'!$E$5:$E$500,'ABONOS MENSUALIDADES'!$C$5:$C$500=A56,'ABONOS MENSUALIDADES'!$D$5:$D$500=mes))),""""),metodoDirecto)))"),"TRANSFERENCIA")</f>
        <v>TRANSFERENCIA</v>
      </c>
      <c r="F56" s="51" t="str">
        <f t="array" ref="F56">IF(A56="","",LET(mes,DATE($E$2,MATCH($B$2,'ESTADO CONTABLE'!$A$5:$A$16,0),1),cobrarDesde,IFERROR(INDEX('BASE DE DATOSS'!I:I,ROW()-13),""),pausada,SUMPRODUCT((UPPER(TRIM('PAUSAS MENSUALIDADES'!$A$5:$A$500))=UPPER(TRIM(A56)))*('PAUSAS MENSUALIDADES'!$B$5:$B$500=mes)*(UPPER(TRIM('PAUSAS MENSUALIDADES'!$D$5:$D$500))="APLICAR"))&gt;0,abonoActivo,SUMIFS('ABONOS MENSUALIDADES'!$F$5:$F$500,'ABONOS MENSUALIDADES'!$C$5:$C$500,A56,'ABONOS MENSUALIDADES'!$D$5:$D$500,mes,'ABONOS MENSUALIDADES'!$G$5:$G$500,"&lt;&gt;*CONSOLIDADO EN PAGOS*")&gt;0,esperadaBruta,MAX(IFNA(VLOOKUP(B56,COSTOS!$A$3:$B$13,2,FALSE),0)-150,0),IF(AND(cobrarDesde&lt;&gt;"",mes&lt;cobrarDesde),"AÚN NO INICIA",IF(pausada,"PAUSADA",IF(AND(abonoActivo,COUNTIFS('ABONOS MENSUALIDADES'!$C$5:$C$500,A56,'ABONOS MENSUALIDADES'!$D$5:$D$500,mes,'ABONOS MENSUALIDADES'!$G$5:$G$500,"*MENSUALIDAD LIQUIDADA*")=0),"ABONO",IF(N(D56)&gt;=esperadaBruta,"COBRADA",IF(N(D56)&gt;0,"ABONO","PENDIENTE")))))))</f>
        <v>COBRADA</v>
      </c>
      <c r="G56" s="79">
        <f t="array" ref="G56">IF(A56="","",IFERROR(INDEX('BASE DE DATOSS'!I:I,ROW()-13),""))</f>
        <v>46204</v>
      </c>
    </row>
    <row r="57">
      <c r="A57" s="51" t="str">
        <f t="array" ref="A57">IFERROR(INDEX('BASE DE DATOSS'!A:A,ROW()-13),"")</f>
        <v>XIMENA SARAHI MONTES CRUZ</v>
      </c>
      <c r="B57" s="51" t="str">
        <f t="array" ref="B57">IF(A57="","",IFERROR(INDEX('BASE DE DATOSS'!C:C,ROW()-13),""))</f>
        <v>KIDS 2</v>
      </c>
      <c r="C57" s="62">
        <f t="array" ref="C57">IF(A57="","",LET(mes,DATE($E$2,MATCH($B$2,'ESTADO CONTABLE'!$A$5:$A$16,0),1),cobrarDesde,IFERROR(INDEX('BASE DE DATOSS'!I:I,ROW()-13),""),pausada,SUMPRODUCT((UPPER(TRIM('PAUSAS MENSUALIDADES'!$A$5:$A$500))=UPPER(TRIM(A57)))*('PAUSAS MENSUALIDADES'!$B$5:$B$500=mes)*(UPPER(TRIM('PAUSAS MENSUALIDADES'!$D$5:$D$500))="APLICAR"))&gt;0,IF(OR(AND(cobrarDesde&lt;&gt;"",mes&lt;cobrarDesde),pausada),0,MAX(IFNA(VLOOKUP(B57,COSTOS!$A$3:$B$13,2,FALSE),0)-150,0)/1.16)))</f>
        <v>689.6551724</v>
      </c>
      <c r="D57" s="62">
        <f t="array" ref="D57">IF(A57="","",LET(mes,DATE($E$2,MATCH($B$2,'ESTADO CONTABLE'!$A$5:$A$16,0),1),abonos,SUMIFS('ABONOS MENSUALIDADES'!$F$5:$F$500,'ABONOS MENSUALIDADES'!$C$5:$C$500,A57,'ABONOS MENSUALIDADES'!$D$5:$D$500,mes),pago,CHOOSE(MATCH($B$2,'ESTADO CONTABLE'!$A$5:$A$16,0),IFNA(_xlfn.XLOOKUP(A57,PAGOS!$A$2:$A$996,PAGOS!$E$2:$E$996,""),""),IFNA(_xlfn.XLOOKUP(A57,PAGOS!$A$2:$A$996,PAGOS!$G$2:$G$996,""),""),IFNA(_xlfn.XLOOKUP(A57,PAGOS!$A$2:$A$996,PAGOS!$J$2:$J$996,""),""),IFNA(_xlfn.XLOOKUP(A57,PAGOS!$A$2:$A$996,PAGOS!$M$2:$M$996,""),""),IFNA(_xlfn.XLOOKUP(A57,PAGOS!$A$2:$A$996,PAGOS!$P$2:$P$996,""),""),IFNA(_xlfn.XLOOKUP(A57,PAGOS!$A$2:$A$996,PAGOS!$S$2:$S$996,""),""),IFNA(_xlfn.XLOOKUP(A57,PAGOS!$A$2:$A$996,PAGOS!$V$2:$V$996,""),""),IFNA(_xlfn.XLOOKUP(A57,PAGOS!$A$2:$A$996,PAGOS!$Y$2:$Y$996,""),""),IFNA(_xlfn.XLOOKUP(A57,PAGOS!$A$2:$A$996,PAGOS!$AB$2:$AB$996,""),""),IFNA(_xlfn.XLOOKUP(A57,PAGOS!$A$2:$A$996,PAGOS!$AE$2:$AE$996,""),""),IFNA(_xlfn.XLOOKUP(A57,PAGOS!$A$2:$A$996,PAGOS!$AH$2:$AH$996,""),""),IFNA(_xlfn.XLOOKUP(A57,PAGOS!$A$2:$A$996,PAGOS!$AK$2:$AK$996,""),"")),IF(abonos&gt;0,abonos,pago)))</f>
        <v>800</v>
      </c>
      <c r="E57" s="51" t="str">
        <f>IFERROR(__xludf.DUMMYFUNCTION("IF(A57="""","""",LET(mes,DATE($E$2,MATCH($B$2,'ESTADO CONTABLE'!$A$5:$A$16,0),1),abonos,SUMIFS('ABONOS MENSUALIDADES'!$F$5:$F$500,'ABONOS MENSUALIDADES'!$C$5:$C$500,A57,'ABONOS MENSUALIDADES'!$D$5:$D$500,mes),metodoDirecto,CHOOSE(MATCH($B$2,'ESTADO CONTAB"&amp;"LE'!$A$5:$A$16,0),IF(ISNUMBER(D57),""POR CLASIFICAR"",""""),IFNA(XLOOKUP(A57,PAGOS!$A$2:$A$996,PAGOS!$H$2:$H$996,""""),""""),IFNA(XLOOKUP(A57,PAGOS!$A$2:$A$996,PAGOS!$K$2:$K$996,""""),""""),IFNA(XLOOKUP(A57,PAGOS!$A$2:$A$996,PAGOS!$N$2:$N$996,""""),""""),"&amp;"IFNA(XLOOKUP(A57,PAGOS!$A$2:$A$996,PAGOS!$Q$2:$Q$996,""""),""""),IFNA(XLOOKUP(A57,PAGOS!$A$2:$A$996,PAGOS!$T$2:$T$996,""""),""""),IFNA(XLOOKUP(A57,PAGOS!$A$2:$A$996,PAGOS!$W$2:$W$996,""""),""""),IFNA(XLOOKUP(A57,PAGOS!$A$2:$A$996,PAGOS!$Z$2:$Z$996,""""),"&amp;"""""),IFNA(XLOOKUP(A57,PAGOS!$A$2:$A$996,PAGOS!$AC$2:$AC$996,""""),""""),IFNA(XLOOKUP(A57,PAGOS!$A$2:$A$996,PAGOS!$AF$2:$AF$996,""""),""""),IFNA(XLOOKUP(A57,PAGOS!$A$2:$A$996,PAGOS!$AI$2:$AI$996,""""),""""),IFNA(XLOOKUP(A57,PAGOS!$A$2:$A$996,PAGOS!$AL$2:$"&amp;"AL$996,""""),"""")),IF(abonos&gt;0,IFERROR(TEXTJOIN("" + "",TRUE,UNIQUE(FILTER('ABONOS MENSUALIDADES'!$E$5:$E$500,'ABONOS MENSUALIDADES'!$C$5:$C$500=A57,'ABONOS MENSUALIDADES'!$D$5:$D$500=mes))),""""),metodoDirecto)))"),"TRANSFERENCIA")</f>
        <v>TRANSFERENCIA</v>
      </c>
      <c r="F57" s="51" t="str">
        <f t="array" ref="F57">IF(A57="","",LET(mes,DATE($E$2,MATCH($B$2,'ESTADO CONTABLE'!$A$5:$A$16,0),1),cobrarDesde,IFERROR(INDEX('BASE DE DATOSS'!I:I,ROW()-13),""),pausada,SUMPRODUCT((UPPER(TRIM('PAUSAS MENSUALIDADES'!$A$5:$A$500))=UPPER(TRIM(A57)))*('PAUSAS MENSUALIDADES'!$B$5:$B$500=mes)*(UPPER(TRIM('PAUSAS MENSUALIDADES'!$D$5:$D$500))="APLICAR"))&gt;0,abonoActivo,SUMIFS('ABONOS MENSUALIDADES'!$F$5:$F$500,'ABONOS MENSUALIDADES'!$C$5:$C$500,A57,'ABONOS MENSUALIDADES'!$D$5:$D$500,mes,'ABONOS MENSUALIDADES'!$G$5:$G$500,"&lt;&gt;*CONSOLIDADO EN PAGOS*")&gt;0,esperadaBruta,MAX(IFNA(VLOOKUP(B57,COSTOS!$A$3:$B$13,2,FALSE),0)-150,0),IF(AND(cobrarDesde&lt;&gt;"",mes&lt;cobrarDesde),"AÚN NO INICIA",IF(pausada,"PAUSADA",IF(AND(abonoActivo,COUNTIFS('ABONOS MENSUALIDADES'!$C$5:$C$500,A57,'ABONOS MENSUALIDADES'!$D$5:$D$500,mes,'ABONOS MENSUALIDADES'!$G$5:$G$500,"*MENSUALIDAD LIQUIDADA*")=0),"ABONO",IF(N(D57)&gt;=esperadaBruta,"COBRADA",IF(N(D57)&gt;0,"ABONO","PENDIENTE")))))))</f>
        <v>COBRADA</v>
      </c>
      <c r="G57" s="79">
        <f t="array" ref="G57">IF(A57="","",IFERROR(INDEX('BASE DE DATOSS'!I:I,ROW()-13),""))</f>
        <v>46204</v>
      </c>
    </row>
    <row r="58">
      <c r="A58" s="51" t="str">
        <f t="array" ref="A58">IFERROR(INDEX('BASE DE DATOSS'!A:A,ROW()-13),"")</f>
        <v>CAROLINA MAGANA REBOLLEDO</v>
      </c>
      <c r="B58" s="51" t="str">
        <f t="array" ref="B58">IF(A58="","",IFERROR(INDEX('BASE DE DATOSS'!C:C,ROW()-13),""))</f>
        <v>SABATINO</v>
      </c>
      <c r="C58" s="62">
        <f t="array" ref="C58">IF(A58="","",LET(mes,DATE($E$2,MATCH($B$2,'ESTADO CONTABLE'!$A$5:$A$16,0),1),cobrarDesde,IFERROR(INDEX('BASE DE DATOSS'!I:I,ROW()-13),""),pausada,SUMPRODUCT((UPPER(TRIM('PAUSAS MENSUALIDADES'!$A$5:$A$500))=UPPER(TRIM(A58)))*('PAUSAS MENSUALIDADES'!$B$5:$B$500=mes)*(UPPER(TRIM('PAUSAS MENSUALIDADES'!$D$5:$D$500))="APLICAR"))&gt;0,IF(OR(AND(cobrarDesde&lt;&gt;"",mes&lt;cobrarDesde),pausada),0,MAX(IFNA(VLOOKUP(B58,COSTOS!$A$3:$B$13,2,FALSE),0)-150,0)/1.16)))</f>
        <v>474.137931</v>
      </c>
      <c r="D58" s="62">
        <f t="array" ref="D58">IF(A58="","",LET(mes,DATE($E$2,MATCH($B$2,'ESTADO CONTABLE'!$A$5:$A$16,0),1),abonos,SUMIFS('ABONOS MENSUALIDADES'!$F$5:$F$500,'ABONOS MENSUALIDADES'!$C$5:$C$500,A58,'ABONOS MENSUALIDADES'!$D$5:$D$500,mes),pago,CHOOSE(MATCH($B$2,'ESTADO CONTABLE'!$A$5:$A$16,0),IFNA(_xlfn.XLOOKUP(A58,PAGOS!$A$2:$A$996,PAGOS!$E$2:$E$996,""),""),IFNA(_xlfn.XLOOKUP(A58,PAGOS!$A$2:$A$996,PAGOS!$G$2:$G$996,""),""),IFNA(_xlfn.XLOOKUP(A58,PAGOS!$A$2:$A$996,PAGOS!$J$2:$J$996,""),""),IFNA(_xlfn.XLOOKUP(A58,PAGOS!$A$2:$A$996,PAGOS!$M$2:$M$996,""),""),IFNA(_xlfn.XLOOKUP(A58,PAGOS!$A$2:$A$996,PAGOS!$P$2:$P$996,""),""),IFNA(_xlfn.XLOOKUP(A58,PAGOS!$A$2:$A$996,PAGOS!$S$2:$S$996,""),""),IFNA(_xlfn.XLOOKUP(A58,PAGOS!$A$2:$A$996,PAGOS!$V$2:$V$996,""),""),IFNA(_xlfn.XLOOKUP(A58,PAGOS!$A$2:$A$996,PAGOS!$Y$2:$Y$996,""),""),IFNA(_xlfn.XLOOKUP(A58,PAGOS!$A$2:$A$996,PAGOS!$AB$2:$AB$996,""),""),IFNA(_xlfn.XLOOKUP(A58,PAGOS!$A$2:$A$996,PAGOS!$AE$2:$AE$996,""),""),IFNA(_xlfn.XLOOKUP(A58,PAGOS!$A$2:$A$996,PAGOS!$AH$2:$AH$996,""),""),IFNA(_xlfn.XLOOKUP(A58,PAGOS!$A$2:$A$996,PAGOS!$AK$2:$AK$996,""),"")),IF(abonos&gt;0,abonos,pago)))</f>
        <v>550</v>
      </c>
      <c r="E58" s="51" t="str">
        <f>IFERROR(__xludf.DUMMYFUNCTION("IF(A58="""","""",LET(mes,DATE($E$2,MATCH($B$2,'ESTADO CONTABLE'!$A$5:$A$16,0),1),abonos,SUMIFS('ABONOS MENSUALIDADES'!$F$5:$F$500,'ABONOS MENSUALIDADES'!$C$5:$C$500,A58,'ABONOS MENSUALIDADES'!$D$5:$D$500,mes),metodoDirecto,CHOOSE(MATCH($B$2,'ESTADO CONTAB"&amp;"LE'!$A$5:$A$16,0),IF(ISNUMBER(D58),""POR CLASIFICAR"",""""),IFNA(XLOOKUP(A58,PAGOS!$A$2:$A$996,PAGOS!$H$2:$H$996,""""),""""),IFNA(XLOOKUP(A58,PAGOS!$A$2:$A$996,PAGOS!$K$2:$K$996,""""),""""),IFNA(XLOOKUP(A58,PAGOS!$A$2:$A$996,PAGOS!$N$2:$N$996,""""),""""),"&amp;"IFNA(XLOOKUP(A58,PAGOS!$A$2:$A$996,PAGOS!$Q$2:$Q$996,""""),""""),IFNA(XLOOKUP(A58,PAGOS!$A$2:$A$996,PAGOS!$T$2:$T$996,""""),""""),IFNA(XLOOKUP(A58,PAGOS!$A$2:$A$996,PAGOS!$W$2:$W$996,""""),""""),IFNA(XLOOKUP(A58,PAGOS!$A$2:$A$996,PAGOS!$Z$2:$Z$996,""""),"&amp;"""""),IFNA(XLOOKUP(A58,PAGOS!$A$2:$A$996,PAGOS!$AC$2:$AC$996,""""),""""),IFNA(XLOOKUP(A58,PAGOS!$A$2:$A$996,PAGOS!$AF$2:$AF$996,""""),""""),IFNA(XLOOKUP(A58,PAGOS!$A$2:$A$996,PAGOS!$AI$2:$AI$996,""""),""""),IFNA(XLOOKUP(A58,PAGOS!$A$2:$A$996,PAGOS!$AL$2:$"&amp;"AL$996,""""),"""")),IF(abonos&gt;0,IFERROR(TEXTJOIN("" + "",TRUE,UNIQUE(FILTER('ABONOS MENSUALIDADES'!$E$5:$E$500,'ABONOS MENSUALIDADES'!$C$5:$C$500=A58,'ABONOS MENSUALIDADES'!$D$5:$D$500=mes))),""""),metodoDirecto)))"),"EFECTIVO")</f>
        <v>EFECTIVO</v>
      </c>
      <c r="F58" s="51" t="str">
        <f t="array" ref="F58">IF(A58="","",LET(mes,DATE($E$2,MATCH($B$2,'ESTADO CONTABLE'!$A$5:$A$16,0),1),cobrarDesde,IFERROR(INDEX('BASE DE DATOSS'!I:I,ROW()-13),""),pausada,SUMPRODUCT((UPPER(TRIM('PAUSAS MENSUALIDADES'!$A$5:$A$500))=UPPER(TRIM(A58)))*('PAUSAS MENSUALIDADES'!$B$5:$B$500=mes)*(UPPER(TRIM('PAUSAS MENSUALIDADES'!$D$5:$D$500))="APLICAR"))&gt;0,abonoActivo,SUMIFS('ABONOS MENSUALIDADES'!$F$5:$F$500,'ABONOS MENSUALIDADES'!$C$5:$C$500,A58,'ABONOS MENSUALIDADES'!$D$5:$D$500,mes,'ABONOS MENSUALIDADES'!$G$5:$G$500,"&lt;&gt;*CONSOLIDADO EN PAGOS*")&gt;0,esperadaBruta,MAX(IFNA(VLOOKUP(B58,COSTOS!$A$3:$B$13,2,FALSE),0)-150,0),IF(AND(cobrarDesde&lt;&gt;"",mes&lt;cobrarDesde),"AÚN NO INICIA",IF(pausada,"PAUSADA",IF(AND(abonoActivo,COUNTIFS('ABONOS MENSUALIDADES'!$C$5:$C$500,A58,'ABONOS MENSUALIDADES'!$D$5:$D$500,mes,'ABONOS MENSUALIDADES'!$G$5:$G$500,"*MENSUALIDAD LIQUIDADA*")=0),"ABONO",IF(N(D58)&gt;=esperadaBruta,"COBRADA",IF(N(D58)&gt;0,"ABONO","PENDIENTE")))))))</f>
        <v>COBRADA</v>
      </c>
      <c r="G58" s="79">
        <f t="array" ref="G58">IF(A58="","",IFERROR(INDEX('BASE DE DATOSS'!I:I,ROW()-13),""))</f>
        <v>46235</v>
      </c>
    </row>
    <row r="59">
      <c r="A59" s="51" t="str">
        <f t="array" ref="A59">IFERROR(INDEX('BASE DE DATOSS'!A:A,ROW()-13),"")</f>
        <v>LUCIANA ANGEL MACIAS</v>
      </c>
      <c r="B59" s="51" t="str">
        <f t="array" ref="B59">IF(A59="","",IFERROR(INDEX('BASE DE DATOSS'!C:C,ROW()-13),""))</f>
        <v>KIDS 1</v>
      </c>
      <c r="C59" s="62">
        <f t="array" ref="C59">IF(A59="","",LET(mes,DATE($E$2,MATCH($B$2,'ESTADO CONTABLE'!$A$5:$A$16,0),1),cobrarDesde,IFERROR(INDEX('BASE DE DATOSS'!I:I,ROW()-13),""),pausada,SUMPRODUCT((UPPER(TRIM('PAUSAS MENSUALIDADES'!$A$5:$A$500))=UPPER(TRIM(A59)))*('PAUSAS MENSUALIDADES'!$B$5:$B$500=mes)*(UPPER(TRIM('PAUSAS MENSUALIDADES'!$D$5:$D$500))="APLICAR"))&gt;0,IF(OR(AND(cobrarDesde&lt;&gt;"",mes&lt;cobrarDesde),pausada),0,MAX(IFNA(VLOOKUP(B59,COSTOS!$A$3:$B$13,2,FALSE),0)-150,0)/1.16)))</f>
        <v>818.9655172</v>
      </c>
      <c r="D59" s="62">
        <f t="array" ref="D59">IF(A59="","",LET(mes,DATE($E$2,MATCH($B$2,'ESTADO CONTABLE'!$A$5:$A$16,0),1),abonos,SUMIFS('ABONOS MENSUALIDADES'!$F$5:$F$500,'ABONOS MENSUALIDADES'!$C$5:$C$500,A59,'ABONOS MENSUALIDADES'!$D$5:$D$500,mes),pago,CHOOSE(MATCH($B$2,'ESTADO CONTABLE'!$A$5:$A$16,0),IFNA(_xlfn.XLOOKUP(A59,PAGOS!$A$2:$A$996,PAGOS!$E$2:$E$996,""),""),IFNA(_xlfn.XLOOKUP(A59,PAGOS!$A$2:$A$996,PAGOS!$G$2:$G$996,""),""),IFNA(_xlfn.XLOOKUP(A59,PAGOS!$A$2:$A$996,PAGOS!$J$2:$J$996,""),""),IFNA(_xlfn.XLOOKUP(A59,PAGOS!$A$2:$A$996,PAGOS!$M$2:$M$996,""),""),IFNA(_xlfn.XLOOKUP(A59,PAGOS!$A$2:$A$996,PAGOS!$P$2:$P$996,""),""),IFNA(_xlfn.XLOOKUP(A59,PAGOS!$A$2:$A$996,PAGOS!$S$2:$S$996,""),""),IFNA(_xlfn.XLOOKUP(A59,PAGOS!$A$2:$A$996,PAGOS!$V$2:$V$996,""),""),IFNA(_xlfn.XLOOKUP(A59,PAGOS!$A$2:$A$996,PAGOS!$Y$2:$Y$996,""),""),IFNA(_xlfn.XLOOKUP(A59,PAGOS!$A$2:$A$996,PAGOS!$AB$2:$AB$996,""),""),IFNA(_xlfn.XLOOKUP(A59,PAGOS!$A$2:$A$996,PAGOS!$AE$2:$AE$996,""),""),IFNA(_xlfn.XLOOKUP(A59,PAGOS!$A$2:$A$996,PAGOS!$AH$2:$AH$996,""),""),IFNA(_xlfn.XLOOKUP(A59,PAGOS!$A$2:$A$996,PAGOS!$AK$2:$AK$996,""),"")),IF(abonos&gt;0,abonos,pago)))</f>
        <v>1100</v>
      </c>
      <c r="E59" s="51" t="str">
        <f>IFERROR(__xludf.DUMMYFUNCTION("IF(A59="""","""",LET(mes,DATE($E$2,MATCH($B$2,'ESTADO CONTABLE'!$A$5:$A$16,0),1),abonos,SUMIFS('ABONOS MENSUALIDADES'!$F$5:$F$500,'ABONOS MENSUALIDADES'!$C$5:$C$500,A59,'ABONOS MENSUALIDADES'!$D$5:$D$500,mes),metodoDirecto,CHOOSE(MATCH($B$2,'ESTADO CONTAB"&amp;"LE'!$A$5:$A$16,0),IF(ISNUMBER(D59),""POR CLASIFICAR"",""""),IFNA(XLOOKUP(A59,PAGOS!$A$2:$A$996,PAGOS!$H$2:$H$996,""""),""""),IFNA(XLOOKUP(A59,PAGOS!$A$2:$A$996,PAGOS!$K$2:$K$996,""""),""""),IFNA(XLOOKUP(A59,PAGOS!$A$2:$A$996,PAGOS!$N$2:$N$996,""""),""""),"&amp;"IFNA(XLOOKUP(A59,PAGOS!$A$2:$A$996,PAGOS!$Q$2:$Q$996,""""),""""),IFNA(XLOOKUP(A59,PAGOS!$A$2:$A$996,PAGOS!$T$2:$T$996,""""),""""),IFNA(XLOOKUP(A59,PAGOS!$A$2:$A$996,PAGOS!$W$2:$W$996,""""),""""),IFNA(XLOOKUP(A59,PAGOS!$A$2:$A$996,PAGOS!$Z$2:$Z$996,""""),"&amp;"""""),IFNA(XLOOKUP(A59,PAGOS!$A$2:$A$996,PAGOS!$AC$2:$AC$996,""""),""""),IFNA(XLOOKUP(A59,PAGOS!$A$2:$A$996,PAGOS!$AF$2:$AF$996,""""),""""),IFNA(XLOOKUP(A59,PAGOS!$A$2:$A$996,PAGOS!$AI$2:$AI$996,""""),""""),IFNA(XLOOKUP(A59,PAGOS!$A$2:$A$996,PAGOS!$AL$2:$"&amp;"AL$996,""""),"""")),IF(abonos&gt;0,IFERROR(TEXTJOIN("" + "",TRUE,UNIQUE(FILTER('ABONOS MENSUALIDADES'!$E$5:$E$500,'ABONOS MENSUALIDADES'!$C$5:$C$500=A59,'ABONOS MENSUALIDADES'!$D$5:$D$500=mes))),""""),metodoDirecto)))"),"EFECTIVO")</f>
        <v>EFECTIVO</v>
      </c>
      <c r="F59" s="51" t="str">
        <f t="array" ref="F59">IF(A59="","",LET(mes,DATE($E$2,MATCH($B$2,'ESTADO CONTABLE'!$A$5:$A$16,0),1),cobrarDesde,IFERROR(INDEX('BASE DE DATOSS'!I:I,ROW()-13),""),pausada,SUMPRODUCT((UPPER(TRIM('PAUSAS MENSUALIDADES'!$A$5:$A$500))=UPPER(TRIM(A59)))*('PAUSAS MENSUALIDADES'!$B$5:$B$500=mes)*(UPPER(TRIM('PAUSAS MENSUALIDADES'!$D$5:$D$500))="APLICAR"))&gt;0,abonoActivo,SUMIFS('ABONOS MENSUALIDADES'!$F$5:$F$500,'ABONOS MENSUALIDADES'!$C$5:$C$500,A59,'ABONOS MENSUALIDADES'!$D$5:$D$500,mes,'ABONOS MENSUALIDADES'!$G$5:$G$500,"&lt;&gt;*CONSOLIDADO EN PAGOS*")&gt;0,esperadaBruta,MAX(IFNA(VLOOKUP(B59,COSTOS!$A$3:$B$13,2,FALSE),0)-150,0),IF(AND(cobrarDesde&lt;&gt;"",mes&lt;cobrarDesde),"AÚN NO INICIA",IF(pausada,"PAUSADA",IF(AND(abonoActivo,COUNTIFS('ABONOS MENSUALIDADES'!$C$5:$C$500,A59,'ABONOS MENSUALIDADES'!$D$5:$D$500,mes,'ABONOS MENSUALIDADES'!$G$5:$G$500,"*MENSUALIDAD LIQUIDADA*")=0),"ABONO",IF(N(D59)&gt;=esperadaBruta,"COBRADA",IF(N(D59)&gt;0,"ABONO","PENDIENTE")))))))</f>
        <v>COBRADA</v>
      </c>
      <c r="G59" s="79">
        <f t="array" ref="G59">IF(A59="","",IFERROR(INDEX('BASE DE DATOSS'!I:I,ROW()-13),""))</f>
        <v>46235</v>
      </c>
    </row>
    <row r="60">
      <c r="A60" s="51" t="str">
        <f t="array" ref="A60">IFERROR(INDEX('BASE DE DATOSS'!A:A,ROW()-13),"")</f>
        <v>AITANA PADILLA VARGAS</v>
      </c>
      <c r="B60" s="51" t="str">
        <f t="array" ref="B60">IF(A60="","",IFERROR(INDEX('BASE DE DATOSS'!C:C,ROW()-13),""))</f>
        <v>JR 1</v>
      </c>
      <c r="C60" s="62">
        <f t="array" ref="C60">IF(A60="","",LET(mes,DATE($E$2,MATCH($B$2,'ESTADO CONTABLE'!$A$5:$A$16,0),1),cobrarDesde,IFERROR(INDEX('BASE DE DATOSS'!I:I,ROW()-13),""),pausada,SUMPRODUCT((UPPER(TRIM('PAUSAS MENSUALIDADES'!$A$5:$A$500))=UPPER(TRIM(A60)))*('PAUSAS MENSUALIDADES'!$B$5:$B$500=mes)*(UPPER(TRIM('PAUSAS MENSUALIDADES'!$D$5:$D$500))="APLICAR"))&gt;0,IF(OR(AND(cobrarDesde&lt;&gt;"",mes&lt;cobrarDesde),pausada),0,MAX(IFNA(VLOOKUP(B60,COSTOS!$A$3:$B$13,2,FALSE),0)-150,0)/1.16)))</f>
        <v>818.9655172</v>
      </c>
      <c r="D60" s="62">
        <f t="array" ref="D60">IF(A60="","",LET(mes,DATE($E$2,MATCH($B$2,'ESTADO CONTABLE'!$A$5:$A$16,0),1),abonos,SUMIFS('ABONOS MENSUALIDADES'!$F$5:$F$500,'ABONOS MENSUALIDADES'!$C$5:$C$500,A60,'ABONOS MENSUALIDADES'!$D$5:$D$500,mes),pago,CHOOSE(MATCH($B$2,'ESTADO CONTABLE'!$A$5:$A$16,0),IFNA(_xlfn.XLOOKUP(A60,PAGOS!$A$2:$A$996,PAGOS!$E$2:$E$996,""),""),IFNA(_xlfn.XLOOKUP(A60,PAGOS!$A$2:$A$996,PAGOS!$G$2:$G$996,""),""),IFNA(_xlfn.XLOOKUP(A60,PAGOS!$A$2:$A$996,PAGOS!$J$2:$J$996,""),""),IFNA(_xlfn.XLOOKUP(A60,PAGOS!$A$2:$A$996,PAGOS!$M$2:$M$996,""),""),IFNA(_xlfn.XLOOKUP(A60,PAGOS!$A$2:$A$996,PAGOS!$P$2:$P$996,""),""),IFNA(_xlfn.XLOOKUP(A60,PAGOS!$A$2:$A$996,PAGOS!$S$2:$S$996,""),""),IFNA(_xlfn.XLOOKUP(A60,PAGOS!$A$2:$A$996,PAGOS!$V$2:$V$996,""),""),IFNA(_xlfn.XLOOKUP(A60,PAGOS!$A$2:$A$996,PAGOS!$Y$2:$Y$996,""),""),IFNA(_xlfn.XLOOKUP(A60,PAGOS!$A$2:$A$996,PAGOS!$AB$2:$AB$996,""),""),IFNA(_xlfn.XLOOKUP(A60,PAGOS!$A$2:$A$996,PAGOS!$AE$2:$AE$996,""),""),IFNA(_xlfn.XLOOKUP(A60,PAGOS!$A$2:$A$996,PAGOS!$AH$2:$AH$996,""),""),IFNA(_xlfn.XLOOKUP(A60,PAGOS!$A$2:$A$996,PAGOS!$AK$2:$AK$996,""),"")),IF(abonos&gt;0,abonos,pago)))</f>
        <v>950</v>
      </c>
      <c r="E60" s="51" t="str">
        <f>IFERROR(__xludf.DUMMYFUNCTION("IF(A60="""","""",LET(mes,DATE($E$2,MATCH($B$2,'ESTADO CONTABLE'!$A$5:$A$16,0),1),abonos,SUMIFS('ABONOS MENSUALIDADES'!$F$5:$F$500,'ABONOS MENSUALIDADES'!$C$5:$C$500,A60,'ABONOS MENSUALIDADES'!$D$5:$D$500,mes),metodoDirecto,CHOOSE(MATCH($B$2,'ESTADO CONTAB"&amp;"LE'!$A$5:$A$16,0),IF(ISNUMBER(D60),""POR CLASIFICAR"",""""),IFNA(XLOOKUP(A60,PAGOS!$A$2:$A$996,PAGOS!$H$2:$H$996,""""),""""),IFNA(XLOOKUP(A60,PAGOS!$A$2:$A$996,PAGOS!$K$2:$K$996,""""),""""),IFNA(XLOOKUP(A60,PAGOS!$A$2:$A$996,PAGOS!$N$2:$N$996,""""),""""),"&amp;"IFNA(XLOOKUP(A60,PAGOS!$A$2:$A$996,PAGOS!$Q$2:$Q$996,""""),""""),IFNA(XLOOKUP(A60,PAGOS!$A$2:$A$996,PAGOS!$T$2:$T$996,""""),""""),IFNA(XLOOKUP(A60,PAGOS!$A$2:$A$996,PAGOS!$W$2:$W$996,""""),""""),IFNA(XLOOKUP(A60,PAGOS!$A$2:$A$996,PAGOS!$Z$2:$Z$996,""""),"&amp;"""""),IFNA(XLOOKUP(A60,PAGOS!$A$2:$A$996,PAGOS!$AC$2:$AC$996,""""),""""),IFNA(XLOOKUP(A60,PAGOS!$A$2:$A$996,PAGOS!$AF$2:$AF$996,""""),""""),IFNA(XLOOKUP(A60,PAGOS!$A$2:$A$996,PAGOS!$AI$2:$AI$996,""""),""""),IFNA(XLOOKUP(A60,PAGOS!$A$2:$A$996,PAGOS!$AL$2:$"&amp;"AL$996,""""),"""")),IF(abonos&gt;0,IFERROR(TEXTJOIN("" + "",TRUE,UNIQUE(FILTER('ABONOS MENSUALIDADES'!$E$5:$E$500,'ABONOS MENSUALIDADES'!$C$5:$C$500=A60,'ABONOS MENSUALIDADES'!$D$5:$D$500=mes))),""""),metodoDirecto)))"),"TRANSFERENCIA")</f>
        <v>TRANSFERENCIA</v>
      </c>
      <c r="F60" s="51" t="str">
        <f t="array" ref="F60">IF(A60="","",LET(mes,DATE($E$2,MATCH($B$2,'ESTADO CONTABLE'!$A$5:$A$16,0),1),cobrarDesde,IFERROR(INDEX('BASE DE DATOSS'!I:I,ROW()-13),""),pausada,SUMPRODUCT((UPPER(TRIM('PAUSAS MENSUALIDADES'!$A$5:$A$500))=UPPER(TRIM(A60)))*('PAUSAS MENSUALIDADES'!$B$5:$B$500=mes)*(UPPER(TRIM('PAUSAS MENSUALIDADES'!$D$5:$D$500))="APLICAR"))&gt;0,abonoActivo,SUMIFS('ABONOS MENSUALIDADES'!$F$5:$F$500,'ABONOS MENSUALIDADES'!$C$5:$C$500,A60,'ABONOS MENSUALIDADES'!$D$5:$D$500,mes,'ABONOS MENSUALIDADES'!$G$5:$G$500,"&lt;&gt;*CONSOLIDADO EN PAGOS*")&gt;0,esperadaBruta,MAX(IFNA(VLOOKUP(B60,COSTOS!$A$3:$B$13,2,FALSE),0)-150,0),IF(AND(cobrarDesde&lt;&gt;"",mes&lt;cobrarDesde),"AÚN NO INICIA",IF(pausada,"PAUSADA",IF(AND(abonoActivo,COUNTIFS('ABONOS MENSUALIDADES'!$C$5:$C$500,A60,'ABONOS MENSUALIDADES'!$D$5:$D$500,mes,'ABONOS MENSUALIDADES'!$G$5:$G$500,"*MENSUALIDAD LIQUIDADA*")=0),"ABONO",IF(N(D60)&gt;=esperadaBruta,"COBRADA",IF(N(D60)&gt;0,"ABONO","PENDIENTE")))))))</f>
        <v>COBRADA</v>
      </c>
      <c r="G60" s="79">
        <f t="array" ref="G60">IF(A60="","",IFERROR(INDEX('BASE DE DATOSS'!I:I,ROW()-13),""))</f>
        <v>46235</v>
      </c>
    </row>
    <row r="61">
      <c r="A61" s="51" t="str">
        <f t="array" ref="A61">IFERROR(INDEX('BASE DE DATOSS'!A:A,ROW()-13),"")</f>
        <v>Sophie Dannae Estrada Solorzano </v>
      </c>
      <c r="B61" s="51" t="str">
        <f t="array" ref="B61">IF(A61="","",IFERROR(INDEX('BASE DE DATOSS'!C:C,ROW()-13),""))</f>
        <v>JR 1</v>
      </c>
      <c r="C61" s="62">
        <f t="array" ref="C61">IF(A61="","",LET(mes,DATE($E$2,MATCH($B$2,'ESTADO CONTABLE'!$A$5:$A$16,0),1),cobrarDesde,IFERROR(INDEX('BASE DE DATOSS'!I:I,ROW()-13),""),pausada,SUMPRODUCT((UPPER(TRIM('PAUSAS MENSUALIDADES'!$A$5:$A$500))=UPPER(TRIM(A61)))*('PAUSAS MENSUALIDADES'!$B$5:$B$500=mes)*(UPPER(TRIM('PAUSAS MENSUALIDADES'!$D$5:$D$500))="APLICAR"))&gt;0,IF(OR(AND(cobrarDesde&lt;&gt;"",mes&lt;cobrarDesde),pausada),0,MAX(IFNA(VLOOKUP(B61,COSTOS!$A$3:$B$13,2,FALSE),0)-150,0)/1.16)))</f>
        <v>818.9655172</v>
      </c>
      <c r="D61" s="62">
        <f t="array" ref="D61">IF(A61="","",LET(mes,DATE($E$2,MATCH($B$2,'ESTADO CONTABLE'!$A$5:$A$16,0),1),abonos,SUMIFS('ABONOS MENSUALIDADES'!$F$5:$F$500,'ABONOS MENSUALIDADES'!$C$5:$C$500,A61,'ABONOS MENSUALIDADES'!$D$5:$D$500,mes),pago,CHOOSE(MATCH($B$2,'ESTADO CONTABLE'!$A$5:$A$16,0),IFNA(_xlfn.XLOOKUP(A61,PAGOS!$A$2:$A$996,PAGOS!$E$2:$E$996,""),""),IFNA(_xlfn.XLOOKUP(A61,PAGOS!$A$2:$A$996,PAGOS!$G$2:$G$996,""),""),IFNA(_xlfn.XLOOKUP(A61,PAGOS!$A$2:$A$996,PAGOS!$J$2:$J$996,""),""),IFNA(_xlfn.XLOOKUP(A61,PAGOS!$A$2:$A$996,PAGOS!$M$2:$M$996,""),""),IFNA(_xlfn.XLOOKUP(A61,PAGOS!$A$2:$A$996,PAGOS!$P$2:$P$996,""),""),IFNA(_xlfn.XLOOKUP(A61,PAGOS!$A$2:$A$996,PAGOS!$S$2:$S$996,""),""),IFNA(_xlfn.XLOOKUP(A61,PAGOS!$A$2:$A$996,PAGOS!$V$2:$V$996,""),""),IFNA(_xlfn.XLOOKUP(A61,PAGOS!$A$2:$A$996,PAGOS!$Y$2:$Y$996,""),""),IFNA(_xlfn.XLOOKUP(A61,PAGOS!$A$2:$A$996,PAGOS!$AB$2:$AB$996,""),""),IFNA(_xlfn.XLOOKUP(A61,PAGOS!$A$2:$A$996,PAGOS!$AE$2:$AE$996,""),""),IFNA(_xlfn.XLOOKUP(A61,PAGOS!$A$2:$A$996,PAGOS!$AH$2:$AH$996,""),""),IFNA(_xlfn.XLOOKUP(A61,PAGOS!$A$2:$A$996,PAGOS!$AK$2:$AK$996,""),"")),IF(abonos&gt;0,abonos,pago)))</f>
        <v>950</v>
      </c>
      <c r="E61" s="51" t="str">
        <f>IFERROR(__xludf.DUMMYFUNCTION("IF(A61="""","""",LET(mes,DATE($E$2,MATCH($B$2,'ESTADO CONTABLE'!$A$5:$A$16,0),1),abonos,SUMIFS('ABONOS MENSUALIDADES'!$F$5:$F$500,'ABONOS MENSUALIDADES'!$C$5:$C$500,A61,'ABONOS MENSUALIDADES'!$D$5:$D$500,mes),metodoDirecto,CHOOSE(MATCH($B$2,'ESTADO CONTAB"&amp;"LE'!$A$5:$A$16,0),IF(ISNUMBER(D61),""POR CLASIFICAR"",""""),IFNA(XLOOKUP(A61,PAGOS!$A$2:$A$996,PAGOS!$H$2:$H$996,""""),""""),IFNA(XLOOKUP(A61,PAGOS!$A$2:$A$996,PAGOS!$K$2:$K$996,""""),""""),IFNA(XLOOKUP(A61,PAGOS!$A$2:$A$996,PAGOS!$N$2:$N$996,""""),""""),"&amp;"IFNA(XLOOKUP(A61,PAGOS!$A$2:$A$996,PAGOS!$Q$2:$Q$996,""""),""""),IFNA(XLOOKUP(A61,PAGOS!$A$2:$A$996,PAGOS!$T$2:$T$996,""""),""""),IFNA(XLOOKUP(A61,PAGOS!$A$2:$A$996,PAGOS!$W$2:$W$996,""""),""""),IFNA(XLOOKUP(A61,PAGOS!$A$2:$A$996,PAGOS!$Z$2:$Z$996,""""),"&amp;"""""),IFNA(XLOOKUP(A61,PAGOS!$A$2:$A$996,PAGOS!$AC$2:$AC$996,""""),""""),IFNA(XLOOKUP(A61,PAGOS!$A$2:$A$996,PAGOS!$AF$2:$AF$996,""""),""""),IFNA(XLOOKUP(A61,PAGOS!$A$2:$A$996,PAGOS!$AI$2:$AI$996,""""),""""),IFNA(XLOOKUP(A61,PAGOS!$A$2:$A$996,PAGOS!$AL$2:$"&amp;"AL$996,""""),"""")),IF(abonos&gt;0,IFERROR(TEXTJOIN("" + "",TRUE,UNIQUE(FILTER('ABONOS MENSUALIDADES'!$E$5:$E$500,'ABONOS MENSUALIDADES'!$C$5:$C$500=A61,'ABONOS MENSUALIDADES'!$D$5:$D$500=mes))),""""),metodoDirecto)))"),"TRANSFERENCIA")</f>
        <v>TRANSFERENCIA</v>
      </c>
      <c r="F61" s="51" t="str">
        <f t="array" ref="F61">IF(A61="","",LET(mes,DATE($E$2,MATCH($B$2,'ESTADO CONTABLE'!$A$5:$A$16,0),1),cobrarDesde,IFERROR(INDEX('BASE DE DATOSS'!I:I,ROW()-13),""),pausada,SUMPRODUCT((UPPER(TRIM('PAUSAS MENSUALIDADES'!$A$5:$A$500))=UPPER(TRIM(A61)))*('PAUSAS MENSUALIDADES'!$B$5:$B$500=mes)*(UPPER(TRIM('PAUSAS MENSUALIDADES'!$D$5:$D$500))="APLICAR"))&gt;0,abonoActivo,SUMIFS('ABONOS MENSUALIDADES'!$F$5:$F$500,'ABONOS MENSUALIDADES'!$C$5:$C$500,A61,'ABONOS MENSUALIDADES'!$D$5:$D$500,mes,'ABONOS MENSUALIDADES'!$G$5:$G$500,"&lt;&gt;*CONSOLIDADO EN PAGOS*")&gt;0,esperadaBruta,MAX(IFNA(VLOOKUP(B61,COSTOS!$A$3:$B$13,2,FALSE),0)-150,0),IF(AND(cobrarDesde&lt;&gt;"",mes&lt;cobrarDesde),"AÚN NO INICIA",IF(pausada,"PAUSADA",IF(AND(abonoActivo,COUNTIFS('ABONOS MENSUALIDADES'!$C$5:$C$500,A61,'ABONOS MENSUALIDADES'!$D$5:$D$500,mes,'ABONOS MENSUALIDADES'!$G$5:$G$500,"*MENSUALIDAD LIQUIDADA*")=0),"ABONO",IF(N(D61)&gt;=esperadaBruta,"COBRADA",IF(N(D61)&gt;0,"ABONO","PENDIENTE")))))))</f>
        <v>COBRADA</v>
      </c>
      <c r="G61" s="79">
        <f t="array" ref="G61">IF(A61="","",IFERROR(INDEX('BASE DE DATOSS'!I:I,ROW()-13),""))</f>
        <v>46235</v>
      </c>
    </row>
    <row r="62">
      <c r="A62" s="51" t="str">
        <f t="array" ref="A62">IFERROR(INDEX('BASE DE DATOSS'!A:A,ROW()-13),"")</f>
        <v>ITZIA AQUETZALLI CERVANTES OLIVO</v>
      </c>
      <c r="B62" s="51" t="str">
        <f t="array" ref="B62">IF(A62="","",IFERROR(INDEX('BASE DE DATOSS'!C:C,ROW()-13),""))</f>
        <v>KIDS 1</v>
      </c>
      <c r="C62" s="62">
        <f t="array" ref="C62">IF(A62="","",LET(mes,DATE($E$2,MATCH($B$2,'ESTADO CONTABLE'!$A$5:$A$16,0),1),cobrarDesde,IFERROR(INDEX('BASE DE DATOSS'!I:I,ROW()-13),""),pausada,SUMPRODUCT((UPPER(TRIM('PAUSAS MENSUALIDADES'!$A$5:$A$500))=UPPER(TRIM(A62)))*('PAUSAS MENSUALIDADES'!$B$5:$B$500=mes)*(UPPER(TRIM('PAUSAS MENSUALIDADES'!$D$5:$D$500))="APLICAR"))&gt;0,IF(OR(AND(cobrarDesde&lt;&gt;"",mes&lt;cobrarDesde),pausada),0,MAX(IFNA(VLOOKUP(B62,COSTOS!$A$3:$B$13,2,FALSE),0)-150,0)/1.16)))</f>
        <v>818.9655172</v>
      </c>
      <c r="D62" s="62">
        <f t="array" ref="D62">IF(A62="","",LET(mes,DATE($E$2,MATCH($B$2,'ESTADO CONTABLE'!$A$5:$A$16,0),1),abonos,SUMIFS('ABONOS MENSUALIDADES'!$F$5:$F$500,'ABONOS MENSUALIDADES'!$C$5:$C$500,A62,'ABONOS MENSUALIDADES'!$D$5:$D$500,mes),pago,CHOOSE(MATCH($B$2,'ESTADO CONTABLE'!$A$5:$A$16,0),IFNA(_xlfn.XLOOKUP(A62,PAGOS!$A$2:$A$996,PAGOS!$E$2:$E$996,""),""),IFNA(_xlfn.XLOOKUP(A62,PAGOS!$A$2:$A$996,PAGOS!$G$2:$G$996,""),""),IFNA(_xlfn.XLOOKUP(A62,PAGOS!$A$2:$A$996,PAGOS!$J$2:$J$996,""),""),IFNA(_xlfn.XLOOKUP(A62,PAGOS!$A$2:$A$996,PAGOS!$M$2:$M$996,""),""),IFNA(_xlfn.XLOOKUP(A62,PAGOS!$A$2:$A$996,PAGOS!$P$2:$P$996,""),""),IFNA(_xlfn.XLOOKUP(A62,PAGOS!$A$2:$A$996,PAGOS!$S$2:$S$996,""),""),IFNA(_xlfn.XLOOKUP(A62,PAGOS!$A$2:$A$996,PAGOS!$V$2:$V$996,""),""),IFNA(_xlfn.XLOOKUP(A62,PAGOS!$A$2:$A$996,PAGOS!$Y$2:$Y$996,""),""),IFNA(_xlfn.XLOOKUP(A62,PAGOS!$A$2:$A$996,PAGOS!$AB$2:$AB$996,""),""),IFNA(_xlfn.XLOOKUP(A62,PAGOS!$A$2:$A$996,PAGOS!$AE$2:$AE$996,""),""),IFNA(_xlfn.XLOOKUP(A62,PAGOS!$A$2:$A$996,PAGOS!$AH$2:$AH$996,""),""),IFNA(_xlfn.XLOOKUP(A62,PAGOS!$A$2:$A$996,PAGOS!$AK$2:$AK$996,""),"")),IF(abonos&gt;0,abonos,pago)))</f>
        <v>950</v>
      </c>
      <c r="E62" s="51" t="str">
        <f>IFERROR(__xludf.DUMMYFUNCTION("IF(A62="""","""",LET(mes,DATE($E$2,MATCH($B$2,'ESTADO CONTABLE'!$A$5:$A$16,0),1),abonos,SUMIFS('ABONOS MENSUALIDADES'!$F$5:$F$500,'ABONOS MENSUALIDADES'!$C$5:$C$500,A62,'ABONOS MENSUALIDADES'!$D$5:$D$500,mes),metodoDirecto,CHOOSE(MATCH($B$2,'ESTADO CONTAB"&amp;"LE'!$A$5:$A$16,0),IF(ISNUMBER(D62),""POR CLASIFICAR"",""""),IFNA(XLOOKUP(A62,PAGOS!$A$2:$A$996,PAGOS!$H$2:$H$996,""""),""""),IFNA(XLOOKUP(A62,PAGOS!$A$2:$A$996,PAGOS!$K$2:$K$996,""""),""""),IFNA(XLOOKUP(A62,PAGOS!$A$2:$A$996,PAGOS!$N$2:$N$996,""""),""""),"&amp;"IFNA(XLOOKUP(A62,PAGOS!$A$2:$A$996,PAGOS!$Q$2:$Q$996,""""),""""),IFNA(XLOOKUP(A62,PAGOS!$A$2:$A$996,PAGOS!$T$2:$T$996,""""),""""),IFNA(XLOOKUP(A62,PAGOS!$A$2:$A$996,PAGOS!$W$2:$W$996,""""),""""),IFNA(XLOOKUP(A62,PAGOS!$A$2:$A$996,PAGOS!$Z$2:$Z$996,""""),"&amp;"""""),IFNA(XLOOKUP(A62,PAGOS!$A$2:$A$996,PAGOS!$AC$2:$AC$996,""""),""""),IFNA(XLOOKUP(A62,PAGOS!$A$2:$A$996,PAGOS!$AF$2:$AF$996,""""),""""),IFNA(XLOOKUP(A62,PAGOS!$A$2:$A$996,PAGOS!$AI$2:$AI$996,""""),""""),IFNA(XLOOKUP(A62,PAGOS!$A$2:$A$996,PAGOS!$AL$2:$"&amp;"AL$996,""""),"""")),IF(abonos&gt;0,IFERROR(TEXTJOIN("" + "",TRUE,UNIQUE(FILTER('ABONOS MENSUALIDADES'!$E$5:$E$500,'ABONOS MENSUALIDADES'!$C$5:$C$500=A62,'ABONOS MENSUALIDADES'!$D$5:$D$500=mes))),""""),metodoDirecto)))"),"TRANSFERENCIA")</f>
        <v>TRANSFERENCIA</v>
      </c>
      <c r="F62" s="51" t="str">
        <f t="array" ref="F62">IF(A62="","",LET(mes,DATE($E$2,MATCH($B$2,'ESTADO CONTABLE'!$A$5:$A$16,0),1),cobrarDesde,IFERROR(INDEX('BASE DE DATOSS'!I:I,ROW()-13),""),pausada,SUMPRODUCT((UPPER(TRIM('PAUSAS MENSUALIDADES'!$A$5:$A$500))=UPPER(TRIM(A62)))*('PAUSAS MENSUALIDADES'!$B$5:$B$500=mes)*(UPPER(TRIM('PAUSAS MENSUALIDADES'!$D$5:$D$500))="APLICAR"))&gt;0,abonoActivo,SUMIFS('ABONOS MENSUALIDADES'!$F$5:$F$500,'ABONOS MENSUALIDADES'!$C$5:$C$500,A62,'ABONOS MENSUALIDADES'!$D$5:$D$500,mes,'ABONOS MENSUALIDADES'!$G$5:$G$500,"&lt;&gt;*CONSOLIDADO EN PAGOS*")&gt;0,esperadaBruta,MAX(IFNA(VLOOKUP(B62,COSTOS!$A$3:$B$13,2,FALSE),0)-150,0),IF(AND(cobrarDesde&lt;&gt;"",mes&lt;cobrarDesde),"AÚN NO INICIA",IF(pausada,"PAUSADA",IF(AND(abonoActivo,COUNTIFS('ABONOS MENSUALIDADES'!$C$5:$C$500,A62,'ABONOS MENSUALIDADES'!$D$5:$D$500,mes,'ABONOS MENSUALIDADES'!$G$5:$G$500,"*MENSUALIDAD LIQUIDADA*")=0),"ABONO",IF(N(D62)&gt;=esperadaBruta,"COBRADA",IF(N(D62)&gt;0,"ABONO","PENDIENTE")))))))</f>
        <v>COBRADA</v>
      </c>
      <c r="G62" s="79">
        <f t="array" ref="G62">IF(A62="","",IFERROR(INDEX('BASE DE DATOSS'!I:I,ROW()-13),""))</f>
        <v>46235</v>
      </c>
    </row>
    <row r="63">
      <c r="A63" s="51" t="str">
        <f t="array" ref="A63">IFERROR(INDEX('BASE DE DATOSS'!A:A,ROW()-13),"")</f>
        <v>MARIA JOSE MORENO OLIVERA</v>
      </c>
      <c r="B63" s="51" t="str">
        <f t="array" ref="B63">IF(A63="","",IFERROR(INDEX('BASE DE DATOSS'!C:C,ROW()-13),""))</f>
        <v>JR 2</v>
      </c>
      <c r="C63" s="62">
        <f t="array" ref="C63">IF(A63="","",LET(mes,DATE($E$2,MATCH($B$2,'ESTADO CONTABLE'!$A$5:$A$16,0),1),cobrarDesde,IFERROR(INDEX('BASE DE DATOSS'!I:I,ROW()-13),""),pausada,SUMPRODUCT((UPPER(TRIM('PAUSAS MENSUALIDADES'!$A$5:$A$500))=UPPER(TRIM(A63)))*('PAUSAS MENSUALIDADES'!$B$5:$B$500=mes)*(UPPER(TRIM('PAUSAS MENSUALIDADES'!$D$5:$D$500))="APLICAR"))&gt;0,IF(OR(AND(cobrarDesde&lt;&gt;"",mes&lt;cobrarDesde),pausada),0,MAX(IFNA(VLOOKUP(B63,COSTOS!$A$3:$B$13,2,FALSE),0)-150,0)/1.16)))</f>
        <v>689.6551724</v>
      </c>
      <c r="D63" s="62">
        <f t="array" ref="D63">IF(A63="","",LET(mes,DATE($E$2,MATCH($B$2,'ESTADO CONTABLE'!$A$5:$A$16,0),1),abonos,SUMIFS('ABONOS MENSUALIDADES'!$F$5:$F$500,'ABONOS MENSUALIDADES'!$C$5:$C$500,A63,'ABONOS MENSUALIDADES'!$D$5:$D$500,mes),pago,CHOOSE(MATCH($B$2,'ESTADO CONTABLE'!$A$5:$A$16,0),IFNA(_xlfn.XLOOKUP(A63,PAGOS!$A$2:$A$996,PAGOS!$E$2:$E$996,""),""),IFNA(_xlfn.XLOOKUP(A63,PAGOS!$A$2:$A$996,PAGOS!$G$2:$G$996,""),""),IFNA(_xlfn.XLOOKUP(A63,PAGOS!$A$2:$A$996,PAGOS!$J$2:$J$996,""),""),IFNA(_xlfn.XLOOKUP(A63,PAGOS!$A$2:$A$996,PAGOS!$M$2:$M$996,""),""),IFNA(_xlfn.XLOOKUP(A63,PAGOS!$A$2:$A$996,PAGOS!$P$2:$P$996,""),""),IFNA(_xlfn.XLOOKUP(A63,PAGOS!$A$2:$A$996,PAGOS!$S$2:$S$996,""),""),IFNA(_xlfn.XLOOKUP(A63,PAGOS!$A$2:$A$996,PAGOS!$V$2:$V$996,""),""),IFNA(_xlfn.XLOOKUP(A63,PAGOS!$A$2:$A$996,PAGOS!$Y$2:$Y$996,""),""),IFNA(_xlfn.XLOOKUP(A63,PAGOS!$A$2:$A$996,PAGOS!$AB$2:$AB$996,""),""),IFNA(_xlfn.XLOOKUP(A63,PAGOS!$A$2:$A$996,PAGOS!$AE$2:$AE$996,""),""),IFNA(_xlfn.XLOOKUP(A63,PAGOS!$A$2:$A$996,PAGOS!$AH$2:$AH$996,""),""),IFNA(_xlfn.XLOOKUP(A63,PAGOS!$A$2:$A$996,PAGOS!$AK$2:$AK$996,""),"")),IF(abonos&gt;0,abonos,pago)))</f>
        <v>800</v>
      </c>
      <c r="E63" s="51" t="str">
        <f>IFERROR(__xludf.DUMMYFUNCTION("IF(A63="""","""",LET(mes,DATE($E$2,MATCH($B$2,'ESTADO CONTABLE'!$A$5:$A$16,0),1),abonos,SUMIFS('ABONOS MENSUALIDADES'!$F$5:$F$500,'ABONOS MENSUALIDADES'!$C$5:$C$500,A63,'ABONOS MENSUALIDADES'!$D$5:$D$500,mes),metodoDirecto,CHOOSE(MATCH($B$2,'ESTADO CONTAB"&amp;"LE'!$A$5:$A$16,0),IF(ISNUMBER(D63),""POR CLASIFICAR"",""""),IFNA(XLOOKUP(A63,PAGOS!$A$2:$A$996,PAGOS!$H$2:$H$996,""""),""""),IFNA(XLOOKUP(A63,PAGOS!$A$2:$A$996,PAGOS!$K$2:$K$996,""""),""""),IFNA(XLOOKUP(A63,PAGOS!$A$2:$A$996,PAGOS!$N$2:$N$996,""""),""""),"&amp;"IFNA(XLOOKUP(A63,PAGOS!$A$2:$A$996,PAGOS!$Q$2:$Q$996,""""),""""),IFNA(XLOOKUP(A63,PAGOS!$A$2:$A$996,PAGOS!$T$2:$T$996,""""),""""),IFNA(XLOOKUP(A63,PAGOS!$A$2:$A$996,PAGOS!$W$2:$W$996,""""),""""),IFNA(XLOOKUP(A63,PAGOS!$A$2:$A$996,PAGOS!$Z$2:$Z$996,""""),"&amp;"""""),IFNA(XLOOKUP(A63,PAGOS!$A$2:$A$996,PAGOS!$AC$2:$AC$996,""""),""""),IFNA(XLOOKUP(A63,PAGOS!$A$2:$A$996,PAGOS!$AF$2:$AF$996,""""),""""),IFNA(XLOOKUP(A63,PAGOS!$A$2:$A$996,PAGOS!$AI$2:$AI$996,""""),""""),IFNA(XLOOKUP(A63,PAGOS!$A$2:$A$996,PAGOS!$AL$2:$"&amp;"AL$996,""""),"""")),IF(abonos&gt;0,IFERROR(TEXTJOIN("" + "",TRUE,UNIQUE(FILTER('ABONOS MENSUALIDADES'!$E$5:$E$500,'ABONOS MENSUALIDADES'!$C$5:$C$500=A63,'ABONOS MENSUALIDADES'!$D$5:$D$500=mes))),""""),metodoDirecto)))"),"TRANSFERENCIA")</f>
        <v>TRANSFERENCIA</v>
      </c>
      <c r="F63" s="51" t="str">
        <f t="array" ref="F63">IF(A63="","",LET(mes,DATE($E$2,MATCH($B$2,'ESTADO CONTABLE'!$A$5:$A$16,0),1),cobrarDesde,IFERROR(INDEX('BASE DE DATOSS'!I:I,ROW()-13),""),pausada,SUMPRODUCT((UPPER(TRIM('PAUSAS MENSUALIDADES'!$A$5:$A$500))=UPPER(TRIM(A63)))*('PAUSAS MENSUALIDADES'!$B$5:$B$500=mes)*(UPPER(TRIM('PAUSAS MENSUALIDADES'!$D$5:$D$500))="APLICAR"))&gt;0,abonoActivo,SUMIFS('ABONOS MENSUALIDADES'!$F$5:$F$500,'ABONOS MENSUALIDADES'!$C$5:$C$500,A63,'ABONOS MENSUALIDADES'!$D$5:$D$500,mes,'ABONOS MENSUALIDADES'!$G$5:$G$500,"&lt;&gt;*CONSOLIDADO EN PAGOS*")&gt;0,esperadaBruta,MAX(IFNA(VLOOKUP(B63,COSTOS!$A$3:$B$13,2,FALSE),0)-150,0),IF(AND(cobrarDesde&lt;&gt;"",mes&lt;cobrarDesde),"AÚN NO INICIA",IF(pausada,"PAUSADA",IF(AND(abonoActivo,COUNTIFS('ABONOS MENSUALIDADES'!$C$5:$C$500,A63,'ABONOS MENSUALIDADES'!$D$5:$D$500,mes,'ABONOS MENSUALIDADES'!$G$5:$G$500,"*MENSUALIDAD LIQUIDADA*")=0),"ABONO",IF(N(D63)&gt;=esperadaBruta,"COBRADA",IF(N(D63)&gt;0,"ABONO","PENDIENTE")))))))</f>
        <v>COBRADA</v>
      </c>
      <c r="G63" s="79">
        <f t="array" ref="G63">IF(A63="","",IFERROR(INDEX('BASE DE DATOSS'!I:I,ROW()-13),""))</f>
        <v>46235</v>
      </c>
    </row>
    <row r="64">
      <c r="A64" s="51" t="str">
        <f t="array" ref="A64">IFERROR(INDEX('BASE DE DATOSS'!A:A,ROW()-13),"")</f>
        <v>ANNA LUCIA GAITAN VILLALOBOS</v>
      </c>
      <c r="B64" s="51" t="str">
        <f t="array" ref="B64">IF(A64="","",IFERROR(INDEX('BASE DE DATOSS'!C:C,ROW()-13),""))</f>
        <v>KIDS 1</v>
      </c>
      <c r="C64" s="62">
        <f t="array" ref="C64">IF(A64="","",LET(mes,DATE($E$2,MATCH($B$2,'ESTADO CONTABLE'!$A$5:$A$16,0),1),cobrarDesde,IFERROR(INDEX('BASE DE DATOSS'!I:I,ROW()-13),""),pausada,SUMPRODUCT((UPPER(TRIM('PAUSAS MENSUALIDADES'!$A$5:$A$500))=UPPER(TRIM(A64)))*('PAUSAS MENSUALIDADES'!$B$5:$B$500=mes)*(UPPER(TRIM('PAUSAS MENSUALIDADES'!$D$5:$D$500))="APLICAR"))&gt;0,IF(OR(AND(cobrarDesde&lt;&gt;"",mes&lt;cobrarDesde),pausada),0,MAX(IFNA(VLOOKUP(B64,COSTOS!$A$3:$B$13,2,FALSE),0)-150,0)/1.16)))</f>
        <v>818.9655172</v>
      </c>
      <c r="D64" s="62">
        <f t="array" ref="D64">IF(A64="","",LET(mes,DATE($E$2,MATCH($B$2,'ESTADO CONTABLE'!$A$5:$A$16,0),1),abonos,SUMIFS('ABONOS MENSUALIDADES'!$F$5:$F$500,'ABONOS MENSUALIDADES'!$C$5:$C$500,A64,'ABONOS MENSUALIDADES'!$D$5:$D$500,mes),pago,CHOOSE(MATCH($B$2,'ESTADO CONTABLE'!$A$5:$A$16,0),IFNA(_xlfn.XLOOKUP(A64,PAGOS!$A$2:$A$996,PAGOS!$E$2:$E$996,""),""),IFNA(_xlfn.XLOOKUP(A64,PAGOS!$A$2:$A$996,PAGOS!$G$2:$G$996,""),""),IFNA(_xlfn.XLOOKUP(A64,PAGOS!$A$2:$A$996,PAGOS!$J$2:$J$996,""),""),IFNA(_xlfn.XLOOKUP(A64,PAGOS!$A$2:$A$996,PAGOS!$M$2:$M$996,""),""),IFNA(_xlfn.XLOOKUP(A64,PAGOS!$A$2:$A$996,PAGOS!$P$2:$P$996,""),""),IFNA(_xlfn.XLOOKUP(A64,PAGOS!$A$2:$A$996,PAGOS!$S$2:$S$996,""),""),IFNA(_xlfn.XLOOKUP(A64,PAGOS!$A$2:$A$996,PAGOS!$V$2:$V$996,""),""),IFNA(_xlfn.XLOOKUP(A64,PAGOS!$A$2:$A$996,PAGOS!$Y$2:$Y$996,""),""),IFNA(_xlfn.XLOOKUP(A64,PAGOS!$A$2:$A$996,PAGOS!$AB$2:$AB$996,""),""),IFNA(_xlfn.XLOOKUP(A64,PAGOS!$A$2:$A$996,PAGOS!$AE$2:$AE$996,""),""),IFNA(_xlfn.XLOOKUP(A64,PAGOS!$A$2:$A$996,PAGOS!$AH$2:$AH$996,""),""),IFNA(_xlfn.XLOOKUP(A64,PAGOS!$A$2:$A$996,PAGOS!$AK$2:$AK$996,""),"")),IF(abonos&gt;0,abonos,pago)))</f>
        <v>1100</v>
      </c>
      <c r="E64" s="51" t="str">
        <f>IFERROR(__xludf.DUMMYFUNCTION("IF(A64="""","""",LET(mes,DATE($E$2,MATCH($B$2,'ESTADO CONTABLE'!$A$5:$A$16,0),1),abonos,SUMIFS('ABONOS MENSUALIDADES'!$F$5:$F$500,'ABONOS MENSUALIDADES'!$C$5:$C$500,A64,'ABONOS MENSUALIDADES'!$D$5:$D$500,mes),metodoDirecto,CHOOSE(MATCH($B$2,'ESTADO CONTAB"&amp;"LE'!$A$5:$A$16,0),IF(ISNUMBER(D64),""POR CLASIFICAR"",""""),IFNA(XLOOKUP(A64,PAGOS!$A$2:$A$996,PAGOS!$H$2:$H$996,""""),""""),IFNA(XLOOKUP(A64,PAGOS!$A$2:$A$996,PAGOS!$K$2:$K$996,""""),""""),IFNA(XLOOKUP(A64,PAGOS!$A$2:$A$996,PAGOS!$N$2:$N$996,""""),""""),"&amp;"IFNA(XLOOKUP(A64,PAGOS!$A$2:$A$996,PAGOS!$Q$2:$Q$996,""""),""""),IFNA(XLOOKUP(A64,PAGOS!$A$2:$A$996,PAGOS!$T$2:$T$996,""""),""""),IFNA(XLOOKUP(A64,PAGOS!$A$2:$A$996,PAGOS!$W$2:$W$996,""""),""""),IFNA(XLOOKUP(A64,PAGOS!$A$2:$A$996,PAGOS!$Z$2:$Z$996,""""),"&amp;"""""),IFNA(XLOOKUP(A64,PAGOS!$A$2:$A$996,PAGOS!$AC$2:$AC$996,""""),""""),IFNA(XLOOKUP(A64,PAGOS!$A$2:$A$996,PAGOS!$AF$2:$AF$996,""""),""""),IFNA(XLOOKUP(A64,PAGOS!$A$2:$A$996,PAGOS!$AI$2:$AI$996,""""),""""),IFNA(XLOOKUP(A64,PAGOS!$A$2:$A$996,PAGOS!$AL$2:$"&amp;"AL$996,""""),"""")),IF(abonos&gt;0,IFERROR(TEXTJOIN("" + "",TRUE,UNIQUE(FILTER('ABONOS MENSUALIDADES'!$E$5:$E$500,'ABONOS MENSUALIDADES'!$C$5:$C$500=A64,'ABONOS MENSUALIDADES'!$D$5:$D$500=mes))),""""),metodoDirecto)))"),"EFECTIVO")</f>
        <v>EFECTIVO</v>
      </c>
      <c r="F64" s="51" t="str">
        <f t="array" ref="F64">IF(A64="","",LET(mes,DATE($E$2,MATCH($B$2,'ESTADO CONTABLE'!$A$5:$A$16,0),1),cobrarDesde,IFERROR(INDEX('BASE DE DATOSS'!I:I,ROW()-13),""),pausada,SUMPRODUCT((UPPER(TRIM('PAUSAS MENSUALIDADES'!$A$5:$A$500))=UPPER(TRIM(A64)))*('PAUSAS MENSUALIDADES'!$B$5:$B$500=mes)*(UPPER(TRIM('PAUSAS MENSUALIDADES'!$D$5:$D$500))="APLICAR"))&gt;0,abonoActivo,SUMIFS('ABONOS MENSUALIDADES'!$F$5:$F$500,'ABONOS MENSUALIDADES'!$C$5:$C$500,A64,'ABONOS MENSUALIDADES'!$D$5:$D$500,mes,'ABONOS MENSUALIDADES'!$G$5:$G$500,"&lt;&gt;*CONSOLIDADO EN PAGOS*")&gt;0,esperadaBruta,MAX(IFNA(VLOOKUP(B64,COSTOS!$A$3:$B$13,2,FALSE),0)-150,0),IF(AND(cobrarDesde&lt;&gt;"",mes&lt;cobrarDesde),"AÚN NO INICIA",IF(pausada,"PAUSADA",IF(AND(abonoActivo,COUNTIFS('ABONOS MENSUALIDADES'!$C$5:$C$500,A64,'ABONOS MENSUALIDADES'!$D$5:$D$500,mes,'ABONOS MENSUALIDADES'!$G$5:$G$500,"*MENSUALIDAD LIQUIDADA*")=0),"ABONO",IF(N(D64)&gt;=esperadaBruta,"COBRADA",IF(N(D64)&gt;0,"ABONO","PENDIENTE")))))))</f>
        <v>COBRADA</v>
      </c>
      <c r="G64" s="79">
        <f t="array" ref="G64">IF(A64="","",IFERROR(INDEX('BASE DE DATOSS'!I:I,ROW()-13),""))</f>
        <v>46266</v>
      </c>
    </row>
    <row r="65">
      <c r="A65" s="51" t="str">
        <f t="array" ref="A65">IFERROR(INDEX('BASE DE DATOSS'!A:A,ROW()-13),"")</f>
        <v>MELANY MILAGROS NINO</v>
      </c>
      <c r="B65" s="51" t="str">
        <f t="array" ref="B65">IF(A65="","",IFERROR(INDEX('BASE DE DATOSS'!C:C,ROW()-13),""))</f>
        <v>ADULTS 2</v>
      </c>
      <c r="C65" s="62">
        <f t="array" ref="C65">IF(A65="","",LET(mes,DATE($E$2,MATCH($B$2,'ESTADO CONTABLE'!$A$5:$A$16,0),1),cobrarDesde,IFERROR(INDEX('BASE DE DATOSS'!I:I,ROW()-13),""),pausada,SUMPRODUCT((UPPER(TRIM('PAUSAS MENSUALIDADES'!$A$5:$A$500))=UPPER(TRIM(A65)))*('PAUSAS MENSUALIDADES'!$B$5:$B$500=mes)*(UPPER(TRIM('PAUSAS MENSUALIDADES'!$D$5:$D$500))="APLICAR"))&gt;0,IF(OR(AND(cobrarDesde&lt;&gt;"",mes&lt;cobrarDesde),pausada),0,MAX(IFNA(VLOOKUP(B65,COSTOS!$A$3:$B$13,2,FALSE),0)-150,0)/1.16)))</f>
        <v>818.9655172</v>
      </c>
      <c r="D65" s="62">
        <f t="array" ref="D65">IF(A65="","",LET(mes,DATE($E$2,MATCH($B$2,'ESTADO CONTABLE'!$A$5:$A$16,0),1),abonos,SUMIFS('ABONOS MENSUALIDADES'!$F$5:$F$500,'ABONOS MENSUALIDADES'!$C$5:$C$500,A65,'ABONOS MENSUALIDADES'!$D$5:$D$500,mes),pago,CHOOSE(MATCH($B$2,'ESTADO CONTABLE'!$A$5:$A$16,0),IFNA(_xlfn.XLOOKUP(A65,PAGOS!$A$2:$A$996,PAGOS!$E$2:$E$996,""),""),IFNA(_xlfn.XLOOKUP(A65,PAGOS!$A$2:$A$996,PAGOS!$G$2:$G$996,""),""),IFNA(_xlfn.XLOOKUP(A65,PAGOS!$A$2:$A$996,PAGOS!$J$2:$J$996,""),""),IFNA(_xlfn.XLOOKUP(A65,PAGOS!$A$2:$A$996,PAGOS!$M$2:$M$996,""),""),IFNA(_xlfn.XLOOKUP(A65,PAGOS!$A$2:$A$996,PAGOS!$P$2:$P$996,""),""),IFNA(_xlfn.XLOOKUP(A65,PAGOS!$A$2:$A$996,PAGOS!$S$2:$S$996,""),""),IFNA(_xlfn.XLOOKUP(A65,PAGOS!$A$2:$A$996,PAGOS!$V$2:$V$996,""),""),IFNA(_xlfn.XLOOKUP(A65,PAGOS!$A$2:$A$996,PAGOS!$Y$2:$Y$996,""),""),IFNA(_xlfn.XLOOKUP(A65,PAGOS!$A$2:$A$996,PAGOS!$AB$2:$AB$996,""),""),IFNA(_xlfn.XLOOKUP(A65,PAGOS!$A$2:$A$996,PAGOS!$AE$2:$AE$996,""),""),IFNA(_xlfn.XLOOKUP(A65,PAGOS!$A$2:$A$996,PAGOS!$AH$2:$AH$996,""),""),IFNA(_xlfn.XLOOKUP(A65,PAGOS!$A$2:$A$996,PAGOS!$AK$2:$AK$996,""),"")),IF(abonos&gt;0,abonos,pago)))</f>
        <v>950</v>
      </c>
      <c r="E65" s="51" t="str">
        <f>IFERROR(__xludf.DUMMYFUNCTION("IF(A65="""","""",LET(mes,DATE($E$2,MATCH($B$2,'ESTADO CONTABLE'!$A$5:$A$16,0),1),abonos,SUMIFS('ABONOS MENSUALIDADES'!$F$5:$F$500,'ABONOS MENSUALIDADES'!$C$5:$C$500,A65,'ABONOS MENSUALIDADES'!$D$5:$D$500,mes),metodoDirecto,CHOOSE(MATCH($B$2,'ESTADO CONTAB"&amp;"LE'!$A$5:$A$16,0),IF(ISNUMBER(D65),""POR CLASIFICAR"",""""),IFNA(XLOOKUP(A65,PAGOS!$A$2:$A$996,PAGOS!$H$2:$H$996,""""),""""),IFNA(XLOOKUP(A65,PAGOS!$A$2:$A$996,PAGOS!$K$2:$K$996,""""),""""),IFNA(XLOOKUP(A65,PAGOS!$A$2:$A$996,PAGOS!$N$2:$N$996,""""),""""),"&amp;"IFNA(XLOOKUP(A65,PAGOS!$A$2:$A$996,PAGOS!$Q$2:$Q$996,""""),""""),IFNA(XLOOKUP(A65,PAGOS!$A$2:$A$996,PAGOS!$T$2:$T$996,""""),""""),IFNA(XLOOKUP(A65,PAGOS!$A$2:$A$996,PAGOS!$W$2:$W$996,""""),""""),IFNA(XLOOKUP(A65,PAGOS!$A$2:$A$996,PAGOS!$Z$2:$Z$996,""""),"&amp;"""""),IFNA(XLOOKUP(A65,PAGOS!$A$2:$A$996,PAGOS!$AC$2:$AC$996,""""),""""),IFNA(XLOOKUP(A65,PAGOS!$A$2:$A$996,PAGOS!$AF$2:$AF$996,""""),""""),IFNA(XLOOKUP(A65,PAGOS!$A$2:$A$996,PAGOS!$AI$2:$AI$996,""""),""""),IFNA(XLOOKUP(A65,PAGOS!$A$2:$A$996,PAGOS!$AL$2:$"&amp;"AL$996,""""),"""")),IF(abonos&gt;0,IFERROR(TEXTJOIN("" + "",TRUE,UNIQUE(FILTER('ABONOS MENSUALIDADES'!$E$5:$E$500,'ABONOS MENSUALIDADES'!$C$5:$C$500=A65,'ABONOS MENSUALIDADES'!$D$5:$D$500=mes))),""""),metodoDirecto)))"),"TRANSFERENCIA")</f>
        <v>TRANSFERENCIA</v>
      </c>
      <c r="F65" s="51" t="str">
        <f t="array" ref="F65">IF(A65="","",LET(mes,DATE($E$2,MATCH($B$2,'ESTADO CONTABLE'!$A$5:$A$16,0),1),cobrarDesde,IFERROR(INDEX('BASE DE DATOSS'!I:I,ROW()-13),""),pausada,SUMPRODUCT((UPPER(TRIM('PAUSAS MENSUALIDADES'!$A$5:$A$500))=UPPER(TRIM(A65)))*('PAUSAS MENSUALIDADES'!$B$5:$B$500=mes)*(UPPER(TRIM('PAUSAS MENSUALIDADES'!$D$5:$D$500))="APLICAR"))&gt;0,abonoActivo,SUMIFS('ABONOS MENSUALIDADES'!$F$5:$F$500,'ABONOS MENSUALIDADES'!$C$5:$C$500,A65,'ABONOS MENSUALIDADES'!$D$5:$D$500,mes,'ABONOS MENSUALIDADES'!$G$5:$G$500,"&lt;&gt;*CONSOLIDADO EN PAGOS*")&gt;0,esperadaBruta,MAX(IFNA(VLOOKUP(B65,COSTOS!$A$3:$B$13,2,FALSE),0)-150,0),IF(AND(cobrarDesde&lt;&gt;"",mes&lt;cobrarDesde),"AÚN NO INICIA",IF(pausada,"PAUSADA",IF(AND(abonoActivo,COUNTIFS('ABONOS MENSUALIDADES'!$C$5:$C$500,A65,'ABONOS MENSUALIDADES'!$D$5:$D$500,mes,'ABONOS MENSUALIDADES'!$G$5:$G$500,"*MENSUALIDAD LIQUIDADA*")=0),"ABONO",IF(N(D65)&gt;=esperadaBruta,"COBRADA",IF(N(D65)&gt;0,"ABONO","PENDIENTE")))))))</f>
        <v>COBRADA</v>
      </c>
      <c r="G65" s="79">
        <f t="array" ref="G65">IF(A65="","",IFERROR(INDEX('BASE DE DATOSS'!I:I,ROW()-13),""))</f>
        <v>46266</v>
      </c>
    </row>
    <row r="66">
      <c r="A66" s="51" t="str">
        <f t="array" ref="A66">IFERROR(INDEX('BASE DE DATOSS'!A:A,ROW()-13),"")</f>
        <v>PAOLA ARIANA CONTRERAS SUAREZ</v>
      </c>
      <c r="B66" s="51" t="str">
        <f t="array" ref="B66">IF(A66="","",IFERROR(INDEX('BASE DE DATOSS'!C:C,ROW()-13),""))</f>
        <v>MATUTINO</v>
      </c>
      <c r="C66" s="62">
        <f t="array" ref="C66">IF(A66="","",LET(mes,DATE($E$2,MATCH($B$2,'ESTADO CONTABLE'!$A$5:$A$16,0),1),cobrarDesde,IFERROR(INDEX('BASE DE DATOSS'!I:I,ROW()-13),""),pausada,SUMPRODUCT((UPPER(TRIM('PAUSAS MENSUALIDADES'!$A$5:$A$500))=UPPER(TRIM(A66)))*('PAUSAS MENSUALIDADES'!$B$5:$B$500=mes)*(UPPER(TRIM('PAUSAS MENSUALIDADES'!$D$5:$D$500))="APLICAR"))&gt;0,IF(OR(AND(cobrarDesde&lt;&gt;"",mes&lt;cobrarDesde),pausada),0,MAX(IFNA(VLOOKUP(B66,COSTOS!$A$3:$B$13,2,FALSE),0)-150,0)/1.16)))</f>
        <v>818.9655172</v>
      </c>
      <c r="D66" s="62">
        <f t="array" ref="D66">IF(A66="","",LET(mes,DATE($E$2,MATCH($B$2,'ESTADO CONTABLE'!$A$5:$A$16,0),1),abonos,SUMIFS('ABONOS MENSUALIDADES'!$F$5:$F$500,'ABONOS MENSUALIDADES'!$C$5:$C$500,A66,'ABONOS MENSUALIDADES'!$D$5:$D$500,mes),pago,CHOOSE(MATCH($B$2,'ESTADO CONTABLE'!$A$5:$A$16,0),IFNA(_xlfn.XLOOKUP(A66,PAGOS!$A$2:$A$996,PAGOS!$E$2:$E$996,""),""),IFNA(_xlfn.XLOOKUP(A66,PAGOS!$A$2:$A$996,PAGOS!$G$2:$G$996,""),""),IFNA(_xlfn.XLOOKUP(A66,PAGOS!$A$2:$A$996,PAGOS!$J$2:$J$996,""),""),IFNA(_xlfn.XLOOKUP(A66,PAGOS!$A$2:$A$996,PAGOS!$M$2:$M$996,""),""),IFNA(_xlfn.XLOOKUP(A66,PAGOS!$A$2:$A$996,PAGOS!$P$2:$P$996,""),""),IFNA(_xlfn.XLOOKUP(A66,PAGOS!$A$2:$A$996,PAGOS!$S$2:$S$996,""),""),IFNA(_xlfn.XLOOKUP(A66,PAGOS!$A$2:$A$996,PAGOS!$V$2:$V$996,""),""),IFNA(_xlfn.XLOOKUP(A66,PAGOS!$A$2:$A$996,PAGOS!$Y$2:$Y$996,""),""),IFNA(_xlfn.XLOOKUP(A66,PAGOS!$A$2:$A$996,PAGOS!$AB$2:$AB$996,""),""),IFNA(_xlfn.XLOOKUP(A66,PAGOS!$A$2:$A$996,PAGOS!$AE$2:$AE$996,""),""),IFNA(_xlfn.XLOOKUP(A66,PAGOS!$A$2:$A$996,PAGOS!$AH$2:$AH$996,""),""),IFNA(_xlfn.XLOOKUP(A66,PAGOS!$A$2:$A$996,PAGOS!$AK$2:$AK$996,""),"")),IF(abonos&gt;0,abonos,pago)))</f>
        <v>950</v>
      </c>
      <c r="E66" s="51" t="str">
        <f>IFERROR(__xludf.DUMMYFUNCTION("IF(A66="""","""",LET(mes,DATE($E$2,MATCH($B$2,'ESTADO CONTABLE'!$A$5:$A$16,0),1),abonos,SUMIFS('ABONOS MENSUALIDADES'!$F$5:$F$500,'ABONOS MENSUALIDADES'!$C$5:$C$500,A66,'ABONOS MENSUALIDADES'!$D$5:$D$500,mes),metodoDirecto,CHOOSE(MATCH($B$2,'ESTADO CONTAB"&amp;"LE'!$A$5:$A$16,0),IF(ISNUMBER(D66),""POR CLASIFICAR"",""""),IFNA(XLOOKUP(A66,PAGOS!$A$2:$A$996,PAGOS!$H$2:$H$996,""""),""""),IFNA(XLOOKUP(A66,PAGOS!$A$2:$A$996,PAGOS!$K$2:$K$996,""""),""""),IFNA(XLOOKUP(A66,PAGOS!$A$2:$A$996,PAGOS!$N$2:$N$996,""""),""""),"&amp;"IFNA(XLOOKUP(A66,PAGOS!$A$2:$A$996,PAGOS!$Q$2:$Q$996,""""),""""),IFNA(XLOOKUP(A66,PAGOS!$A$2:$A$996,PAGOS!$T$2:$T$996,""""),""""),IFNA(XLOOKUP(A66,PAGOS!$A$2:$A$996,PAGOS!$W$2:$W$996,""""),""""),IFNA(XLOOKUP(A66,PAGOS!$A$2:$A$996,PAGOS!$Z$2:$Z$996,""""),"&amp;"""""),IFNA(XLOOKUP(A66,PAGOS!$A$2:$A$996,PAGOS!$AC$2:$AC$996,""""),""""),IFNA(XLOOKUP(A66,PAGOS!$A$2:$A$996,PAGOS!$AF$2:$AF$996,""""),""""),IFNA(XLOOKUP(A66,PAGOS!$A$2:$A$996,PAGOS!$AI$2:$AI$996,""""),""""),IFNA(XLOOKUP(A66,PAGOS!$A$2:$A$996,PAGOS!$AL$2:$"&amp;"AL$996,""""),"""")),IF(abonos&gt;0,IFERROR(TEXTJOIN("" + "",TRUE,UNIQUE(FILTER('ABONOS MENSUALIDADES'!$E$5:$E$500,'ABONOS MENSUALIDADES'!$C$5:$C$500=A66,'ABONOS MENSUALIDADES'!$D$5:$D$500=mes))),""""),metodoDirecto)))"),"TRANSFERENCIA")</f>
        <v>TRANSFERENCIA</v>
      </c>
      <c r="F66" s="51" t="str">
        <f t="array" ref="F66">IF(A66="","",LET(mes,DATE($E$2,MATCH($B$2,'ESTADO CONTABLE'!$A$5:$A$16,0),1),cobrarDesde,IFERROR(INDEX('BASE DE DATOSS'!I:I,ROW()-13),""),pausada,SUMPRODUCT((UPPER(TRIM('PAUSAS MENSUALIDADES'!$A$5:$A$500))=UPPER(TRIM(A66)))*('PAUSAS MENSUALIDADES'!$B$5:$B$500=mes)*(UPPER(TRIM('PAUSAS MENSUALIDADES'!$D$5:$D$500))="APLICAR"))&gt;0,abonoActivo,SUMIFS('ABONOS MENSUALIDADES'!$F$5:$F$500,'ABONOS MENSUALIDADES'!$C$5:$C$500,A66,'ABONOS MENSUALIDADES'!$D$5:$D$500,mes,'ABONOS MENSUALIDADES'!$G$5:$G$500,"&lt;&gt;*CONSOLIDADO EN PAGOS*")&gt;0,esperadaBruta,MAX(IFNA(VLOOKUP(B66,COSTOS!$A$3:$B$13,2,FALSE),0)-150,0),IF(AND(cobrarDesde&lt;&gt;"",mes&lt;cobrarDesde),"AÚN NO INICIA",IF(pausada,"PAUSADA",IF(AND(abonoActivo,COUNTIFS('ABONOS MENSUALIDADES'!$C$5:$C$500,A66,'ABONOS MENSUALIDADES'!$D$5:$D$500,mes,'ABONOS MENSUALIDADES'!$G$5:$G$500,"*MENSUALIDAD LIQUIDADA*")=0),"ABONO",IF(N(D66)&gt;=esperadaBruta,"COBRADA",IF(N(D66)&gt;0,"ABONO","PENDIENTE")))))))</f>
        <v>COBRADA</v>
      </c>
      <c r="G66" s="79">
        <f t="array" ref="G66">IF(A66="","",IFERROR(INDEX('BASE DE DATOSS'!I:I,ROW()-13),""))</f>
        <v>46266</v>
      </c>
    </row>
    <row r="67">
      <c r="A67" s="51" t="str">
        <f t="array" ref="A67">IFERROR(INDEX('BASE DE DATOSS'!A:A,ROW()-13),"")</f>
        <v>ISABELA CASTAÑEDA BALTAZAR </v>
      </c>
      <c r="B67" s="51" t="str">
        <f t="array" ref="B67">IF(A67="","",IFERROR(INDEX('BASE DE DATOSS'!C:C,ROW()-13),""))</f>
        <v>MATUTINO</v>
      </c>
      <c r="C67" s="62">
        <f t="array" ref="C67">IF(A67="","",LET(mes,DATE($E$2,MATCH($B$2,'ESTADO CONTABLE'!$A$5:$A$16,0),1),cobrarDesde,IFERROR(INDEX('BASE DE DATOSS'!I:I,ROW()-13),""),pausada,SUMPRODUCT((UPPER(TRIM('PAUSAS MENSUALIDADES'!$A$5:$A$500))=UPPER(TRIM(A67)))*('PAUSAS MENSUALIDADES'!$B$5:$B$500=mes)*(UPPER(TRIM('PAUSAS MENSUALIDADES'!$D$5:$D$500))="APLICAR"))&gt;0,IF(OR(AND(cobrarDesde&lt;&gt;"",mes&lt;cobrarDesde),pausada),0,MAX(IFNA(VLOOKUP(B67,COSTOS!$A$3:$B$13,2,FALSE),0)-150,0)/1.16)))</f>
        <v>818.9655172</v>
      </c>
      <c r="D67" s="62">
        <f t="array" ref="D67">IF(A67="","",LET(mes,DATE($E$2,MATCH($B$2,'ESTADO CONTABLE'!$A$5:$A$16,0),1),abonos,SUMIFS('ABONOS MENSUALIDADES'!$F$5:$F$500,'ABONOS MENSUALIDADES'!$C$5:$C$500,A67,'ABONOS MENSUALIDADES'!$D$5:$D$500,mes),pago,CHOOSE(MATCH($B$2,'ESTADO CONTABLE'!$A$5:$A$16,0),IFNA(_xlfn.XLOOKUP(A67,PAGOS!$A$2:$A$996,PAGOS!$E$2:$E$996,""),""),IFNA(_xlfn.XLOOKUP(A67,PAGOS!$A$2:$A$996,PAGOS!$G$2:$G$996,""),""),IFNA(_xlfn.XLOOKUP(A67,PAGOS!$A$2:$A$996,PAGOS!$J$2:$J$996,""),""),IFNA(_xlfn.XLOOKUP(A67,PAGOS!$A$2:$A$996,PAGOS!$M$2:$M$996,""),""),IFNA(_xlfn.XLOOKUP(A67,PAGOS!$A$2:$A$996,PAGOS!$P$2:$P$996,""),""),IFNA(_xlfn.XLOOKUP(A67,PAGOS!$A$2:$A$996,PAGOS!$S$2:$S$996,""),""),IFNA(_xlfn.XLOOKUP(A67,PAGOS!$A$2:$A$996,PAGOS!$V$2:$V$996,""),""),IFNA(_xlfn.XLOOKUP(A67,PAGOS!$A$2:$A$996,PAGOS!$Y$2:$Y$996,""),""),IFNA(_xlfn.XLOOKUP(A67,PAGOS!$A$2:$A$996,PAGOS!$AB$2:$AB$996,""),""),IFNA(_xlfn.XLOOKUP(A67,PAGOS!$A$2:$A$996,PAGOS!$AE$2:$AE$996,""),""),IFNA(_xlfn.XLOOKUP(A67,PAGOS!$A$2:$A$996,PAGOS!$AH$2:$AH$996,""),""),IFNA(_xlfn.XLOOKUP(A67,PAGOS!$A$2:$A$996,PAGOS!$AK$2:$AK$996,""),"")),IF(abonos&gt;0,abonos,pago)))</f>
        <v>1100</v>
      </c>
      <c r="E67" s="51" t="str">
        <f>IFERROR(__xludf.DUMMYFUNCTION("IF(A67="""","""",LET(mes,DATE($E$2,MATCH($B$2,'ESTADO CONTABLE'!$A$5:$A$16,0),1),abonos,SUMIFS('ABONOS MENSUALIDADES'!$F$5:$F$500,'ABONOS MENSUALIDADES'!$C$5:$C$500,A67,'ABONOS MENSUALIDADES'!$D$5:$D$500,mes),metodoDirecto,CHOOSE(MATCH($B$2,'ESTADO CONTAB"&amp;"LE'!$A$5:$A$16,0),IF(ISNUMBER(D67),""POR CLASIFICAR"",""""),IFNA(XLOOKUP(A67,PAGOS!$A$2:$A$996,PAGOS!$H$2:$H$996,""""),""""),IFNA(XLOOKUP(A67,PAGOS!$A$2:$A$996,PAGOS!$K$2:$K$996,""""),""""),IFNA(XLOOKUP(A67,PAGOS!$A$2:$A$996,PAGOS!$N$2:$N$996,""""),""""),"&amp;"IFNA(XLOOKUP(A67,PAGOS!$A$2:$A$996,PAGOS!$Q$2:$Q$996,""""),""""),IFNA(XLOOKUP(A67,PAGOS!$A$2:$A$996,PAGOS!$T$2:$T$996,""""),""""),IFNA(XLOOKUP(A67,PAGOS!$A$2:$A$996,PAGOS!$W$2:$W$996,""""),""""),IFNA(XLOOKUP(A67,PAGOS!$A$2:$A$996,PAGOS!$Z$2:$Z$996,""""),"&amp;"""""),IFNA(XLOOKUP(A67,PAGOS!$A$2:$A$996,PAGOS!$AC$2:$AC$996,""""),""""),IFNA(XLOOKUP(A67,PAGOS!$A$2:$A$996,PAGOS!$AF$2:$AF$996,""""),""""),IFNA(XLOOKUP(A67,PAGOS!$A$2:$A$996,PAGOS!$AI$2:$AI$996,""""),""""),IFNA(XLOOKUP(A67,PAGOS!$A$2:$A$996,PAGOS!$AL$2:$"&amp;"AL$996,""""),"""")),IF(abonos&gt;0,IFERROR(TEXTJOIN("" + "",TRUE,UNIQUE(FILTER('ABONOS MENSUALIDADES'!$E$5:$E$500,'ABONOS MENSUALIDADES'!$C$5:$C$500=A67,'ABONOS MENSUALIDADES'!$D$5:$D$500=mes))),""""),metodoDirecto)))"),"TERMINAL")</f>
        <v>TERMINAL</v>
      </c>
      <c r="F67" s="51" t="str">
        <f t="array" ref="F67">IF(A67="","",LET(mes,DATE($E$2,MATCH($B$2,'ESTADO CONTABLE'!$A$5:$A$16,0),1),cobrarDesde,IFERROR(INDEX('BASE DE DATOSS'!I:I,ROW()-13),""),pausada,SUMPRODUCT((UPPER(TRIM('PAUSAS MENSUALIDADES'!$A$5:$A$500))=UPPER(TRIM(A67)))*('PAUSAS MENSUALIDADES'!$B$5:$B$500=mes)*(UPPER(TRIM('PAUSAS MENSUALIDADES'!$D$5:$D$500))="APLICAR"))&gt;0,abonoActivo,SUMIFS('ABONOS MENSUALIDADES'!$F$5:$F$500,'ABONOS MENSUALIDADES'!$C$5:$C$500,A67,'ABONOS MENSUALIDADES'!$D$5:$D$500,mes,'ABONOS MENSUALIDADES'!$G$5:$G$500,"&lt;&gt;*CONSOLIDADO EN PAGOS*")&gt;0,esperadaBruta,MAX(IFNA(VLOOKUP(B67,COSTOS!$A$3:$B$13,2,FALSE),0)-150,0),IF(AND(cobrarDesde&lt;&gt;"",mes&lt;cobrarDesde),"AÚN NO INICIA",IF(pausada,"PAUSADA",IF(AND(abonoActivo,COUNTIFS('ABONOS MENSUALIDADES'!$C$5:$C$500,A67,'ABONOS MENSUALIDADES'!$D$5:$D$500,mes,'ABONOS MENSUALIDADES'!$G$5:$G$500,"*MENSUALIDAD LIQUIDADA*")=0),"ABONO",IF(N(D67)&gt;=esperadaBruta,"COBRADA",IF(N(D67)&gt;0,"ABONO","PENDIENTE")))))))</f>
        <v>COBRADA</v>
      </c>
      <c r="G67" s="79">
        <f t="array" ref="G67">IF(A67="","",IFERROR(INDEX('BASE DE DATOSS'!I:I,ROW()-13),""))</f>
        <v>46266</v>
      </c>
    </row>
    <row r="68">
      <c r="A68" s="51" t="str">
        <f t="array" ref="A68">IFERROR(INDEX('BASE DE DATOSS'!A:A,ROW()-13),"")</f>
        <v>REBECA ESCOBAR CEBALLOS</v>
      </c>
      <c r="B68" s="51" t="str">
        <f t="array" ref="B68">IF(A68="","",IFERROR(INDEX('BASE DE DATOSS'!C:C,ROW()-13),""))</f>
        <v>KIDS 2</v>
      </c>
      <c r="C68" s="62">
        <f t="array" ref="C68">IF(A68="","",LET(mes,DATE($E$2,MATCH($B$2,'ESTADO CONTABLE'!$A$5:$A$16,0),1),cobrarDesde,IFERROR(INDEX('BASE DE DATOSS'!I:I,ROW()-13),""),pausada,SUMPRODUCT((UPPER(TRIM('PAUSAS MENSUALIDADES'!$A$5:$A$500))=UPPER(TRIM(A68)))*('PAUSAS MENSUALIDADES'!$B$5:$B$500=mes)*(UPPER(TRIM('PAUSAS MENSUALIDADES'!$D$5:$D$500))="APLICAR"))&gt;0,IF(OR(AND(cobrarDesde&lt;&gt;"",mes&lt;cobrarDesde),pausada),0,MAX(IFNA(VLOOKUP(B68,COSTOS!$A$3:$B$13,2,FALSE),0)-150,0)/1.16)))</f>
        <v>689.6551724</v>
      </c>
      <c r="D68" s="62">
        <f t="array" ref="D68">IF(A68="","",LET(mes,DATE($E$2,MATCH($B$2,'ESTADO CONTABLE'!$A$5:$A$16,0),1),abonos,SUMIFS('ABONOS MENSUALIDADES'!$F$5:$F$500,'ABONOS MENSUALIDADES'!$C$5:$C$500,A68,'ABONOS MENSUALIDADES'!$D$5:$D$500,mes),pago,CHOOSE(MATCH($B$2,'ESTADO CONTABLE'!$A$5:$A$16,0),IFNA(_xlfn.XLOOKUP(A68,PAGOS!$A$2:$A$996,PAGOS!$E$2:$E$996,""),""),IFNA(_xlfn.XLOOKUP(A68,PAGOS!$A$2:$A$996,PAGOS!$G$2:$G$996,""),""),IFNA(_xlfn.XLOOKUP(A68,PAGOS!$A$2:$A$996,PAGOS!$J$2:$J$996,""),""),IFNA(_xlfn.XLOOKUP(A68,PAGOS!$A$2:$A$996,PAGOS!$M$2:$M$996,""),""),IFNA(_xlfn.XLOOKUP(A68,PAGOS!$A$2:$A$996,PAGOS!$P$2:$P$996,""),""),IFNA(_xlfn.XLOOKUP(A68,PAGOS!$A$2:$A$996,PAGOS!$S$2:$S$996,""),""),IFNA(_xlfn.XLOOKUP(A68,PAGOS!$A$2:$A$996,PAGOS!$V$2:$V$996,""),""),IFNA(_xlfn.XLOOKUP(A68,PAGOS!$A$2:$A$996,PAGOS!$Y$2:$Y$996,""),""),IFNA(_xlfn.XLOOKUP(A68,PAGOS!$A$2:$A$996,PAGOS!$AB$2:$AB$996,""),""),IFNA(_xlfn.XLOOKUP(A68,PAGOS!$A$2:$A$996,PAGOS!$AE$2:$AE$996,""),""),IFNA(_xlfn.XLOOKUP(A68,PAGOS!$A$2:$A$996,PAGOS!$AH$2:$AH$996,""),""),IFNA(_xlfn.XLOOKUP(A68,PAGOS!$A$2:$A$996,PAGOS!$AK$2:$AK$996,""),"")),IF(abonos&gt;0,abonos,pago)))</f>
        <v>800</v>
      </c>
      <c r="E68" s="51" t="str">
        <f>IFERROR(__xludf.DUMMYFUNCTION("IF(A68="""","""",LET(mes,DATE($E$2,MATCH($B$2,'ESTADO CONTABLE'!$A$5:$A$16,0),1),abonos,SUMIFS('ABONOS MENSUALIDADES'!$F$5:$F$500,'ABONOS MENSUALIDADES'!$C$5:$C$500,A68,'ABONOS MENSUALIDADES'!$D$5:$D$500,mes),metodoDirecto,CHOOSE(MATCH($B$2,'ESTADO CONTAB"&amp;"LE'!$A$5:$A$16,0),IF(ISNUMBER(D68),""POR CLASIFICAR"",""""),IFNA(XLOOKUP(A68,PAGOS!$A$2:$A$996,PAGOS!$H$2:$H$996,""""),""""),IFNA(XLOOKUP(A68,PAGOS!$A$2:$A$996,PAGOS!$K$2:$K$996,""""),""""),IFNA(XLOOKUP(A68,PAGOS!$A$2:$A$996,PAGOS!$N$2:$N$996,""""),""""),"&amp;"IFNA(XLOOKUP(A68,PAGOS!$A$2:$A$996,PAGOS!$Q$2:$Q$996,""""),""""),IFNA(XLOOKUP(A68,PAGOS!$A$2:$A$996,PAGOS!$T$2:$T$996,""""),""""),IFNA(XLOOKUP(A68,PAGOS!$A$2:$A$996,PAGOS!$W$2:$W$996,""""),""""),IFNA(XLOOKUP(A68,PAGOS!$A$2:$A$996,PAGOS!$Z$2:$Z$996,""""),"&amp;"""""),IFNA(XLOOKUP(A68,PAGOS!$A$2:$A$996,PAGOS!$AC$2:$AC$996,""""),""""),IFNA(XLOOKUP(A68,PAGOS!$A$2:$A$996,PAGOS!$AF$2:$AF$996,""""),""""),IFNA(XLOOKUP(A68,PAGOS!$A$2:$A$996,PAGOS!$AI$2:$AI$996,""""),""""),IFNA(XLOOKUP(A68,PAGOS!$A$2:$A$996,PAGOS!$AL$2:$"&amp;"AL$996,""""),"""")),IF(abonos&gt;0,IFERROR(TEXTJOIN("" + "",TRUE,UNIQUE(FILTER('ABONOS MENSUALIDADES'!$E$5:$E$500,'ABONOS MENSUALIDADES'!$C$5:$C$500=A68,'ABONOS MENSUALIDADES'!$D$5:$D$500=mes))),""""),metodoDirecto)))"),"EFECTIVO")</f>
        <v>EFECTIVO</v>
      </c>
      <c r="F68" s="51" t="str">
        <f t="array" ref="F68">IF(A68="","",LET(mes,DATE($E$2,MATCH($B$2,'ESTADO CONTABLE'!$A$5:$A$16,0),1),cobrarDesde,IFERROR(INDEX('BASE DE DATOSS'!I:I,ROW()-13),""),pausada,SUMPRODUCT((UPPER(TRIM('PAUSAS MENSUALIDADES'!$A$5:$A$500))=UPPER(TRIM(A68)))*('PAUSAS MENSUALIDADES'!$B$5:$B$500=mes)*(UPPER(TRIM('PAUSAS MENSUALIDADES'!$D$5:$D$500))="APLICAR"))&gt;0,abonoActivo,SUMIFS('ABONOS MENSUALIDADES'!$F$5:$F$500,'ABONOS MENSUALIDADES'!$C$5:$C$500,A68,'ABONOS MENSUALIDADES'!$D$5:$D$500,mes,'ABONOS MENSUALIDADES'!$G$5:$G$500,"&lt;&gt;*CONSOLIDADO EN PAGOS*")&gt;0,esperadaBruta,MAX(IFNA(VLOOKUP(B68,COSTOS!$A$3:$B$13,2,FALSE),0)-150,0),IF(AND(cobrarDesde&lt;&gt;"",mes&lt;cobrarDesde),"AÚN NO INICIA",IF(pausada,"PAUSADA",IF(AND(abonoActivo,COUNTIFS('ABONOS MENSUALIDADES'!$C$5:$C$500,A68,'ABONOS MENSUALIDADES'!$D$5:$D$500,mes,'ABONOS MENSUALIDADES'!$G$5:$G$500,"*MENSUALIDAD LIQUIDADA*")=0),"ABONO",IF(N(D68)&gt;=esperadaBruta,"COBRADA",IF(N(D68)&gt;0,"ABONO","PENDIENTE")))))))</f>
        <v>COBRADA</v>
      </c>
      <c r="G68" s="79">
        <f t="array" ref="G68">IF(A68="","",IFERROR(INDEX('BASE DE DATOSS'!I:I,ROW()-13),""))</f>
        <v>46266</v>
      </c>
    </row>
    <row r="69">
      <c r="A69" s="51" t="str">
        <f t="array" ref="A69">IFERROR(INDEX('BASE DE DATOSS'!A:A,ROW()-13),"")</f>
        <v>RUTH GABRIELA AVILA TERRONES</v>
      </c>
      <c r="B69" s="51" t="str">
        <f t="array" ref="B69">IF(A69="","",IFERROR(INDEX('BASE DE DATOSS'!C:C,ROW()-13),""))</f>
        <v>ADULTS 1</v>
      </c>
      <c r="C69" s="62">
        <f t="array" ref="C69">IF(A69="","",LET(mes,DATE($E$2,MATCH($B$2,'ESTADO CONTABLE'!$A$5:$A$16,0),1),cobrarDesde,IFERROR(INDEX('BASE DE DATOSS'!I:I,ROW()-13),""),pausada,SUMPRODUCT((UPPER(TRIM('PAUSAS MENSUALIDADES'!$A$5:$A$500))=UPPER(TRIM(A69)))*('PAUSAS MENSUALIDADES'!$B$5:$B$500=mes)*(UPPER(TRIM('PAUSAS MENSUALIDADES'!$D$5:$D$500))="APLICAR"))&gt;0,IF(OR(AND(cobrarDesde&lt;&gt;"",mes&lt;cobrarDesde),pausada),0,MAX(IFNA(VLOOKUP(B69,COSTOS!$A$3:$B$13,2,FALSE),0)-150,0)/1.16)))</f>
        <v>991.3793103</v>
      </c>
      <c r="D69" s="62">
        <f t="array" ref="D69">IF(A69="","",LET(mes,DATE($E$2,MATCH($B$2,'ESTADO CONTABLE'!$A$5:$A$16,0),1),abonos,SUMIFS('ABONOS MENSUALIDADES'!$F$5:$F$500,'ABONOS MENSUALIDADES'!$C$5:$C$500,A69,'ABONOS MENSUALIDADES'!$D$5:$D$500,mes),pago,CHOOSE(MATCH($B$2,'ESTADO CONTABLE'!$A$5:$A$16,0),IFNA(_xlfn.XLOOKUP(A69,PAGOS!$A$2:$A$996,PAGOS!$E$2:$E$996,""),""),IFNA(_xlfn.XLOOKUP(A69,PAGOS!$A$2:$A$996,PAGOS!$G$2:$G$996,""),""),IFNA(_xlfn.XLOOKUP(A69,PAGOS!$A$2:$A$996,PAGOS!$J$2:$J$996,""),""),IFNA(_xlfn.XLOOKUP(A69,PAGOS!$A$2:$A$996,PAGOS!$M$2:$M$996,""),""),IFNA(_xlfn.XLOOKUP(A69,PAGOS!$A$2:$A$996,PAGOS!$P$2:$P$996,""),""),IFNA(_xlfn.XLOOKUP(A69,PAGOS!$A$2:$A$996,PAGOS!$S$2:$S$996,""),""),IFNA(_xlfn.XLOOKUP(A69,PAGOS!$A$2:$A$996,PAGOS!$V$2:$V$996,""),""),IFNA(_xlfn.XLOOKUP(A69,PAGOS!$A$2:$A$996,PAGOS!$Y$2:$Y$996,""),""),IFNA(_xlfn.XLOOKUP(A69,PAGOS!$A$2:$A$996,PAGOS!$AB$2:$AB$996,""),""),IFNA(_xlfn.XLOOKUP(A69,PAGOS!$A$2:$A$996,PAGOS!$AE$2:$AE$996,""),""),IFNA(_xlfn.XLOOKUP(A69,PAGOS!$A$2:$A$996,PAGOS!$AH$2:$AH$996,""),""),IFNA(_xlfn.XLOOKUP(A69,PAGOS!$A$2:$A$996,PAGOS!$AK$2:$AK$996,""),"")),IF(abonos&gt;0,abonos,pago)))</f>
        <v>1150</v>
      </c>
      <c r="E69" s="51" t="str">
        <f>IFERROR(__xludf.DUMMYFUNCTION("IF(A69="""","""",LET(mes,DATE($E$2,MATCH($B$2,'ESTADO CONTABLE'!$A$5:$A$16,0),1),abonos,SUMIFS('ABONOS MENSUALIDADES'!$F$5:$F$500,'ABONOS MENSUALIDADES'!$C$5:$C$500,A69,'ABONOS MENSUALIDADES'!$D$5:$D$500,mes),metodoDirecto,CHOOSE(MATCH($B$2,'ESTADO CONTAB"&amp;"LE'!$A$5:$A$16,0),IF(ISNUMBER(D69),""POR CLASIFICAR"",""""),IFNA(XLOOKUP(A69,PAGOS!$A$2:$A$996,PAGOS!$H$2:$H$996,""""),""""),IFNA(XLOOKUP(A69,PAGOS!$A$2:$A$996,PAGOS!$K$2:$K$996,""""),""""),IFNA(XLOOKUP(A69,PAGOS!$A$2:$A$996,PAGOS!$N$2:$N$996,""""),""""),"&amp;"IFNA(XLOOKUP(A69,PAGOS!$A$2:$A$996,PAGOS!$Q$2:$Q$996,""""),""""),IFNA(XLOOKUP(A69,PAGOS!$A$2:$A$996,PAGOS!$T$2:$T$996,""""),""""),IFNA(XLOOKUP(A69,PAGOS!$A$2:$A$996,PAGOS!$W$2:$W$996,""""),""""),IFNA(XLOOKUP(A69,PAGOS!$A$2:$A$996,PAGOS!$Z$2:$Z$996,""""),"&amp;"""""),IFNA(XLOOKUP(A69,PAGOS!$A$2:$A$996,PAGOS!$AC$2:$AC$996,""""),""""),IFNA(XLOOKUP(A69,PAGOS!$A$2:$A$996,PAGOS!$AF$2:$AF$996,""""),""""),IFNA(XLOOKUP(A69,PAGOS!$A$2:$A$996,PAGOS!$AI$2:$AI$996,""""),""""),IFNA(XLOOKUP(A69,PAGOS!$A$2:$A$996,PAGOS!$AL$2:$"&amp;"AL$996,""""),"""")),IF(abonos&gt;0,IFERROR(TEXTJOIN("" + "",TRUE,UNIQUE(FILTER('ABONOS MENSUALIDADES'!$E$5:$E$500,'ABONOS MENSUALIDADES'!$C$5:$C$500=A69,'ABONOS MENSUALIDADES'!$D$5:$D$500=mes))),""""),metodoDirecto)))"),"EFECTIVO")</f>
        <v>EFECTIVO</v>
      </c>
      <c r="F69" s="51" t="str">
        <f t="array" ref="F69">IF(A69="","",LET(mes,DATE($E$2,MATCH($B$2,'ESTADO CONTABLE'!$A$5:$A$16,0),1),cobrarDesde,IFERROR(INDEX('BASE DE DATOSS'!I:I,ROW()-13),""),pausada,SUMPRODUCT((UPPER(TRIM('PAUSAS MENSUALIDADES'!$A$5:$A$500))=UPPER(TRIM(A69)))*('PAUSAS MENSUALIDADES'!$B$5:$B$500=mes)*(UPPER(TRIM('PAUSAS MENSUALIDADES'!$D$5:$D$500))="APLICAR"))&gt;0,abonoActivo,SUMIFS('ABONOS MENSUALIDADES'!$F$5:$F$500,'ABONOS MENSUALIDADES'!$C$5:$C$500,A69,'ABONOS MENSUALIDADES'!$D$5:$D$500,mes,'ABONOS MENSUALIDADES'!$G$5:$G$500,"&lt;&gt;*CONSOLIDADO EN PAGOS*")&gt;0,esperadaBruta,MAX(IFNA(VLOOKUP(B69,COSTOS!$A$3:$B$13,2,FALSE),0)-150,0),IF(AND(cobrarDesde&lt;&gt;"",mes&lt;cobrarDesde),"AÚN NO INICIA",IF(pausada,"PAUSADA",IF(AND(abonoActivo,COUNTIFS('ABONOS MENSUALIDADES'!$C$5:$C$500,A69,'ABONOS MENSUALIDADES'!$D$5:$D$500,mes,'ABONOS MENSUALIDADES'!$G$5:$G$500,"*MENSUALIDAD LIQUIDADA*")=0),"ABONO",IF(N(D69)&gt;=esperadaBruta,"COBRADA",IF(N(D69)&gt;0,"ABONO","PENDIENTE")))))))</f>
        <v>COBRADA</v>
      </c>
      <c r="G69" s="79">
        <f t="array" ref="G69">IF(A69="","",IFERROR(INDEX('BASE DE DATOSS'!I:I,ROW()-13),""))</f>
        <v>46266</v>
      </c>
    </row>
    <row r="70">
      <c r="A70" s="51" t="str">
        <f t="array" ref="A70">IFERROR(INDEX('BASE DE DATOSS'!A:A,ROW()-13),"")</f>
        <v>PAOLA REGINA GARCIA CONTRERAS</v>
      </c>
      <c r="B70" s="51" t="str">
        <f t="array" ref="B70">IF(A70="","",IFERROR(INDEX('BASE DE DATOSS'!C:C,ROW()-13),""))</f>
        <v>SABATINO</v>
      </c>
      <c r="C70" s="62">
        <f t="array" ref="C70">IF(A70="","",LET(mes,DATE($E$2,MATCH($B$2,'ESTADO CONTABLE'!$A$5:$A$16,0),1),cobrarDesde,IFERROR(INDEX('BASE DE DATOSS'!I:I,ROW()-13),""),pausada,SUMPRODUCT((UPPER(TRIM('PAUSAS MENSUALIDADES'!$A$5:$A$500))=UPPER(TRIM(A70)))*('PAUSAS MENSUALIDADES'!$B$5:$B$500=mes)*(UPPER(TRIM('PAUSAS MENSUALIDADES'!$D$5:$D$500))="APLICAR"))&gt;0,IF(OR(AND(cobrarDesde&lt;&gt;"",mes&lt;cobrarDesde),pausada),0,MAX(IFNA(VLOOKUP(B70,COSTOS!$A$3:$B$13,2,FALSE),0)-150,0)/1.16)))</f>
        <v>474.137931</v>
      </c>
      <c r="D70" s="62">
        <f t="array" ref="D70">IF(A70="","",LET(mes,DATE($E$2,MATCH($B$2,'ESTADO CONTABLE'!$A$5:$A$16,0),1),abonos,SUMIFS('ABONOS MENSUALIDADES'!$F$5:$F$500,'ABONOS MENSUALIDADES'!$C$5:$C$500,A70,'ABONOS MENSUALIDADES'!$D$5:$D$500,mes),pago,CHOOSE(MATCH($B$2,'ESTADO CONTABLE'!$A$5:$A$16,0),IFNA(_xlfn.XLOOKUP(A70,PAGOS!$A$2:$A$996,PAGOS!$E$2:$E$996,""),""),IFNA(_xlfn.XLOOKUP(A70,PAGOS!$A$2:$A$996,PAGOS!$G$2:$G$996,""),""),IFNA(_xlfn.XLOOKUP(A70,PAGOS!$A$2:$A$996,PAGOS!$J$2:$J$996,""),""),IFNA(_xlfn.XLOOKUP(A70,PAGOS!$A$2:$A$996,PAGOS!$M$2:$M$996,""),""),IFNA(_xlfn.XLOOKUP(A70,PAGOS!$A$2:$A$996,PAGOS!$P$2:$P$996,""),""),IFNA(_xlfn.XLOOKUP(A70,PAGOS!$A$2:$A$996,PAGOS!$S$2:$S$996,""),""),IFNA(_xlfn.XLOOKUP(A70,PAGOS!$A$2:$A$996,PAGOS!$V$2:$V$996,""),""),IFNA(_xlfn.XLOOKUP(A70,PAGOS!$A$2:$A$996,PAGOS!$Y$2:$Y$996,""),""),IFNA(_xlfn.XLOOKUP(A70,PAGOS!$A$2:$A$996,PAGOS!$AB$2:$AB$996,""),""),IFNA(_xlfn.XLOOKUP(A70,PAGOS!$A$2:$A$996,PAGOS!$AE$2:$AE$996,""),""),IFNA(_xlfn.XLOOKUP(A70,PAGOS!$A$2:$A$996,PAGOS!$AH$2:$AH$996,""),""),IFNA(_xlfn.XLOOKUP(A70,PAGOS!$A$2:$A$996,PAGOS!$AK$2:$AK$996,""),"")),IF(abonos&gt;0,abonos,pago)))</f>
        <v>550</v>
      </c>
      <c r="E70" s="51" t="str">
        <f>IFERROR(__xludf.DUMMYFUNCTION("IF(A70="""","""",LET(mes,DATE($E$2,MATCH($B$2,'ESTADO CONTABLE'!$A$5:$A$16,0),1),abonos,SUMIFS('ABONOS MENSUALIDADES'!$F$5:$F$500,'ABONOS MENSUALIDADES'!$C$5:$C$500,A70,'ABONOS MENSUALIDADES'!$D$5:$D$500,mes),metodoDirecto,CHOOSE(MATCH($B$2,'ESTADO CONTAB"&amp;"LE'!$A$5:$A$16,0),IF(ISNUMBER(D70),""POR CLASIFICAR"",""""),IFNA(XLOOKUP(A70,PAGOS!$A$2:$A$996,PAGOS!$H$2:$H$996,""""),""""),IFNA(XLOOKUP(A70,PAGOS!$A$2:$A$996,PAGOS!$K$2:$K$996,""""),""""),IFNA(XLOOKUP(A70,PAGOS!$A$2:$A$996,PAGOS!$N$2:$N$996,""""),""""),"&amp;"IFNA(XLOOKUP(A70,PAGOS!$A$2:$A$996,PAGOS!$Q$2:$Q$996,""""),""""),IFNA(XLOOKUP(A70,PAGOS!$A$2:$A$996,PAGOS!$T$2:$T$996,""""),""""),IFNA(XLOOKUP(A70,PAGOS!$A$2:$A$996,PAGOS!$W$2:$W$996,""""),""""),IFNA(XLOOKUP(A70,PAGOS!$A$2:$A$996,PAGOS!$Z$2:$Z$996,""""),"&amp;"""""),IFNA(XLOOKUP(A70,PAGOS!$A$2:$A$996,PAGOS!$AC$2:$AC$996,""""),""""),IFNA(XLOOKUP(A70,PAGOS!$A$2:$A$996,PAGOS!$AF$2:$AF$996,""""),""""),IFNA(XLOOKUP(A70,PAGOS!$A$2:$A$996,PAGOS!$AI$2:$AI$996,""""),""""),IFNA(XLOOKUP(A70,PAGOS!$A$2:$A$996,PAGOS!$AL$2:$"&amp;"AL$996,""""),"""")),IF(abonos&gt;0,IFERROR(TEXTJOIN("" + "",TRUE,UNIQUE(FILTER('ABONOS MENSUALIDADES'!$E$5:$E$500,'ABONOS MENSUALIDADES'!$C$5:$C$500=A70,'ABONOS MENSUALIDADES'!$D$5:$D$500=mes))),""""),metodoDirecto)))"),"TRANSFERENCIA")</f>
        <v>TRANSFERENCIA</v>
      </c>
      <c r="F70" s="51" t="str">
        <f t="array" ref="F70">IF(A70="","",LET(mes,DATE($E$2,MATCH($B$2,'ESTADO CONTABLE'!$A$5:$A$16,0),1),cobrarDesde,IFERROR(INDEX('BASE DE DATOSS'!I:I,ROW()-13),""),pausada,SUMPRODUCT((UPPER(TRIM('PAUSAS MENSUALIDADES'!$A$5:$A$500))=UPPER(TRIM(A70)))*('PAUSAS MENSUALIDADES'!$B$5:$B$500=mes)*(UPPER(TRIM('PAUSAS MENSUALIDADES'!$D$5:$D$500))="APLICAR"))&gt;0,abonoActivo,SUMIFS('ABONOS MENSUALIDADES'!$F$5:$F$500,'ABONOS MENSUALIDADES'!$C$5:$C$500,A70,'ABONOS MENSUALIDADES'!$D$5:$D$500,mes,'ABONOS MENSUALIDADES'!$G$5:$G$500,"&lt;&gt;*CONSOLIDADO EN PAGOS*")&gt;0,esperadaBruta,MAX(IFNA(VLOOKUP(B70,COSTOS!$A$3:$B$13,2,FALSE),0)-150,0),IF(AND(cobrarDesde&lt;&gt;"",mes&lt;cobrarDesde),"AÚN NO INICIA",IF(pausada,"PAUSADA",IF(AND(abonoActivo,COUNTIFS('ABONOS MENSUALIDADES'!$C$5:$C$500,A70,'ABONOS MENSUALIDADES'!$D$5:$D$500,mes,'ABONOS MENSUALIDADES'!$G$5:$G$500,"*MENSUALIDAD LIQUIDADA*")=0),"ABONO",IF(N(D70)&gt;=esperadaBruta,"COBRADA",IF(N(D70)&gt;0,"ABONO","PENDIENTE")))))))</f>
        <v>COBRADA</v>
      </c>
      <c r="G70" s="79">
        <f t="array" ref="G70">IF(A70="","",IFERROR(INDEX('BASE DE DATOSS'!I:I,ROW()-13),""))</f>
        <v>46266</v>
      </c>
    </row>
    <row r="71">
      <c r="A71" s="51" t="str">
        <f t="array" ref="A71">IFERROR(INDEX('BASE DE DATOSS'!A:A,ROW()-13),"")</f>
        <v>ISABELLA ASCENCIO DIAZ</v>
      </c>
      <c r="B71" s="51" t="str">
        <f t="array" ref="B71">IF(A71="","",IFERROR(INDEX('BASE DE DATOSS'!C:C,ROW()-13),""))</f>
        <v>KIDS 2</v>
      </c>
      <c r="C71" s="62">
        <f t="array" ref="C71">IF(A71="","",LET(mes,DATE($E$2,MATCH($B$2,'ESTADO CONTABLE'!$A$5:$A$16,0),1),cobrarDesde,IFERROR(INDEX('BASE DE DATOSS'!I:I,ROW()-13),""),pausada,SUMPRODUCT((UPPER(TRIM('PAUSAS MENSUALIDADES'!$A$5:$A$500))=UPPER(TRIM(A71)))*('PAUSAS MENSUALIDADES'!$B$5:$B$500=mes)*(UPPER(TRIM('PAUSAS MENSUALIDADES'!$D$5:$D$500))="APLICAR"))&gt;0,IF(OR(AND(cobrarDesde&lt;&gt;"",mes&lt;cobrarDesde),pausada),0,MAX(IFNA(VLOOKUP(B71,COSTOS!$A$3:$B$13,2,FALSE),0)-150,0)/1.16)))</f>
        <v>689.6551724</v>
      </c>
      <c r="D71" s="62">
        <f t="array" ref="D71">IF(A71="","",LET(mes,DATE($E$2,MATCH($B$2,'ESTADO CONTABLE'!$A$5:$A$16,0),1),abonos,SUMIFS('ABONOS MENSUALIDADES'!$F$5:$F$500,'ABONOS MENSUALIDADES'!$C$5:$C$500,A71,'ABONOS MENSUALIDADES'!$D$5:$D$500,mes),pago,CHOOSE(MATCH($B$2,'ESTADO CONTABLE'!$A$5:$A$16,0),IFNA(_xlfn.XLOOKUP(A71,PAGOS!$A$2:$A$996,PAGOS!$E$2:$E$996,""),""),IFNA(_xlfn.XLOOKUP(A71,PAGOS!$A$2:$A$996,PAGOS!$G$2:$G$996,""),""),IFNA(_xlfn.XLOOKUP(A71,PAGOS!$A$2:$A$996,PAGOS!$J$2:$J$996,""),""),IFNA(_xlfn.XLOOKUP(A71,PAGOS!$A$2:$A$996,PAGOS!$M$2:$M$996,""),""),IFNA(_xlfn.XLOOKUP(A71,PAGOS!$A$2:$A$996,PAGOS!$P$2:$P$996,""),""),IFNA(_xlfn.XLOOKUP(A71,PAGOS!$A$2:$A$996,PAGOS!$S$2:$S$996,""),""),IFNA(_xlfn.XLOOKUP(A71,PAGOS!$A$2:$A$996,PAGOS!$V$2:$V$996,""),""),IFNA(_xlfn.XLOOKUP(A71,PAGOS!$A$2:$A$996,PAGOS!$Y$2:$Y$996,""),""),IFNA(_xlfn.XLOOKUP(A71,PAGOS!$A$2:$A$996,PAGOS!$AB$2:$AB$996,""),""),IFNA(_xlfn.XLOOKUP(A71,PAGOS!$A$2:$A$996,PAGOS!$AE$2:$AE$996,""),""),IFNA(_xlfn.XLOOKUP(A71,PAGOS!$A$2:$A$996,PAGOS!$AH$2:$AH$996,""),""),IFNA(_xlfn.XLOOKUP(A71,PAGOS!$A$2:$A$996,PAGOS!$AK$2:$AK$996,""),"")),IF(abonos&gt;0,abonos,pago)))</f>
        <v>800</v>
      </c>
      <c r="E71" s="51" t="str">
        <f>IFERROR(__xludf.DUMMYFUNCTION("IF(A71="""","""",LET(mes,DATE($E$2,MATCH($B$2,'ESTADO CONTABLE'!$A$5:$A$16,0),1),abonos,SUMIFS('ABONOS MENSUALIDADES'!$F$5:$F$500,'ABONOS MENSUALIDADES'!$C$5:$C$500,A71,'ABONOS MENSUALIDADES'!$D$5:$D$500,mes),metodoDirecto,CHOOSE(MATCH($B$2,'ESTADO CONTAB"&amp;"LE'!$A$5:$A$16,0),IF(ISNUMBER(D71),""POR CLASIFICAR"",""""),IFNA(XLOOKUP(A71,PAGOS!$A$2:$A$996,PAGOS!$H$2:$H$996,""""),""""),IFNA(XLOOKUP(A71,PAGOS!$A$2:$A$996,PAGOS!$K$2:$K$996,""""),""""),IFNA(XLOOKUP(A71,PAGOS!$A$2:$A$996,PAGOS!$N$2:$N$996,""""),""""),"&amp;"IFNA(XLOOKUP(A71,PAGOS!$A$2:$A$996,PAGOS!$Q$2:$Q$996,""""),""""),IFNA(XLOOKUP(A71,PAGOS!$A$2:$A$996,PAGOS!$T$2:$T$996,""""),""""),IFNA(XLOOKUP(A71,PAGOS!$A$2:$A$996,PAGOS!$W$2:$W$996,""""),""""),IFNA(XLOOKUP(A71,PAGOS!$A$2:$A$996,PAGOS!$Z$2:$Z$996,""""),"&amp;"""""),IFNA(XLOOKUP(A71,PAGOS!$A$2:$A$996,PAGOS!$AC$2:$AC$996,""""),""""),IFNA(XLOOKUP(A71,PAGOS!$A$2:$A$996,PAGOS!$AF$2:$AF$996,""""),""""),IFNA(XLOOKUP(A71,PAGOS!$A$2:$A$996,PAGOS!$AI$2:$AI$996,""""),""""),IFNA(XLOOKUP(A71,PAGOS!$A$2:$A$996,PAGOS!$AL$2:$"&amp;"AL$996,""""),"""")),IF(abonos&gt;0,IFERROR(TEXTJOIN("" + "",TRUE,UNIQUE(FILTER('ABONOS MENSUALIDADES'!$E$5:$E$500,'ABONOS MENSUALIDADES'!$C$5:$C$500=A71,'ABONOS MENSUALIDADES'!$D$5:$D$500=mes))),""""),metodoDirecto)))"),"TRANSFERENCIA")</f>
        <v>TRANSFERENCIA</v>
      </c>
      <c r="F71" s="51" t="str">
        <f t="array" ref="F71">IF(A71="","",LET(mes,DATE($E$2,MATCH($B$2,'ESTADO CONTABLE'!$A$5:$A$16,0),1),cobrarDesde,IFERROR(INDEX('BASE DE DATOSS'!I:I,ROW()-13),""),pausada,SUMPRODUCT((UPPER(TRIM('PAUSAS MENSUALIDADES'!$A$5:$A$500))=UPPER(TRIM(A71)))*('PAUSAS MENSUALIDADES'!$B$5:$B$500=mes)*(UPPER(TRIM('PAUSAS MENSUALIDADES'!$D$5:$D$500))="APLICAR"))&gt;0,abonoActivo,SUMIFS('ABONOS MENSUALIDADES'!$F$5:$F$500,'ABONOS MENSUALIDADES'!$C$5:$C$500,A71,'ABONOS MENSUALIDADES'!$D$5:$D$500,mes,'ABONOS MENSUALIDADES'!$G$5:$G$500,"&lt;&gt;*CONSOLIDADO EN PAGOS*")&gt;0,esperadaBruta,MAX(IFNA(VLOOKUP(B71,COSTOS!$A$3:$B$13,2,FALSE),0)-150,0),IF(AND(cobrarDesde&lt;&gt;"",mes&lt;cobrarDesde),"AÚN NO INICIA",IF(pausada,"PAUSADA",IF(AND(abonoActivo,COUNTIFS('ABONOS MENSUALIDADES'!$C$5:$C$500,A71,'ABONOS MENSUALIDADES'!$D$5:$D$500,mes,'ABONOS MENSUALIDADES'!$G$5:$G$500,"*MENSUALIDAD LIQUIDADA*")=0),"ABONO",IF(N(D71)&gt;=esperadaBruta,"COBRADA",IF(N(D71)&gt;0,"ABONO","PENDIENTE")))))))</f>
        <v>COBRADA</v>
      </c>
      <c r="G71" s="79">
        <f t="array" ref="G71">IF(A71="","",IFERROR(INDEX('BASE DE DATOSS'!I:I,ROW()-13),""))</f>
        <v>46266</v>
      </c>
    </row>
    <row r="72">
      <c r="A72" s="51" t="str">
        <f t="array" ref="A72">IFERROR(INDEX('BASE DE DATOSS'!A:A,ROW()-13),"")</f>
        <v>NAVABI IZEL ARREGUIN CARRILLO</v>
      </c>
      <c r="B72" s="51" t="str">
        <f t="array" ref="B72">IF(A72="","",IFERROR(INDEX('BASE DE DATOSS'!C:C,ROW()-13),""))</f>
        <v>KIDS 3</v>
      </c>
      <c r="C72" s="62">
        <f t="array" ref="C72">IF(A72="","",LET(mes,DATE($E$2,MATCH($B$2,'ESTADO CONTABLE'!$A$5:$A$16,0),1),cobrarDesde,IFERROR(INDEX('BASE DE DATOSS'!I:I,ROW()-13),""),pausada,SUMPRODUCT((UPPER(TRIM('PAUSAS MENSUALIDADES'!$A$5:$A$500))=UPPER(TRIM(A72)))*('PAUSAS MENSUALIDADES'!$B$5:$B$500=mes)*(UPPER(TRIM('PAUSAS MENSUALIDADES'!$D$5:$D$500))="APLICAR"))&gt;0,IF(OR(AND(cobrarDesde&lt;&gt;"",mes&lt;cobrarDesde),pausada),0,MAX(IFNA(VLOOKUP(B72,COSTOS!$A$3:$B$13,2,FALSE),0)-150,0)/1.16)))</f>
        <v>689.6551724</v>
      </c>
      <c r="D72" s="62">
        <f t="array" ref="D72">IF(A72="","",LET(mes,DATE($E$2,MATCH($B$2,'ESTADO CONTABLE'!$A$5:$A$16,0),1),abonos,SUMIFS('ABONOS MENSUALIDADES'!$F$5:$F$500,'ABONOS MENSUALIDADES'!$C$5:$C$500,A72,'ABONOS MENSUALIDADES'!$D$5:$D$500,mes),pago,CHOOSE(MATCH($B$2,'ESTADO CONTABLE'!$A$5:$A$16,0),IFNA(_xlfn.XLOOKUP(A72,PAGOS!$A$2:$A$996,PAGOS!$E$2:$E$996,""),""),IFNA(_xlfn.XLOOKUP(A72,PAGOS!$A$2:$A$996,PAGOS!$G$2:$G$996,""),""),IFNA(_xlfn.XLOOKUP(A72,PAGOS!$A$2:$A$996,PAGOS!$J$2:$J$996,""),""),IFNA(_xlfn.XLOOKUP(A72,PAGOS!$A$2:$A$996,PAGOS!$M$2:$M$996,""),""),IFNA(_xlfn.XLOOKUP(A72,PAGOS!$A$2:$A$996,PAGOS!$P$2:$P$996,""),""),IFNA(_xlfn.XLOOKUP(A72,PAGOS!$A$2:$A$996,PAGOS!$S$2:$S$996,""),""),IFNA(_xlfn.XLOOKUP(A72,PAGOS!$A$2:$A$996,PAGOS!$V$2:$V$996,""),""),IFNA(_xlfn.XLOOKUP(A72,PAGOS!$A$2:$A$996,PAGOS!$Y$2:$Y$996,""),""),IFNA(_xlfn.XLOOKUP(A72,PAGOS!$A$2:$A$996,PAGOS!$AB$2:$AB$996,""),""),IFNA(_xlfn.XLOOKUP(A72,PAGOS!$A$2:$A$996,PAGOS!$AE$2:$AE$996,""),""),IFNA(_xlfn.XLOOKUP(A72,PAGOS!$A$2:$A$996,PAGOS!$AH$2:$AH$996,""),""),IFNA(_xlfn.XLOOKUP(A72,PAGOS!$A$2:$A$996,PAGOS!$AK$2:$AK$996,""),"")),IF(abonos&gt;0,abonos,pago)))</f>
        <v>800</v>
      </c>
      <c r="E72" s="51" t="str">
        <f>IFERROR(__xludf.DUMMYFUNCTION("IF(A72="""","""",LET(mes,DATE($E$2,MATCH($B$2,'ESTADO CONTABLE'!$A$5:$A$16,0),1),abonos,SUMIFS('ABONOS MENSUALIDADES'!$F$5:$F$500,'ABONOS MENSUALIDADES'!$C$5:$C$500,A72,'ABONOS MENSUALIDADES'!$D$5:$D$500,mes),metodoDirecto,CHOOSE(MATCH($B$2,'ESTADO CONTAB"&amp;"LE'!$A$5:$A$16,0),IF(ISNUMBER(D72),""POR CLASIFICAR"",""""),IFNA(XLOOKUP(A72,PAGOS!$A$2:$A$996,PAGOS!$H$2:$H$996,""""),""""),IFNA(XLOOKUP(A72,PAGOS!$A$2:$A$996,PAGOS!$K$2:$K$996,""""),""""),IFNA(XLOOKUP(A72,PAGOS!$A$2:$A$996,PAGOS!$N$2:$N$996,""""),""""),"&amp;"IFNA(XLOOKUP(A72,PAGOS!$A$2:$A$996,PAGOS!$Q$2:$Q$996,""""),""""),IFNA(XLOOKUP(A72,PAGOS!$A$2:$A$996,PAGOS!$T$2:$T$996,""""),""""),IFNA(XLOOKUP(A72,PAGOS!$A$2:$A$996,PAGOS!$W$2:$W$996,""""),""""),IFNA(XLOOKUP(A72,PAGOS!$A$2:$A$996,PAGOS!$Z$2:$Z$996,""""),"&amp;"""""),IFNA(XLOOKUP(A72,PAGOS!$A$2:$A$996,PAGOS!$AC$2:$AC$996,""""),""""),IFNA(XLOOKUP(A72,PAGOS!$A$2:$A$996,PAGOS!$AF$2:$AF$996,""""),""""),IFNA(XLOOKUP(A72,PAGOS!$A$2:$A$996,PAGOS!$AI$2:$AI$996,""""),""""),IFNA(XLOOKUP(A72,PAGOS!$A$2:$A$996,PAGOS!$AL$2:$"&amp;"AL$996,""""),"""")),IF(abonos&gt;0,IFERROR(TEXTJOIN("" + "",TRUE,UNIQUE(FILTER('ABONOS MENSUALIDADES'!$E$5:$E$500,'ABONOS MENSUALIDADES'!$C$5:$C$500=A72,'ABONOS MENSUALIDADES'!$D$5:$D$500=mes))),""""),metodoDirecto)))"),"EFECTIVO")</f>
        <v>EFECTIVO</v>
      </c>
      <c r="F72" s="51" t="str">
        <f t="array" ref="F72">IF(A72="","",LET(mes,DATE($E$2,MATCH($B$2,'ESTADO CONTABLE'!$A$5:$A$16,0),1),cobrarDesde,IFERROR(INDEX('BASE DE DATOSS'!I:I,ROW()-13),""),pausada,SUMPRODUCT((UPPER(TRIM('PAUSAS MENSUALIDADES'!$A$5:$A$500))=UPPER(TRIM(A72)))*('PAUSAS MENSUALIDADES'!$B$5:$B$500=mes)*(UPPER(TRIM('PAUSAS MENSUALIDADES'!$D$5:$D$500))="APLICAR"))&gt;0,abonoActivo,SUMIFS('ABONOS MENSUALIDADES'!$F$5:$F$500,'ABONOS MENSUALIDADES'!$C$5:$C$500,A72,'ABONOS MENSUALIDADES'!$D$5:$D$500,mes,'ABONOS MENSUALIDADES'!$G$5:$G$500,"&lt;&gt;*CONSOLIDADO EN PAGOS*")&gt;0,esperadaBruta,MAX(IFNA(VLOOKUP(B72,COSTOS!$A$3:$B$13,2,FALSE),0)-150,0),IF(AND(cobrarDesde&lt;&gt;"",mes&lt;cobrarDesde),"AÚN NO INICIA",IF(pausada,"PAUSADA",IF(AND(abonoActivo,COUNTIFS('ABONOS MENSUALIDADES'!$C$5:$C$500,A72,'ABONOS MENSUALIDADES'!$D$5:$D$500,mes,'ABONOS MENSUALIDADES'!$G$5:$G$500,"*MENSUALIDAD LIQUIDADA*")=0),"ABONO",IF(N(D72)&gt;=esperadaBruta,"COBRADA",IF(N(D72)&gt;0,"ABONO","PENDIENTE")))))))</f>
        <v>COBRADA</v>
      </c>
      <c r="G72" s="79">
        <f t="array" ref="G72">IF(A72="","",IFERROR(INDEX('BASE DE DATOSS'!I:I,ROW()-13),""))</f>
        <v>46266</v>
      </c>
    </row>
    <row r="73">
      <c r="A73" s="51" t="str">
        <f t="array" ref="A73">IFERROR(INDEX('BASE DE DATOSS'!A:A,ROW()-13),"")</f>
        <v>ANA PAULA ARCE GARCIA</v>
      </c>
      <c r="B73" s="51" t="str">
        <f t="array" ref="B73">IF(A73="","",IFERROR(INDEX('BASE DE DATOSS'!C:C,ROW()-13),""))</f>
        <v>KIDS 3</v>
      </c>
      <c r="C73" s="62">
        <f t="array" ref="C73">IF(A73="","",LET(mes,DATE($E$2,MATCH($B$2,'ESTADO CONTABLE'!$A$5:$A$16,0),1),cobrarDesde,IFERROR(INDEX('BASE DE DATOSS'!I:I,ROW()-13),""),pausada,SUMPRODUCT((UPPER(TRIM('PAUSAS MENSUALIDADES'!$A$5:$A$500))=UPPER(TRIM(A73)))*('PAUSAS MENSUALIDADES'!$B$5:$B$500=mes)*(UPPER(TRIM('PAUSAS MENSUALIDADES'!$D$5:$D$500))="APLICAR"))&gt;0,IF(OR(AND(cobrarDesde&lt;&gt;"",mes&lt;cobrarDesde),pausada),0,MAX(IFNA(VLOOKUP(B73,COSTOS!$A$3:$B$13,2,FALSE),0)-150,0)/1.16)))</f>
        <v>689.6551724</v>
      </c>
      <c r="D73" s="62">
        <f t="array" ref="D73">IF(A73="","",LET(mes,DATE($E$2,MATCH($B$2,'ESTADO CONTABLE'!$A$5:$A$16,0),1),abonos,SUMIFS('ABONOS MENSUALIDADES'!$F$5:$F$500,'ABONOS MENSUALIDADES'!$C$5:$C$500,A73,'ABONOS MENSUALIDADES'!$D$5:$D$500,mes),pago,CHOOSE(MATCH($B$2,'ESTADO CONTABLE'!$A$5:$A$16,0),IFNA(_xlfn.XLOOKUP(A73,PAGOS!$A$2:$A$996,PAGOS!$E$2:$E$996,""),""),IFNA(_xlfn.XLOOKUP(A73,PAGOS!$A$2:$A$996,PAGOS!$G$2:$G$996,""),""),IFNA(_xlfn.XLOOKUP(A73,PAGOS!$A$2:$A$996,PAGOS!$J$2:$J$996,""),""),IFNA(_xlfn.XLOOKUP(A73,PAGOS!$A$2:$A$996,PAGOS!$M$2:$M$996,""),""),IFNA(_xlfn.XLOOKUP(A73,PAGOS!$A$2:$A$996,PAGOS!$P$2:$P$996,""),""),IFNA(_xlfn.XLOOKUP(A73,PAGOS!$A$2:$A$996,PAGOS!$S$2:$S$996,""),""),IFNA(_xlfn.XLOOKUP(A73,PAGOS!$A$2:$A$996,PAGOS!$V$2:$V$996,""),""),IFNA(_xlfn.XLOOKUP(A73,PAGOS!$A$2:$A$996,PAGOS!$Y$2:$Y$996,""),""),IFNA(_xlfn.XLOOKUP(A73,PAGOS!$A$2:$A$996,PAGOS!$AB$2:$AB$996,""),""),IFNA(_xlfn.XLOOKUP(A73,PAGOS!$A$2:$A$996,PAGOS!$AE$2:$AE$996,""),""),IFNA(_xlfn.XLOOKUP(A73,PAGOS!$A$2:$A$996,PAGOS!$AH$2:$AH$996,""),""),IFNA(_xlfn.XLOOKUP(A73,PAGOS!$A$2:$A$996,PAGOS!$AK$2:$AK$996,""),"")),IF(abonos&gt;0,abonos,pago)))</f>
        <v>800</v>
      </c>
      <c r="E73" s="51" t="str">
        <f>IFERROR(__xludf.DUMMYFUNCTION("IF(A73="""","""",LET(mes,DATE($E$2,MATCH($B$2,'ESTADO CONTABLE'!$A$5:$A$16,0),1),abonos,SUMIFS('ABONOS MENSUALIDADES'!$F$5:$F$500,'ABONOS MENSUALIDADES'!$C$5:$C$500,A73,'ABONOS MENSUALIDADES'!$D$5:$D$500,mes),metodoDirecto,CHOOSE(MATCH($B$2,'ESTADO CONTAB"&amp;"LE'!$A$5:$A$16,0),IF(ISNUMBER(D73),""POR CLASIFICAR"",""""),IFNA(XLOOKUP(A73,PAGOS!$A$2:$A$996,PAGOS!$H$2:$H$996,""""),""""),IFNA(XLOOKUP(A73,PAGOS!$A$2:$A$996,PAGOS!$K$2:$K$996,""""),""""),IFNA(XLOOKUP(A73,PAGOS!$A$2:$A$996,PAGOS!$N$2:$N$996,""""),""""),"&amp;"IFNA(XLOOKUP(A73,PAGOS!$A$2:$A$996,PAGOS!$Q$2:$Q$996,""""),""""),IFNA(XLOOKUP(A73,PAGOS!$A$2:$A$996,PAGOS!$T$2:$T$996,""""),""""),IFNA(XLOOKUP(A73,PAGOS!$A$2:$A$996,PAGOS!$W$2:$W$996,""""),""""),IFNA(XLOOKUP(A73,PAGOS!$A$2:$A$996,PAGOS!$Z$2:$Z$996,""""),"&amp;"""""),IFNA(XLOOKUP(A73,PAGOS!$A$2:$A$996,PAGOS!$AC$2:$AC$996,""""),""""),IFNA(XLOOKUP(A73,PAGOS!$A$2:$A$996,PAGOS!$AF$2:$AF$996,""""),""""),IFNA(XLOOKUP(A73,PAGOS!$A$2:$A$996,PAGOS!$AI$2:$AI$996,""""),""""),IFNA(XLOOKUP(A73,PAGOS!$A$2:$A$996,PAGOS!$AL$2:$"&amp;"AL$996,""""),"""")),IF(abonos&gt;0,IFERROR(TEXTJOIN("" + "",TRUE,UNIQUE(FILTER('ABONOS MENSUALIDADES'!$E$5:$E$500,'ABONOS MENSUALIDADES'!$C$5:$C$500=A73,'ABONOS MENSUALIDADES'!$D$5:$D$500=mes))),""""),metodoDirecto)))"),"EFECTIVO")</f>
        <v>EFECTIVO</v>
      </c>
      <c r="F73" s="51" t="str">
        <f t="array" ref="F73">IF(A73="","",LET(mes,DATE($E$2,MATCH($B$2,'ESTADO CONTABLE'!$A$5:$A$16,0),1),cobrarDesde,IFERROR(INDEX('BASE DE DATOSS'!I:I,ROW()-13),""),pausada,SUMPRODUCT((UPPER(TRIM('PAUSAS MENSUALIDADES'!$A$5:$A$500))=UPPER(TRIM(A73)))*('PAUSAS MENSUALIDADES'!$B$5:$B$500=mes)*(UPPER(TRIM('PAUSAS MENSUALIDADES'!$D$5:$D$500))="APLICAR"))&gt;0,abonoActivo,SUMIFS('ABONOS MENSUALIDADES'!$F$5:$F$500,'ABONOS MENSUALIDADES'!$C$5:$C$500,A73,'ABONOS MENSUALIDADES'!$D$5:$D$500,mes,'ABONOS MENSUALIDADES'!$G$5:$G$500,"&lt;&gt;*CONSOLIDADO EN PAGOS*")&gt;0,esperadaBruta,MAX(IFNA(VLOOKUP(B73,COSTOS!$A$3:$B$13,2,FALSE),0)-150,0),IF(AND(cobrarDesde&lt;&gt;"",mes&lt;cobrarDesde),"AÚN NO INICIA",IF(pausada,"PAUSADA",IF(AND(abonoActivo,COUNTIFS('ABONOS MENSUALIDADES'!$C$5:$C$500,A73,'ABONOS MENSUALIDADES'!$D$5:$D$500,mes,'ABONOS MENSUALIDADES'!$G$5:$G$500,"*MENSUALIDAD LIQUIDADA*")=0),"ABONO",IF(N(D73)&gt;=esperadaBruta,"COBRADA",IF(N(D73)&gt;0,"ABONO","PENDIENTE")))))))</f>
        <v>COBRADA</v>
      </c>
      <c r="G73" s="79">
        <f t="array" ref="G73">IF(A73="","",IFERROR(INDEX('BASE DE DATOSS'!I:I,ROW()-13),""))</f>
        <v>46266</v>
      </c>
    </row>
    <row r="74">
      <c r="A74" s="51" t="str">
        <f t="array" ref="A74">IFERROR(INDEX('BASE DE DATOSS'!A:A,ROW()-13),"")</f>
        <v>NAOMI CAMPOS GONZALES </v>
      </c>
      <c r="B74" s="51" t="str">
        <f t="array" ref="B74">IF(A74="","",IFERROR(INDEX('BASE DE DATOSS'!C:C,ROW()-13),""))</f>
        <v>ADULTS 1</v>
      </c>
      <c r="C74" s="62">
        <f t="array" ref="C74">IF(A74="","",LET(mes,DATE($E$2,MATCH($B$2,'ESTADO CONTABLE'!$A$5:$A$16,0),1),cobrarDesde,IFERROR(INDEX('BASE DE DATOSS'!I:I,ROW()-13),""),pausada,SUMPRODUCT((UPPER(TRIM('PAUSAS MENSUALIDADES'!$A$5:$A$500))=UPPER(TRIM(A74)))*('PAUSAS MENSUALIDADES'!$B$5:$B$500=mes)*(UPPER(TRIM('PAUSAS MENSUALIDADES'!$D$5:$D$500))="APLICAR"))&gt;0,IF(OR(AND(cobrarDesde&lt;&gt;"",mes&lt;cobrarDesde),pausada),0,MAX(IFNA(VLOOKUP(B74,COSTOS!$A$3:$B$13,2,FALSE),0)-150,0)/1.16)))</f>
        <v>991.3793103</v>
      </c>
      <c r="D74" s="62">
        <f t="array" ref="D74">IF(A74="","",LET(mes,DATE($E$2,MATCH($B$2,'ESTADO CONTABLE'!$A$5:$A$16,0),1),abonos,SUMIFS('ABONOS MENSUALIDADES'!$F$5:$F$500,'ABONOS MENSUALIDADES'!$C$5:$C$500,A74,'ABONOS MENSUALIDADES'!$D$5:$D$500,mes),pago,CHOOSE(MATCH($B$2,'ESTADO CONTABLE'!$A$5:$A$16,0),IFNA(_xlfn.XLOOKUP(A74,PAGOS!$A$2:$A$996,PAGOS!$E$2:$E$996,""),""),IFNA(_xlfn.XLOOKUP(A74,PAGOS!$A$2:$A$996,PAGOS!$G$2:$G$996,""),""),IFNA(_xlfn.XLOOKUP(A74,PAGOS!$A$2:$A$996,PAGOS!$J$2:$J$996,""),""),IFNA(_xlfn.XLOOKUP(A74,PAGOS!$A$2:$A$996,PAGOS!$M$2:$M$996,""),""),IFNA(_xlfn.XLOOKUP(A74,PAGOS!$A$2:$A$996,PAGOS!$P$2:$P$996,""),""),IFNA(_xlfn.XLOOKUP(A74,PAGOS!$A$2:$A$996,PAGOS!$S$2:$S$996,""),""),IFNA(_xlfn.XLOOKUP(A74,PAGOS!$A$2:$A$996,PAGOS!$V$2:$V$996,""),""),IFNA(_xlfn.XLOOKUP(A74,PAGOS!$A$2:$A$996,PAGOS!$Y$2:$Y$996,""),""),IFNA(_xlfn.XLOOKUP(A74,PAGOS!$A$2:$A$996,PAGOS!$AB$2:$AB$996,""),""),IFNA(_xlfn.XLOOKUP(A74,PAGOS!$A$2:$A$996,PAGOS!$AE$2:$AE$996,""),""),IFNA(_xlfn.XLOOKUP(A74,PAGOS!$A$2:$A$996,PAGOS!$AH$2:$AH$996,""),""),IFNA(_xlfn.XLOOKUP(A74,PAGOS!$A$2:$A$996,PAGOS!$AK$2:$AK$996,""),"")),IF(abonos&gt;0,abonos,pago)))</f>
        <v>1150</v>
      </c>
      <c r="E74" s="51" t="str">
        <f>IFERROR(__xludf.DUMMYFUNCTION("IF(A74="""","""",LET(mes,DATE($E$2,MATCH($B$2,'ESTADO CONTABLE'!$A$5:$A$16,0),1),abonos,SUMIFS('ABONOS MENSUALIDADES'!$F$5:$F$500,'ABONOS MENSUALIDADES'!$C$5:$C$500,A74,'ABONOS MENSUALIDADES'!$D$5:$D$500,mes),metodoDirecto,CHOOSE(MATCH($B$2,'ESTADO CONTAB"&amp;"LE'!$A$5:$A$16,0),IF(ISNUMBER(D74),""POR CLASIFICAR"",""""),IFNA(XLOOKUP(A74,PAGOS!$A$2:$A$996,PAGOS!$H$2:$H$996,""""),""""),IFNA(XLOOKUP(A74,PAGOS!$A$2:$A$996,PAGOS!$K$2:$K$996,""""),""""),IFNA(XLOOKUP(A74,PAGOS!$A$2:$A$996,PAGOS!$N$2:$N$996,""""),""""),"&amp;"IFNA(XLOOKUP(A74,PAGOS!$A$2:$A$996,PAGOS!$Q$2:$Q$996,""""),""""),IFNA(XLOOKUP(A74,PAGOS!$A$2:$A$996,PAGOS!$T$2:$T$996,""""),""""),IFNA(XLOOKUP(A74,PAGOS!$A$2:$A$996,PAGOS!$W$2:$W$996,""""),""""),IFNA(XLOOKUP(A74,PAGOS!$A$2:$A$996,PAGOS!$Z$2:$Z$996,""""),"&amp;"""""),IFNA(XLOOKUP(A74,PAGOS!$A$2:$A$996,PAGOS!$AC$2:$AC$996,""""),""""),IFNA(XLOOKUP(A74,PAGOS!$A$2:$A$996,PAGOS!$AF$2:$AF$996,""""),""""),IFNA(XLOOKUP(A74,PAGOS!$A$2:$A$996,PAGOS!$AI$2:$AI$996,""""),""""),IFNA(XLOOKUP(A74,PAGOS!$A$2:$A$996,PAGOS!$AL$2:$"&amp;"AL$996,""""),"""")),IF(abonos&gt;0,IFERROR(TEXTJOIN("" + "",TRUE,UNIQUE(FILTER('ABONOS MENSUALIDADES'!$E$5:$E$500,'ABONOS MENSUALIDADES'!$C$5:$C$500=A74,'ABONOS MENSUALIDADES'!$D$5:$D$500=mes))),""""),metodoDirecto)))"),"EFECTIVO")</f>
        <v>EFECTIVO</v>
      </c>
      <c r="F74" s="51" t="str">
        <f t="array" ref="F74">IF(A74="","",LET(mes,DATE($E$2,MATCH($B$2,'ESTADO CONTABLE'!$A$5:$A$16,0),1),cobrarDesde,IFERROR(INDEX('BASE DE DATOSS'!I:I,ROW()-13),""),pausada,SUMPRODUCT((UPPER(TRIM('PAUSAS MENSUALIDADES'!$A$5:$A$500))=UPPER(TRIM(A74)))*('PAUSAS MENSUALIDADES'!$B$5:$B$500=mes)*(UPPER(TRIM('PAUSAS MENSUALIDADES'!$D$5:$D$500))="APLICAR"))&gt;0,abonoActivo,SUMIFS('ABONOS MENSUALIDADES'!$F$5:$F$500,'ABONOS MENSUALIDADES'!$C$5:$C$500,A74,'ABONOS MENSUALIDADES'!$D$5:$D$500,mes,'ABONOS MENSUALIDADES'!$G$5:$G$500,"&lt;&gt;*CONSOLIDADO EN PAGOS*")&gt;0,esperadaBruta,MAX(IFNA(VLOOKUP(B74,COSTOS!$A$3:$B$13,2,FALSE),0)-150,0),IF(AND(cobrarDesde&lt;&gt;"",mes&lt;cobrarDesde),"AÚN NO INICIA",IF(pausada,"PAUSADA",IF(AND(abonoActivo,COUNTIFS('ABONOS MENSUALIDADES'!$C$5:$C$500,A74,'ABONOS MENSUALIDADES'!$D$5:$D$500,mes,'ABONOS MENSUALIDADES'!$G$5:$G$500,"*MENSUALIDAD LIQUIDADA*")=0),"ABONO",IF(N(D74)&gt;=esperadaBruta,"COBRADA",IF(N(D74)&gt;0,"ABONO","PENDIENTE")))))))</f>
        <v>COBRADA</v>
      </c>
      <c r="G74" s="79">
        <f t="array" ref="G74">IF(A74="","",IFERROR(INDEX('BASE DE DATOSS'!I:I,ROW()-13),""))</f>
        <v>46235</v>
      </c>
    </row>
    <row r="75">
      <c r="A75" s="51" t="str">
        <f t="array" ref="A75">IFERROR(INDEX('BASE DE DATOSS'!A:A,ROW()-13),"")</f>
        <v>EMILIA MARTINEZ MIRANDA</v>
      </c>
      <c r="B75" s="51" t="str">
        <f t="array" ref="B75">IF(A75="","",IFERROR(INDEX('BASE DE DATOSS'!C:C,ROW()-13),""))</f>
        <v>KIDS 1</v>
      </c>
      <c r="C75" s="62">
        <f t="array" ref="C75">IF(A75="","",LET(mes,DATE($E$2,MATCH($B$2,'ESTADO CONTABLE'!$A$5:$A$16,0),1),cobrarDesde,IFERROR(INDEX('BASE DE DATOSS'!I:I,ROW()-13),""),pausada,SUMPRODUCT((UPPER(TRIM('PAUSAS MENSUALIDADES'!$A$5:$A$500))=UPPER(TRIM(A75)))*('PAUSAS MENSUALIDADES'!$B$5:$B$500=mes)*(UPPER(TRIM('PAUSAS MENSUALIDADES'!$D$5:$D$500))="APLICAR"))&gt;0,IF(OR(AND(cobrarDesde&lt;&gt;"",mes&lt;cobrarDesde),pausada),0,MAX(IFNA(VLOOKUP(B75,COSTOS!$A$3:$B$13,2,FALSE),0)-150,0)/1.16)))</f>
        <v>818.9655172</v>
      </c>
      <c r="D75" s="62">
        <f t="array" ref="D75">IF(A75="","",LET(mes,DATE($E$2,MATCH($B$2,'ESTADO CONTABLE'!$A$5:$A$16,0),1),abonos,SUMIFS('ABONOS MENSUALIDADES'!$F$5:$F$500,'ABONOS MENSUALIDADES'!$C$5:$C$500,A75,'ABONOS MENSUALIDADES'!$D$5:$D$500,mes),pago,CHOOSE(MATCH($B$2,'ESTADO CONTABLE'!$A$5:$A$16,0),IFNA(_xlfn.XLOOKUP(A75,PAGOS!$A$2:$A$996,PAGOS!$E$2:$E$996,""),""),IFNA(_xlfn.XLOOKUP(A75,PAGOS!$A$2:$A$996,PAGOS!$G$2:$G$996,""),""),IFNA(_xlfn.XLOOKUP(A75,PAGOS!$A$2:$A$996,PAGOS!$J$2:$J$996,""),""),IFNA(_xlfn.XLOOKUP(A75,PAGOS!$A$2:$A$996,PAGOS!$M$2:$M$996,""),""),IFNA(_xlfn.XLOOKUP(A75,PAGOS!$A$2:$A$996,PAGOS!$P$2:$P$996,""),""),IFNA(_xlfn.XLOOKUP(A75,PAGOS!$A$2:$A$996,PAGOS!$S$2:$S$996,""),""),IFNA(_xlfn.XLOOKUP(A75,PAGOS!$A$2:$A$996,PAGOS!$V$2:$V$996,""),""),IFNA(_xlfn.XLOOKUP(A75,PAGOS!$A$2:$A$996,PAGOS!$Y$2:$Y$996,""),""),IFNA(_xlfn.XLOOKUP(A75,PAGOS!$A$2:$A$996,PAGOS!$AB$2:$AB$996,""),""),IFNA(_xlfn.XLOOKUP(A75,PAGOS!$A$2:$A$996,PAGOS!$AE$2:$AE$996,""),""),IFNA(_xlfn.XLOOKUP(A75,PAGOS!$A$2:$A$996,PAGOS!$AH$2:$AH$996,""),""),IFNA(_xlfn.XLOOKUP(A75,PAGOS!$A$2:$A$996,PAGOS!$AK$2:$AK$996,""),"")),IF(abonos&gt;0,abonos,pago)))</f>
        <v>1100</v>
      </c>
      <c r="E75" s="51" t="str">
        <f>IFERROR(__xludf.DUMMYFUNCTION("IF(A75="""","""",LET(mes,DATE($E$2,MATCH($B$2,'ESTADO CONTABLE'!$A$5:$A$16,0),1),abonos,SUMIFS('ABONOS MENSUALIDADES'!$F$5:$F$500,'ABONOS MENSUALIDADES'!$C$5:$C$500,A75,'ABONOS MENSUALIDADES'!$D$5:$D$500,mes),metodoDirecto,CHOOSE(MATCH($B$2,'ESTADO CONTAB"&amp;"LE'!$A$5:$A$16,0),IF(ISNUMBER(D75),""POR CLASIFICAR"",""""),IFNA(XLOOKUP(A75,PAGOS!$A$2:$A$996,PAGOS!$H$2:$H$996,""""),""""),IFNA(XLOOKUP(A75,PAGOS!$A$2:$A$996,PAGOS!$K$2:$K$996,""""),""""),IFNA(XLOOKUP(A75,PAGOS!$A$2:$A$996,PAGOS!$N$2:$N$996,""""),""""),"&amp;"IFNA(XLOOKUP(A75,PAGOS!$A$2:$A$996,PAGOS!$Q$2:$Q$996,""""),""""),IFNA(XLOOKUP(A75,PAGOS!$A$2:$A$996,PAGOS!$T$2:$T$996,""""),""""),IFNA(XLOOKUP(A75,PAGOS!$A$2:$A$996,PAGOS!$W$2:$W$996,""""),""""),IFNA(XLOOKUP(A75,PAGOS!$A$2:$A$996,PAGOS!$Z$2:$Z$996,""""),"&amp;"""""),IFNA(XLOOKUP(A75,PAGOS!$A$2:$A$996,PAGOS!$AC$2:$AC$996,""""),""""),IFNA(XLOOKUP(A75,PAGOS!$A$2:$A$996,PAGOS!$AF$2:$AF$996,""""),""""),IFNA(XLOOKUP(A75,PAGOS!$A$2:$A$996,PAGOS!$AI$2:$AI$996,""""),""""),IFNA(XLOOKUP(A75,PAGOS!$A$2:$A$996,PAGOS!$AL$2:$"&amp;"AL$996,""""),"""")),IF(abonos&gt;0,IFERROR(TEXTJOIN("" + "",TRUE,UNIQUE(FILTER('ABONOS MENSUALIDADES'!$E$5:$E$500,'ABONOS MENSUALIDADES'!$C$5:$C$500=A75,'ABONOS MENSUALIDADES'!$D$5:$D$500=mes))),""""),metodoDirecto)))"),"EFECTIVO")</f>
        <v>EFECTIVO</v>
      </c>
      <c r="F75" s="51" t="str">
        <f t="array" ref="F75">IF(A75="","",LET(mes,DATE($E$2,MATCH($B$2,'ESTADO CONTABLE'!$A$5:$A$16,0),1),cobrarDesde,IFERROR(INDEX('BASE DE DATOSS'!I:I,ROW()-13),""),pausada,SUMPRODUCT((UPPER(TRIM('PAUSAS MENSUALIDADES'!$A$5:$A$500))=UPPER(TRIM(A75)))*('PAUSAS MENSUALIDADES'!$B$5:$B$500=mes)*(UPPER(TRIM('PAUSAS MENSUALIDADES'!$D$5:$D$500))="APLICAR"))&gt;0,abonoActivo,SUMIFS('ABONOS MENSUALIDADES'!$F$5:$F$500,'ABONOS MENSUALIDADES'!$C$5:$C$500,A75,'ABONOS MENSUALIDADES'!$D$5:$D$500,mes,'ABONOS MENSUALIDADES'!$G$5:$G$500,"&lt;&gt;*CONSOLIDADO EN PAGOS*")&gt;0,esperadaBruta,MAX(IFNA(VLOOKUP(B75,COSTOS!$A$3:$B$13,2,FALSE),0)-150,0),IF(AND(cobrarDesde&lt;&gt;"",mes&lt;cobrarDesde),"AÚN NO INICIA",IF(pausada,"PAUSADA",IF(AND(abonoActivo,COUNTIFS('ABONOS MENSUALIDADES'!$C$5:$C$500,A75,'ABONOS MENSUALIDADES'!$D$5:$D$500,mes,'ABONOS MENSUALIDADES'!$G$5:$G$500,"*MENSUALIDAD LIQUIDADA*")=0),"ABONO",IF(N(D75)&gt;=esperadaBruta,"COBRADA",IF(N(D75)&gt;0,"ABONO","PENDIENTE")))))))</f>
        <v>COBRADA</v>
      </c>
      <c r="G75" s="79">
        <f t="array" ref="G75">IF(A75="","",IFERROR(INDEX('BASE DE DATOSS'!I:I,ROW()-13),""))</f>
        <v>46266</v>
      </c>
    </row>
    <row r="76">
      <c r="A76" s="51" t="str">
        <f t="array" ref="A76">IFERROR(INDEX('BASE DE DATOSS'!A:A,ROW()-13),"")</f>
        <v>CAROLINA POLANCO RAMOS</v>
      </c>
      <c r="B76" s="51" t="str">
        <f t="array" ref="B76">IF(A76="","",IFERROR(INDEX('BASE DE DATOSS'!C:C,ROW()-13),""))</f>
        <v>KIDS 3</v>
      </c>
      <c r="C76" s="62">
        <f t="array" ref="C76">IF(A76="","",LET(mes,DATE($E$2,MATCH($B$2,'ESTADO CONTABLE'!$A$5:$A$16,0),1),cobrarDesde,IFERROR(INDEX('BASE DE DATOSS'!I:I,ROW()-13),""),pausada,SUMPRODUCT((UPPER(TRIM('PAUSAS MENSUALIDADES'!$A$5:$A$500))=UPPER(TRIM(A76)))*('PAUSAS MENSUALIDADES'!$B$5:$B$500=mes)*(UPPER(TRIM('PAUSAS MENSUALIDADES'!$D$5:$D$500))="APLICAR"))&gt;0,IF(OR(AND(cobrarDesde&lt;&gt;"",mes&lt;cobrarDesde),pausada),0,MAX(IFNA(VLOOKUP(B76,COSTOS!$A$3:$B$13,2,FALSE),0)-150,0)/1.16)))</f>
        <v>689.6551724</v>
      </c>
      <c r="D76" s="62">
        <f t="array" ref="D76">IF(A76="","",LET(mes,DATE($E$2,MATCH($B$2,'ESTADO CONTABLE'!$A$5:$A$16,0),1),abonos,SUMIFS('ABONOS MENSUALIDADES'!$F$5:$F$500,'ABONOS MENSUALIDADES'!$C$5:$C$500,A76,'ABONOS MENSUALIDADES'!$D$5:$D$500,mes),pago,CHOOSE(MATCH($B$2,'ESTADO CONTABLE'!$A$5:$A$16,0),IFNA(_xlfn.XLOOKUP(A76,PAGOS!$A$2:$A$996,PAGOS!$E$2:$E$996,""),""),IFNA(_xlfn.XLOOKUP(A76,PAGOS!$A$2:$A$996,PAGOS!$G$2:$G$996,""),""),IFNA(_xlfn.XLOOKUP(A76,PAGOS!$A$2:$A$996,PAGOS!$J$2:$J$996,""),""),IFNA(_xlfn.XLOOKUP(A76,PAGOS!$A$2:$A$996,PAGOS!$M$2:$M$996,""),""),IFNA(_xlfn.XLOOKUP(A76,PAGOS!$A$2:$A$996,PAGOS!$P$2:$P$996,""),""),IFNA(_xlfn.XLOOKUP(A76,PAGOS!$A$2:$A$996,PAGOS!$S$2:$S$996,""),""),IFNA(_xlfn.XLOOKUP(A76,PAGOS!$A$2:$A$996,PAGOS!$V$2:$V$996,""),""),IFNA(_xlfn.XLOOKUP(A76,PAGOS!$A$2:$A$996,PAGOS!$Y$2:$Y$996,""),""),IFNA(_xlfn.XLOOKUP(A76,PAGOS!$A$2:$A$996,PAGOS!$AB$2:$AB$996,""),""),IFNA(_xlfn.XLOOKUP(A76,PAGOS!$A$2:$A$996,PAGOS!$AE$2:$AE$996,""),""),IFNA(_xlfn.XLOOKUP(A76,PAGOS!$A$2:$A$996,PAGOS!$AH$2:$AH$996,""),""),IFNA(_xlfn.XLOOKUP(A76,PAGOS!$A$2:$A$996,PAGOS!$AK$2:$AK$996,""),"")),IF(abonos&gt;0,abonos,pago)))</f>
        <v>950</v>
      </c>
      <c r="E76" s="51" t="str">
        <f>IFERROR(__xludf.DUMMYFUNCTION("IF(A76="""","""",LET(mes,DATE($E$2,MATCH($B$2,'ESTADO CONTABLE'!$A$5:$A$16,0),1),abonos,SUMIFS('ABONOS MENSUALIDADES'!$F$5:$F$500,'ABONOS MENSUALIDADES'!$C$5:$C$500,A76,'ABONOS MENSUALIDADES'!$D$5:$D$500,mes),metodoDirecto,CHOOSE(MATCH($B$2,'ESTADO CONTAB"&amp;"LE'!$A$5:$A$16,0),IF(ISNUMBER(D76),""POR CLASIFICAR"",""""),IFNA(XLOOKUP(A76,PAGOS!$A$2:$A$996,PAGOS!$H$2:$H$996,""""),""""),IFNA(XLOOKUP(A76,PAGOS!$A$2:$A$996,PAGOS!$K$2:$K$996,""""),""""),IFNA(XLOOKUP(A76,PAGOS!$A$2:$A$996,PAGOS!$N$2:$N$996,""""),""""),"&amp;"IFNA(XLOOKUP(A76,PAGOS!$A$2:$A$996,PAGOS!$Q$2:$Q$996,""""),""""),IFNA(XLOOKUP(A76,PAGOS!$A$2:$A$996,PAGOS!$T$2:$T$996,""""),""""),IFNA(XLOOKUP(A76,PAGOS!$A$2:$A$996,PAGOS!$W$2:$W$996,""""),""""),IFNA(XLOOKUP(A76,PAGOS!$A$2:$A$996,PAGOS!$Z$2:$Z$996,""""),"&amp;"""""),IFNA(XLOOKUP(A76,PAGOS!$A$2:$A$996,PAGOS!$AC$2:$AC$996,""""),""""),IFNA(XLOOKUP(A76,PAGOS!$A$2:$A$996,PAGOS!$AF$2:$AF$996,""""),""""),IFNA(XLOOKUP(A76,PAGOS!$A$2:$A$996,PAGOS!$AI$2:$AI$996,""""),""""),IFNA(XLOOKUP(A76,PAGOS!$A$2:$A$996,PAGOS!$AL$2:$"&amp;"AL$996,""""),"""")),IF(abonos&gt;0,IFERROR(TEXTJOIN("" + "",TRUE,UNIQUE(FILTER('ABONOS MENSUALIDADES'!$E$5:$E$500,'ABONOS MENSUALIDADES'!$C$5:$C$500=A76,'ABONOS MENSUALIDADES'!$D$5:$D$500=mes))),""""),metodoDirecto)))"),"TRANSFERENCIA")</f>
        <v>TRANSFERENCIA</v>
      </c>
      <c r="F76" s="51" t="str">
        <f t="array" ref="F76">IF(A76="","",LET(mes,DATE($E$2,MATCH($B$2,'ESTADO CONTABLE'!$A$5:$A$16,0),1),cobrarDesde,IFERROR(INDEX('BASE DE DATOSS'!I:I,ROW()-13),""),pausada,SUMPRODUCT((UPPER(TRIM('PAUSAS MENSUALIDADES'!$A$5:$A$500))=UPPER(TRIM(A76)))*('PAUSAS MENSUALIDADES'!$B$5:$B$500=mes)*(UPPER(TRIM('PAUSAS MENSUALIDADES'!$D$5:$D$500))="APLICAR"))&gt;0,abonoActivo,SUMIFS('ABONOS MENSUALIDADES'!$F$5:$F$500,'ABONOS MENSUALIDADES'!$C$5:$C$500,A76,'ABONOS MENSUALIDADES'!$D$5:$D$500,mes,'ABONOS MENSUALIDADES'!$G$5:$G$500,"&lt;&gt;*CONSOLIDADO EN PAGOS*")&gt;0,esperadaBruta,MAX(IFNA(VLOOKUP(B76,COSTOS!$A$3:$B$13,2,FALSE),0)-150,0),IF(AND(cobrarDesde&lt;&gt;"",mes&lt;cobrarDesde),"AÚN NO INICIA",IF(pausada,"PAUSADA",IF(AND(abonoActivo,COUNTIFS('ABONOS MENSUALIDADES'!$C$5:$C$500,A76,'ABONOS MENSUALIDADES'!$D$5:$D$500,mes,'ABONOS MENSUALIDADES'!$G$5:$G$500,"*MENSUALIDAD LIQUIDADA*")=0),"ABONO",IF(N(D76)&gt;=esperadaBruta,"COBRADA",IF(N(D76)&gt;0,"ABONO","PENDIENTE")))))))</f>
        <v>COBRADA</v>
      </c>
      <c r="G76" s="79">
        <f t="array" ref="G76">IF(A76="","",IFERROR(INDEX('BASE DE DATOSS'!I:I,ROW()-13),""))</f>
        <v>46266</v>
      </c>
    </row>
    <row r="77">
      <c r="A77" s="51" t="str">
        <f t="array" ref="A77">IFERROR(INDEX('BASE DE DATOSS'!A:A,ROW()-13),"")</f>
        <v>LOURDES EMILIA LOBATO FERNANDEZ</v>
      </c>
      <c r="B77" s="51" t="str">
        <f t="array" ref="B77">IF(A77="","",IFERROR(INDEX('BASE DE DATOSS'!C:C,ROW()-13),""))</f>
        <v>ADULTS 1</v>
      </c>
      <c r="C77" s="62">
        <f t="array" ref="C77">IF(A77="","",LET(mes,DATE($E$2,MATCH($B$2,'ESTADO CONTABLE'!$A$5:$A$16,0),1),cobrarDesde,IFERROR(INDEX('BASE DE DATOSS'!I:I,ROW()-13),""),pausada,SUMPRODUCT((UPPER(TRIM('PAUSAS MENSUALIDADES'!$A$5:$A$500))=UPPER(TRIM(A77)))*('PAUSAS MENSUALIDADES'!$B$5:$B$500=mes)*(UPPER(TRIM('PAUSAS MENSUALIDADES'!$D$5:$D$500))="APLICAR"))&gt;0,IF(OR(AND(cobrarDesde&lt;&gt;"",mes&lt;cobrarDesde),pausada),0,MAX(IFNA(VLOOKUP(B77,COSTOS!$A$3:$B$13,2,FALSE),0)-150,0)/1.16)))</f>
        <v>991.3793103</v>
      </c>
      <c r="D77" s="62">
        <f t="array" ref="D77">IF(A77="","",LET(mes,DATE($E$2,MATCH($B$2,'ESTADO CONTABLE'!$A$5:$A$16,0),1),abonos,SUMIFS('ABONOS MENSUALIDADES'!$F$5:$F$500,'ABONOS MENSUALIDADES'!$C$5:$C$500,A77,'ABONOS MENSUALIDADES'!$D$5:$D$500,mes),pago,CHOOSE(MATCH($B$2,'ESTADO CONTABLE'!$A$5:$A$16,0),IFNA(_xlfn.XLOOKUP(A77,PAGOS!$A$2:$A$996,PAGOS!$E$2:$E$996,""),""),IFNA(_xlfn.XLOOKUP(A77,PAGOS!$A$2:$A$996,PAGOS!$G$2:$G$996,""),""),IFNA(_xlfn.XLOOKUP(A77,PAGOS!$A$2:$A$996,PAGOS!$J$2:$J$996,""),""),IFNA(_xlfn.XLOOKUP(A77,PAGOS!$A$2:$A$996,PAGOS!$M$2:$M$996,""),""),IFNA(_xlfn.XLOOKUP(A77,PAGOS!$A$2:$A$996,PAGOS!$P$2:$P$996,""),""),IFNA(_xlfn.XLOOKUP(A77,PAGOS!$A$2:$A$996,PAGOS!$S$2:$S$996,""),""),IFNA(_xlfn.XLOOKUP(A77,PAGOS!$A$2:$A$996,PAGOS!$V$2:$V$996,""),""),IFNA(_xlfn.XLOOKUP(A77,PAGOS!$A$2:$A$996,PAGOS!$Y$2:$Y$996,""),""),IFNA(_xlfn.XLOOKUP(A77,PAGOS!$A$2:$A$996,PAGOS!$AB$2:$AB$996,""),""),IFNA(_xlfn.XLOOKUP(A77,PAGOS!$A$2:$A$996,PAGOS!$AE$2:$AE$996,""),""),IFNA(_xlfn.XLOOKUP(A77,PAGOS!$A$2:$A$996,PAGOS!$AH$2:$AH$996,""),""),IFNA(_xlfn.XLOOKUP(A77,PAGOS!$A$2:$A$996,PAGOS!$AK$2:$AK$996,""),"")),IF(abonos&gt;0,abonos,pago)))</f>
        <v>1300</v>
      </c>
      <c r="E77" s="51" t="str">
        <f>IFERROR(__xludf.DUMMYFUNCTION("IF(A77="""","""",LET(mes,DATE($E$2,MATCH($B$2,'ESTADO CONTABLE'!$A$5:$A$16,0),1),abonos,SUMIFS('ABONOS MENSUALIDADES'!$F$5:$F$500,'ABONOS MENSUALIDADES'!$C$5:$C$500,A77,'ABONOS MENSUALIDADES'!$D$5:$D$500,mes),metodoDirecto,CHOOSE(MATCH($B$2,'ESTADO CONTAB"&amp;"LE'!$A$5:$A$16,0),IF(ISNUMBER(D77),""POR CLASIFICAR"",""""),IFNA(XLOOKUP(A77,PAGOS!$A$2:$A$996,PAGOS!$H$2:$H$996,""""),""""),IFNA(XLOOKUP(A77,PAGOS!$A$2:$A$996,PAGOS!$K$2:$K$996,""""),""""),IFNA(XLOOKUP(A77,PAGOS!$A$2:$A$996,PAGOS!$N$2:$N$996,""""),""""),"&amp;"IFNA(XLOOKUP(A77,PAGOS!$A$2:$A$996,PAGOS!$Q$2:$Q$996,""""),""""),IFNA(XLOOKUP(A77,PAGOS!$A$2:$A$996,PAGOS!$T$2:$T$996,""""),""""),IFNA(XLOOKUP(A77,PAGOS!$A$2:$A$996,PAGOS!$W$2:$W$996,""""),""""),IFNA(XLOOKUP(A77,PAGOS!$A$2:$A$996,PAGOS!$Z$2:$Z$996,""""),"&amp;"""""),IFNA(XLOOKUP(A77,PAGOS!$A$2:$A$996,PAGOS!$AC$2:$AC$996,""""),""""),IFNA(XLOOKUP(A77,PAGOS!$A$2:$A$996,PAGOS!$AF$2:$AF$996,""""),""""),IFNA(XLOOKUP(A77,PAGOS!$A$2:$A$996,PAGOS!$AI$2:$AI$996,""""),""""),IFNA(XLOOKUP(A77,PAGOS!$A$2:$A$996,PAGOS!$AL$2:$"&amp;"AL$996,""""),"""")),IF(abonos&gt;0,IFERROR(TEXTJOIN("" + "",TRUE,UNIQUE(FILTER('ABONOS MENSUALIDADES'!$E$5:$E$500,'ABONOS MENSUALIDADES'!$C$5:$C$500=A77,'ABONOS MENSUALIDADES'!$D$5:$D$500=mes))),""""),metodoDirecto)))"),"EFECTIVO")</f>
        <v>EFECTIVO</v>
      </c>
      <c r="F77" s="51" t="str">
        <f t="array" ref="F77">IF(A77="","",LET(mes,DATE($E$2,MATCH($B$2,'ESTADO CONTABLE'!$A$5:$A$16,0),1),cobrarDesde,IFERROR(INDEX('BASE DE DATOSS'!I:I,ROW()-13),""),pausada,SUMPRODUCT((UPPER(TRIM('PAUSAS MENSUALIDADES'!$A$5:$A$500))=UPPER(TRIM(A77)))*('PAUSAS MENSUALIDADES'!$B$5:$B$500=mes)*(UPPER(TRIM('PAUSAS MENSUALIDADES'!$D$5:$D$500))="APLICAR"))&gt;0,abonoActivo,SUMIFS('ABONOS MENSUALIDADES'!$F$5:$F$500,'ABONOS MENSUALIDADES'!$C$5:$C$500,A77,'ABONOS MENSUALIDADES'!$D$5:$D$500,mes,'ABONOS MENSUALIDADES'!$G$5:$G$500,"&lt;&gt;*CONSOLIDADO EN PAGOS*")&gt;0,esperadaBruta,MAX(IFNA(VLOOKUP(B77,COSTOS!$A$3:$B$13,2,FALSE),0)-150,0),IF(AND(cobrarDesde&lt;&gt;"",mes&lt;cobrarDesde),"AÚN NO INICIA",IF(pausada,"PAUSADA",IF(AND(abonoActivo,COUNTIFS('ABONOS MENSUALIDADES'!$C$5:$C$500,A77,'ABONOS MENSUALIDADES'!$D$5:$D$500,mes,'ABONOS MENSUALIDADES'!$G$5:$G$500,"*MENSUALIDAD LIQUIDADA*")=0),"ABONO",IF(N(D77)&gt;=esperadaBruta,"COBRADA",IF(N(D77)&gt;0,"ABONO","PENDIENTE")))))))</f>
        <v>COBRADA</v>
      </c>
      <c r="G77" s="79">
        <f t="array" ref="G77">IF(A77="","",IFERROR(INDEX('BASE DE DATOSS'!I:I,ROW()-13),""))</f>
        <v>46266</v>
      </c>
    </row>
    <row r="78">
      <c r="A78" s="51" t="str">
        <f t="array" ref="A78">IFERROR(INDEX('BASE DE DATOSS'!A:A,ROW()-13),"")</f>
        <v>FERNANDA VALERIA MARIN GARCIA</v>
      </c>
      <c r="B78" s="51" t="str">
        <f t="array" ref="B78">IF(A78="","",IFERROR(INDEX('BASE DE DATOSS'!C:C,ROW()-13),""))</f>
        <v>JR 1</v>
      </c>
      <c r="C78" s="62">
        <f t="array" ref="C78">IF(A78="","",LET(mes,DATE($E$2,MATCH($B$2,'ESTADO CONTABLE'!$A$5:$A$16,0),1),cobrarDesde,IFERROR(INDEX('BASE DE DATOSS'!I:I,ROW()-13),""),pausada,SUMPRODUCT((UPPER(TRIM('PAUSAS MENSUALIDADES'!$A$5:$A$500))=UPPER(TRIM(A78)))*('PAUSAS MENSUALIDADES'!$B$5:$B$500=mes)*(UPPER(TRIM('PAUSAS MENSUALIDADES'!$D$5:$D$500))="APLICAR"))&gt;0,IF(OR(AND(cobrarDesde&lt;&gt;"",mes&lt;cobrarDesde),pausada),0,MAX(IFNA(VLOOKUP(B78,COSTOS!$A$3:$B$13,2,FALSE),0)-150,0)/1.16)))</f>
        <v>818.9655172</v>
      </c>
      <c r="D78" s="62">
        <f t="array" ref="D78">IF(A78="","",LET(mes,DATE($E$2,MATCH($B$2,'ESTADO CONTABLE'!$A$5:$A$16,0),1),abonos,SUMIFS('ABONOS MENSUALIDADES'!$F$5:$F$500,'ABONOS MENSUALIDADES'!$C$5:$C$500,A78,'ABONOS MENSUALIDADES'!$D$5:$D$500,mes),pago,CHOOSE(MATCH($B$2,'ESTADO CONTABLE'!$A$5:$A$16,0),IFNA(_xlfn.XLOOKUP(A78,PAGOS!$A$2:$A$996,PAGOS!$E$2:$E$996,""),""),IFNA(_xlfn.XLOOKUP(A78,PAGOS!$A$2:$A$996,PAGOS!$G$2:$G$996,""),""),IFNA(_xlfn.XLOOKUP(A78,PAGOS!$A$2:$A$996,PAGOS!$J$2:$J$996,""),""),IFNA(_xlfn.XLOOKUP(A78,PAGOS!$A$2:$A$996,PAGOS!$M$2:$M$996,""),""),IFNA(_xlfn.XLOOKUP(A78,PAGOS!$A$2:$A$996,PAGOS!$P$2:$P$996,""),""),IFNA(_xlfn.XLOOKUP(A78,PAGOS!$A$2:$A$996,PAGOS!$S$2:$S$996,""),""),IFNA(_xlfn.XLOOKUP(A78,PAGOS!$A$2:$A$996,PAGOS!$V$2:$V$996,""),""),IFNA(_xlfn.XLOOKUP(A78,PAGOS!$A$2:$A$996,PAGOS!$Y$2:$Y$996,""),""),IFNA(_xlfn.XLOOKUP(A78,PAGOS!$A$2:$A$996,PAGOS!$AB$2:$AB$996,""),""),IFNA(_xlfn.XLOOKUP(A78,PAGOS!$A$2:$A$996,PAGOS!$AE$2:$AE$996,""),""),IFNA(_xlfn.XLOOKUP(A78,PAGOS!$A$2:$A$996,PAGOS!$AH$2:$AH$996,""),""),IFNA(_xlfn.XLOOKUP(A78,PAGOS!$A$2:$A$996,PAGOS!$AK$2:$AK$996,""),"")),IF(abonos&gt;0,abonos,pago)))</f>
        <v>950</v>
      </c>
      <c r="E78" s="51" t="str">
        <f>IFERROR(__xludf.DUMMYFUNCTION("IF(A78="""","""",LET(mes,DATE($E$2,MATCH($B$2,'ESTADO CONTABLE'!$A$5:$A$16,0),1),abonos,SUMIFS('ABONOS MENSUALIDADES'!$F$5:$F$500,'ABONOS MENSUALIDADES'!$C$5:$C$500,A78,'ABONOS MENSUALIDADES'!$D$5:$D$500,mes),metodoDirecto,CHOOSE(MATCH($B$2,'ESTADO CONTAB"&amp;"LE'!$A$5:$A$16,0),IF(ISNUMBER(D78),""POR CLASIFICAR"",""""),IFNA(XLOOKUP(A78,PAGOS!$A$2:$A$996,PAGOS!$H$2:$H$996,""""),""""),IFNA(XLOOKUP(A78,PAGOS!$A$2:$A$996,PAGOS!$K$2:$K$996,""""),""""),IFNA(XLOOKUP(A78,PAGOS!$A$2:$A$996,PAGOS!$N$2:$N$996,""""),""""),"&amp;"IFNA(XLOOKUP(A78,PAGOS!$A$2:$A$996,PAGOS!$Q$2:$Q$996,""""),""""),IFNA(XLOOKUP(A78,PAGOS!$A$2:$A$996,PAGOS!$T$2:$T$996,""""),""""),IFNA(XLOOKUP(A78,PAGOS!$A$2:$A$996,PAGOS!$W$2:$W$996,""""),""""),IFNA(XLOOKUP(A78,PAGOS!$A$2:$A$996,PAGOS!$Z$2:$Z$996,""""),"&amp;"""""),IFNA(XLOOKUP(A78,PAGOS!$A$2:$A$996,PAGOS!$AC$2:$AC$996,""""),""""),IFNA(XLOOKUP(A78,PAGOS!$A$2:$A$996,PAGOS!$AF$2:$AF$996,""""),""""),IFNA(XLOOKUP(A78,PAGOS!$A$2:$A$996,PAGOS!$AI$2:$AI$996,""""),""""),IFNA(XLOOKUP(A78,PAGOS!$A$2:$A$996,PAGOS!$AL$2:$"&amp;"AL$996,""""),"""")),IF(abonos&gt;0,IFERROR(TEXTJOIN("" + "",TRUE,UNIQUE(FILTER('ABONOS MENSUALIDADES'!$E$5:$E$500,'ABONOS MENSUALIDADES'!$C$5:$C$500=A78,'ABONOS MENSUALIDADES'!$D$5:$D$500=mes))),""""),metodoDirecto)))"),"EFECTIVO")</f>
        <v>EFECTIVO</v>
      </c>
      <c r="F78" s="51" t="str">
        <f t="array" ref="F78">IF(A78="","",LET(mes,DATE($E$2,MATCH($B$2,'ESTADO CONTABLE'!$A$5:$A$16,0),1),cobrarDesde,IFERROR(INDEX('BASE DE DATOSS'!I:I,ROW()-13),""),pausada,SUMPRODUCT((UPPER(TRIM('PAUSAS MENSUALIDADES'!$A$5:$A$500))=UPPER(TRIM(A78)))*('PAUSAS MENSUALIDADES'!$B$5:$B$500=mes)*(UPPER(TRIM('PAUSAS MENSUALIDADES'!$D$5:$D$500))="APLICAR"))&gt;0,abonoActivo,SUMIFS('ABONOS MENSUALIDADES'!$F$5:$F$500,'ABONOS MENSUALIDADES'!$C$5:$C$500,A78,'ABONOS MENSUALIDADES'!$D$5:$D$500,mes,'ABONOS MENSUALIDADES'!$G$5:$G$500,"&lt;&gt;*CONSOLIDADO EN PAGOS*")&gt;0,esperadaBruta,MAX(IFNA(VLOOKUP(B78,COSTOS!$A$3:$B$13,2,FALSE),0)-150,0),IF(AND(cobrarDesde&lt;&gt;"",mes&lt;cobrarDesde),"AÚN NO INICIA",IF(pausada,"PAUSADA",IF(AND(abonoActivo,COUNTIFS('ABONOS MENSUALIDADES'!$C$5:$C$500,A78,'ABONOS MENSUALIDADES'!$D$5:$D$500,mes,'ABONOS MENSUALIDADES'!$G$5:$G$500,"*MENSUALIDAD LIQUIDADA*")=0),"ABONO",IF(N(D78)&gt;=esperadaBruta,"COBRADA",IF(N(D78)&gt;0,"ABONO","PENDIENTE")))))))</f>
        <v>COBRADA</v>
      </c>
      <c r="G78" s="79">
        <f t="array" ref="G78">IF(A78="","",IFERROR(INDEX('BASE DE DATOSS'!I:I,ROW()-13),""))</f>
        <v>46266</v>
      </c>
    </row>
    <row r="79">
      <c r="A79" s="51" t="str">
        <f t="array" ref="A79">IFERROR(INDEX('BASE DE DATOSS'!A:A,ROW()-13),"")</f>
        <v>ARELY ESTEFANIA ROJAS ROBLADA</v>
      </c>
      <c r="B79" s="51" t="str">
        <f t="array" ref="B79">IF(A79="","",IFERROR(INDEX('BASE DE DATOSS'!C:C,ROW()-13),""))</f>
        <v>MATUTINO</v>
      </c>
      <c r="C79" s="62">
        <f t="array" ref="C79">IF(A79="","",LET(mes,DATE($E$2,MATCH($B$2,'ESTADO CONTABLE'!$A$5:$A$16,0),1),cobrarDesde,IFERROR(INDEX('BASE DE DATOSS'!I:I,ROW()-13),""),pausada,SUMPRODUCT((UPPER(TRIM('PAUSAS MENSUALIDADES'!$A$5:$A$500))=UPPER(TRIM(A79)))*('PAUSAS MENSUALIDADES'!$B$5:$B$500=mes)*(UPPER(TRIM('PAUSAS MENSUALIDADES'!$D$5:$D$500))="APLICAR"))&gt;0,IF(OR(AND(cobrarDesde&lt;&gt;"",mes&lt;cobrarDesde),pausada),0,MAX(IFNA(VLOOKUP(B79,COSTOS!$A$3:$B$13,2,FALSE),0)-150,0)/1.16)))</f>
        <v>818.9655172</v>
      </c>
      <c r="D79" s="62">
        <f t="array" ref="D79">IF(A79="","",LET(mes,DATE($E$2,MATCH($B$2,'ESTADO CONTABLE'!$A$5:$A$16,0),1),abonos,SUMIFS('ABONOS MENSUALIDADES'!$F$5:$F$500,'ABONOS MENSUALIDADES'!$C$5:$C$500,A79,'ABONOS MENSUALIDADES'!$D$5:$D$500,mes),pago,CHOOSE(MATCH($B$2,'ESTADO CONTABLE'!$A$5:$A$16,0),IFNA(_xlfn.XLOOKUP(A79,PAGOS!$A$2:$A$996,PAGOS!$E$2:$E$996,""),""),IFNA(_xlfn.XLOOKUP(A79,PAGOS!$A$2:$A$996,PAGOS!$G$2:$G$996,""),""),IFNA(_xlfn.XLOOKUP(A79,PAGOS!$A$2:$A$996,PAGOS!$J$2:$J$996,""),""),IFNA(_xlfn.XLOOKUP(A79,PAGOS!$A$2:$A$996,PAGOS!$M$2:$M$996,""),""),IFNA(_xlfn.XLOOKUP(A79,PAGOS!$A$2:$A$996,PAGOS!$P$2:$P$996,""),""),IFNA(_xlfn.XLOOKUP(A79,PAGOS!$A$2:$A$996,PAGOS!$S$2:$S$996,""),""),IFNA(_xlfn.XLOOKUP(A79,PAGOS!$A$2:$A$996,PAGOS!$V$2:$V$996,""),""),IFNA(_xlfn.XLOOKUP(A79,PAGOS!$A$2:$A$996,PAGOS!$Y$2:$Y$996,""),""),IFNA(_xlfn.XLOOKUP(A79,PAGOS!$A$2:$A$996,PAGOS!$AB$2:$AB$996,""),""),IFNA(_xlfn.XLOOKUP(A79,PAGOS!$A$2:$A$996,PAGOS!$AE$2:$AE$996,""),""),IFNA(_xlfn.XLOOKUP(A79,PAGOS!$A$2:$A$996,PAGOS!$AH$2:$AH$996,""),""),IFNA(_xlfn.XLOOKUP(A79,PAGOS!$A$2:$A$996,PAGOS!$AK$2:$AK$996,""),"")),IF(abonos&gt;0,abonos,pago)))</f>
        <v>950</v>
      </c>
      <c r="E79" s="51" t="str">
        <f>IFERROR(__xludf.DUMMYFUNCTION("IF(A79="""","""",LET(mes,DATE($E$2,MATCH($B$2,'ESTADO CONTABLE'!$A$5:$A$16,0),1),abonos,SUMIFS('ABONOS MENSUALIDADES'!$F$5:$F$500,'ABONOS MENSUALIDADES'!$C$5:$C$500,A79,'ABONOS MENSUALIDADES'!$D$5:$D$500,mes),metodoDirecto,CHOOSE(MATCH($B$2,'ESTADO CONTAB"&amp;"LE'!$A$5:$A$16,0),IF(ISNUMBER(D79),""POR CLASIFICAR"",""""),IFNA(XLOOKUP(A79,PAGOS!$A$2:$A$996,PAGOS!$H$2:$H$996,""""),""""),IFNA(XLOOKUP(A79,PAGOS!$A$2:$A$996,PAGOS!$K$2:$K$996,""""),""""),IFNA(XLOOKUP(A79,PAGOS!$A$2:$A$996,PAGOS!$N$2:$N$996,""""),""""),"&amp;"IFNA(XLOOKUP(A79,PAGOS!$A$2:$A$996,PAGOS!$Q$2:$Q$996,""""),""""),IFNA(XLOOKUP(A79,PAGOS!$A$2:$A$996,PAGOS!$T$2:$T$996,""""),""""),IFNA(XLOOKUP(A79,PAGOS!$A$2:$A$996,PAGOS!$W$2:$W$996,""""),""""),IFNA(XLOOKUP(A79,PAGOS!$A$2:$A$996,PAGOS!$Z$2:$Z$996,""""),"&amp;"""""),IFNA(XLOOKUP(A79,PAGOS!$A$2:$A$996,PAGOS!$AC$2:$AC$996,""""),""""),IFNA(XLOOKUP(A79,PAGOS!$A$2:$A$996,PAGOS!$AF$2:$AF$996,""""),""""),IFNA(XLOOKUP(A79,PAGOS!$A$2:$A$996,PAGOS!$AI$2:$AI$996,""""),""""),IFNA(XLOOKUP(A79,PAGOS!$A$2:$A$996,PAGOS!$AL$2:$"&amp;"AL$996,""""),"""")),IF(abonos&gt;0,IFERROR(TEXTJOIN("" + "",TRUE,UNIQUE(FILTER('ABONOS MENSUALIDADES'!$E$5:$E$500,'ABONOS MENSUALIDADES'!$C$5:$C$500=A79,'ABONOS MENSUALIDADES'!$D$5:$D$500=mes))),""""),metodoDirecto)))"),"TRANSFERENCIA")</f>
        <v>TRANSFERENCIA</v>
      </c>
      <c r="F79" s="51" t="str">
        <f t="array" ref="F79">IF(A79="","",LET(mes,DATE($E$2,MATCH($B$2,'ESTADO CONTABLE'!$A$5:$A$16,0),1),cobrarDesde,IFERROR(INDEX('BASE DE DATOSS'!I:I,ROW()-13),""),pausada,SUMPRODUCT((UPPER(TRIM('PAUSAS MENSUALIDADES'!$A$5:$A$500))=UPPER(TRIM(A79)))*('PAUSAS MENSUALIDADES'!$B$5:$B$500=mes)*(UPPER(TRIM('PAUSAS MENSUALIDADES'!$D$5:$D$500))="APLICAR"))&gt;0,abonoActivo,SUMIFS('ABONOS MENSUALIDADES'!$F$5:$F$500,'ABONOS MENSUALIDADES'!$C$5:$C$500,A79,'ABONOS MENSUALIDADES'!$D$5:$D$500,mes,'ABONOS MENSUALIDADES'!$G$5:$G$500,"&lt;&gt;*CONSOLIDADO EN PAGOS*")&gt;0,esperadaBruta,MAX(IFNA(VLOOKUP(B79,COSTOS!$A$3:$B$13,2,FALSE),0)-150,0),IF(AND(cobrarDesde&lt;&gt;"",mes&lt;cobrarDesde),"AÚN NO INICIA",IF(pausada,"PAUSADA",IF(AND(abonoActivo,COUNTIFS('ABONOS MENSUALIDADES'!$C$5:$C$500,A79,'ABONOS MENSUALIDADES'!$D$5:$D$500,mes,'ABONOS MENSUALIDADES'!$G$5:$G$500,"*MENSUALIDAD LIQUIDADA*")=0),"ABONO",IF(N(D79)&gt;=esperadaBruta,"COBRADA",IF(N(D79)&gt;0,"ABONO","PENDIENTE")))))))</f>
        <v>COBRADA</v>
      </c>
      <c r="G79" s="79">
        <f t="array" ref="G79">IF(A79="","",IFERROR(INDEX('BASE DE DATOSS'!I:I,ROW()-13),""))</f>
        <v>46266</v>
      </c>
    </row>
    <row r="80">
      <c r="A80" s="51" t="str">
        <f t="array" ref="A80">IFERROR(INDEX('BASE DE DATOSS'!A:A,ROW()-13),"")</f>
        <v>TANIA ROMINA BENAVIDES VÁZQUEZ</v>
      </c>
      <c r="B80" s="51" t="str">
        <f t="array" ref="B80">IF(A80="","",IFERROR(INDEX('BASE DE DATOSS'!C:C,ROW()-13),""))</f>
        <v>SABATINO</v>
      </c>
      <c r="C80" s="62">
        <f t="array" ref="C80">IF(A80="","",LET(mes,DATE($E$2,MATCH($B$2,'ESTADO CONTABLE'!$A$5:$A$16,0),1),cobrarDesde,IFERROR(INDEX('BASE DE DATOSS'!I:I,ROW()-13),""),pausada,SUMPRODUCT((UPPER(TRIM('PAUSAS MENSUALIDADES'!$A$5:$A$500))=UPPER(TRIM(A80)))*('PAUSAS MENSUALIDADES'!$B$5:$B$500=mes)*(UPPER(TRIM('PAUSAS MENSUALIDADES'!$D$5:$D$500))="APLICAR"))&gt;0,IF(OR(AND(cobrarDesde&lt;&gt;"",mes&lt;cobrarDesde),pausada),0,MAX(IFNA(VLOOKUP(B80,COSTOS!$A$3:$B$13,2,FALSE),0)-150,0)/1.16)))</f>
        <v>474.137931</v>
      </c>
      <c r="D80" s="62">
        <f t="array" ref="D80">IF(A80="","",LET(mes,DATE($E$2,MATCH($B$2,'ESTADO CONTABLE'!$A$5:$A$16,0),1),abonos,SUMIFS('ABONOS MENSUALIDADES'!$F$5:$F$500,'ABONOS MENSUALIDADES'!$C$5:$C$500,A80,'ABONOS MENSUALIDADES'!$D$5:$D$500,mes),pago,CHOOSE(MATCH($B$2,'ESTADO CONTABLE'!$A$5:$A$16,0),IFNA(_xlfn.XLOOKUP(A80,PAGOS!$A$2:$A$996,PAGOS!$E$2:$E$996,""),""),IFNA(_xlfn.XLOOKUP(A80,PAGOS!$A$2:$A$996,PAGOS!$G$2:$G$996,""),""),IFNA(_xlfn.XLOOKUP(A80,PAGOS!$A$2:$A$996,PAGOS!$J$2:$J$996,""),""),IFNA(_xlfn.XLOOKUP(A80,PAGOS!$A$2:$A$996,PAGOS!$M$2:$M$996,""),""),IFNA(_xlfn.XLOOKUP(A80,PAGOS!$A$2:$A$996,PAGOS!$P$2:$P$996,""),""),IFNA(_xlfn.XLOOKUP(A80,PAGOS!$A$2:$A$996,PAGOS!$S$2:$S$996,""),""),IFNA(_xlfn.XLOOKUP(A80,PAGOS!$A$2:$A$996,PAGOS!$V$2:$V$996,""),""),IFNA(_xlfn.XLOOKUP(A80,PAGOS!$A$2:$A$996,PAGOS!$Y$2:$Y$996,""),""),IFNA(_xlfn.XLOOKUP(A80,PAGOS!$A$2:$A$996,PAGOS!$AB$2:$AB$996,""),""),IFNA(_xlfn.XLOOKUP(A80,PAGOS!$A$2:$A$996,PAGOS!$AE$2:$AE$996,""),""),IFNA(_xlfn.XLOOKUP(A80,PAGOS!$A$2:$A$996,PAGOS!$AH$2:$AH$996,""),""),IFNA(_xlfn.XLOOKUP(A80,PAGOS!$A$2:$A$996,PAGOS!$AK$2:$AK$996,""),"")),IF(abonos&gt;0,abonos,pago)))</f>
        <v>550</v>
      </c>
      <c r="E80" s="51" t="str">
        <f>IFERROR(__xludf.DUMMYFUNCTION("IF(A80="""","""",LET(mes,DATE($E$2,MATCH($B$2,'ESTADO CONTABLE'!$A$5:$A$16,0),1),abonos,SUMIFS('ABONOS MENSUALIDADES'!$F$5:$F$500,'ABONOS MENSUALIDADES'!$C$5:$C$500,A80,'ABONOS MENSUALIDADES'!$D$5:$D$500,mes),metodoDirecto,CHOOSE(MATCH($B$2,'ESTADO CONTAB"&amp;"LE'!$A$5:$A$16,0),IF(ISNUMBER(D80),""POR CLASIFICAR"",""""),IFNA(XLOOKUP(A80,PAGOS!$A$2:$A$996,PAGOS!$H$2:$H$996,""""),""""),IFNA(XLOOKUP(A80,PAGOS!$A$2:$A$996,PAGOS!$K$2:$K$996,""""),""""),IFNA(XLOOKUP(A80,PAGOS!$A$2:$A$996,PAGOS!$N$2:$N$996,""""),""""),"&amp;"IFNA(XLOOKUP(A80,PAGOS!$A$2:$A$996,PAGOS!$Q$2:$Q$996,""""),""""),IFNA(XLOOKUP(A80,PAGOS!$A$2:$A$996,PAGOS!$T$2:$T$996,""""),""""),IFNA(XLOOKUP(A80,PAGOS!$A$2:$A$996,PAGOS!$W$2:$W$996,""""),""""),IFNA(XLOOKUP(A80,PAGOS!$A$2:$A$996,PAGOS!$Z$2:$Z$996,""""),"&amp;"""""),IFNA(XLOOKUP(A80,PAGOS!$A$2:$A$996,PAGOS!$AC$2:$AC$996,""""),""""),IFNA(XLOOKUP(A80,PAGOS!$A$2:$A$996,PAGOS!$AF$2:$AF$996,""""),""""),IFNA(XLOOKUP(A80,PAGOS!$A$2:$A$996,PAGOS!$AI$2:$AI$996,""""),""""),IFNA(XLOOKUP(A80,PAGOS!$A$2:$A$996,PAGOS!$AL$2:$"&amp;"AL$996,""""),"""")),IF(abonos&gt;0,IFERROR(TEXTJOIN("" + "",TRUE,UNIQUE(FILTER('ABONOS MENSUALIDADES'!$E$5:$E$500,'ABONOS MENSUALIDADES'!$C$5:$C$500=A80,'ABONOS MENSUALIDADES'!$D$5:$D$500=mes))),""""),metodoDirecto)))"),"TRANSFERENCIA")</f>
        <v>TRANSFERENCIA</v>
      </c>
      <c r="F80" s="51" t="str">
        <f t="array" ref="F80">IF(A80="","",LET(mes,DATE($E$2,MATCH($B$2,'ESTADO CONTABLE'!$A$5:$A$16,0),1),cobrarDesde,IFERROR(INDEX('BASE DE DATOSS'!I:I,ROW()-13),""),pausada,SUMPRODUCT((UPPER(TRIM('PAUSAS MENSUALIDADES'!$A$5:$A$500))=UPPER(TRIM(A80)))*('PAUSAS MENSUALIDADES'!$B$5:$B$500=mes)*(UPPER(TRIM('PAUSAS MENSUALIDADES'!$D$5:$D$500))="APLICAR"))&gt;0,abonoActivo,SUMIFS('ABONOS MENSUALIDADES'!$F$5:$F$500,'ABONOS MENSUALIDADES'!$C$5:$C$500,A80,'ABONOS MENSUALIDADES'!$D$5:$D$500,mes,'ABONOS MENSUALIDADES'!$G$5:$G$500,"&lt;&gt;*CONSOLIDADO EN PAGOS*")&gt;0,esperadaBruta,MAX(IFNA(VLOOKUP(B80,COSTOS!$A$3:$B$13,2,FALSE),0)-150,0),IF(AND(cobrarDesde&lt;&gt;"",mes&lt;cobrarDesde),"AÚN NO INICIA",IF(pausada,"PAUSADA",IF(AND(abonoActivo,COUNTIFS('ABONOS MENSUALIDADES'!$C$5:$C$500,A80,'ABONOS MENSUALIDADES'!$D$5:$D$500,mes,'ABONOS MENSUALIDADES'!$G$5:$G$500,"*MENSUALIDAD LIQUIDADA*")=0),"ABONO",IF(N(D80)&gt;=esperadaBruta,"COBRADA",IF(N(D80)&gt;0,"ABONO","PENDIENTE")))))))</f>
        <v>COBRADA</v>
      </c>
      <c r="G80" s="79">
        <f t="array" ref="G80">IF(A80="","",IFERROR(INDEX('BASE DE DATOSS'!I:I,ROW()-13),""))</f>
        <v>46266</v>
      </c>
    </row>
    <row r="81">
      <c r="A81" s="51" t="str">
        <f t="array" ref="A81">IFERROR(INDEX('BASE DE DATOSS'!A:A,ROW()-13),"")</f>
        <v>RENATA VICTORIA AMARAL VENEGAS</v>
      </c>
      <c r="B81" s="51" t="str">
        <f t="array" ref="B81">IF(A81="","",IFERROR(INDEX('BASE DE DATOSS'!C:C,ROW()-13),""))</f>
        <v>KIDS 2</v>
      </c>
      <c r="C81" s="62">
        <f t="array" ref="C81">IF(A81="","",LET(mes,DATE($E$2,MATCH($B$2,'ESTADO CONTABLE'!$A$5:$A$16,0),1),cobrarDesde,IFERROR(INDEX('BASE DE DATOSS'!I:I,ROW()-13),""),pausada,SUMPRODUCT((UPPER(TRIM('PAUSAS MENSUALIDADES'!$A$5:$A$500))=UPPER(TRIM(A81)))*('PAUSAS MENSUALIDADES'!$B$5:$B$500=mes)*(UPPER(TRIM('PAUSAS MENSUALIDADES'!$D$5:$D$500))="APLICAR"))&gt;0,IF(OR(AND(cobrarDesde&lt;&gt;"",mes&lt;cobrarDesde),pausada),0,MAX(IFNA(VLOOKUP(B81,COSTOS!$A$3:$B$13,2,FALSE),0)-150,0)/1.16)))</f>
        <v>689.6551724</v>
      </c>
      <c r="D81" s="62">
        <f t="array" ref="D81">IF(A81="","",LET(mes,DATE($E$2,MATCH($B$2,'ESTADO CONTABLE'!$A$5:$A$16,0),1),abonos,SUMIFS('ABONOS MENSUALIDADES'!$F$5:$F$500,'ABONOS MENSUALIDADES'!$C$5:$C$500,A81,'ABONOS MENSUALIDADES'!$D$5:$D$500,mes),pago,CHOOSE(MATCH($B$2,'ESTADO CONTABLE'!$A$5:$A$16,0),IFNA(_xlfn.XLOOKUP(A81,PAGOS!$A$2:$A$996,PAGOS!$E$2:$E$996,""),""),IFNA(_xlfn.XLOOKUP(A81,PAGOS!$A$2:$A$996,PAGOS!$G$2:$G$996,""),""),IFNA(_xlfn.XLOOKUP(A81,PAGOS!$A$2:$A$996,PAGOS!$J$2:$J$996,""),""),IFNA(_xlfn.XLOOKUP(A81,PAGOS!$A$2:$A$996,PAGOS!$M$2:$M$996,""),""),IFNA(_xlfn.XLOOKUP(A81,PAGOS!$A$2:$A$996,PAGOS!$P$2:$P$996,""),""),IFNA(_xlfn.XLOOKUP(A81,PAGOS!$A$2:$A$996,PAGOS!$S$2:$S$996,""),""),IFNA(_xlfn.XLOOKUP(A81,PAGOS!$A$2:$A$996,PAGOS!$V$2:$V$996,""),""),IFNA(_xlfn.XLOOKUP(A81,PAGOS!$A$2:$A$996,PAGOS!$Y$2:$Y$996,""),""),IFNA(_xlfn.XLOOKUP(A81,PAGOS!$A$2:$A$996,PAGOS!$AB$2:$AB$996,""),""),IFNA(_xlfn.XLOOKUP(A81,PAGOS!$A$2:$A$996,PAGOS!$AE$2:$AE$996,""),""),IFNA(_xlfn.XLOOKUP(A81,PAGOS!$A$2:$A$996,PAGOS!$AH$2:$AH$996,""),""),IFNA(_xlfn.XLOOKUP(A81,PAGOS!$A$2:$A$996,PAGOS!$AK$2:$AK$996,""),"")),IF(abonos&gt;0,abonos,pago)))</f>
        <v>950</v>
      </c>
      <c r="E81" s="51" t="str">
        <f>IFERROR(__xludf.DUMMYFUNCTION("IF(A81="""","""",LET(mes,DATE($E$2,MATCH($B$2,'ESTADO CONTABLE'!$A$5:$A$16,0),1),abonos,SUMIFS('ABONOS MENSUALIDADES'!$F$5:$F$500,'ABONOS MENSUALIDADES'!$C$5:$C$500,A81,'ABONOS MENSUALIDADES'!$D$5:$D$500,mes),metodoDirecto,CHOOSE(MATCH($B$2,'ESTADO CONTAB"&amp;"LE'!$A$5:$A$16,0),IF(ISNUMBER(D81),""POR CLASIFICAR"",""""),IFNA(XLOOKUP(A81,PAGOS!$A$2:$A$996,PAGOS!$H$2:$H$996,""""),""""),IFNA(XLOOKUP(A81,PAGOS!$A$2:$A$996,PAGOS!$K$2:$K$996,""""),""""),IFNA(XLOOKUP(A81,PAGOS!$A$2:$A$996,PAGOS!$N$2:$N$996,""""),""""),"&amp;"IFNA(XLOOKUP(A81,PAGOS!$A$2:$A$996,PAGOS!$Q$2:$Q$996,""""),""""),IFNA(XLOOKUP(A81,PAGOS!$A$2:$A$996,PAGOS!$T$2:$T$996,""""),""""),IFNA(XLOOKUP(A81,PAGOS!$A$2:$A$996,PAGOS!$W$2:$W$996,""""),""""),IFNA(XLOOKUP(A81,PAGOS!$A$2:$A$996,PAGOS!$Z$2:$Z$996,""""),"&amp;"""""),IFNA(XLOOKUP(A81,PAGOS!$A$2:$A$996,PAGOS!$AC$2:$AC$996,""""),""""),IFNA(XLOOKUP(A81,PAGOS!$A$2:$A$996,PAGOS!$AF$2:$AF$996,""""),""""),IFNA(XLOOKUP(A81,PAGOS!$A$2:$A$996,PAGOS!$AI$2:$AI$996,""""),""""),IFNA(XLOOKUP(A81,PAGOS!$A$2:$A$996,PAGOS!$AL$2:$"&amp;"AL$996,""""),"""")),IF(abonos&gt;0,IFERROR(TEXTJOIN("" + "",TRUE,UNIQUE(FILTER('ABONOS MENSUALIDADES'!$E$5:$E$500,'ABONOS MENSUALIDADES'!$C$5:$C$500=A81,'ABONOS MENSUALIDADES'!$D$5:$D$500=mes))),""""),metodoDirecto)))"),"EFECTIVO")</f>
        <v>EFECTIVO</v>
      </c>
      <c r="F81" s="51" t="str">
        <f t="array" ref="F81">IF(A81="","",LET(mes,DATE($E$2,MATCH($B$2,'ESTADO CONTABLE'!$A$5:$A$16,0),1),cobrarDesde,IFERROR(INDEX('BASE DE DATOSS'!I:I,ROW()-13),""),pausada,SUMPRODUCT((UPPER(TRIM('PAUSAS MENSUALIDADES'!$A$5:$A$500))=UPPER(TRIM(A81)))*('PAUSAS MENSUALIDADES'!$B$5:$B$500=mes)*(UPPER(TRIM('PAUSAS MENSUALIDADES'!$D$5:$D$500))="APLICAR"))&gt;0,abonoActivo,SUMIFS('ABONOS MENSUALIDADES'!$F$5:$F$500,'ABONOS MENSUALIDADES'!$C$5:$C$500,A81,'ABONOS MENSUALIDADES'!$D$5:$D$500,mes,'ABONOS MENSUALIDADES'!$G$5:$G$500,"&lt;&gt;*CONSOLIDADO EN PAGOS*")&gt;0,esperadaBruta,MAX(IFNA(VLOOKUP(B81,COSTOS!$A$3:$B$13,2,FALSE),0)-150,0),IF(AND(cobrarDesde&lt;&gt;"",mes&lt;cobrarDesde),"AÚN NO INICIA",IF(pausada,"PAUSADA",IF(AND(abonoActivo,COUNTIFS('ABONOS MENSUALIDADES'!$C$5:$C$500,A81,'ABONOS MENSUALIDADES'!$D$5:$D$500,mes,'ABONOS MENSUALIDADES'!$G$5:$G$500,"*MENSUALIDAD LIQUIDADA*")=0),"ABONO",IF(N(D81)&gt;=esperadaBruta,"COBRADA",IF(N(D81)&gt;0,"ABONO","PENDIENTE")))))))</f>
        <v>COBRADA</v>
      </c>
      <c r="G81" s="79">
        <f t="array" ref="G81">IF(A81="","",IFERROR(INDEX('BASE DE DATOSS'!I:I,ROW()-13),""))</f>
        <v>46266</v>
      </c>
    </row>
    <row r="82">
      <c r="A82" s="51" t="str">
        <f t="array" ref="A82">IFERROR(INDEX('BASE DE DATOSS'!A:A,ROW()-13),"")</f>
        <v>DANIELA LIZETH DÍAZ VEGA </v>
      </c>
      <c r="B82" s="51" t="str">
        <f t="array" ref="B82">IF(A82="","",IFERROR(INDEX('BASE DE DATOSS'!C:C,ROW()-13),""))</f>
        <v>KIDS 3</v>
      </c>
      <c r="C82" s="62">
        <f t="array" ref="C82">IF(A82="","",LET(mes,DATE($E$2,MATCH($B$2,'ESTADO CONTABLE'!$A$5:$A$16,0),1),cobrarDesde,IFERROR(INDEX('BASE DE DATOSS'!I:I,ROW()-13),""),pausada,SUMPRODUCT((UPPER(TRIM('PAUSAS MENSUALIDADES'!$A$5:$A$500))=UPPER(TRIM(A82)))*('PAUSAS MENSUALIDADES'!$B$5:$B$500=mes)*(UPPER(TRIM('PAUSAS MENSUALIDADES'!$D$5:$D$500))="APLICAR"))&gt;0,IF(OR(AND(cobrarDesde&lt;&gt;"",mes&lt;cobrarDesde),pausada),0,MAX(IFNA(VLOOKUP(B82,COSTOS!$A$3:$B$13,2,FALSE),0)-150,0)/1.16)))</f>
        <v>689.6551724</v>
      </c>
      <c r="D82" s="62">
        <f t="array" ref="D82">IF(A82="","",LET(mes,DATE($E$2,MATCH($B$2,'ESTADO CONTABLE'!$A$5:$A$16,0),1),abonos,SUMIFS('ABONOS MENSUALIDADES'!$F$5:$F$500,'ABONOS MENSUALIDADES'!$C$5:$C$500,A82,'ABONOS MENSUALIDADES'!$D$5:$D$500,mes),pago,CHOOSE(MATCH($B$2,'ESTADO CONTABLE'!$A$5:$A$16,0),IFNA(_xlfn.XLOOKUP(A82,PAGOS!$A$2:$A$996,PAGOS!$E$2:$E$996,""),""),IFNA(_xlfn.XLOOKUP(A82,PAGOS!$A$2:$A$996,PAGOS!$G$2:$G$996,""),""),IFNA(_xlfn.XLOOKUP(A82,PAGOS!$A$2:$A$996,PAGOS!$J$2:$J$996,""),""),IFNA(_xlfn.XLOOKUP(A82,PAGOS!$A$2:$A$996,PAGOS!$M$2:$M$996,""),""),IFNA(_xlfn.XLOOKUP(A82,PAGOS!$A$2:$A$996,PAGOS!$P$2:$P$996,""),""),IFNA(_xlfn.XLOOKUP(A82,PAGOS!$A$2:$A$996,PAGOS!$S$2:$S$996,""),""),IFNA(_xlfn.XLOOKUP(A82,PAGOS!$A$2:$A$996,PAGOS!$V$2:$V$996,""),""),IFNA(_xlfn.XLOOKUP(A82,PAGOS!$A$2:$A$996,PAGOS!$Y$2:$Y$996,""),""),IFNA(_xlfn.XLOOKUP(A82,PAGOS!$A$2:$A$996,PAGOS!$AB$2:$AB$996,""),""),IFNA(_xlfn.XLOOKUP(A82,PAGOS!$A$2:$A$996,PAGOS!$AE$2:$AE$996,""),""),IFNA(_xlfn.XLOOKUP(A82,PAGOS!$A$2:$A$996,PAGOS!$AH$2:$AH$996,""),""),IFNA(_xlfn.XLOOKUP(A82,PAGOS!$A$2:$A$996,PAGOS!$AK$2:$AK$996,""),"")),IF(abonos&gt;0,abonos,pago)))</f>
        <v>800</v>
      </c>
      <c r="E82" s="51" t="str">
        <f>IFERROR(__xludf.DUMMYFUNCTION("IF(A82="""","""",LET(mes,DATE($E$2,MATCH($B$2,'ESTADO CONTABLE'!$A$5:$A$16,0),1),abonos,SUMIFS('ABONOS MENSUALIDADES'!$F$5:$F$500,'ABONOS MENSUALIDADES'!$C$5:$C$500,A82,'ABONOS MENSUALIDADES'!$D$5:$D$500,mes),metodoDirecto,CHOOSE(MATCH($B$2,'ESTADO CONTAB"&amp;"LE'!$A$5:$A$16,0),IF(ISNUMBER(D82),""POR CLASIFICAR"",""""),IFNA(XLOOKUP(A82,PAGOS!$A$2:$A$996,PAGOS!$H$2:$H$996,""""),""""),IFNA(XLOOKUP(A82,PAGOS!$A$2:$A$996,PAGOS!$K$2:$K$996,""""),""""),IFNA(XLOOKUP(A82,PAGOS!$A$2:$A$996,PAGOS!$N$2:$N$996,""""),""""),"&amp;"IFNA(XLOOKUP(A82,PAGOS!$A$2:$A$996,PAGOS!$Q$2:$Q$996,""""),""""),IFNA(XLOOKUP(A82,PAGOS!$A$2:$A$996,PAGOS!$T$2:$T$996,""""),""""),IFNA(XLOOKUP(A82,PAGOS!$A$2:$A$996,PAGOS!$W$2:$W$996,""""),""""),IFNA(XLOOKUP(A82,PAGOS!$A$2:$A$996,PAGOS!$Z$2:$Z$996,""""),"&amp;"""""),IFNA(XLOOKUP(A82,PAGOS!$A$2:$A$996,PAGOS!$AC$2:$AC$996,""""),""""),IFNA(XLOOKUP(A82,PAGOS!$A$2:$A$996,PAGOS!$AF$2:$AF$996,""""),""""),IFNA(XLOOKUP(A82,PAGOS!$A$2:$A$996,PAGOS!$AI$2:$AI$996,""""),""""),IFNA(XLOOKUP(A82,PAGOS!$A$2:$A$996,PAGOS!$AL$2:$"&amp;"AL$996,""""),"""")),IF(abonos&gt;0,IFERROR(TEXTJOIN("" + "",TRUE,UNIQUE(FILTER('ABONOS MENSUALIDADES'!$E$5:$E$500,'ABONOS MENSUALIDADES'!$C$5:$C$500=A82,'ABONOS MENSUALIDADES'!$D$5:$D$500=mes))),""""),metodoDirecto)))"),"TERMINAL")</f>
        <v>TERMINAL</v>
      </c>
      <c r="F82" s="51" t="str">
        <f t="array" ref="F82">IF(A82="","",LET(mes,DATE($E$2,MATCH($B$2,'ESTADO CONTABLE'!$A$5:$A$16,0),1),cobrarDesde,IFERROR(INDEX('BASE DE DATOSS'!I:I,ROW()-13),""),pausada,SUMPRODUCT((UPPER(TRIM('PAUSAS MENSUALIDADES'!$A$5:$A$500))=UPPER(TRIM(A82)))*('PAUSAS MENSUALIDADES'!$B$5:$B$500=mes)*(UPPER(TRIM('PAUSAS MENSUALIDADES'!$D$5:$D$500))="APLICAR"))&gt;0,abonoActivo,SUMIFS('ABONOS MENSUALIDADES'!$F$5:$F$500,'ABONOS MENSUALIDADES'!$C$5:$C$500,A82,'ABONOS MENSUALIDADES'!$D$5:$D$500,mes,'ABONOS MENSUALIDADES'!$G$5:$G$500,"&lt;&gt;*CONSOLIDADO EN PAGOS*")&gt;0,esperadaBruta,MAX(IFNA(VLOOKUP(B82,COSTOS!$A$3:$B$13,2,FALSE),0)-150,0),IF(AND(cobrarDesde&lt;&gt;"",mes&lt;cobrarDesde),"AÚN NO INICIA",IF(pausada,"PAUSADA",IF(AND(abonoActivo,COUNTIFS('ABONOS MENSUALIDADES'!$C$5:$C$500,A82,'ABONOS MENSUALIDADES'!$D$5:$D$500,mes,'ABONOS MENSUALIDADES'!$G$5:$G$500,"*MENSUALIDAD LIQUIDADA*")=0),"ABONO",IF(N(D82)&gt;=esperadaBruta,"COBRADA",IF(N(D82)&gt;0,"ABONO","PENDIENTE")))))))</f>
        <v>COBRADA</v>
      </c>
      <c r="G82" s="79">
        <f t="array" ref="G82">IF(A82="","",IFERROR(INDEX('BASE DE DATOSS'!I:I,ROW()-13),""))</f>
        <v>46266</v>
      </c>
    </row>
    <row r="83">
      <c r="A83" s="51" t="str">
        <f t="array" ref="A83">IFERROR(INDEX('BASE DE DATOSS'!A:A,ROW()-13),"")</f>
        <v>MARIANA ESTRADA MONTES</v>
      </c>
      <c r="B83" s="51" t="str">
        <f t="array" ref="B83">IF(A83="","",IFERROR(INDEX('BASE DE DATOSS'!C:C,ROW()-13),""))</f>
        <v>1 DIA KIDS</v>
      </c>
      <c r="C83" s="62">
        <f t="array" ref="C83">IF(A83="","",LET(mes,DATE($E$2,MATCH($B$2,'ESTADO CONTABLE'!$A$5:$A$16,0),1),cobrarDesde,IFERROR(INDEX('BASE DE DATOSS'!I:I,ROW()-13),""),pausada,SUMPRODUCT((UPPER(TRIM('PAUSAS MENSUALIDADES'!$A$5:$A$500))=UPPER(TRIM(A83)))*('PAUSAS MENSUALIDADES'!$B$5:$B$500=mes)*(UPPER(TRIM('PAUSAS MENSUALIDADES'!$D$5:$D$500))="APLICAR"))&gt;0,IF(OR(AND(cobrarDesde&lt;&gt;"",mes&lt;cobrarDesde),pausada),0,MAX(IFNA(VLOOKUP(B83,COSTOS!$A$3:$B$13,2,FALSE),0)-150,0)/1.16)))</f>
        <v>344.8275862</v>
      </c>
      <c r="D83" s="62">
        <f t="array" ref="D83">IF(A83="","",LET(mes,DATE($E$2,MATCH($B$2,'ESTADO CONTABLE'!$A$5:$A$16,0),1),abonos,SUMIFS('ABONOS MENSUALIDADES'!$F$5:$F$500,'ABONOS MENSUALIDADES'!$C$5:$C$500,A83,'ABONOS MENSUALIDADES'!$D$5:$D$500,mes),pago,CHOOSE(MATCH($B$2,'ESTADO CONTABLE'!$A$5:$A$16,0),IFNA(_xlfn.XLOOKUP(A83,PAGOS!$A$2:$A$996,PAGOS!$E$2:$E$996,""),""),IFNA(_xlfn.XLOOKUP(A83,PAGOS!$A$2:$A$996,PAGOS!$G$2:$G$996,""),""),IFNA(_xlfn.XLOOKUP(A83,PAGOS!$A$2:$A$996,PAGOS!$J$2:$J$996,""),""),IFNA(_xlfn.XLOOKUP(A83,PAGOS!$A$2:$A$996,PAGOS!$M$2:$M$996,""),""),IFNA(_xlfn.XLOOKUP(A83,PAGOS!$A$2:$A$996,PAGOS!$P$2:$P$996,""),""),IFNA(_xlfn.XLOOKUP(A83,PAGOS!$A$2:$A$996,PAGOS!$S$2:$S$996,""),""),IFNA(_xlfn.XLOOKUP(A83,PAGOS!$A$2:$A$996,PAGOS!$V$2:$V$996,""),""),IFNA(_xlfn.XLOOKUP(A83,PAGOS!$A$2:$A$996,PAGOS!$Y$2:$Y$996,""),""),IFNA(_xlfn.XLOOKUP(A83,PAGOS!$A$2:$A$996,PAGOS!$AB$2:$AB$996,""),""),IFNA(_xlfn.XLOOKUP(A83,PAGOS!$A$2:$A$996,PAGOS!$AE$2:$AE$996,""),""),IFNA(_xlfn.XLOOKUP(A83,PAGOS!$A$2:$A$996,PAGOS!$AH$2:$AH$996,""),""),IFNA(_xlfn.XLOOKUP(A83,PAGOS!$A$2:$A$996,PAGOS!$AK$2:$AK$996,""),"")),IF(abonos&gt;0,abonos,pago)))</f>
        <v>400</v>
      </c>
      <c r="E83" s="51" t="str">
        <f>IFERROR(__xludf.DUMMYFUNCTION("IF(A83="""","""",LET(mes,DATE($E$2,MATCH($B$2,'ESTADO CONTABLE'!$A$5:$A$16,0),1),abonos,SUMIFS('ABONOS MENSUALIDADES'!$F$5:$F$500,'ABONOS MENSUALIDADES'!$C$5:$C$500,A83,'ABONOS MENSUALIDADES'!$D$5:$D$500,mes),metodoDirecto,CHOOSE(MATCH($B$2,'ESTADO CONTAB"&amp;"LE'!$A$5:$A$16,0),IF(ISNUMBER(D83),""POR CLASIFICAR"",""""),IFNA(XLOOKUP(A83,PAGOS!$A$2:$A$996,PAGOS!$H$2:$H$996,""""),""""),IFNA(XLOOKUP(A83,PAGOS!$A$2:$A$996,PAGOS!$K$2:$K$996,""""),""""),IFNA(XLOOKUP(A83,PAGOS!$A$2:$A$996,PAGOS!$N$2:$N$996,""""),""""),"&amp;"IFNA(XLOOKUP(A83,PAGOS!$A$2:$A$996,PAGOS!$Q$2:$Q$996,""""),""""),IFNA(XLOOKUP(A83,PAGOS!$A$2:$A$996,PAGOS!$T$2:$T$996,""""),""""),IFNA(XLOOKUP(A83,PAGOS!$A$2:$A$996,PAGOS!$W$2:$W$996,""""),""""),IFNA(XLOOKUP(A83,PAGOS!$A$2:$A$996,PAGOS!$Z$2:$Z$996,""""),"&amp;"""""),IFNA(XLOOKUP(A83,PAGOS!$A$2:$A$996,PAGOS!$AC$2:$AC$996,""""),""""),IFNA(XLOOKUP(A83,PAGOS!$A$2:$A$996,PAGOS!$AF$2:$AF$996,""""),""""),IFNA(XLOOKUP(A83,PAGOS!$A$2:$A$996,PAGOS!$AI$2:$AI$996,""""),""""),IFNA(XLOOKUP(A83,PAGOS!$A$2:$A$996,PAGOS!$AL$2:$"&amp;"AL$996,""""),"""")),IF(abonos&gt;0,IFERROR(TEXTJOIN("" + "",TRUE,UNIQUE(FILTER('ABONOS MENSUALIDADES'!$E$5:$E$500,'ABONOS MENSUALIDADES'!$C$5:$C$500=A83,'ABONOS MENSUALIDADES'!$D$5:$D$500=mes))),""""),metodoDirecto)))"),"EFECTIVO")</f>
        <v>EFECTIVO</v>
      </c>
      <c r="F83" s="51" t="str">
        <f t="array" ref="F83">IF(A83="","",LET(mes,DATE($E$2,MATCH($B$2,'ESTADO CONTABLE'!$A$5:$A$16,0),1),cobrarDesde,IFERROR(INDEX('BASE DE DATOSS'!I:I,ROW()-13),""),pausada,SUMPRODUCT((UPPER(TRIM('PAUSAS MENSUALIDADES'!$A$5:$A$500))=UPPER(TRIM(A83)))*('PAUSAS MENSUALIDADES'!$B$5:$B$500=mes)*(UPPER(TRIM('PAUSAS MENSUALIDADES'!$D$5:$D$500))="APLICAR"))&gt;0,abonoActivo,SUMIFS('ABONOS MENSUALIDADES'!$F$5:$F$500,'ABONOS MENSUALIDADES'!$C$5:$C$500,A83,'ABONOS MENSUALIDADES'!$D$5:$D$500,mes,'ABONOS MENSUALIDADES'!$G$5:$G$500,"&lt;&gt;*CONSOLIDADO EN PAGOS*")&gt;0,esperadaBruta,MAX(IFNA(VLOOKUP(B83,COSTOS!$A$3:$B$13,2,FALSE),0)-150,0),IF(AND(cobrarDesde&lt;&gt;"",mes&lt;cobrarDesde),"AÚN NO INICIA",IF(pausada,"PAUSADA",IF(AND(abonoActivo,COUNTIFS('ABONOS MENSUALIDADES'!$C$5:$C$500,A83,'ABONOS MENSUALIDADES'!$D$5:$D$500,mes,'ABONOS MENSUALIDADES'!$G$5:$G$500,"*MENSUALIDAD LIQUIDADA*")=0),"ABONO",IF(N(D83)&gt;=esperadaBruta,"COBRADA",IF(N(D83)&gt;0,"ABONO","PENDIENTE")))))))</f>
        <v>COBRADA</v>
      </c>
      <c r="G83" s="79">
        <f t="array" ref="G83">IF(A83="","",IFERROR(INDEX('BASE DE DATOSS'!I:I,ROW()-13),""))</f>
        <v>46266</v>
      </c>
    </row>
    <row r="84">
      <c r="A84" s="51" t="str">
        <f t="array" ref="A84">IFERROR(INDEX('BASE DE DATOSS'!A:A,ROW()-13),"")</f>
        <v>MIREYA SAMANTHA LOPEZ GUEVARA</v>
      </c>
      <c r="B84" s="51" t="str">
        <f t="array" ref="B84">IF(A84="","",IFERROR(INDEX('BASE DE DATOSS'!C:C,ROW()-13),""))</f>
        <v>ADULTS 2</v>
      </c>
      <c r="C84" s="62">
        <f t="array" ref="C84">IF(A84="","",LET(mes,DATE($E$2,MATCH($B$2,'ESTADO CONTABLE'!$A$5:$A$16,0),1),cobrarDesde,IFERROR(INDEX('BASE DE DATOSS'!I:I,ROW()-13),""),pausada,SUMPRODUCT((UPPER(TRIM('PAUSAS MENSUALIDADES'!$A$5:$A$500))=UPPER(TRIM(A84)))*('PAUSAS MENSUALIDADES'!$B$5:$B$500=mes)*(UPPER(TRIM('PAUSAS MENSUALIDADES'!$D$5:$D$500))="APLICAR"))&gt;0,IF(OR(AND(cobrarDesde&lt;&gt;"",mes&lt;cobrarDesde),pausada),0,MAX(IFNA(VLOOKUP(B84,COSTOS!$A$3:$B$13,2,FALSE),0)-150,0)/1.16)))</f>
        <v>818.9655172</v>
      </c>
      <c r="D84" s="62">
        <f t="array" ref="D84">IF(A84="","",LET(mes,DATE($E$2,MATCH($B$2,'ESTADO CONTABLE'!$A$5:$A$16,0),1),abonos,SUMIFS('ABONOS MENSUALIDADES'!$F$5:$F$500,'ABONOS MENSUALIDADES'!$C$5:$C$500,A84,'ABONOS MENSUALIDADES'!$D$5:$D$500,mes),pago,CHOOSE(MATCH($B$2,'ESTADO CONTABLE'!$A$5:$A$16,0),IFNA(_xlfn.XLOOKUP(A84,PAGOS!$A$2:$A$996,PAGOS!$E$2:$E$996,""),""),IFNA(_xlfn.XLOOKUP(A84,PAGOS!$A$2:$A$996,PAGOS!$G$2:$G$996,""),""),IFNA(_xlfn.XLOOKUP(A84,PAGOS!$A$2:$A$996,PAGOS!$J$2:$J$996,""),""),IFNA(_xlfn.XLOOKUP(A84,PAGOS!$A$2:$A$996,PAGOS!$M$2:$M$996,""),""),IFNA(_xlfn.XLOOKUP(A84,PAGOS!$A$2:$A$996,PAGOS!$P$2:$P$996,""),""),IFNA(_xlfn.XLOOKUP(A84,PAGOS!$A$2:$A$996,PAGOS!$S$2:$S$996,""),""),IFNA(_xlfn.XLOOKUP(A84,PAGOS!$A$2:$A$996,PAGOS!$V$2:$V$996,""),""),IFNA(_xlfn.XLOOKUP(A84,PAGOS!$A$2:$A$996,PAGOS!$Y$2:$Y$996,""),""),IFNA(_xlfn.XLOOKUP(A84,PAGOS!$A$2:$A$996,PAGOS!$AB$2:$AB$996,""),""),IFNA(_xlfn.XLOOKUP(A84,PAGOS!$A$2:$A$996,PAGOS!$AE$2:$AE$996,""),""),IFNA(_xlfn.XLOOKUP(A84,PAGOS!$A$2:$A$996,PAGOS!$AH$2:$AH$996,""),""),IFNA(_xlfn.XLOOKUP(A84,PAGOS!$A$2:$A$996,PAGOS!$AK$2:$AK$996,""),"")),IF(abonos&gt;0,abonos,pago)))</f>
        <v>950</v>
      </c>
      <c r="E84" s="51" t="str">
        <f>IFERROR(__xludf.DUMMYFUNCTION("IF(A84="""","""",LET(mes,DATE($E$2,MATCH($B$2,'ESTADO CONTABLE'!$A$5:$A$16,0),1),abonos,SUMIFS('ABONOS MENSUALIDADES'!$F$5:$F$500,'ABONOS MENSUALIDADES'!$C$5:$C$500,A84,'ABONOS MENSUALIDADES'!$D$5:$D$500,mes),metodoDirecto,CHOOSE(MATCH($B$2,'ESTADO CONTAB"&amp;"LE'!$A$5:$A$16,0),IF(ISNUMBER(D84),""POR CLASIFICAR"",""""),IFNA(XLOOKUP(A84,PAGOS!$A$2:$A$996,PAGOS!$H$2:$H$996,""""),""""),IFNA(XLOOKUP(A84,PAGOS!$A$2:$A$996,PAGOS!$K$2:$K$996,""""),""""),IFNA(XLOOKUP(A84,PAGOS!$A$2:$A$996,PAGOS!$N$2:$N$996,""""),""""),"&amp;"IFNA(XLOOKUP(A84,PAGOS!$A$2:$A$996,PAGOS!$Q$2:$Q$996,""""),""""),IFNA(XLOOKUP(A84,PAGOS!$A$2:$A$996,PAGOS!$T$2:$T$996,""""),""""),IFNA(XLOOKUP(A84,PAGOS!$A$2:$A$996,PAGOS!$W$2:$W$996,""""),""""),IFNA(XLOOKUP(A84,PAGOS!$A$2:$A$996,PAGOS!$Z$2:$Z$996,""""),"&amp;"""""),IFNA(XLOOKUP(A84,PAGOS!$A$2:$A$996,PAGOS!$AC$2:$AC$996,""""),""""),IFNA(XLOOKUP(A84,PAGOS!$A$2:$A$996,PAGOS!$AF$2:$AF$996,""""),""""),IFNA(XLOOKUP(A84,PAGOS!$A$2:$A$996,PAGOS!$AI$2:$AI$996,""""),""""),IFNA(XLOOKUP(A84,PAGOS!$A$2:$A$996,PAGOS!$AL$2:$"&amp;"AL$996,""""),"""")),IF(abonos&gt;0,IFERROR(TEXTJOIN("" + "",TRUE,UNIQUE(FILTER('ABONOS MENSUALIDADES'!$E$5:$E$500,'ABONOS MENSUALIDADES'!$C$5:$C$500=A84,'ABONOS MENSUALIDADES'!$D$5:$D$500=mes))),""""),metodoDirecto)))"),"TRANSFERENCIA")</f>
        <v>TRANSFERENCIA</v>
      </c>
      <c r="F84" s="51" t="str">
        <f t="array" ref="F84">IF(A84="","",LET(mes,DATE($E$2,MATCH($B$2,'ESTADO CONTABLE'!$A$5:$A$16,0),1),cobrarDesde,IFERROR(INDEX('BASE DE DATOSS'!I:I,ROW()-13),""),pausada,SUMPRODUCT((UPPER(TRIM('PAUSAS MENSUALIDADES'!$A$5:$A$500))=UPPER(TRIM(A84)))*('PAUSAS MENSUALIDADES'!$B$5:$B$500=mes)*(UPPER(TRIM('PAUSAS MENSUALIDADES'!$D$5:$D$500))="APLICAR"))&gt;0,abonoActivo,SUMIFS('ABONOS MENSUALIDADES'!$F$5:$F$500,'ABONOS MENSUALIDADES'!$C$5:$C$500,A84,'ABONOS MENSUALIDADES'!$D$5:$D$500,mes,'ABONOS MENSUALIDADES'!$G$5:$G$500,"&lt;&gt;*CONSOLIDADO EN PAGOS*")&gt;0,esperadaBruta,MAX(IFNA(VLOOKUP(B84,COSTOS!$A$3:$B$13,2,FALSE),0)-150,0),IF(AND(cobrarDesde&lt;&gt;"",mes&lt;cobrarDesde),"AÚN NO INICIA",IF(pausada,"PAUSADA",IF(AND(abonoActivo,COUNTIFS('ABONOS MENSUALIDADES'!$C$5:$C$500,A84,'ABONOS MENSUALIDADES'!$D$5:$D$500,mes,'ABONOS MENSUALIDADES'!$G$5:$G$500,"*MENSUALIDAD LIQUIDADA*")=0),"ABONO",IF(N(D84)&gt;=esperadaBruta,"COBRADA",IF(N(D84)&gt;0,"ABONO","PENDIENTE")))))))</f>
        <v>COBRADA</v>
      </c>
      <c r="G84" s="79">
        <f t="array" ref="G84">IF(A84="","",IFERROR(INDEX('BASE DE DATOSS'!I:I,ROW()-13),""))</f>
        <v>46266</v>
      </c>
    </row>
    <row r="85">
      <c r="A85" s="51" t="str">
        <f t="array" ref="A85">IFERROR(INDEX('BASE DE DATOSS'!A:A,ROW()-13),"")</f>
        <v>ALEXA KARELLI VALDOVINOS IÑIGUEZ</v>
      </c>
      <c r="B85" s="51" t="str">
        <f t="array" ref="B85">IF(A85="","",IFERROR(INDEX('BASE DE DATOSS'!C:C,ROW()-13),""))</f>
        <v>1 DIA KIDS</v>
      </c>
      <c r="C85" s="62">
        <f t="array" ref="C85">IF(A85="","",LET(mes,DATE($E$2,MATCH($B$2,'ESTADO CONTABLE'!$A$5:$A$16,0),1),cobrarDesde,IFERROR(INDEX('BASE DE DATOSS'!I:I,ROW()-13),""),pausada,SUMPRODUCT((UPPER(TRIM('PAUSAS MENSUALIDADES'!$A$5:$A$500))=UPPER(TRIM(A85)))*('PAUSAS MENSUALIDADES'!$B$5:$B$500=mes)*(UPPER(TRIM('PAUSAS MENSUALIDADES'!$D$5:$D$500))="APLICAR"))&gt;0,IF(OR(AND(cobrarDesde&lt;&gt;"",mes&lt;cobrarDesde),pausada),0,MAX(IFNA(VLOOKUP(B85,COSTOS!$A$3:$B$13,2,FALSE),0)-150,0)/1.16)))</f>
        <v>344.8275862</v>
      </c>
      <c r="D85" s="62">
        <f t="array" ref="D85">IF(A85="","",LET(mes,DATE($E$2,MATCH($B$2,'ESTADO CONTABLE'!$A$5:$A$16,0),1),abonos,SUMIFS('ABONOS MENSUALIDADES'!$F$5:$F$500,'ABONOS MENSUALIDADES'!$C$5:$C$500,A85,'ABONOS MENSUALIDADES'!$D$5:$D$500,mes),pago,CHOOSE(MATCH($B$2,'ESTADO CONTABLE'!$A$5:$A$16,0),IFNA(_xlfn.XLOOKUP(A85,PAGOS!$A$2:$A$996,PAGOS!$E$2:$E$996,""),""),IFNA(_xlfn.XLOOKUP(A85,PAGOS!$A$2:$A$996,PAGOS!$G$2:$G$996,""),""),IFNA(_xlfn.XLOOKUP(A85,PAGOS!$A$2:$A$996,PAGOS!$J$2:$J$996,""),""),IFNA(_xlfn.XLOOKUP(A85,PAGOS!$A$2:$A$996,PAGOS!$M$2:$M$996,""),""),IFNA(_xlfn.XLOOKUP(A85,PAGOS!$A$2:$A$996,PAGOS!$P$2:$P$996,""),""),IFNA(_xlfn.XLOOKUP(A85,PAGOS!$A$2:$A$996,PAGOS!$S$2:$S$996,""),""),IFNA(_xlfn.XLOOKUP(A85,PAGOS!$A$2:$A$996,PAGOS!$V$2:$V$996,""),""),IFNA(_xlfn.XLOOKUP(A85,PAGOS!$A$2:$A$996,PAGOS!$Y$2:$Y$996,""),""),IFNA(_xlfn.XLOOKUP(A85,PAGOS!$A$2:$A$996,PAGOS!$AB$2:$AB$996,""),""),IFNA(_xlfn.XLOOKUP(A85,PAGOS!$A$2:$A$996,PAGOS!$AE$2:$AE$996,""),""),IFNA(_xlfn.XLOOKUP(A85,PAGOS!$A$2:$A$996,PAGOS!$AH$2:$AH$996,""),""),IFNA(_xlfn.XLOOKUP(A85,PAGOS!$A$2:$A$996,PAGOS!$AK$2:$AK$996,""),"")),IF(abonos&gt;0,abonos,pago)))</f>
        <v>400</v>
      </c>
      <c r="E85" s="51" t="str">
        <f>IFERROR(__xludf.DUMMYFUNCTION("IF(A85="""","""",LET(mes,DATE($E$2,MATCH($B$2,'ESTADO CONTABLE'!$A$5:$A$16,0),1),abonos,SUMIFS('ABONOS MENSUALIDADES'!$F$5:$F$500,'ABONOS MENSUALIDADES'!$C$5:$C$500,A85,'ABONOS MENSUALIDADES'!$D$5:$D$500,mes),metodoDirecto,CHOOSE(MATCH($B$2,'ESTADO CONTAB"&amp;"LE'!$A$5:$A$16,0),IF(ISNUMBER(D85),""POR CLASIFICAR"",""""),IFNA(XLOOKUP(A85,PAGOS!$A$2:$A$996,PAGOS!$H$2:$H$996,""""),""""),IFNA(XLOOKUP(A85,PAGOS!$A$2:$A$996,PAGOS!$K$2:$K$996,""""),""""),IFNA(XLOOKUP(A85,PAGOS!$A$2:$A$996,PAGOS!$N$2:$N$996,""""),""""),"&amp;"IFNA(XLOOKUP(A85,PAGOS!$A$2:$A$996,PAGOS!$Q$2:$Q$996,""""),""""),IFNA(XLOOKUP(A85,PAGOS!$A$2:$A$996,PAGOS!$T$2:$T$996,""""),""""),IFNA(XLOOKUP(A85,PAGOS!$A$2:$A$996,PAGOS!$W$2:$W$996,""""),""""),IFNA(XLOOKUP(A85,PAGOS!$A$2:$A$996,PAGOS!$Z$2:$Z$996,""""),"&amp;"""""),IFNA(XLOOKUP(A85,PAGOS!$A$2:$A$996,PAGOS!$AC$2:$AC$996,""""),""""),IFNA(XLOOKUP(A85,PAGOS!$A$2:$A$996,PAGOS!$AF$2:$AF$996,""""),""""),IFNA(XLOOKUP(A85,PAGOS!$A$2:$A$996,PAGOS!$AI$2:$AI$996,""""),""""),IFNA(XLOOKUP(A85,PAGOS!$A$2:$A$996,PAGOS!$AL$2:$"&amp;"AL$996,""""),"""")),IF(abonos&gt;0,IFERROR(TEXTJOIN("" + "",TRUE,UNIQUE(FILTER('ABONOS MENSUALIDADES'!$E$5:$E$500,'ABONOS MENSUALIDADES'!$C$5:$C$500=A85,'ABONOS MENSUALIDADES'!$D$5:$D$500=mes))),""""),metodoDirecto)))"),"TRANSFERENCIA")</f>
        <v>TRANSFERENCIA</v>
      </c>
      <c r="F85" s="51" t="str">
        <f t="array" ref="F85">IF(A85="","",LET(mes,DATE($E$2,MATCH($B$2,'ESTADO CONTABLE'!$A$5:$A$16,0),1),cobrarDesde,IFERROR(INDEX('BASE DE DATOSS'!I:I,ROW()-13),""),pausada,SUMPRODUCT((UPPER(TRIM('PAUSAS MENSUALIDADES'!$A$5:$A$500))=UPPER(TRIM(A85)))*('PAUSAS MENSUALIDADES'!$B$5:$B$500=mes)*(UPPER(TRIM('PAUSAS MENSUALIDADES'!$D$5:$D$500))="APLICAR"))&gt;0,abonoActivo,SUMIFS('ABONOS MENSUALIDADES'!$F$5:$F$500,'ABONOS MENSUALIDADES'!$C$5:$C$500,A85,'ABONOS MENSUALIDADES'!$D$5:$D$500,mes,'ABONOS MENSUALIDADES'!$G$5:$G$500,"&lt;&gt;*CONSOLIDADO EN PAGOS*")&gt;0,esperadaBruta,MAX(IFNA(VLOOKUP(B85,COSTOS!$A$3:$B$13,2,FALSE),0)-150,0),IF(AND(cobrarDesde&lt;&gt;"",mes&lt;cobrarDesde),"AÚN NO INICIA",IF(pausada,"PAUSADA",IF(AND(abonoActivo,COUNTIFS('ABONOS MENSUALIDADES'!$C$5:$C$500,A85,'ABONOS MENSUALIDADES'!$D$5:$D$500,mes,'ABONOS MENSUALIDADES'!$G$5:$G$500,"*MENSUALIDAD LIQUIDADA*")=0),"ABONO",IF(N(D85)&gt;=esperadaBruta,"COBRADA",IF(N(D85)&gt;0,"ABONO","PENDIENTE")))))))</f>
        <v>COBRADA</v>
      </c>
      <c r="G85" s="79">
        <f t="array" ref="G85">IF(A85="","",IFERROR(INDEX('BASE DE DATOSS'!I:I,ROW()-13),""))</f>
        <v>46266</v>
      </c>
    </row>
    <row r="86">
      <c r="A86" s="51" t="str">
        <f t="array" ref="A86">IFERROR(INDEX('BASE DE DATOSS'!A:A,ROW()-13),"")</f>
        <v>MIRANDA VALENTINA HERNÁNDEZ CERVANTES</v>
      </c>
      <c r="B86" s="51" t="str">
        <f t="array" ref="B86">IF(A86="","",IFERROR(INDEX('BASE DE DATOSS'!C:C,ROW()-13),""))</f>
        <v>JR 1</v>
      </c>
      <c r="C86" s="62">
        <f t="array" ref="C86">IF(A86="","",LET(mes,DATE($E$2,MATCH($B$2,'ESTADO CONTABLE'!$A$5:$A$16,0),1),cobrarDesde,IFERROR(INDEX('BASE DE DATOSS'!I:I,ROW()-13),""),pausada,SUMPRODUCT((UPPER(TRIM('PAUSAS MENSUALIDADES'!$A$5:$A$500))=UPPER(TRIM(A86)))*('PAUSAS MENSUALIDADES'!$B$5:$B$500=mes)*(UPPER(TRIM('PAUSAS MENSUALIDADES'!$D$5:$D$500))="APLICAR"))&gt;0,IF(OR(AND(cobrarDesde&lt;&gt;"",mes&lt;cobrarDesde),pausada),0,MAX(IFNA(VLOOKUP(B86,COSTOS!$A$3:$B$13,2,FALSE),0)-150,0)/1.16)))</f>
        <v>818.9655172</v>
      </c>
      <c r="D86" s="62">
        <f t="array" ref="D86">IF(A86="","",LET(mes,DATE($E$2,MATCH($B$2,'ESTADO CONTABLE'!$A$5:$A$16,0),1),abonos,SUMIFS('ABONOS MENSUALIDADES'!$F$5:$F$500,'ABONOS MENSUALIDADES'!$C$5:$C$500,A86,'ABONOS MENSUALIDADES'!$D$5:$D$500,mes),pago,CHOOSE(MATCH($B$2,'ESTADO CONTABLE'!$A$5:$A$16,0),IFNA(_xlfn.XLOOKUP(A86,PAGOS!$A$2:$A$996,PAGOS!$E$2:$E$996,""),""),IFNA(_xlfn.XLOOKUP(A86,PAGOS!$A$2:$A$996,PAGOS!$G$2:$G$996,""),""),IFNA(_xlfn.XLOOKUP(A86,PAGOS!$A$2:$A$996,PAGOS!$J$2:$J$996,""),""),IFNA(_xlfn.XLOOKUP(A86,PAGOS!$A$2:$A$996,PAGOS!$M$2:$M$996,""),""),IFNA(_xlfn.XLOOKUP(A86,PAGOS!$A$2:$A$996,PAGOS!$P$2:$P$996,""),""),IFNA(_xlfn.XLOOKUP(A86,PAGOS!$A$2:$A$996,PAGOS!$S$2:$S$996,""),""),IFNA(_xlfn.XLOOKUP(A86,PAGOS!$A$2:$A$996,PAGOS!$V$2:$V$996,""),""),IFNA(_xlfn.XLOOKUP(A86,PAGOS!$A$2:$A$996,PAGOS!$Y$2:$Y$996,""),""),IFNA(_xlfn.XLOOKUP(A86,PAGOS!$A$2:$A$996,PAGOS!$AB$2:$AB$996,""),""),IFNA(_xlfn.XLOOKUP(A86,PAGOS!$A$2:$A$996,PAGOS!$AE$2:$AE$996,""),""),IFNA(_xlfn.XLOOKUP(A86,PAGOS!$A$2:$A$996,PAGOS!$AH$2:$AH$996,""),""),IFNA(_xlfn.XLOOKUP(A86,PAGOS!$A$2:$A$996,PAGOS!$AK$2:$AK$996,""),"")),IF(abonos&gt;0,abonos,pago)))</f>
        <v>1000</v>
      </c>
      <c r="E86" s="51" t="str">
        <f>IFERROR(__xludf.DUMMYFUNCTION("IF(A86="""","""",LET(mes,DATE($E$2,MATCH($B$2,'ESTADO CONTABLE'!$A$5:$A$16,0),1),abonos,SUMIFS('ABONOS MENSUALIDADES'!$F$5:$F$500,'ABONOS MENSUALIDADES'!$C$5:$C$500,A86,'ABONOS MENSUALIDADES'!$D$5:$D$500,mes),metodoDirecto,CHOOSE(MATCH($B$2,'ESTADO CONTAB"&amp;"LE'!$A$5:$A$16,0),IF(ISNUMBER(D86),""POR CLASIFICAR"",""""),IFNA(XLOOKUP(A86,PAGOS!$A$2:$A$996,PAGOS!$H$2:$H$996,""""),""""),IFNA(XLOOKUP(A86,PAGOS!$A$2:$A$996,PAGOS!$K$2:$K$996,""""),""""),IFNA(XLOOKUP(A86,PAGOS!$A$2:$A$996,PAGOS!$N$2:$N$996,""""),""""),"&amp;"IFNA(XLOOKUP(A86,PAGOS!$A$2:$A$996,PAGOS!$Q$2:$Q$996,""""),""""),IFNA(XLOOKUP(A86,PAGOS!$A$2:$A$996,PAGOS!$T$2:$T$996,""""),""""),IFNA(XLOOKUP(A86,PAGOS!$A$2:$A$996,PAGOS!$W$2:$W$996,""""),""""),IFNA(XLOOKUP(A86,PAGOS!$A$2:$A$996,PAGOS!$Z$2:$Z$996,""""),"&amp;"""""),IFNA(XLOOKUP(A86,PAGOS!$A$2:$A$996,PAGOS!$AC$2:$AC$996,""""),""""),IFNA(XLOOKUP(A86,PAGOS!$A$2:$A$996,PAGOS!$AF$2:$AF$996,""""),""""),IFNA(XLOOKUP(A86,PAGOS!$A$2:$A$996,PAGOS!$AI$2:$AI$996,""""),""""),IFNA(XLOOKUP(A86,PAGOS!$A$2:$A$996,PAGOS!$AL$2:$"&amp;"AL$996,""""),"""")),IF(abonos&gt;0,IFERROR(TEXTJOIN("" + "",TRUE,UNIQUE(FILTER('ABONOS MENSUALIDADES'!$E$5:$E$500,'ABONOS MENSUALIDADES'!$C$5:$C$500=A86,'ABONOS MENSUALIDADES'!$D$5:$D$500=mes))),""""),metodoDirecto)))"),"EFECTIVO")</f>
        <v>EFECTIVO</v>
      </c>
      <c r="F86" s="51" t="str">
        <f t="array" ref="F86">IF(A86="","",LET(mes,DATE($E$2,MATCH($B$2,'ESTADO CONTABLE'!$A$5:$A$16,0),1),cobrarDesde,IFERROR(INDEX('BASE DE DATOSS'!I:I,ROW()-13),""),pausada,SUMPRODUCT((UPPER(TRIM('PAUSAS MENSUALIDADES'!$A$5:$A$500))=UPPER(TRIM(A86)))*('PAUSAS MENSUALIDADES'!$B$5:$B$500=mes)*(UPPER(TRIM('PAUSAS MENSUALIDADES'!$D$5:$D$500))="APLICAR"))&gt;0,abonoActivo,SUMIFS('ABONOS MENSUALIDADES'!$F$5:$F$500,'ABONOS MENSUALIDADES'!$C$5:$C$500,A86,'ABONOS MENSUALIDADES'!$D$5:$D$500,mes,'ABONOS MENSUALIDADES'!$G$5:$G$500,"&lt;&gt;*CONSOLIDADO EN PAGOS*")&gt;0,esperadaBruta,MAX(IFNA(VLOOKUP(B86,COSTOS!$A$3:$B$13,2,FALSE),0)-150,0),IF(AND(cobrarDesde&lt;&gt;"",mes&lt;cobrarDesde),"AÚN NO INICIA",IF(pausada,"PAUSADA",IF(AND(abonoActivo,COUNTIFS('ABONOS MENSUALIDADES'!$C$5:$C$500,A86,'ABONOS MENSUALIDADES'!$D$5:$D$500,mes,'ABONOS MENSUALIDADES'!$G$5:$G$500,"*MENSUALIDAD LIQUIDADA*")=0),"ABONO",IF(N(D86)&gt;=esperadaBruta,"COBRADA",IF(N(D86)&gt;0,"ABONO","PENDIENTE")))))))</f>
        <v>ABONO</v>
      </c>
      <c r="G86" s="79">
        <f t="array" ref="G86">IF(A86="","",IFERROR(INDEX('BASE DE DATOSS'!I:I,ROW()-13),""))</f>
        <v>46266</v>
      </c>
    </row>
    <row r="87">
      <c r="A87" s="51" t="str">
        <f t="array" ref="A87">IFERROR(INDEX('BASE DE DATOSS'!A:A,ROW()-13),"")</f>
        <v>JOHARI ODDETE MURGUIA VELASCO </v>
      </c>
      <c r="B87" s="51" t="str">
        <f t="array" ref="B87">IF(A87="","",IFERROR(INDEX('BASE DE DATOSS'!C:C,ROW()-13),""))</f>
        <v>KIDS 2</v>
      </c>
      <c r="C87" s="62">
        <f t="array" ref="C87">IF(A87="","",LET(mes,DATE($E$2,MATCH($B$2,'ESTADO CONTABLE'!$A$5:$A$16,0),1),cobrarDesde,IFERROR(INDEX('BASE DE DATOSS'!I:I,ROW()-13),""),pausada,SUMPRODUCT((UPPER(TRIM('PAUSAS MENSUALIDADES'!$A$5:$A$500))=UPPER(TRIM(A87)))*('PAUSAS MENSUALIDADES'!$B$5:$B$500=mes)*(UPPER(TRIM('PAUSAS MENSUALIDADES'!$D$5:$D$500))="APLICAR"))&gt;0,IF(OR(AND(cobrarDesde&lt;&gt;"",mes&lt;cobrarDesde),pausada),0,MAX(IFNA(VLOOKUP(B87,COSTOS!$A$3:$B$13,2,FALSE),0)-150,0)/1.16)))</f>
        <v>689.6551724</v>
      </c>
      <c r="D87" s="62" t="str">
        <f t="array" ref="D87">IF(A87="","",LET(mes,DATE($E$2,MATCH($B$2,'ESTADO CONTABLE'!$A$5:$A$16,0),1),abonos,SUMIFS('ABONOS MENSUALIDADES'!$F$5:$F$500,'ABONOS MENSUALIDADES'!$C$5:$C$500,A87,'ABONOS MENSUALIDADES'!$D$5:$D$500,mes),pago,CHOOSE(MATCH($B$2,'ESTADO CONTABLE'!$A$5:$A$16,0),IFNA(_xlfn.XLOOKUP(A87,PAGOS!$A$2:$A$996,PAGOS!$E$2:$E$996,""),""),IFNA(_xlfn.XLOOKUP(A87,PAGOS!$A$2:$A$996,PAGOS!$G$2:$G$996,""),""),IFNA(_xlfn.XLOOKUP(A87,PAGOS!$A$2:$A$996,PAGOS!$J$2:$J$996,""),""),IFNA(_xlfn.XLOOKUP(A87,PAGOS!$A$2:$A$996,PAGOS!$M$2:$M$996,""),""),IFNA(_xlfn.XLOOKUP(A87,PAGOS!$A$2:$A$996,PAGOS!$P$2:$P$996,""),""),IFNA(_xlfn.XLOOKUP(A87,PAGOS!$A$2:$A$996,PAGOS!$S$2:$S$996,""),""),IFNA(_xlfn.XLOOKUP(A87,PAGOS!$A$2:$A$996,PAGOS!$V$2:$V$996,""),""),IFNA(_xlfn.XLOOKUP(A87,PAGOS!$A$2:$A$996,PAGOS!$Y$2:$Y$996,""),""),IFNA(_xlfn.XLOOKUP(A87,PAGOS!$A$2:$A$996,PAGOS!$AB$2:$AB$996,""),""),IFNA(_xlfn.XLOOKUP(A87,PAGOS!$A$2:$A$996,PAGOS!$AE$2:$AE$996,""),""),IFNA(_xlfn.XLOOKUP(A87,PAGOS!$A$2:$A$996,PAGOS!$AH$2:$AH$996,""),""),IFNA(_xlfn.XLOOKUP(A87,PAGOS!$A$2:$A$996,PAGOS!$AK$2:$AK$996,""),"")),IF(abonos&gt;0,abonos,pago)))</f>
        <v/>
      </c>
      <c r="E87" s="51" t="str">
        <f>IFERROR(__xludf.DUMMYFUNCTION("IF(A87="""","""",LET(mes,DATE($E$2,MATCH($B$2,'ESTADO CONTABLE'!$A$5:$A$16,0),1),abonos,SUMIFS('ABONOS MENSUALIDADES'!$F$5:$F$500,'ABONOS MENSUALIDADES'!$C$5:$C$500,A87,'ABONOS MENSUALIDADES'!$D$5:$D$500,mes),metodoDirecto,CHOOSE(MATCH($B$2,'ESTADO CONTAB"&amp;"LE'!$A$5:$A$16,0),IF(ISNUMBER(D87),""POR CLASIFICAR"",""""),IFNA(XLOOKUP(A87,PAGOS!$A$2:$A$996,PAGOS!$H$2:$H$996,""""),""""),IFNA(XLOOKUP(A87,PAGOS!$A$2:$A$996,PAGOS!$K$2:$K$996,""""),""""),IFNA(XLOOKUP(A87,PAGOS!$A$2:$A$996,PAGOS!$N$2:$N$996,""""),""""),"&amp;"IFNA(XLOOKUP(A87,PAGOS!$A$2:$A$996,PAGOS!$Q$2:$Q$996,""""),""""),IFNA(XLOOKUP(A87,PAGOS!$A$2:$A$996,PAGOS!$T$2:$T$996,""""),""""),IFNA(XLOOKUP(A87,PAGOS!$A$2:$A$996,PAGOS!$W$2:$W$996,""""),""""),IFNA(XLOOKUP(A87,PAGOS!$A$2:$A$996,PAGOS!$Z$2:$Z$996,""""),"&amp;"""""),IFNA(XLOOKUP(A87,PAGOS!$A$2:$A$996,PAGOS!$AC$2:$AC$996,""""),""""),IFNA(XLOOKUP(A87,PAGOS!$A$2:$A$996,PAGOS!$AF$2:$AF$996,""""),""""),IFNA(XLOOKUP(A87,PAGOS!$A$2:$A$996,PAGOS!$AI$2:$AI$996,""""),""""),IFNA(XLOOKUP(A87,PAGOS!$A$2:$A$996,PAGOS!$AL$2:$"&amp;"AL$996,""""),"""")),IF(abonos&gt;0,IFERROR(TEXTJOIN("" + "",TRUE,UNIQUE(FILTER('ABONOS MENSUALIDADES'!$E$5:$E$500,'ABONOS MENSUALIDADES'!$C$5:$C$500=A87,'ABONOS MENSUALIDADES'!$D$5:$D$500=mes))),""""),metodoDirecto)))"),"")</f>
        <v/>
      </c>
      <c r="F87" s="51" t="str">
        <f t="array" ref="F87">IF(A87="","",LET(mes,DATE($E$2,MATCH($B$2,'ESTADO CONTABLE'!$A$5:$A$16,0),1),cobrarDesde,IFERROR(INDEX('BASE DE DATOSS'!I:I,ROW()-13),""),pausada,SUMPRODUCT((UPPER(TRIM('PAUSAS MENSUALIDADES'!$A$5:$A$500))=UPPER(TRIM(A87)))*('PAUSAS MENSUALIDADES'!$B$5:$B$500=mes)*(UPPER(TRIM('PAUSAS MENSUALIDADES'!$D$5:$D$500))="APLICAR"))&gt;0,abonoActivo,SUMIFS('ABONOS MENSUALIDADES'!$F$5:$F$500,'ABONOS MENSUALIDADES'!$C$5:$C$500,A87,'ABONOS MENSUALIDADES'!$D$5:$D$500,mes,'ABONOS MENSUALIDADES'!$G$5:$G$500,"&lt;&gt;*CONSOLIDADO EN PAGOS*")&gt;0,esperadaBruta,MAX(IFNA(VLOOKUP(B87,COSTOS!$A$3:$B$13,2,FALSE),0)-150,0),IF(AND(cobrarDesde&lt;&gt;"",mes&lt;cobrarDesde),"AÚN NO INICIA",IF(pausada,"PAUSADA",IF(AND(abonoActivo,COUNTIFS('ABONOS MENSUALIDADES'!$C$5:$C$500,A87,'ABONOS MENSUALIDADES'!$D$5:$D$500,mes,'ABONOS MENSUALIDADES'!$G$5:$G$500,"*MENSUALIDAD LIQUIDADA*")=0),"ABONO",IF(N(D87)&gt;=esperadaBruta,"COBRADA",IF(N(D87)&gt;0,"ABONO","PENDIENTE")))))))</f>
        <v>PENDIENTE</v>
      </c>
      <c r="G87" s="79">
        <f t="array" ref="G87">IF(A87="","",IFERROR(INDEX('BASE DE DATOSS'!I:I,ROW()-13),""))</f>
        <v>46266</v>
      </c>
    </row>
    <row r="88">
      <c r="A88" s="51" t="str">
        <f t="array" ref="A88">IFERROR(INDEX('BASE DE DATOSS'!A:A,ROW()-13),"")</f>
        <v>LUNA TERESA PELAYO HERNANDEZ</v>
      </c>
      <c r="B88" s="51" t="str">
        <f t="array" ref="B88">IF(A88="","",IFERROR(INDEX('BASE DE DATOSS'!C:C,ROW()-13),""))</f>
        <v>SABATINO</v>
      </c>
      <c r="C88" s="62">
        <f t="array" ref="C88">IF(A88="","",LET(mes,DATE($E$2,MATCH($B$2,'ESTADO CONTABLE'!$A$5:$A$16,0),1),cobrarDesde,IFERROR(INDEX('BASE DE DATOSS'!I:I,ROW()-13),""),pausada,SUMPRODUCT((UPPER(TRIM('PAUSAS MENSUALIDADES'!$A$5:$A$500))=UPPER(TRIM(A88)))*('PAUSAS MENSUALIDADES'!$B$5:$B$500=mes)*(UPPER(TRIM('PAUSAS MENSUALIDADES'!$D$5:$D$500))="APLICAR"))&gt;0,IF(OR(AND(cobrarDesde&lt;&gt;"",mes&lt;cobrarDesde),pausada),0,MAX(IFNA(VLOOKUP(B88,COSTOS!$A$3:$B$13,2,FALSE),0)-150,0)/1.16)))</f>
        <v>474.137931</v>
      </c>
      <c r="D88" s="62">
        <f t="array" ref="D88">IF(A88="","",LET(mes,DATE($E$2,MATCH($B$2,'ESTADO CONTABLE'!$A$5:$A$16,0),1),abonos,SUMIFS('ABONOS MENSUALIDADES'!$F$5:$F$500,'ABONOS MENSUALIDADES'!$C$5:$C$500,A88,'ABONOS MENSUALIDADES'!$D$5:$D$500,mes),pago,CHOOSE(MATCH($B$2,'ESTADO CONTABLE'!$A$5:$A$16,0),IFNA(_xlfn.XLOOKUP(A88,PAGOS!$A$2:$A$996,PAGOS!$E$2:$E$996,""),""),IFNA(_xlfn.XLOOKUP(A88,PAGOS!$A$2:$A$996,PAGOS!$G$2:$G$996,""),""),IFNA(_xlfn.XLOOKUP(A88,PAGOS!$A$2:$A$996,PAGOS!$J$2:$J$996,""),""),IFNA(_xlfn.XLOOKUP(A88,PAGOS!$A$2:$A$996,PAGOS!$M$2:$M$996,""),""),IFNA(_xlfn.XLOOKUP(A88,PAGOS!$A$2:$A$996,PAGOS!$P$2:$P$996,""),""),IFNA(_xlfn.XLOOKUP(A88,PAGOS!$A$2:$A$996,PAGOS!$S$2:$S$996,""),""),IFNA(_xlfn.XLOOKUP(A88,PAGOS!$A$2:$A$996,PAGOS!$V$2:$V$996,""),""),IFNA(_xlfn.XLOOKUP(A88,PAGOS!$A$2:$A$996,PAGOS!$Y$2:$Y$996,""),""),IFNA(_xlfn.XLOOKUP(A88,PAGOS!$A$2:$A$996,PAGOS!$AB$2:$AB$996,""),""),IFNA(_xlfn.XLOOKUP(A88,PAGOS!$A$2:$A$996,PAGOS!$AE$2:$AE$996,""),""),IFNA(_xlfn.XLOOKUP(A88,PAGOS!$A$2:$A$996,PAGOS!$AH$2:$AH$996,""),""),IFNA(_xlfn.XLOOKUP(A88,PAGOS!$A$2:$A$996,PAGOS!$AK$2:$AK$996,""),"")),IF(abonos&gt;0,abonos,pago)))</f>
        <v>550</v>
      </c>
      <c r="E88" s="51" t="str">
        <f>IFERROR(__xludf.DUMMYFUNCTION("IF(A88="""","""",LET(mes,DATE($E$2,MATCH($B$2,'ESTADO CONTABLE'!$A$5:$A$16,0),1),abonos,SUMIFS('ABONOS MENSUALIDADES'!$F$5:$F$500,'ABONOS MENSUALIDADES'!$C$5:$C$500,A88,'ABONOS MENSUALIDADES'!$D$5:$D$500,mes),metodoDirecto,CHOOSE(MATCH($B$2,'ESTADO CONTAB"&amp;"LE'!$A$5:$A$16,0),IF(ISNUMBER(D88),""POR CLASIFICAR"",""""),IFNA(XLOOKUP(A88,PAGOS!$A$2:$A$996,PAGOS!$H$2:$H$996,""""),""""),IFNA(XLOOKUP(A88,PAGOS!$A$2:$A$996,PAGOS!$K$2:$K$996,""""),""""),IFNA(XLOOKUP(A88,PAGOS!$A$2:$A$996,PAGOS!$N$2:$N$996,""""),""""),"&amp;"IFNA(XLOOKUP(A88,PAGOS!$A$2:$A$996,PAGOS!$Q$2:$Q$996,""""),""""),IFNA(XLOOKUP(A88,PAGOS!$A$2:$A$996,PAGOS!$T$2:$T$996,""""),""""),IFNA(XLOOKUP(A88,PAGOS!$A$2:$A$996,PAGOS!$W$2:$W$996,""""),""""),IFNA(XLOOKUP(A88,PAGOS!$A$2:$A$996,PAGOS!$Z$2:$Z$996,""""),"&amp;"""""),IFNA(XLOOKUP(A88,PAGOS!$A$2:$A$996,PAGOS!$AC$2:$AC$996,""""),""""),IFNA(XLOOKUP(A88,PAGOS!$A$2:$A$996,PAGOS!$AF$2:$AF$996,""""),""""),IFNA(XLOOKUP(A88,PAGOS!$A$2:$A$996,PAGOS!$AI$2:$AI$996,""""),""""),IFNA(XLOOKUP(A88,PAGOS!$A$2:$A$996,PAGOS!$AL$2:$"&amp;"AL$996,""""),"""")),IF(abonos&gt;0,IFERROR(TEXTJOIN("" + "",TRUE,UNIQUE(FILTER('ABONOS MENSUALIDADES'!$E$5:$E$500,'ABONOS MENSUALIDADES'!$C$5:$C$500=A88,'ABONOS MENSUALIDADES'!$D$5:$D$500=mes))),""""),metodoDirecto)))"),"TERMINAL")</f>
        <v>TERMINAL</v>
      </c>
      <c r="F88" s="51" t="str">
        <f t="array" ref="F88">IF(A88="","",LET(mes,DATE($E$2,MATCH($B$2,'ESTADO CONTABLE'!$A$5:$A$16,0),1),cobrarDesde,IFERROR(INDEX('BASE DE DATOSS'!I:I,ROW()-13),""),pausada,SUMPRODUCT((UPPER(TRIM('PAUSAS MENSUALIDADES'!$A$5:$A$500))=UPPER(TRIM(A88)))*('PAUSAS MENSUALIDADES'!$B$5:$B$500=mes)*(UPPER(TRIM('PAUSAS MENSUALIDADES'!$D$5:$D$500))="APLICAR"))&gt;0,abonoActivo,SUMIFS('ABONOS MENSUALIDADES'!$F$5:$F$500,'ABONOS MENSUALIDADES'!$C$5:$C$500,A88,'ABONOS MENSUALIDADES'!$D$5:$D$500,mes,'ABONOS MENSUALIDADES'!$G$5:$G$500,"&lt;&gt;*CONSOLIDADO EN PAGOS*")&gt;0,esperadaBruta,MAX(IFNA(VLOOKUP(B88,COSTOS!$A$3:$B$13,2,FALSE),0)-150,0),IF(AND(cobrarDesde&lt;&gt;"",mes&lt;cobrarDesde),"AÚN NO INICIA",IF(pausada,"PAUSADA",IF(AND(abonoActivo,COUNTIFS('ABONOS MENSUALIDADES'!$C$5:$C$500,A88,'ABONOS MENSUALIDADES'!$D$5:$D$500,mes,'ABONOS MENSUALIDADES'!$G$5:$G$500,"*MENSUALIDAD LIQUIDADA*")=0),"ABONO",IF(N(D88)&gt;=esperadaBruta,"COBRADA",IF(N(D88)&gt;0,"ABONO","PENDIENTE")))))))</f>
        <v>COBRADA</v>
      </c>
      <c r="G88" s="79">
        <f t="array" ref="G88">IF(A88="","",IFERROR(INDEX('BASE DE DATOSS'!I:I,ROW()-13),""))</f>
        <v>46235</v>
      </c>
    </row>
    <row r="89">
      <c r="A89" s="51" t="str">
        <f t="array" ref="A89">IFERROR(INDEX('BASE DE DATOSS'!A:A,ROW()-13),"")</f>
        <v>EDURNE TERRONES </v>
      </c>
      <c r="B89" s="51" t="str">
        <f t="array" ref="B89">IF(A89="","",IFERROR(INDEX('BASE DE DATOSS'!C:C,ROW()-13),""))</f>
        <v>ADULTS 2</v>
      </c>
      <c r="C89" s="62">
        <f t="array" ref="C89">IF(A89="","",LET(mes,DATE($E$2,MATCH($B$2,'ESTADO CONTABLE'!$A$5:$A$16,0),1),cobrarDesde,IFERROR(INDEX('BASE DE DATOSS'!I:I,ROW()-13),""),pausada,SUMPRODUCT((UPPER(TRIM('PAUSAS MENSUALIDADES'!$A$5:$A$500))=UPPER(TRIM(A89)))*('PAUSAS MENSUALIDADES'!$B$5:$B$500=mes)*(UPPER(TRIM('PAUSAS MENSUALIDADES'!$D$5:$D$500))="APLICAR"))&gt;0,IF(OR(AND(cobrarDesde&lt;&gt;"",mes&lt;cobrarDesde),pausada),0,MAX(IFNA(VLOOKUP(B89,COSTOS!$A$3:$B$13,2,FALSE),0)-150,0)/1.16)))</f>
        <v>818.9655172</v>
      </c>
      <c r="D89" s="62">
        <f t="array" ref="D89">IF(A89="","",LET(mes,DATE($E$2,MATCH($B$2,'ESTADO CONTABLE'!$A$5:$A$16,0),1),abonos,SUMIFS('ABONOS MENSUALIDADES'!$F$5:$F$500,'ABONOS MENSUALIDADES'!$C$5:$C$500,A89,'ABONOS MENSUALIDADES'!$D$5:$D$500,mes),pago,CHOOSE(MATCH($B$2,'ESTADO CONTABLE'!$A$5:$A$16,0),IFNA(_xlfn.XLOOKUP(A89,PAGOS!$A$2:$A$996,PAGOS!$E$2:$E$996,""),""),IFNA(_xlfn.XLOOKUP(A89,PAGOS!$A$2:$A$996,PAGOS!$G$2:$G$996,""),""),IFNA(_xlfn.XLOOKUP(A89,PAGOS!$A$2:$A$996,PAGOS!$J$2:$J$996,""),""),IFNA(_xlfn.XLOOKUP(A89,PAGOS!$A$2:$A$996,PAGOS!$M$2:$M$996,""),""),IFNA(_xlfn.XLOOKUP(A89,PAGOS!$A$2:$A$996,PAGOS!$P$2:$P$996,""),""),IFNA(_xlfn.XLOOKUP(A89,PAGOS!$A$2:$A$996,PAGOS!$S$2:$S$996,""),""),IFNA(_xlfn.XLOOKUP(A89,PAGOS!$A$2:$A$996,PAGOS!$V$2:$V$996,""),""),IFNA(_xlfn.XLOOKUP(A89,PAGOS!$A$2:$A$996,PAGOS!$Y$2:$Y$996,""),""),IFNA(_xlfn.XLOOKUP(A89,PAGOS!$A$2:$A$996,PAGOS!$AB$2:$AB$996,""),""),IFNA(_xlfn.XLOOKUP(A89,PAGOS!$A$2:$A$996,PAGOS!$AE$2:$AE$996,""),""),IFNA(_xlfn.XLOOKUP(A89,PAGOS!$A$2:$A$996,PAGOS!$AH$2:$AH$996,""),""),IFNA(_xlfn.XLOOKUP(A89,PAGOS!$A$2:$A$996,PAGOS!$AK$2:$AK$996,""),"")),IF(abonos&gt;0,abonos,pago)))</f>
        <v>950</v>
      </c>
      <c r="E89" s="51" t="str">
        <f>IFERROR(__xludf.DUMMYFUNCTION("IF(A89="""","""",LET(mes,DATE($E$2,MATCH($B$2,'ESTADO CONTABLE'!$A$5:$A$16,0),1),abonos,SUMIFS('ABONOS MENSUALIDADES'!$F$5:$F$500,'ABONOS MENSUALIDADES'!$C$5:$C$500,A89,'ABONOS MENSUALIDADES'!$D$5:$D$500,mes),metodoDirecto,CHOOSE(MATCH($B$2,'ESTADO CONTAB"&amp;"LE'!$A$5:$A$16,0),IF(ISNUMBER(D89),""POR CLASIFICAR"",""""),IFNA(XLOOKUP(A89,PAGOS!$A$2:$A$996,PAGOS!$H$2:$H$996,""""),""""),IFNA(XLOOKUP(A89,PAGOS!$A$2:$A$996,PAGOS!$K$2:$K$996,""""),""""),IFNA(XLOOKUP(A89,PAGOS!$A$2:$A$996,PAGOS!$N$2:$N$996,""""),""""),"&amp;"IFNA(XLOOKUP(A89,PAGOS!$A$2:$A$996,PAGOS!$Q$2:$Q$996,""""),""""),IFNA(XLOOKUP(A89,PAGOS!$A$2:$A$996,PAGOS!$T$2:$T$996,""""),""""),IFNA(XLOOKUP(A89,PAGOS!$A$2:$A$996,PAGOS!$W$2:$W$996,""""),""""),IFNA(XLOOKUP(A89,PAGOS!$A$2:$A$996,PAGOS!$Z$2:$Z$996,""""),"&amp;"""""),IFNA(XLOOKUP(A89,PAGOS!$A$2:$A$996,PAGOS!$AC$2:$AC$996,""""),""""),IFNA(XLOOKUP(A89,PAGOS!$A$2:$A$996,PAGOS!$AF$2:$AF$996,""""),""""),IFNA(XLOOKUP(A89,PAGOS!$A$2:$A$996,PAGOS!$AI$2:$AI$996,""""),""""),IFNA(XLOOKUP(A89,PAGOS!$A$2:$A$996,PAGOS!$AL$2:$"&amp;"AL$996,""""),"""")),IF(abonos&gt;0,IFERROR(TEXTJOIN("" + "",TRUE,UNIQUE(FILTER('ABONOS MENSUALIDADES'!$E$5:$E$500,'ABONOS MENSUALIDADES'!$C$5:$C$500=A89,'ABONOS MENSUALIDADES'!$D$5:$D$500=mes))),""""),metodoDirecto)))"),"TERMINAL")</f>
        <v>TERMINAL</v>
      </c>
      <c r="F89" s="51" t="str">
        <f t="array" ref="F89">IF(A89="","",LET(mes,DATE($E$2,MATCH($B$2,'ESTADO CONTABLE'!$A$5:$A$16,0),1),cobrarDesde,IFERROR(INDEX('BASE DE DATOSS'!I:I,ROW()-13),""),pausada,SUMPRODUCT((UPPER(TRIM('PAUSAS MENSUALIDADES'!$A$5:$A$500))=UPPER(TRIM(A89)))*('PAUSAS MENSUALIDADES'!$B$5:$B$500=mes)*(UPPER(TRIM('PAUSAS MENSUALIDADES'!$D$5:$D$500))="APLICAR"))&gt;0,abonoActivo,SUMIFS('ABONOS MENSUALIDADES'!$F$5:$F$500,'ABONOS MENSUALIDADES'!$C$5:$C$500,A89,'ABONOS MENSUALIDADES'!$D$5:$D$500,mes,'ABONOS MENSUALIDADES'!$G$5:$G$500,"&lt;&gt;*CONSOLIDADO EN PAGOS*")&gt;0,esperadaBruta,MAX(IFNA(VLOOKUP(B89,COSTOS!$A$3:$B$13,2,FALSE),0)-150,0),IF(AND(cobrarDesde&lt;&gt;"",mes&lt;cobrarDesde),"AÚN NO INICIA",IF(pausada,"PAUSADA",IF(AND(abonoActivo,COUNTIFS('ABONOS MENSUALIDADES'!$C$5:$C$500,A89,'ABONOS MENSUALIDADES'!$D$5:$D$500,mes,'ABONOS MENSUALIDADES'!$G$5:$G$500,"*MENSUALIDAD LIQUIDADA*")=0),"ABONO",IF(N(D89)&gt;=esperadaBruta,"COBRADA",IF(N(D89)&gt;0,"ABONO","PENDIENTE")))))))</f>
        <v>COBRADA</v>
      </c>
      <c r="G89" s="79">
        <f t="array" ref="G89">IF(A89="","",IFERROR(INDEX('BASE DE DATOSS'!I:I,ROW()-13),""))</f>
        <v>46266</v>
      </c>
    </row>
    <row r="90">
      <c r="A90" s="51" t="str">
        <f t="array" ref="A90">IFERROR(INDEX('BASE DE DATOSS'!A:A,ROW()-13),"")</f>
        <v>NATALIA </v>
      </c>
      <c r="B90" s="51" t="str">
        <f t="array" ref="B90">IF(A90="","",IFERROR(INDEX('BASE DE DATOSS'!C:C,ROW()-13),""))</f>
        <v>KIDS 2</v>
      </c>
      <c r="C90" s="62">
        <f t="array" ref="C90">IF(A90="","",LET(mes,DATE($E$2,MATCH($B$2,'ESTADO CONTABLE'!$A$5:$A$16,0),1),cobrarDesde,IFERROR(INDEX('BASE DE DATOSS'!I:I,ROW()-13),""),pausada,SUMPRODUCT((UPPER(TRIM('PAUSAS MENSUALIDADES'!$A$5:$A$500))=UPPER(TRIM(A90)))*('PAUSAS MENSUALIDADES'!$B$5:$B$500=mes)*(UPPER(TRIM('PAUSAS MENSUALIDADES'!$D$5:$D$500))="APLICAR"))&gt;0,IF(OR(AND(cobrarDesde&lt;&gt;"",mes&lt;cobrarDesde),pausada),0,MAX(IFNA(VLOOKUP(B90,COSTOS!$A$3:$B$13,2,FALSE),0)-150,0)/1.16)))</f>
        <v>689.6551724</v>
      </c>
      <c r="D90" s="62">
        <f t="array" ref="D90">IF(A90="","",LET(mes,DATE($E$2,MATCH($B$2,'ESTADO CONTABLE'!$A$5:$A$16,0),1),abonos,SUMIFS('ABONOS MENSUALIDADES'!$F$5:$F$500,'ABONOS MENSUALIDADES'!$C$5:$C$500,A90,'ABONOS MENSUALIDADES'!$D$5:$D$500,mes),pago,CHOOSE(MATCH($B$2,'ESTADO CONTABLE'!$A$5:$A$16,0),IFNA(_xlfn.XLOOKUP(A90,PAGOS!$A$2:$A$996,PAGOS!$E$2:$E$996,""),""),IFNA(_xlfn.XLOOKUP(A90,PAGOS!$A$2:$A$996,PAGOS!$G$2:$G$996,""),""),IFNA(_xlfn.XLOOKUP(A90,PAGOS!$A$2:$A$996,PAGOS!$J$2:$J$996,""),""),IFNA(_xlfn.XLOOKUP(A90,PAGOS!$A$2:$A$996,PAGOS!$M$2:$M$996,""),""),IFNA(_xlfn.XLOOKUP(A90,PAGOS!$A$2:$A$996,PAGOS!$P$2:$P$996,""),""),IFNA(_xlfn.XLOOKUP(A90,PAGOS!$A$2:$A$996,PAGOS!$S$2:$S$996,""),""),IFNA(_xlfn.XLOOKUP(A90,PAGOS!$A$2:$A$996,PAGOS!$V$2:$V$996,""),""),IFNA(_xlfn.XLOOKUP(A90,PAGOS!$A$2:$A$996,PAGOS!$Y$2:$Y$996,""),""),IFNA(_xlfn.XLOOKUP(A90,PAGOS!$A$2:$A$996,PAGOS!$AB$2:$AB$996,""),""),IFNA(_xlfn.XLOOKUP(A90,PAGOS!$A$2:$A$996,PAGOS!$AE$2:$AE$996,""),""),IFNA(_xlfn.XLOOKUP(A90,PAGOS!$A$2:$A$996,PAGOS!$AH$2:$AH$996,""),""),IFNA(_xlfn.XLOOKUP(A90,PAGOS!$A$2:$A$996,PAGOS!$AK$2:$AK$996,""),"")),IF(abonos&gt;0,abonos,pago)))</f>
        <v>950</v>
      </c>
      <c r="E90" s="51" t="str">
        <f>IFERROR(__xludf.DUMMYFUNCTION("IF(A90="""","""",LET(mes,DATE($E$2,MATCH($B$2,'ESTADO CONTABLE'!$A$5:$A$16,0),1),abonos,SUMIFS('ABONOS MENSUALIDADES'!$F$5:$F$500,'ABONOS MENSUALIDADES'!$C$5:$C$500,A90,'ABONOS MENSUALIDADES'!$D$5:$D$500,mes),metodoDirecto,CHOOSE(MATCH($B$2,'ESTADO CONTAB"&amp;"LE'!$A$5:$A$16,0),IF(ISNUMBER(D90),""POR CLASIFICAR"",""""),IFNA(XLOOKUP(A90,PAGOS!$A$2:$A$996,PAGOS!$H$2:$H$996,""""),""""),IFNA(XLOOKUP(A90,PAGOS!$A$2:$A$996,PAGOS!$K$2:$K$996,""""),""""),IFNA(XLOOKUP(A90,PAGOS!$A$2:$A$996,PAGOS!$N$2:$N$996,""""),""""),"&amp;"IFNA(XLOOKUP(A90,PAGOS!$A$2:$A$996,PAGOS!$Q$2:$Q$996,""""),""""),IFNA(XLOOKUP(A90,PAGOS!$A$2:$A$996,PAGOS!$T$2:$T$996,""""),""""),IFNA(XLOOKUP(A90,PAGOS!$A$2:$A$996,PAGOS!$W$2:$W$996,""""),""""),IFNA(XLOOKUP(A90,PAGOS!$A$2:$A$996,PAGOS!$Z$2:$Z$996,""""),"&amp;"""""),IFNA(XLOOKUP(A90,PAGOS!$A$2:$A$996,PAGOS!$AC$2:$AC$996,""""),""""),IFNA(XLOOKUP(A90,PAGOS!$A$2:$A$996,PAGOS!$AF$2:$AF$996,""""),""""),IFNA(XLOOKUP(A90,PAGOS!$A$2:$A$996,PAGOS!$AI$2:$AI$996,""""),""""),IFNA(XLOOKUP(A90,PAGOS!$A$2:$A$996,PAGOS!$AL$2:$"&amp;"AL$996,""""),"""")),IF(abonos&gt;0,IFERROR(TEXTJOIN("" + "",TRUE,UNIQUE(FILTER('ABONOS MENSUALIDADES'!$E$5:$E$500,'ABONOS MENSUALIDADES'!$C$5:$C$500=A90,'ABONOS MENSUALIDADES'!$D$5:$D$500=mes))),""""),metodoDirecto)))"),"TERMINAL")</f>
        <v>TERMINAL</v>
      </c>
      <c r="F90" s="51" t="str">
        <f t="array" ref="F90">IF(A90="","",LET(mes,DATE($E$2,MATCH($B$2,'ESTADO CONTABLE'!$A$5:$A$16,0),1),cobrarDesde,IFERROR(INDEX('BASE DE DATOSS'!I:I,ROW()-13),""),pausada,SUMPRODUCT((UPPER(TRIM('PAUSAS MENSUALIDADES'!$A$5:$A$500))=UPPER(TRIM(A90)))*('PAUSAS MENSUALIDADES'!$B$5:$B$500=mes)*(UPPER(TRIM('PAUSAS MENSUALIDADES'!$D$5:$D$500))="APLICAR"))&gt;0,abonoActivo,SUMIFS('ABONOS MENSUALIDADES'!$F$5:$F$500,'ABONOS MENSUALIDADES'!$C$5:$C$500,A90,'ABONOS MENSUALIDADES'!$D$5:$D$500,mes,'ABONOS MENSUALIDADES'!$G$5:$G$500,"&lt;&gt;*CONSOLIDADO EN PAGOS*")&gt;0,esperadaBruta,MAX(IFNA(VLOOKUP(B90,COSTOS!$A$3:$B$13,2,FALSE),0)-150,0),IF(AND(cobrarDesde&lt;&gt;"",mes&lt;cobrarDesde),"AÚN NO INICIA",IF(pausada,"PAUSADA",IF(AND(abonoActivo,COUNTIFS('ABONOS MENSUALIDADES'!$C$5:$C$500,A90,'ABONOS MENSUALIDADES'!$D$5:$D$500,mes,'ABONOS MENSUALIDADES'!$G$5:$G$500,"*MENSUALIDAD LIQUIDADA*")=0),"ABONO",IF(N(D90)&gt;=esperadaBruta,"COBRADA",IF(N(D90)&gt;0,"ABONO","PENDIENTE")))))))</f>
        <v>COBRADA</v>
      </c>
      <c r="G90" s="79">
        <f t="array" ref="G90">IF(A90="","",IFERROR(INDEX('BASE DE DATOSS'!I:I,ROW()-13),""))</f>
        <v>46266</v>
      </c>
    </row>
    <row r="91">
      <c r="A91" s="51" t="str">
        <f t="array" ref="A91">IFERROR(INDEX('BASE DE DATOSS'!A:A,ROW()-13),"")</f>
        <v>IVANNA  ESTEFANÍA SOTELO MACÍAS</v>
      </c>
      <c r="B91" s="51" t="str">
        <f t="array" ref="B91">IF(A91="","",IFERROR(INDEX('BASE DE DATOSS'!C:C,ROW()-13),""))</f>
        <v>ADULTS 1</v>
      </c>
      <c r="C91" s="62">
        <f t="array" ref="C91">IF(A91="","",LET(mes,DATE($E$2,MATCH($B$2,'ESTADO CONTABLE'!$A$5:$A$16,0),1),cobrarDesde,IFERROR(INDEX('BASE DE DATOSS'!I:I,ROW()-13),""),pausada,SUMPRODUCT((UPPER(TRIM('PAUSAS MENSUALIDADES'!$A$5:$A$500))=UPPER(TRIM(A91)))*('PAUSAS MENSUALIDADES'!$B$5:$B$500=mes)*(UPPER(TRIM('PAUSAS MENSUALIDADES'!$D$5:$D$500))="APLICAR"))&gt;0,IF(OR(AND(cobrarDesde&lt;&gt;"",mes&lt;cobrarDesde),pausada),0,MAX(IFNA(VLOOKUP(B91,COSTOS!$A$3:$B$13,2,FALSE),0)-150,0)/1.16)))</f>
        <v>991.3793103</v>
      </c>
      <c r="D91" s="62">
        <f t="array" ref="D91">IF(A91="","",LET(mes,DATE($E$2,MATCH($B$2,'ESTADO CONTABLE'!$A$5:$A$16,0),1),abonos,SUMIFS('ABONOS MENSUALIDADES'!$F$5:$F$500,'ABONOS MENSUALIDADES'!$C$5:$C$500,A91,'ABONOS MENSUALIDADES'!$D$5:$D$500,mes),pago,CHOOSE(MATCH($B$2,'ESTADO CONTABLE'!$A$5:$A$16,0),IFNA(_xlfn.XLOOKUP(A91,PAGOS!$A$2:$A$996,PAGOS!$E$2:$E$996,""),""),IFNA(_xlfn.XLOOKUP(A91,PAGOS!$A$2:$A$996,PAGOS!$G$2:$G$996,""),""),IFNA(_xlfn.XLOOKUP(A91,PAGOS!$A$2:$A$996,PAGOS!$J$2:$J$996,""),""),IFNA(_xlfn.XLOOKUP(A91,PAGOS!$A$2:$A$996,PAGOS!$M$2:$M$996,""),""),IFNA(_xlfn.XLOOKUP(A91,PAGOS!$A$2:$A$996,PAGOS!$P$2:$P$996,""),""),IFNA(_xlfn.XLOOKUP(A91,PAGOS!$A$2:$A$996,PAGOS!$S$2:$S$996,""),""),IFNA(_xlfn.XLOOKUP(A91,PAGOS!$A$2:$A$996,PAGOS!$V$2:$V$996,""),""),IFNA(_xlfn.XLOOKUP(A91,PAGOS!$A$2:$A$996,PAGOS!$Y$2:$Y$996,""),""),IFNA(_xlfn.XLOOKUP(A91,PAGOS!$A$2:$A$996,PAGOS!$AB$2:$AB$996,""),""),IFNA(_xlfn.XLOOKUP(A91,PAGOS!$A$2:$A$996,PAGOS!$AE$2:$AE$996,""),""),IFNA(_xlfn.XLOOKUP(A91,PAGOS!$A$2:$A$996,PAGOS!$AH$2:$AH$996,""),""),IFNA(_xlfn.XLOOKUP(A91,PAGOS!$A$2:$A$996,PAGOS!$AK$2:$AK$996,""),"")),IF(abonos&gt;0,abonos,pago)))</f>
        <v>1150</v>
      </c>
      <c r="E91" s="51" t="str">
        <f>IFERROR(__xludf.DUMMYFUNCTION("IF(A91="""","""",LET(mes,DATE($E$2,MATCH($B$2,'ESTADO CONTABLE'!$A$5:$A$16,0),1),abonos,SUMIFS('ABONOS MENSUALIDADES'!$F$5:$F$500,'ABONOS MENSUALIDADES'!$C$5:$C$500,A91,'ABONOS MENSUALIDADES'!$D$5:$D$500,mes),metodoDirecto,CHOOSE(MATCH($B$2,'ESTADO CONTAB"&amp;"LE'!$A$5:$A$16,0),IF(ISNUMBER(D91),""POR CLASIFICAR"",""""),IFNA(XLOOKUP(A91,PAGOS!$A$2:$A$996,PAGOS!$H$2:$H$996,""""),""""),IFNA(XLOOKUP(A91,PAGOS!$A$2:$A$996,PAGOS!$K$2:$K$996,""""),""""),IFNA(XLOOKUP(A91,PAGOS!$A$2:$A$996,PAGOS!$N$2:$N$996,""""),""""),"&amp;"IFNA(XLOOKUP(A91,PAGOS!$A$2:$A$996,PAGOS!$Q$2:$Q$996,""""),""""),IFNA(XLOOKUP(A91,PAGOS!$A$2:$A$996,PAGOS!$T$2:$T$996,""""),""""),IFNA(XLOOKUP(A91,PAGOS!$A$2:$A$996,PAGOS!$W$2:$W$996,""""),""""),IFNA(XLOOKUP(A91,PAGOS!$A$2:$A$996,PAGOS!$Z$2:$Z$996,""""),"&amp;"""""),IFNA(XLOOKUP(A91,PAGOS!$A$2:$A$996,PAGOS!$AC$2:$AC$996,""""),""""),IFNA(XLOOKUP(A91,PAGOS!$A$2:$A$996,PAGOS!$AF$2:$AF$996,""""),""""),IFNA(XLOOKUP(A91,PAGOS!$A$2:$A$996,PAGOS!$AI$2:$AI$996,""""),""""),IFNA(XLOOKUP(A91,PAGOS!$A$2:$A$996,PAGOS!$AL$2:$"&amp;"AL$996,""""),"""")),IF(abonos&gt;0,IFERROR(TEXTJOIN("" + "",TRUE,UNIQUE(FILTER('ABONOS MENSUALIDADES'!$E$5:$E$500,'ABONOS MENSUALIDADES'!$C$5:$C$500=A91,'ABONOS MENSUALIDADES'!$D$5:$D$500=mes))),""""),metodoDirecto)))"),"TRANSFERENCIA")</f>
        <v>TRANSFERENCIA</v>
      </c>
      <c r="F91" s="51" t="str">
        <f t="array" ref="F91">IF(A91="","",LET(mes,DATE($E$2,MATCH($B$2,'ESTADO CONTABLE'!$A$5:$A$16,0),1),cobrarDesde,IFERROR(INDEX('BASE DE DATOSS'!I:I,ROW()-13),""),pausada,SUMPRODUCT((UPPER(TRIM('PAUSAS MENSUALIDADES'!$A$5:$A$500))=UPPER(TRIM(A91)))*('PAUSAS MENSUALIDADES'!$B$5:$B$500=mes)*(UPPER(TRIM('PAUSAS MENSUALIDADES'!$D$5:$D$500))="APLICAR"))&gt;0,abonoActivo,SUMIFS('ABONOS MENSUALIDADES'!$F$5:$F$500,'ABONOS MENSUALIDADES'!$C$5:$C$500,A91,'ABONOS MENSUALIDADES'!$D$5:$D$500,mes,'ABONOS MENSUALIDADES'!$G$5:$G$500,"&lt;&gt;*CONSOLIDADO EN PAGOS*")&gt;0,esperadaBruta,MAX(IFNA(VLOOKUP(B91,COSTOS!$A$3:$B$13,2,FALSE),0)-150,0),IF(AND(cobrarDesde&lt;&gt;"",mes&lt;cobrarDesde),"AÚN NO INICIA",IF(pausada,"PAUSADA",IF(AND(abonoActivo,COUNTIFS('ABONOS MENSUALIDADES'!$C$5:$C$500,A91,'ABONOS MENSUALIDADES'!$D$5:$D$500,mes,'ABONOS MENSUALIDADES'!$G$5:$G$500,"*MENSUALIDAD LIQUIDADA*")=0),"ABONO",IF(N(D91)&gt;=esperadaBruta,"COBRADA",IF(N(D91)&gt;0,"ABONO","PENDIENTE")))))))</f>
        <v>ABONO</v>
      </c>
      <c r="G91" s="79">
        <f t="array" ref="G91">IF(A91="","",IFERROR(INDEX('BASE DE DATOSS'!I:I,ROW()-13),""))</f>
        <v>46266</v>
      </c>
    </row>
    <row r="92">
      <c r="A92" s="51" t="str">
        <f t="array" ref="A92">IFERROR(INDEX('BASE DE DATOSS'!A:A,ROW()-13),"")</f>
        <v>Miranda Florentina Mora Alcalá</v>
      </c>
      <c r="B92" s="51" t="str">
        <f t="array" ref="B92">IF(A92="","",IFERROR(INDEX('BASE DE DATOSS'!C:C,ROW()-13),""))</f>
        <v>KIDS 1</v>
      </c>
      <c r="C92" s="62">
        <f t="array" ref="C92">IF(A92="","",LET(mes,DATE($E$2,MATCH($B$2,'ESTADO CONTABLE'!$A$5:$A$16,0),1),cobrarDesde,IFERROR(INDEX('BASE DE DATOSS'!I:I,ROW()-13),""),pausada,SUMPRODUCT((UPPER(TRIM('PAUSAS MENSUALIDADES'!$A$5:$A$500))=UPPER(TRIM(A92)))*('PAUSAS MENSUALIDADES'!$B$5:$B$500=mes)*(UPPER(TRIM('PAUSAS MENSUALIDADES'!$D$5:$D$500))="APLICAR"))&gt;0,IF(OR(AND(cobrarDesde&lt;&gt;"",mes&lt;cobrarDesde),pausada),0,MAX(IFNA(VLOOKUP(B92,COSTOS!$A$3:$B$13,2,FALSE),0)-150,0)/1.16)))</f>
        <v>818.9655172</v>
      </c>
      <c r="D92" s="62">
        <f t="array" ref="D92">IF(A92="","",LET(mes,DATE($E$2,MATCH($B$2,'ESTADO CONTABLE'!$A$5:$A$16,0),1),abonos,SUMIFS('ABONOS MENSUALIDADES'!$F$5:$F$500,'ABONOS MENSUALIDADES'!$C$5:$C$500,A92,'ABONOS MENSUALIDADES'!$D$5:$D$500,mes),pago,CHOOSE(MATCH($B$2,'ESTADO CONTABLE'!$A$5:$A$16,0),IFNA(_xlfn.XLOOKUP(A92,PAGOS!$A$2:$A$996,PAGOS!$E$2:$E$996,""),""),IFNA(_xlfn.XLOOKUP(A92,PAGOS!$A$2:$A$996,PAGOS!$G$2:$G$996,""),""),IFNA(_xlfn.XLOOKUP(A92,PAGOS!$A$2:$A$996,PAGOS!$J$2:$J$996,""),""),IFNA(_xlfn.XLOOKUP(A92,PAGOS!$A$2:$A$996,PAGOS!$M$2:$M$996,""),""),IFNA(_xlfn.XLOOKUP(A92,PAGOS!$A$2:$A$996,PAGOS!$P$2:$P$996,""),""),IFNA(_xlfn.XLOOKUP(A92,PAGOS!$A$2:$A$996,PAGOS!$S$2:$S$996,""),""),IFNA(_xlfn.XLOOKUP(A92,PAGOS!$A$2:$A$996,PAGOS!$V$2:$V$996,""),""),IFNA(_xlfn.XLOOKUP(A92,PAGOS!$A$2:$A$996,PAGOS!$Y$2:$Y$996,""),""),IFNA(_xlfn.XLOOKUP(A92,PAGOS!$A$2:$A$996,PAGOS!$AB$2:$AB$996,""),""),IFNA(_xlfn.XLOOKUP(A92,PAGOS!$A$2:$A$996,PAGOS!$AE$2:$AE$996,""),""),IFNA(_xlfn.XLOOKUP(A92,PAGOS!$A$2:$A$996,PAGOS!$AH$2:$AH$996,""),""),IFNA(_xlfn.XLOOKUP(A92,PAGOS!$A$2:$A$996,PAGOS!$AK$2:$AK$996,""),"")),IF(abonos&gt;0,abonos,pago)))</f>
        <v>1100</v>
      </c>
      <c r="E92" s="51" t="str">
        <f>IFERROR(__xludf.DUMMYFUNCTION("IF(A92="""","""",LET(mes,DATE($E$2,MATCH($B$2,'ESTADO CONTABLE'!$A$5:$A$16,0),1),abonos,SUMIFS('ABONOS MENSUALIDADES'!$F$5:$F$500,'ABONOS MENSUALIDADES'!$C$5:$C$500,A92,'ABONOS MENSUALIDADES'!$D$5:$D$500,mes),metodoDirecto,CHOOSE(MATCH($B$2,'ESTADO CONTAB"&amp;"LE'!$A$5:$A$16,0),IF(ISNUMBER(D92),""POR CLASIFICAR"",""""),IFNA(XLOOKUP(A92,PAGOS!$A$2:$A$996,PAGOS!$H$2:$H$996,""""),""""),IFNA(XLOOKUP(A92,PAGOS!$A$2:$A$996,PAGOS!$K$2:$K$996,""""),""""),IFNA(XLOOKUP(A92,PAGOS!$A$2:$A$996,PAGOS!$N$2:$N$996,""""),""""),"&amp;"IFNA(XLOOKUP(A92,PAGOS!$A$2:$A$996,PAGOS!$Q$2:$Q$996,""""),""""),IFNA(XLOOKUP(A92,PAGOS!$A$2:$A$996,PAGOS!$T$2:$T$996,""""),""""),IFNA(XLOOKUP(A92,PAGOS!$A$2:$A$996,PAGOS!$W$2:$W$996,""""),""""),IFNA(XLOOKUP(A92,PAGOS!$A$2:$A$996,PAGOS!$Z$2:$Z$996,""""),"&amp;"""""),IFNA(XLOOKUP(A92,PAGOS!$A$2:$A$996,PAGOS!$AC$2:$AC$996,""""),""""),IFNA(XLOOKUP(A92,PAGOS!$A$2:$A$996,PAGOS!$AF$2:$AF$996,""""),""""),IFNA(XLOOKUP(A92,PAGOS!$A$2:$A$996,PAGOS!$AI$2:$AI$996,""""),""""),IFNA(XLOOKUP(A92,PAGOS!$A$2:$A$996,PAGOS!$AL$2:$"&amp;"AL$996,""""),"""")),IF(abonos&gt;0,IFERROR(TEXTJOIN("" + "",TRUE,UNIQUE(FILTER('ABONOS MENSUALIDADES'!$E$5:$E$500,'ABONOS MENSUALIDADES'!$C$5:$C$500=A92,'ABONOS MENSUALIDADES'!$D$5:$D$500=mes))),""""),metodoDirecto)))"),"TRANSFERENCIA")</f>
        <v>TRANSFERENCIA</v>
      </c>
      <c r="F92" s="51" t="str">
        <f t="array" ref="F92">IF(A92="","",LET(mes,DATE($E$2,MATCH($B$2,'ESTADO CONTABLE'!$A$5:$A$16,0),1),cobrarDesde,IFERROR(INDEX('BASE DE DATOSS'!I:I,ROW()-13),""),pausada,SUMPRODUCT((UPPER(TRIM('PAUSAS MENSUALIDADES'!$A$5:$A$500))=UPPER(TRIM(A92)))*('PAUSAS MENSUALIDADES'!$B$5:$B$500=mes)*(UPPER(TRIM('PAUSAS MENSUALIDADES'!$D$5:$D$500))="APLICAR"))&gt;0,abonoActivo,SUMIFS('ABONOS MENSUALIDADES'!$F$5:$F$500,'ABONOS MENSUALIDADES'!$C$5:$C$500,A92,'ABONOS MENSUALIDADES'!$D$5:$D$500,mes,'ABONOS MENSUALIDADES'!$G$5:$G$500,"&lt;&gt;*CONSOLIDADO EN PAGOS*")&gt;0,esperadaBruta,MAX(IFNA(VLOOKUP(B92,COSTOS!$A$3:$B$13,2,FALSE),0)-150,0),IF(AND(cobrarDesde&lt;&gt;"",mes&lt;cobrarDesde),"AÚN NO INICIA",IF(pausada,"PAUSADA",IF(AND(abonoActivo,COUNTIFS('ABONOS MENSUALIDADES'!$C$5:$C$500,A92,'ABONOS MENSUALIDADES'!$D$5:$D$500,mes,'ABONOS MENSUALIDADES'!$G$5:$G$500,"*MENSUALIDAD LIQUIDADA*")=0),"ABONO",IF(N(D92)&gt;=esperadaBruta,"COBRADA",IF(N(D92)&gt;0,"ABONO","PENDIENTE")))))))</f>
        <v>COBRADA</v>
      </c>
      <c r="G92" s="79">
        <f t="array" ref="G92">IF(A92="","",IFERROR(INDEX('BASE DE DATOSS'!I:I,ROW()-13),""))</f>
        <v>46266</v>
      </c>
    </row>
    <row r="93">
      <c r="A93" s="51" t="str">
        <f t="array" ref="A93">IFERROR(INDEX('BASE DE DATOSS'!A:A,ROW()-13),"")</f>
        <v>ROMINA </v>
      </c>
      <c r="B93" s="51" t="str">
        <f t="array" ref="B93">IF(A93="","",IFERROR(INDEX('BASE DE DATOSS'!C:C,ROW()-13),""))</f>
        <v>1 DIA KIDS</v>
      </c>
      <c r="C93" s="62">
        <f t="array" ref="C93">IF(A93="","",LET(mes,DATE($E$2,MATCH($B$2,'ESTADO CONTABLE'!$A$5:$A$16,0),1),cobrarDesde,IFERROR(INDEX('BASE DE DATOSS'!I:I,ROW()-13),""),pausada,SUMPRODUCT((UPPER(TRIM('PAUSAS MENSUALIDADES'!$A$5:$A$500))=UPPER(TRIM(A93)))*('PAUSAS MENSUALIDADES'!$B$5:$B$500=mes)*(UPPER(TRIM('PAUSAS MENSUALIDADES'!$D$5:$D$500))="APLICAR"))&gt;0,IF(OR(AND(cobrarDesde&lt;&gt;"",mes&lt;cobrarDesde),pausada),0,MAX(IFNA(VLOOKUP(B93,COSTOS!$A$3:$B$13,2,FALSE),0)-150,0)/1.16)))</f>
        <v>344.8275862</v>
      </c>
      <c r="D93" s="62">
        <f t="array" ref="D93">IF(A93="","",LET(mes,DATE($E$2,MATCH($B$2,'ESTADO CONTABLE'!$A$5:$A$16,0),1),abonos,SUMIFS('ABONOS MENSUALIDADES'!$F$5:$F$500,'ABONOS MENSUALIDADES'!$C$5:$C$500,A93,'ABONOS MENSUALIDADES'!$D$5:$D$500,mes),pago,CHOOSE(MATCH($B$2,'ESTADO CONTABLE'!$A$5:$A$16,0),IFNA(_xlfn.XLOOKUP(A93,PAGOS!$A$2:$A$996,PAGOS!$E$2:$E$996,""),""),IFNA(_xlfn.XLOOKUP(A93,PAGOS!$A$2:$A$996,PAGOS!$G$2:$G$996,""),""),IFNA(_xlfn.XLOOKUP(A93,PAGOS!$A$2:$A$996,PAGOS!$J$2:$J$996,""),""),IFNA(_xlfn.XLOOKUP(A93,PAGOS!$A$2:$A$996,PAGOS!$M$2:$M$996,""),""),IFNA(_xlfn.XLOOKUP(A93,PAGOS!$A$2:$A$996,PAGOS!$P$2:$P$996,""),""),IFNA(_xlfn.XLOOKUP(A93,PAGOS!$A$2:$A$996,PAGOS!$S$2:$S$996,""),""),IFNA(_xlfn.XLOOKUP(A93,PAGOS!$A$2:$A$996,PAGOS!$V$2:$V$996,""),""),IFNA(_xlfn.XLOOKUP(A93,PAGOS!$A$2:$A$996,PAGOS!$Y$2:$Y$996,""),""),IFNA(_xlfn.XLOOKUP(A93,PAGOS!$A$2:$A$996,PAGOS!$AB$2:$AB$996,""),""),IFNA(_xlfn.XLOOKUP(A93,PAGOS!$A$2:$A$996,PAGOS!$AE$2:$AE$996,""),""),IFNA(_xlfn.XLOOKUP(A93,PAGOS!$A$2:$A$996,PAGOS!$AH$2:$AH$996,""),""),IFNA(_xlfn.XLOOKUP(A93,PAGOS!$A$2:$A$996,PAGOS!$AK$2:$AK$996,""),"")),IF(abonos&gt;0,abonos,pago)))</f>
        <v>400</v>
      </c>
      <c r="E93" s="51" t="str">
        <f>IFERROR(__xludf.DUMMYFUNCTION("IF(A93="""","""",LET(mes,DATE($E$2,MATCH($B$2,'ESTADO CONTABLE'!$A$5:$A$16,0),1),abonos,SUMIFS('ABONOS MENSUALIDADES'!$F$5:$F$500,'ABONOS MENSUALIDADES'!$C$5:$C$500,A93,'ABONOS MENSUALIDADES'!$D$5:$D$500,mes),metodoDirecto,CHOOSE(MATCH($B$2,'ESTADO CONTAB"&amp;"LE'!$A$5:$A$16,0),IF(ISNUMBER(D93),""POR CLASIFICAR"",""""),IFNA(XLOOKUP(A93,PAGOS!$A$2:$A$996,PAGOS!$H$2:$H$996,""""),""""),IFNA(XLOOKUP(A93,PAGOS!$A$2:$A$996,PAGOS!$K$2:$K$996,""""),""""),IFNA(XLOOKUP(A93,PAGOS!$A$2:$A$996,PAGOS!$N$2:$N$996,""""),""""),"&amp;"IFNA(XLOOKUP(A93,PAGOS!$A$2:$A$996,PAGOS!$Q$2:$Q$996,""""),""""),IFNA(XLOOKUP(A93,PAGOS!$A$2:$A$996,PAGOS!$T$2:$T$996,""""),""""),IFNA(XLOOKUP(A93,PAGOS!$A$2:$A$996,PAGOS!$W$2:$W$996,""""),""""),IFNA(XLOOKUP(A93,PAGOS!$A$2:$A$996,PAGOS!$Z$2:$Z$996,""""),"&amp;"""""),IFNA(XLOOKUP(A93,PAGOS!$A$2:$A$996,PAGOS!$AC$2:$AC$996,""""),""""),IFNA(XLOOKUP(A93,PAGOS!$A$2:$A$996,PAGOS!$AF$2:$AF$996,""""),""""),IFNA(XLOOKUP(A93,PAGOS!$A$2:$A$996,PAGOS!$AI$2:$AI$996,""""),""""),IFNA(XLOOKUP(A93,PAGOS!$A$2:$A$996,PAGOS!$AL$2:$"&amp;"AL$996,""""),"""")),IF(abonos&gt;0,IFERROR(TEXTJOIN("" + "",TRUE,UNIQUE(FILTER('ABONOS MENSUALIDADES'!$E$5:$E$500,'ABONOS MENSUALIDADES'!$C$5:$C$500=A93,'ABONOS MENSUALIDADES'!$D$5:$D$500=mes))),""""),metodoDirecto)))"),"EFECTIVO")</f>
        <v>EFECTIVO</v>
      </c>
      <c r="F93" s="51" t="str">
        <f t="array" ref="F93">IF(A93="","",LET(mes,DATE($E$2,MATCH($B$2,'ESTADO CONTABLE'!$A$5:$A$16,0),1),cobrarDesde,IFERROR(INDEX('BASE DE DATOSS'!I:I,ROW()-13),""),pausada,SUMPRODUCT((UPPER(TRIM('PAUSAS MENSUALIDADES'!$A$5:$A$500))=UPPER(TRIM(A93)))*('PAUSAS MENSUALIDADES'!$B$5:$B$500=mes)*(UPPER(TRIM('PAUSAS MENSUALIDADES'!$D$5:$D$500))="APLICAR"))&gt;0,abonoActivo,SUMIFS('ABONOS MENSUALIDADES'!$F$5:$F$500,'ABONOS MENSUALIDADES'!$C$5:$C$500,A93,'ABONOS MENSUALIDADES'!$D$5:$D$500,mes,'ABONOS MENSUALIDADES'!$G$5:$G$500,"&lt;&gt;*CONSOLIDADO EN PAGOS*")&gt;0,esperadaBruta,MAX(IFNA(VLOOKUP(B93,COSTOS!$A$3:$B$13,2,FALSE),0)-150,0),IF(AND(cobrarDesde&lt;&gt;"",mes&lt;cobrarDesde),"AÚN NO INICIA",IF(pausada,"PAUSADA",IF(AND(abonoActivo,COUNTIFS('ABONOS MENSUALIDADES'!$C$5:$C$500,A93,'ABONOS MENSUALIDADES'!$D$5:$D$500,mes,'ABONOS MENSUALIDADES'!$G$5:$G$500,"*MENSUALIDAD LIQUIDADA*")=0),"ABONO",IF(N(D93)&gt;=esperadaBruta,"COBRADA",IF(N(D93)&gt;0,"ABONO","PENDIENTE")))))))</f>
        <v>COBRADA</v>
      </c>
      <c r="G93" s="79">
        <f t="array" ref="G93">IF(A93="","",IFERROR(INDEX('BASE DE DATOSS'!I:I,ROW()-13),""))</f>
        <v>46296</v>
      </c>
    </row>
    <row r="94">
      <c r="A94" s="51" t="str">
        <f t="array" ref="A94">IFERROR(INDEX('BASE DE DATOSS'!A:A,ROW()-13),"")</f>
        <v/>
      </c>
      <c r="B94" s="51" t="str">
        <f t="array" ref="B94">IF(A94="","",IFERROR(INDEX('BASE DE DATOSS'!C:C,ROW()-13),""))</f>
        <v/>
      </c>
      <c r="C94" s="62" t="str">
        <f t="array" ref="C94">IF(A94="","",LET(mes,DATE($E$2,MATCH($B$2,'ESTADO CONTABLE'!$A$5:$A$16,0),1),cobrarDesde,IFERROR(INDEX('BASE DE DATOSS'!I:I,ROW()-13),""),pausada,SUMPRODUCT((UPPER(TRIM('PAUSAS MENSUALIDADES'!$A$5:$A$500))=UPPER(TRIM(A94)))*('PAUSAS MENSUALIDADES'!$B$5:$B$500=mes)*(UPPER(TRIM('PAUSAS MENSUALIDADES'!$D$5:$D$500))="APLICAR"))&gt;0,IF(OR(AND(cobrarDesde&lt;&gt;"",mes&lt;cobrarDesde),pausada),0,MAX(IFNA(VLOOKUP(B94,COSTOS!$A$3:$B$13,2,FALSE),0)-150,0)/1.16)))</f>
        <v/>
      </c>
      <c r="D94" s="62" t="str">
        <f t="array" ref="D94">IF(A94="","",LET(mes,DATE($E$2,MATCH($B$2,'ESTADO CONTABLE'!$A$5:$A$16,0),1),abonos,SUMIFS('ABONOS MENSUALIDADES'!$F$5:$F$500,'ABONOS MENSUALIDADES'!$C$5:$C$500,A94,'ABONOS MENSUALIDADES'!$D$5:$D$500,mes),pago,CHOOSE(MATCH($B$2,'ESTADO CONTABLE'!$A$5:$A$16,0),IFNA(_xlfn.XLOOKUP(A94,PAGOS!$A$2:$A$996,PAGOS!$E$2:$E$996,""),""),IFNA(_xlfn.XLOOKUP(A94,PAGOS!$A$2:$A$996,PAGOS!$G$2:$G$996,""),""),IFNA(_xlfn.XLOOKUP(A94,PAGOS!$A$2:$A$996,PAGOS!$J$2:$J$996,""),""),IFNA(_xlfn.XLOOKUP(A94,PAGOS!$A$2:$A$996,PAGOS!$M$2:$M$996,""),""),IFNA(_xlfn.XLOOKUP(A94,PAGOS!$A$2:$A$996,PAGOS!$P$2:$P$996,""),""),IFNA(_xlfn.XLOOKUP(A94,PAGOS!$A$2:$A$996,PAGOS!$S$2:$S$996,""),""),IFNA(_xlfn.XLOOKUP(A94,PAGOS!$A$2:$A$996,PAGOS!$V$2:$V$996,""),""),IFNA(_xlfn.XLOOKUP(A94,PAGOS!$A$2:$A$996,PAGOS!$Y$2:$Y$996,""),""),IFNA(_xlfn.XLOOKUP(A94,PAGOS!$A$2:$A$996,PAGOS!$AB$2:$AB$996,""),""),IFNA(_xlfn.XLOOKUP(A94,PAGOS!$A$2:$A$996,PAGOS!$AE$2:$AE$996,""),""),IFNA(_xlfn.XLOOKUP(A94,PAGOS!$A$2:$A$996,PAGOS!$AH$2:$AH$996,""),""),IFNA(_xlfn.XLOOKUP(A94,PAGOS!$A$2:$A$996,PAGOS!$AK$2:$AK$996,""),"")),IF(abonos&gt;0,abonos,pago)))</f>
        <v/>
      </c>
      <c r="E94" s="51" t="str">
        <f>IFERROR(__xludf.DUMMYFUNCTION("IF(A94="""","""",LET(mes,DATE($E$2,MATCH($B$2,'ESTADO CONTABLE'!$A$5:$A$16,0),1),abonos,SUMIFS('ABONOS MENSUALIDADES'!$F$5:$F$500,'ABONOS MENSUALIDADES'!$C$5:$C$500,A94,'ABONOS MENSUALIDADES'!$D$5:$D$500,mes),metodoDirecto,CHOOSE(MATCH($B$2,'ESTADO CONTAB"&amp;"LE'!$A$5:$A$16,0),IF(ISNUMBER(D94),""POR CLASIFICAR"",""""),IFNA(XLOOKUP(A94,PAGOS!$A$2:$A$996,PAGOS!$H$2:$H$996,""""),""""),IFNA(XLOOKUP(A94,PAGOS!$A$2:$A$996,PAGOS!$K$2:$K$996,""""),""""),IFNA(XLOOKUP(A94,PAGOS!$A$2:$A$996,PAGOS!$N$2:$N$996,""""),""""),"&amp;"IFNA(XLOOKUP(A94,PAGOS!$A$2:$A$996,PAGOS!$Q$2:$Q$996,""""),""""),IFNA(XLOOKUP(A94,PAGOS!$A$2:$A$996,PAGOS!$T$2:$T$996,""""),""""),IFNA(XLOOKUP(A94,PAGOS!$A$2:$A$996,PAGOS!$W$2:$W$996,""""),""""),IFNA(XLOOKUP(A94,PAGOS!$A$2:$A$996,PAGOS!$Z$2:$Z$996,""""),"&amp;"""""),IFNA(XLOOKUP(A94,PAGOS!$A$2:$A$996,PAGOS!$AC$2:$AC$996,""""),""""),IFNA(XLOOKUP(A94,PAGOS!$A$2:$A$996,PAGOS!$AF$2:$AF$996,""""),""""),IFNA(XLOOKUP(A94,PAGOS!$A$2:$A$996,PAGOS!$AI$2:$AI$996,""""),""""),IFNA(XLOOKUP(A94,PAGOS!$A$2:$A$996,PAGOS!$AL$2:$"&amp;"AL$996,""""),"""")),IF(abonos&gt;0,IFERROR(TEXTJOIN("" + "",TRUE,UNIQUE(FILTER('ABONOS MENSUALIDADES'!$E$5:$E$500,'ABONOS MENSUALIDADES'!$C$5:$C$500=A94,'ABONOS MENSUALIDADES'!$D$5:$D$500=mes))),""""),metodoDirecto)))"),"")</f>
        <v/>
      </c>
      <c r="F94" s="51" t="str">
        <f t="array" ref="F94">IF(A94="","",LET(mes,DATE($E$2,MATCH($B$2,'ESTADO CONTABLE'!$A$5:$A$16,0),1),cobrarDesde,IFERROR(INDEX('BASE DE DATOSS'!I:I,ROW()-13),""),pausada,SUMPRODUCT((UPPER(TRIM('PAUSAS MENSUALIDADES'!$A$5:$A$500))=UPPER(TRIM(A94)))*('PAUSAS MENSUALIDADES'!$B$5:$B$500=mes)*(UPPER(TRIM('PAUSAS MENSUALIDADES'!$D$5:$D$500))="APLICAR"))&gt;0,abonoActivo,SUMIFS('ABONOS MENSUALIDADES'!$F$5:$F$500,'ABONOS MENSUALIDADES'!$C$5:$C$500,A94,'ABONOS MENSUALIDADES'!$D$5:$D$500,mes,'ABONOS MENSUALIDADES'!$G$5:$G$500,"&lt;&gt;*CONSOLIDADO EN PAGOS*")&gt;0,esperadaBruta,MAX(IFNA(VLOOKUP(B94,COSTOS!$A$3:$B$13,2,FALSE),0)-150,0),IF(AND(cobrarDesde&lt;&gt;"",mes&lt;cobrarDesde),"AÚN NO INICIA",IF(pausada,"PAUSADA",IF(AND(abonoActivo,COUNTIFS('ABONOS MENSUALIDADES'!$C$5:$C$500,A94,'ABONOS MENSUALIDADES'!$D$5:$D$500,mes,'ABONOS MENSUALIDADES'!$G$5:$G$500,"*MENSUALIDAD LIQUIDADA*")=0),"ABONO",IF(N(D94)&gt;=esperadaBruta,"COBRADA",IF(N(D94)&gt;0,"ABONO","PENDIENTE")))))))</f>
        <v/>
      </c>
      <c r="G94" s="79" t="str">
        <f t="array" ref="G94">IF(A94="","",IFERROR(INDEX('BASE DE DATOSS'!I:I,ROW()-13),""))</f>
        <v/>
      </c>
    </row>
    <row r="95">
      <c r="A95" s="51" t="str">
        <f t="array" ref="A95">IFERROR(INDEX('BASE DE DATOSS'!A:A,ROW()-13),"")</f>
        <v/>
      </c>
      <c r="B95" s="51" t="str">
        <f t="array" ref="B95">IF(A95="","",IFERROR(INDEX('BASE DE DATOSS'!C:C,ROW()-13),""))</f>
        <v/>
      </c>
      <c r="C95" s="62" t="str">
        <f t="array" ref="C95">IF(A95="","",LET(mes,DATE($E$2,MATCH($B$2,'ESTADO CONTABLE'!$A$5:$A$16,0),1),cobrarDesde,IFERROR(INDEX('BASE DE DATOSS'!I:I,ROW()-13),""),pausada,SUMPRODUCT((UPPER(TRIM('PAUSAS MENSUALIDADES'!$A$5:$A$500))=UPPER(TRIM(A95)))*('PAUSAS MENSUALIDADES'!$B$5:$B$500=mes)*(UPPER(TRIM('PAUSAS MENSUALIDADES'!$D$5:$D$500))="APLICAR"))&gt;0,IF(OR(AND(cobrarDesde&lt;&gt;"",mes&lt;cobrarDesde),pausada),0,MAX(IFNA(VLOOKUP(B95,COSTOS!$A$3:$B$13,2,FALSE),0)-150,0)/1.16)))</f>
        <v/>
      </c>
      <c r="D95" s="62" t="str">
        <f t="array" ref="D95">IF(A95="","",LET(mes,DATE($E$2,MATCH($B$2,'ESTADO CONTABLE'!$A$5:$A$16,0),1),abonos,SUMIFS('ABONOS MENSUALIDADES'!$F$5:$F$500,'ABONOS MENSUALIDADES'!$C$5:$C$500,A95,'ABONOS MENSUALIDADES'!$D$5:$D$500,mes),pago,CHOOSE(MATCH($B$2,'ESTADO CONTABLE'!$A$5:$A$16,0),IFNA(_xlfn.XLOOKUP(A95,PAGOS!$A$2:$A$996,PAGOS!$E$2:$E$996,""),""),IFNA(_xlfn.XLOOKUP(A95,PAGOS!$A$2:$A$996,PAGOS!$G$2:$G$996,""),""),IFNA(_xlfn.XLOOKUP(A95,PAGOS!$A$2:$A$996,PAGOS!$J$2:$J$996,""),""),IFNA(_xlfn.XLOOKUP(A95,PAGOS!$A$2:$A$996,PAGOS!$M$2:$M$996,""),""),IFNA(_xlfn.XLOOKUP(A95,PAGOS!$A$2:$A$996,PAGOS!$P$2:$P$996,""),""),IFNA(_xlfn.XLOOKUP(A95,PAGOS!$A$2:$A$996,PAGOS!$S$2:$S$996,""),""),IFNA(_xlfn.XLOOKUP(A95,PAGOS!$A$2:$A$996,PAGOS!$V$2:$V$996,""),""),IFNA(_xlfn.XLOOKUP(A95,PAGOS!$A$2:$A$996,PAGOS!$Y$2:$Y$996,""),""),IFNA(_xlfn.XLOOKUP(A95,PAGOS!$A$2:$A$996,PAGOS!$AB$2:$AB$996,""),""),IFNA(_xlfn.XLOOKUP(A95,PAGOS!$A$2:$A$996,PAGOS!$AE$2:$AE$996,""),""),IFNA(_xlfn.XLOOKUP(A95,PAGOS!$A$2:$A$996,PAGOS!$AH$2:$AH$996,""),""),IFNA(_xlfn.XLOOKUP(A95,PAGOS!$A$2:$A$996,PAGOS!$AK$2:$AK$996,""),"")),IF(abonos&gt;0,abonos,pago)))</f>
        <v/>
      </c>
      <c r="E95" s="51" t="str">
        <f>IFERROR(__xludf.DUMMYFUNCTION("IF(A95="""","""",LET(mes,DATE($E$2,MATCH($B$2,'ESTADO CONTABLE'!$A$5:$A$16,0),1),abonos,SUMIFS('ABONOS MENSUALIDADES'!$F$5:$F$500,'ABONOS MENSUALIDADES'!$C$5:$C$500,A95,'ABONOS MENSUALIDADES'!$D$5:$D$500,mes),metodoDirecto,CHOOSE(MATCH($B$2,'ESTADO CONTAB"&amp;"LE'!$A$5:$A$16,0),IF(ISNUMBER(D95),""POR CLASIFICAR"",""""),IFNA(XLOOKUP(A95,PAGOS!$A$2:$A$996,PAGOS!$H$2:$H$996,""""),""""),IFNA(XLOOKUP(A95,PAGOS!$A$2:$A$996,PAGOS!$K$2:$K$996,""""),""""),IFNA(XLOOKUP(A95,PAGOS!$A$2:$A$996,PAGOS!$N$2:$N$996,""""),""""),"&amp;"IFNA(XLOOKUP(A95,PAGOS!$A$2:$A$996,PAGOS!$Q$2:$Q$996,""""),""""),IFNA(XLOOKUP(A95,PAGOS!$A$2:$A$996,PAGOS!$T$2:$T$996,""""),""""),IFNA(XLOOKUP(A95,PAGOS!$A$2:$A$996,PAGOS!$W$2:$W$996,""""),""""),IFNA(XLOOKUP(A95,PAGOS!$A$2:$A$996,PAGOS!$Z$2:$Z$996,""""),"&amp;"""""),IFNA(XLOOKUP(A95,PAGOS!$A$2:$A$996,PAGOS!$AC$2:$AC$996,""""),""""),IFNA(XLOOKUP(A95,PAGOS!$A$2:$A$996,PAGOS!$AF$2:$AF$996,""""),""""),IFNA(XLOOKUP(A95,PAGOS!$A$2:$A$996,PAGOS!$AI$2:$AI$996,""""),""""),IFNA(XLOOKUP(A95,PAGOS!$A$2:$A$996,PAGOS!$AL$2:$"&amp;"AL$996,""""),"""")),IF(abonos&gt;0,IFERROR(TEXTJOIN("" + "",TRUE,UNIQUE(FILTER('ABONOS MENSUALIDADES'!$E$5:$E$500,'ABONOS MENSUALIDADES'!$C$5:$C$500=A95,'ABONOS MENSUALIDADES'!$D$5:$D$500=mes))),""""),metodoDirecto)))"),"")</f>
        <v/>
      </c>
      <c r="F95" s="51" t="str">
        <f t="array" ref="F95">IF(A95="","",LET(mes,DATE($E$2,MATCH($B$2,'ESTADO CONTABLE'!$A$5:$A$16,0),1),cobrarDesde,IFERROR(INDEX('BASE DE DATOSS'!I:I,ROW()-13),""),pausada,SUMPRODUCT((UPPER(TRIM('PAUSAS MENSUALIDADES'!$A$5:$A$500))=UPPER(TRIM(A95)))*('PAUSAS MENSUALIDADES'!$B$5:$B$500=mes)*(UPPER(TRIM('PAUSAS MENSUALIDADES'!$D$5:$D$500))="APLICAR"))&gt;0,abonoActivo,SUMIFS('ABONOS MENSUALIDADES'!$F$5:$F$500,'ABONOS MENSUALIDADES'!$C$5:$C$500,A95,'ABONOS MENSUALIDADES'!$D$5:$D$500,mes,'ABONOS MENSUALIDADES'!$G$5:$G$500,"&lt;&gt;*CONSOLIDADO EN PAGOS*")&gt;0,esperadaBruta,MAX(IFNA(VLOOKUP(B95,COSTOS!$A$3:$B$13,2,FALSE),0)-150,0),IF(AND(cobrarDesde&lt;&gt;"",mes&lt;cobrarDesde),"AÚN NO INICIA",IF(pausada,"PAUSADA",IF(AND(abonoActivo,COUNTIFS('ABONOS MENSUALIDADES'!$C$5:$C$500,A95,'ABONOS MENSUALIDADES'!$D$5:$D$500,mes,'ABONOS MENSUALIDADES'!$G$5:$G$500,"*MENSUALIDAD LIQUIDADA*")=0),"ABONO",IF(N(D95)&gt;=esperadaBruta,"COBRADA",IF(N(D95)&gt;0,"ABONO","PENDIENTE")))))))</f>
        <v/>
      </c>
      <c r="G95" s="79" t="str">
        <f t="array" ref="G95">IF(A95="","",IFERROR(INDEX('BASE DE DATOSS'!I:I,ROW()-13),""))</f>
        <v/>
      </c>
    </row>
    <row r="96">
      <c r="A96" s="51" t="str">
        <f t="array" ref="A96">IFERROR(INDEX('BASE DE DATOSS'!A:A,ROW()-13),"")</f>
        <v/>
      </c>
      <c r="B96" s="51" t="str">
        <f t="array" ref="B96">IF(A96="","",IFERROR(INDEX('BASE DE DATOSS'!C:C,ROW()-13),""))</f>
        <v/>
      </c>
      <c r="C96" s="62" t="str">
        <f t="array" ref="C96">IF(A96="","",LET(mes,DATE($E$2,MATCH($B$2,'ESTADO CONTABLE'!$A$5:$A$16,0),1),cobrarDesde,IFERROR(INDEX('BASE DE DATOSS'!I:I,ROW()-13),""),pausada,SUMPRODUCT((UPPER(TRIM('PAUSAS MENSUALIDADES'!$A$5:$A$500))=UPPER(TRIM(A96)))*('PAUSAS MENSUALIDADES'!$B$5:$B$500=mes)*(UPPER(TRIM('PAUSAS MENSUALIDADES'!$D$5:$D$500))="APLICAR"))&gt;0,IF(OR(AND(cobrarDesde&lt;&gt;"",mes&lt;cobrarDesde),pausada),0,MAX(IFNA(VLOOKUP(B96,COSTOS!$A$3:$B$13,2,FALSE),0)-150,0)/1.16)))</f>
        <v/>
      </c>
      <c r="D96" s="62" t="str">
        <f t="array" ref="D96">IF(A96="","",LET(mes,DATE($E$2,MATCH($B$2,'ESTADO CONTABLE'!$A$5:$A$16,0),1),abonos,SUMIFS('ABONOS MENSUALIDADES'!$F$5:$F$500,'ABONOS MENSUALIDADES'!$C$5:$C$500,A96,'ABONOS MENSUALIDADES'!$D$5:$D$500,mes),pago,CHOOSE(MATCH($B$2,'ESTADO CONTABLE'!$A$5:$A$16,0),IFNA(_xlfn.XLOOKUP(A96,PAGOS!$A$2:$A$996,PAGOS!$E$2:$E$996,""),""),IFNA(_xlfn.XLOOKUP(A96,PAGOS!$A$2:$A$996,PAGOS!$G$2:$G$996,""),""),IFNA(_xlfn.XLOOKUP(A96,PAGOS!$A$2:$A$996,PAGOS!$J$2:$J$996,""),""),IFNA(_xlfn.XLOOKUP(A96,PAGOS!$A$2:$A$996,PAGOS!$M$2:$M$996,""),""),IFNA(_xlfn.XLOOKUP(A96,PAGOS!$A$2:$A$996,PAGOS!$P$2:$P$996,""),""),IFNA(_xlfn.XLOOKUP(A96,PAGOS!$A$2:$A$996,PAGOS!$S$2:$S$996,""),""),IFNA(_xlfn.XLOOKUP(A96,PAGOS!$A$2:$A$996,PAGOS!$V$2:$V$996,""),""),IFNA(_xlfn.XLOOKUP(A96,PAGOS!$A$2:$A$996,PAGOS!$Y$2:$Y$996,""),""),IFNA(_xlfn.XLOOKUP(A96,PAGOS!$A$2:$A$996,PAGOS!$AB$2:$AB$996,""),""),IFNA(_xlfn.XLOOKUP(A96,PAGOS!$A$2:$A$996,PAGOS!$AE$2:$AE$996,""),""),IFNA(_xlfn.XLOOKUP(A96,PAGOS!$A$2:$A$996,PAGOS!$AH$2:$AH$996,""),""),IFNA(_xlfn.XLOOKUP(A96,PAGOS!$A$2:$A$996,PAGOS!$AK$2:$AK$996,""),"")),IF(abonos&gt;0,abonos,pago)))</f>
        <v/>
      </c>
      <c r="E96" s="51" t="str">
        <f>IFERROR(__xludf.DUMMYFUNCTION("IF(A96="""","""",LET(mes,DATE($E$2,MATCH($B$2,'ESTADO CONTABLE'!$A$5:$A$16,0),1),abonos,SUMIFS('ABONOS MENSUALIDADES'!$F$5:$F$500,'ABONOS MENSUALIDADES'!$C$5:$C$500,A96,'ABONOS MENSUALIDADES'!$D$5:$D$500,mes),metodoDirecto,CHOOSE(MATCH($B$2,'ESTADO CONTAB"&amp;"LE'!$A$5:$A$16,0),IF(ISNUMBER(D96),""POR CLASIFICAR"",""""),IFNA(XLOOKUP(A96,PAGOS!$A$2:$A$996,PAGOS!$H$2:$H$996,""""),""""),IFNA(XLOOKUP(A96,PAGOS!$A$2:$A$996,PAGOS!$K$2:$K$996,""""),""""),IFNA(XLOOKUP(A96,PAGOS!$A$2:$A$996,PAGOS!$N$2:$N$996,""""),""""),"&amp;"IFNA(XLOOKUP(A96,PAGOS!$A$2:$A$996,PAGOS!$Q$2:$Q$996,""""),""""),IFNA(XLOOKUP(A96,PAGOS!$A$2:$A$996,PAGOS!$T$2:$T$996,""""),""""),IFNA(XLOOKUP(A96,PAGOS!$A$2:$A$996,PAGOS!$W$2:$W$996,""""),""""),IFNA(XLOOKUP(A96,PAGOS!$A$2:$A$996,PAGOS!$Z$2:$Z$996,""""),"&amp;"""""),IFNA(XLOOKUP(A96,PAGOS!$A$2:$A$996,PAGOS!$AC$2:$AC$996,""""),""""),IFNA(XLOOKUP(A96,PAGOS!$A$2:$A$996,PAGOS!$AF$2:$AF$996,""""),""""),IFNA(XLOOKUP(A96,PAGOS!$A$2:$A$996,PAGOS!$AI$2:$AI$996,""""),""""),IFNA(XLOOKUP(A96,PAGOS!$A$2:$A$996,PAGOS!$AL$2:$"&amp;"AL$996,""""),"""")),IF(abonos&gt;0,IFERROR(TEXTJOIN("" + "",TRUE,UNIQUE(FILTER('ABONOS MENSUALIDADES'!$E$5:$E$500,'ABONOS MENSUALIDADES'!$C$5:$C$500=A96,'ABONOS MENSUALIDADES'!$D$5:$D$500=mes))),""""),metodoDirecto)))"),"")</f>
        <v/>
      </c>
      <c r="F96" s="51" t="str">
        <f t="array" ref="F96">IF(A96="","",LET(mes,DATE($E$2,MATCH($B$2,'ESTADO CONTABLE'!$A$5:$A$16,0),1),cobrarDesde,IFERROR(INDEX('BASE DE DATOSS'!I:I,ROW()-13),""),pausada,SUMPRODUCT((UPPER(TRIM('PAUSAS MENSUALIDADES'!$A$5:$A$500))=UPPER(TRIM(A96)))*('PAUSAS MENSUALIDADES'!$B$5:$B$500=mes)*(UPPER(TRIM('PAUSAS MENSUALIDADES'!$D$5:$D$500))="APLICAR"))&gt;0,abonoActivo,SUMIFS('ABONOS MENSUALIDADES'!$F$5:$F$500,'ABONOS MENSUALIDADES'!$C$5:$C$500,A96,'ABONOS MENSUALIDADES'!$D$5:$D$500,mes,'ABONOS MENSUALIDADES'!$G$5:$G$500,"&lt;&gt;*CONSOLIDADO EN PAGOS*")&gt;0,esperadaBruta,MAX(IFNA(VLOOKUP(B96,COSTOS!$A$3:$B$13,2,FALSE),0)-150,0),IF(AND(cobrarDesde&lt;&gt;"",mes&lt;cobrarDesde),"AÚN NO INICIA",IF(pausada,"PAUSADA",IF(AND(abonoActivo,COUNTIFS('ABONOS MENSUALIDADES'!$C$5:$C$500,A96,'ABONOS MENSUALIDADES'!$D$5:$D$500,mes,'ABONOS MENSUALIDADES'!$G$5:$G$500,"*MENSUALIDAD LIQUIDADA*")=0),"ABONO",IF(N(D96)&gt;=esperadaBruta,"COBRADA",IF(N(D96)&gt;0,"ABONO","PENDIENTE")))))))</f>
        <v/>
      </c>
      <c r="G96" s="79" t="str">
        <f t="array" ref="G96">IF(A96="","",IFERROR(INDEX('BASE DE DATOSS'!I:I,ROW()-13),""))</f>
        <v/>
      </c>
    </row>
    <row r="97">
      <c r="A97" s="51" t="str">
        <f t="array" ref="A97">IFERROR(INDEX('BASE DE DATOSS'!A:A,ROW()-13),"")</f>
        <v/>
      </c>
      <c r="B97" s="51" t="str">
        <f t="array" ref="B97">IF(A97="","",IFERROR(INDEX('BASE DE DATOSS'!C:C,ROW()-13),""))</f>
        <v/>
      </c>
      <c r="C97" s="62" t="str">
        <f t="array" ref="C97">IF(A97="","",LET(mes,DATE($E$2,MATCH($B$2,'ESTADO CONTABLE'!$A$5:$A$16,0),1),cobrarDesde,IFERROR(INDEX('BASE DE DATOSS'!I:I,ROW()-13),""),pausada,SUMPRODUCT((UPPER(TRIM('PAUSAS MENSUALIDADES'!$A$5:$A$500))=UPPER(TRIM(A97)))*('PAUSAS MENSUALIDADES'!$B$5:$B$500=mes)*(UPPER(TRIM('PAUSAS MENSUALIDADES'!$D$5:$D$500))="APLICAR"))&gt;0,IF(OR(AND(cobrarDesde&lt;&gt;"",mes&lt;cobrarDesde),pausada),0,MAX(IFNA(VLOOKUP(B97,COSTOS!$A$3:$B$13,2,FALSE),0)-150,0)/1.16)))</f>
        <v/>
      </c>
      <c r="D97" s="62" t="str">
        <f t="array" ref="D97">IF(A97="","",LET(mes,DATE($E$2,MATCH($B$2,'ESTADO CONTABLE'!$A$5:$A$16,0),1),abonos,SUMIFS('ABONOS MENSUALIDADES'!$F$5:$F$500,'ABONOS MENSUALIDADES'!$C$5:$C$500,A97,'ABONOS MENSUALIDADES'!$D$5:$D$500,mes),pago,CHOOSE(MATCH($B$2,'ESTADO CONTABLE'!$A$5:$A$16,0),IFNA(_xlfn.XLOOKUP(A97,PAGOS!$A$2:$A$996,PAGOS!$E$2:$E$996,""),""),IFNA(_xlfn.XLOOKUP(A97,PAGOS!$A$2:$A$996,PAGOS!$G$2:$G$996,""),""),IFNA(_xlfn.XLOOKUP(A97,PAGOS!$A$2:$A$996,PAGOS!$J$2:$J$996,""),""),IFNA(_xlfn.XLOOKUP(A97,PAGOS!$A$2:$A$996,PAGOS!$M$2:$M$996,""),""),IFNA(_xlfn.XLOOKUP(A97,PAGOS!$A$2:$A$996,PAGOS!$P$2:$P$996,""),""),IFNA(_xlfn.XLOOKUP(A97,PAGOS!$A$2:$A$996,PAGOS!$S$2:$S$996,""),""),IFNA(_xlfn.XLOOKUP(A97,PAGOS!$A$2:$A$996,PAGOS!$V$2:$V$996,""),""),IFNA(_xlfn.XLOOKUP(A97,PAGOS!$A$2:$A$996,PAGOS!$Y$2:$Y$996,""),""),IFNA(_xlfn.XLOOKUP(A97,PAGOS!$A$2:$A$996,PAGOS!$AB$2:$AB$996,""),""),IFNA(_xlfn.XLOOKUP(A97,PAGOS!$A$2:$A$996,PAGOS!$AE$2:$AE$996,""),""),IFNA(_xlfn.XLOOKUP(A97,PAGOS!$A$2:$A$996,PAGOS!$AH$2:$AH$996,""),""),IFNA(_xlfn.XLOOKUP(A97,PAGOS!$A$2:$A$996,PAGOS!$AK$2:$AK$996,""),"")),IF(abonos&gt;0,abonos,pago)))</f>
        <v/>
      </c>
      <c r="E97" s="51" t="str">
        <f>IFERROR(__xludf.DUMMYFUNCTION("IF(A97="""","""",LET(mes,DATE($E$2,MATCH($B$2,'ESTADO CONTABLE'!$A$5:$A$16,0),1),abonos,SUMIFS('ABONOS MENSUALIDADES'!$F$5:$F$500,'ABONOS MENSUALIDADES'!$C$5:$C$500,A97,'ABONOS MENSUALIDADES'!$D$5:$D$500,mes),metodoDirecto,CHOOSE(MATCH($B$2,'ESTADO CONTAB"&amp;"LE'!$A$5:$A$16,0),IF(ISNUMBER(D97),""POR CLASIFICAR"",""""),IFNA(XLOOKUP(A97,PAGOS!$A$2:$A$996,PAGOS!$H$2:$H$996,""""),""""),IFNA(XLOOKUP(A97,PAGOS!$A$2:$A$996,PAGOS!$K$2:$K$996,""""),""""),IFNA(XLOOKUP(A97,PAGOS!$A$2:$A$996,PAGOS!$N$2:$N$996,""""),""""),"&amp;"IFNA(XLOOKUP(A97,PAGOS!$A$2:$A$996,PAGOS!$Q$2:$Q$996,""""),""""),IFNA(XLOOKUP(A97,PAGOS!$A$2:$A$996,PAGOS!$T$2:$T$996,""""),""""),IFNA(XLOOKUP(A97,PAGOS!$A$2:$A$996,PAGOS!$W$2:$W$996,""""),""""),IFNA(XLOOKUP(A97,PAGOS!$A$2:$A$996,PAGOS!$Z$2:$Z$996,""""),"&amp;"""""),IFNA(XLOOKUP(A97,PAGOS!$A$2:$A$996,PAGOS!$AC$2:$AC$996,""""),""""),IFNA(XLOOKUP(A97,PAGOS!$A$2:$A$996,PAGOS!$AF$2:$AF$996,""""),""""),IFNA(XLOOKUP(A97,PAGOS!$A$2:$A$996,PAGOS!$AI$2:$AI$996,""""),""""),IFNA(XLOOKUP(A97,PAGOS!$A$2:$A$996,PAGOS!$AL$2:$"&amp;"AL$996,""""),"""")),IF(abonos&gt;0,IFERROR(TEXTJOIN("" + "",TRUE,UNIQUE(FILTER('ABONOS MENSUALIDADES'!$E$5:$E$500,'ABONOS MENSUALIDADES'!$C$5:$C$500=A97,'ABONOS MENSUALIDADES'!$D$5:$D$500=mes))),""""),metodoDirecto)))"),"")</f>
        <v/>
      </c>
      <c r="F97" s="51" t="str">
        <f t="array" ref="F97">IF(A97="","",LET(mes,DATE($E$2,MATCH($B$2,'ESTADO CONTABLE'!$A$5:$A$16,0),1),cobrarDesde,IFERROR(INDEX('BASE DE DATOSS'!I:I,ROW()-13),""),pausada,SUMPRODUCT((UPPER(TRIM('PAUSAS MENSUALIDADES'!$A$5:$A$500))=UPPER(TRIM(A97)))*('PAUSAS MENSUALIDADES'!$B$5:$B$500=mes)*(UPPER(TRIM('PAUSAS MENSUALIDADES'!$D$5:$D$500))="APLICAR"))&gt;0,abonoActivo,SUMIFS('ABONOS MENSUALIDADES'!$F$5:$F$500,'ABONOS MENSUALIDADES'!$C$5:$C$500,A97,'ABONOS MENSUALIDADES'!$D$5:$D$500,mes,'ABONOS MENSUALIDADES'!$G$5:$G$500,"&lt;&gt;*CONSOLIDADO EN PAGOS*")&gt;0,esperadaBruta,MAX(IFNA(VLOOKUP(B97,COSTOS!$A$3:$B$13,2,FALSE),0)-150,0),IF(AND(cobrarDesde&lt;&gt;"",mes&lt;cobrarDesde),"AÚN NO INICIA",IF(pausada,"PAUSADA",IF(AND(abonoActivo,COUNTIFS('ABONOS MENSUALIDADES'!$C$5:$C$500,A97,'ABONOS MENSUALIDADES'!$D$5:$D$500,mes,'ABONOS MENSUALIDADES'!$G$5:$G$500,"*MENSUALIDAD LIQUIDADA*")=0),"ABONO",IF(N(D97)&gt;=esperadaBruta,"COBRADA",IF(N(D97)&gt;0,"ABONO","PENDIENTE")))))))</f>
        <v/>
      </c>
      <c r="G97" s="79" t="str">
        <f t="array" ref="G97">IF(A97="","",IFERROR(INDEX('BASE DE DATOSS'!I:I,ROW()-13),""))</f>
        <v/>
      </c>
    </row>
    <row r="98">
      <c r="A98" s="51" t="str">
        <f t="array" ref="A98">IFERROR(INDEX('BASE DE DATOSS'!A:A,ROW()-13),"")</f>
        <v/>
      </c>
      <c r="B98" s="51" t="str">
        <f t="array" ref="B98">IF(A98="","",IFERROR(INDEX('BASE DE DATOSS'!C:C,ROW()-13),""))</f>
        <v/>
      </c>
      <c r="C98" s="62" t="str">
        <f t="array" ref="C98">IF(A98="","",LET(mes,DATE($E$2,MATCH($B$2,'ESTADO CONTABLE'!$A$5:$A$16,0),1),cobrarDesde,IFERROR(INDEX('BASE DE DATOSS'!I:I,ROW()-13),""),pausada,SUMPRODUCT((UPPER(TRIM('PAUSAS MENSUALIDADES'!$A$5:$A$500))=UPPER(TRIM(A98)))*('PAUSAS MENSUALIDADES'!$B$5:$B$500=mes)*(UPPER(TRIM('PAUSAS MENSUALIDADES'!$D$5:$D$500))="APLICAR"))&gt;0,IF(OR(AND(cobrarDesde&lt;&gt;"",mes&lt;cobrarDesde),pausada),0,MAX(IFNA(VLOOKUP(B98,COSTOS!$A$3:$B$13,2,FALSE),0)-150,0)/1.16)))</f>
        <v/>
      </c>
      <c r="D98" s="62" t="str">
        <f t="array" ref="D98">IF(A98="","",LET(mes,DATE($E$2,MATCH($B$2,'ESTADO CONTABLE'!$A$5:$A$16,0),1),abonos,SUMIFS('ABONOS MENSUALIDADES'!$F$5:$F$500,'ABONOS MENSUALIDADES'!$C$5:$C$500,A98,'ABONOS MENSUALIDADES'!$D$5:$D$500,mes),pago,CHOOSE(MATCH($B$2,'ESTADO CONTABLE'!$A$5:$A$16,0),IFNA(_xlfn.XLOOKUP(A98,PAGOS!$A$2:$A$996,PAGOS!$E$2:$E$996,""),""),IFNA(_xlfn.XLOOKUP(A98,PAGOS!$A$2:$A$996,PAGOS!$G$2:$G$996,""),""),IFNA(_xlfn.XLOOKUP(A98,PAGOS!$A$2:$A$996,PAGOS!$J$2:$J$996,""),""),IFNA(_xlfn.XLOOKUP(A98,PAGOS!$A$2:$A$996,PAGOS!$M$2:$M$996,""),""),IFNA(_xlfn.XLOOKUP(A98,PAGOS!$A$2:$A$996,PAGOS!$P$2:$P$996,""),""),IFNA(_xlfn.XLOOKUP(A98,PAGOS!$A$2:$A$996,PAGOS!$S$2:$S$996,""),""),IFNA(_xlfn.XLOOKUP(A98,PAGOS!$A$2:$A$996,PAGOS!$V$2:$V$996,""),""),IFNA(_xlfn.XLOOKUP(A98,PAGOS!$A$2:$A$996,PAGOS!$Y$2:$Y$996,""),""),IFNA(_xlfn.XLOOKUP(A98,PAGOS!$A$2:$A$996,PAGOS!$AB$2:$AB$996,""),""),IFNA(_xlfn.XLOOKUP(A98,PAGOS!$A$2:$A$996,PAGOS!$AE$2:$AE$996,""),""),IFNA(_xlfn.XLOOKUP(A98,PAGOS!$A$2:$A$996,PAGOS!$AH$2:$AH$996,""),""),IFNA(_xlfn.XLOOKUP(A98,PAGOS!$A$2:$A$996,PAGOS!$AK$2:$AK$996,""),"")),IF(abonos&gt;0,abonos,pago)))</f>
        <v/>
      </c>
      <c r="E98" s="51" t="str">
        <f>IFERROR(__xludf.DUMMYFUNCTION("IF(A98="""","""",LET(mes,DATE($E$2,MATCH($B$2,'ESTADO CONTABLE'!$A$5:$A$16,0),1),abonos,SUMIFS('ABONOS MENSUALIDADES'!$F$5:$F$500,'ABONOS MENSUALIDADES'!$C$5:$C$500,A98,'ABONOS MENSUALIDADES'!$D$5:$D$500,mes),metodoDirecto,CHOOSE(MATCH($B$2,'ESTADO CONTAB"&amp;"LE'!$A$5:$A$16,0),IF(ISNUMBER(D98),""POR CLASIFICAR"",""""),IFNA(XLOOKUP(A98,PAGOS!$A$2:$A$996,PAGOS!$H$2:$H$996,""""),""""),IFNA(XLOOKUP(A98,PAGOS!$A$2:$A$996,PAGOS!$K$2:$K$996,""""),""""),IFNA(XLOOKUP(A98,PAGOS!$A$2:$A$996,PAGOS!$N$2:$N$996,""""),""""),"&amp;"IFNA(XLOOKUP(A98,PAGOS!$A$2:$A$996,PAGOS!$Q$2:$Q$996,""""),""""),IFNA(XLOOKUP(A98,PAGOS!$A$2:$A$996,PAGOS!$T$2:$T$996,""""),""""),IFNA(XLOOKUP(A98,PAGOS!$A$2:$A$996,PAGOS!$W$2:$W$996,""""),""""),IFNA(XLOOKUP(A98,PAGOS!$A$2:$A$996,PAGOS!$Z$2:$Z$996,""""),"&amp;"""""),IFNA(XLOOKUP(A98,PAGOS!$A$2:$A$996,PAGOS!$AC$2:$AC$996,""""),""""),IFNA(XLOOKUP(A98,PAGOS!$A$2:$A$996,PAGOS!$AF$2:$AF$996,""""),""""),IFNA(XLOOKUP(A98,PAGOS!$A$2:$A$996,PAGOS!$AI$2:$AI$996,""""),""""),IFNA(XLOOKUP(A98,PAGOS!$A$2:$A$996,PAGOS!$AL$2:$"&amp;"AL$996,""""),"""")),IF(abonos&gt;0,IFERROR(TEXTJOIN("" + "",TRUE,UNIQUE(FILTER('ABONOS MENSUALIDADES'!$E$5:$E$500,'ABONOS MENSUALIDADES'!$C$5:$C$500=A98,'ABONOS MENSUALIDADES'!$D$5:$D$500=mes))),""""),metodoDirecto)))"),"")</f>
        <v/>
      </c>
      <c r="F98" s="51" t="str">
        <f t="array" ref="F98">IF(A98="","",LET(mes,DATE($E$2,MATCH($B$2,'ESTADO CONTABLE'!$A$5:$A$16,0),1),cobrarDesde,IFERROR(INDEX('BASE DE DATOSS'!I:I,ROW()-13),""),pausada,SUMPRODUCT((UPPER(TRIM('PAUSAS MENSUALIDADES'!$A$5:$A$500))=UPPER(TRIM(A98)))*('PAUSAS MENSUALIDADES'!$B$5:$B$500=mes)*(UPPER(TRIM('PAUSAS MENSUALIDADES'!$D$5:$D$500))="APLICAR"))&gt;0,abonoActivo,SUMIFS('ABONOS MENSUALIDADES'!$F$5:$F$500,'ABONOS MENSUALIDADES'!$C$5:$C$500,A98,'ABONOS MENSUALIDADES'!$D$5:$D$500,mes,'ABONOS MENSUALIDADES'!$G$5:$G$500,"&lt;&gt;*CONSOLIDADO EN PAGOS*")&gt;0,esperadaBruta,MAX(IFNA(VLOOKUP(B98,COSTOS!$A$3:$B$13,2,FALSE),0)-150,0),IF(AND(cobrarDesde&lt;&gt;"",mes&lt;cobrarDesde),"AÚN NO INICIA",IF(pausada,"PAUSADA",IF(AND(abonoActivo,COUNTIFS('ABONOS MENSUALIDADES'!$C$5:$C$500,A98,'ABONOS MENSUALIDADES'!$D$5:$D$500,mes,'ABONOS MENSUALIDADES'!$G$5:$G$500,"*MENSUALIDAD LIQUIDADA*")=0),"ABONO",IF(N(D98)&gt;=esperadaBruta,"COBRADA",IF(N(D98)&gt;0,"ABONO","PENDIENTE")))))))</f>
        <v/>
      </c>
      <c r="G98" s="79" t="str">
        <f t="array" ref="G98">IF(A98="","",IFERROR(INDEX('BASE DE DATOSS'!I:I,ROW()-13),""))</f>
        <v/>
      </c>
    </row>
    <row r="99">
      <c r="A99" s="51" t="str">
        <f t="array" ref="A99">IFERROR(INDEX('BASE DE DATOSS'!A:A,ROW()-13),"")</f>
        <v/>
      </c>
      <c r="B99" s="51" t="str">
        <f t="array" ref="B99">IF(A99="","",IFERROR(INDEX('BASE DE DATOSS'!C:C,ROW()-13),""))</f>
        <v/>
      </c>
      <c r="C99" s="62" t="str">
        <f t="array" ref="C99">IF(A99="","",LET(mes,DATE($E$2,MATCH($B$2,'ESTADO CONTABLE'!$A$5:$A$16,0),1),cobrarDesde,IFERROR(INDEX('BASE DE DATOSS'!I:I,ROW()-13),""),pausada,SUMPRODUCT((UPPER(TRIM('PAUSAS MENSUALIDADES'!$A$5:$A$500))=UPPER(TRIM(A99)))*('PAUSAS MENSUALIDADES'!$B$5:$B$500=mes)*(UPPER(TRIM('PAUSAS MENSUALIDADES'!$D$5:$D$500))="APLICAR"))&gt;0,IF(OR(AND(cobrarDesde&lt;&gt;"",mes&lt;cobrarDesde),pausada),0,MAX(IFNA(VLOOKUP(B99,COSTOS!$A$3:$B$13,2,FALSE),0)-150,0)/1.16)))</f>
        <v/>
      </c>
      <c r="D99" s="62" t="str">
        <f t="array" ref="D99">IF(A99="","",LET(mes,DATE($E$2,MATCH($B$2,'ESTADO CONTABLE'!$A$5:$A$16,0),1),abonos,SUMIFS('ABONOS MENSUALIDADES'!$F$5:$F$500,'ABONOS MENSUALIDADES'!$C$5:$C$500,A99,'ABONOS MENSUALIDADES'!$D$5:$D$500,mes),pago,CHOOSE(MATCH($B$2,'ESTADO CONTABLE'!$A$5:$A$16,0),IFNA(_xlfn.XLOOKUP(A99,PAGOS!$A$2:$A$996,PAGOS!$E$2:$E$996,""),""),IFNA(_xlfn.XLOOKUP(A99,PAGOS!$A$2:$A$996,PAGOS!$G$2:$G$996,""),""),IFNA(_xlfn.XLOOKUP(A99,PAGOS!$A$2:$A$996,PAGOS!$J$2:$J$996,""),""),IFNA(_xlfn.XLOOKUP(A99,PAGOS!$A$2:$A$996,PAGOS!$M$2:$M$996,""),""),IFNA(_xlfn.XLOOKUP(A99,PAGOS!$A$2:$A$996,PAGOS!$P$2:$P$996,""),""),IFNA(_xlfn.XLOOKUP(A99,PAGOS!$A$2:$A$996,PAGOS!$S$2:$S$996,""),""),IFNA(_xlfn.XLOOKUP(A99,PAGOS!$A$2:$A$996,PAGOS!$V$2:$V$996,""),""),IFNA(_xlfn.XLOOKUP(A99,PAGOS!$A$2:$A$996,PAGOS!$Y$2:$Y$996,""),""),IFNA(_xlfn.XLOOKUP(A99,PAGOS!$A$2:$A$996,PAGOS!$AB$2:$AB$996,""),""),IFNA(_xlfn.XLOOKUP(A99,PAGOS!$A$2:$A$996,PAGOS!$AE$2:$AE$996,""),""),IFNA(_xlfn.XLOOKUP(A99,PAGOS!$A$2:$A$996,PAGOS!$AH$2:$AH$996,""),""),IFNA(_xlfn.XLOOKUP(A99,PAGOS!$A$2:$A$996,PAGOS!$AK$2:$AK$996,""),"")),IF(abonos&gt;0,abonos,pago)))</f>
        <v/>
      </c>
      <c r="E99" s="51" t="str">
        <f>IFERROR(__xludf.DUMMYFUNCTION("IF(A99="""","""",LET(mes,DATE($E$2,MATCH($B$2,'ESTADO CONTABLE'!$A$5:$A$16,0),1),abonos,SUMIFS('ABONOS MENSUALIDADES'!$F$5:$F$500,'ABONOS MENSUALIDADES'!$C$5:$C$500,A99,'ABONOS MENSUALIDADES'!$D$5:$D$500,mes),metodoDirecto,CHOOSE(MATCH($B$2,'ESTADO CONTAB"&amp;"LE'!$A$5:$A$16,0),IF(ISNUMBER(D99),""POR CLASIFICAR"",""""),IFNA(XLOOKUP(A99,PAGOS!$A$2:$A$996,PAGOS!$H$2:$H$996,""""),""""),IFNA(XLOOKUP(A99,PAGOS!$A$2:$A$996,PAGOS!$K$2:$K$996,""""),""""),IFNA(XLOOKUP(A99,PAGOS!$A$2:$A$996,PAGOS!$N$2:$N$996,""""),""""),"&amp;"IFNA(XLOOKUP(A99,PAGOS!$A$2:$A$996,PAGOS!$Q$2:$Q$996,""""),""""),IFNA(XLOOKUP(A99,PAGOS!$A$2:$A$996,PAGOS!$T$2:$T$996,""""),""""),IFNA(XLOOKUP(A99,PAGOS!$A$2:$A$996,PAGOS!$W$2:$W$996,""""),""""),IFNA(XLOOKUP(A99,PAGOS!$A$2:$A$996,PAGOS!$Z$2:$Z$996,""""),"&amp;"""""),IFNA(XLOOKUP(A99,PAGOS!$A$2:$A$996,PAGOS!$AC$2:$AC$996,""""),""""),IFNA(XLOOKUP(A99,PAGOS!$A$2:$A$996,PAGOS!$AF$2:$AF$996,""""),""""),IFNA(XLOOKUP(A99,PAGOS!$A$2:$A$996,PAGOS!$AI$2:$AI$996,""""),""""),IFNA(XLOOKUP(A99,PAGOS!$A$2:$A$996,PAGOS!$AL$2:$"&amp;"AL$996,""""),"""")),IF(abonos&gt;0,IFERROR(TEXTJOIN("" + "",TRUE,UNIQUE(FILTER('ABONOS MENSUALIDADES'!$E$5:$E$500,'ABONOS MENSUALIDADES'!$C$5:$C$500=A99,'ABONOS MENSUALIDADES'!$D$5:$D$500=mes))),""""),metodoDirecto)))"),"")</f>
        <v/>
      </c>
      <c r="F99" s="51" t="str">
        <f t="array" ref="F99">IF(A99="","",LET(mes,DATE($E$2,MATCH($B$2,'ESTADO CONTABLE'!$A$5:$A$16,0),1),cobrarDesde,IFERROR(INDEX('BASE DE DATOSS'!I:I,ROW()-13),""),pausada,SUMPRODUCT((UPPER(TRIM('PAUSAS MENSUALIDADES'!$A$5:$A$500))=UPPER(TRIM(A99)))*('PAUSAS MENSUALIDADES'!$B$5:$B$500=mes)*(UPPER(TRIM('PAUSAS MENSUALIDADES'!$D$5:$D$500))="APLICAR"))&gt;0,abonoActivo,SUMIFS('ABONOS MENSUALIDADES'!$F$5:$F$500,'ABONOS MENSUALIDADES'!$C$5:$C$500,A99,'ABONOS MENSUALIDADES'!$D$5:$D$500,mes,'ABONOS MENSUALIDADES'!$G$5:$G$500,"&lt;&gt;*CONSOLIDADO EN PAGOS*")&gt;0,esperadaBruta,MAX(IFNA(VLOOKUP(B99,COSTOS!$A$3:$B$13,2,FALSE),0)-150,0),IF(AND(cobrarDesde&lt;&gt;"",mes&lt;cobrarDesde),"AÚN NO INICIA",IF(pausada,"PAUSADA",IF(AND(abonoActivo,COUNTIFS('ABONOS MENSUALIDADES'!$C$5:$C$500,A99,'ABONOS MENSUALIDADES'!$D$5:$D$500,mes,'ABONOS MENSUALIDADES'!$G$5:$G$500,"*MENSUALIDAD LIQUIDADA*")=0),"ABONO",IF(N(D99)&gt;=esperadaBruta,"COBRADA",IF(N(D99)&gt;0,"ABONO","PENDIENTE")))))))</f>
        <v/>
      </c>
      <c r="G99" s="79" t="str">
        <f t="array" ref="G99">IF(A99="","",IFERROR(INDEX('BASE DE DATOSS'!I:I,ROW()-13),""))</f>
        <v/>
      </c>
    </row>
    <row r="100">
      <c r="A100" s="51" t="str">
        <f t="array" ref="A100">IFERROR(INDEX('BASE DE DATOSS'!A:A,ROW()-13),"")</f>
        <v/>
      </c>
      <c r="B100" s="51" t="str">
        <f t="array" ref="B100">IF(A100="","",IFERROR(INDEX('BASE DE DATOSS'!C:C,ROW()-13),""))</f>
        <v/>
      </c>
      <c r="C100" s="62" t="str">
        <f t="array" ref="C100">IF(A100="","",LET(mes,DATE($E$2,MATCH($B$2,'ESTADO CONTABLE'!$A$5:$A$16,0),1),cobrarDesde,IFERROR(INDEX('BASE DE DATOSS'!I:I,ROW()-13),""),pausada,SUMPRODUCT((UPPER(TRIM('PAUSAS MENSUALIDADES'!$A$5:$A$500))=UPPER(TRIM(A100)))*('PAUSAS MENSUALIDADES'!$B$5:$B$500=mes)*(UPPER(TRIM('PAUSAS MENSUALIDADES'!$D$5:$D$500))="APLICAR"))&gt;0,IF(OR(AND(cobrarDesde&lt;&gt;"",mes&lt;cobrarDesde),pausada),0,MAX(IFNA(VLOOKUP(B100,COSTOS!$A$3:$B$13,2,FALSE),0)-150,0)/1.16)))</f>
        <v/>
      </c>
      <c r="D100" s="62" t="str">
        <f t="array" ref="D100">IF(A100="","",LET(mes,DATE($E$2,MATCH($B$2,'ESTADO CONTABLE'!$A$5:$A$16,0),1),abonos,SUMIFS('ABONOS MENSUALIDADES'!$F$5:$F$500,'ABONOS MENSUALIDADES'!$C$5:$C$500,A100,'ABONOS MENSUALIDADES'!$D$5:$D$500,mes),pago,CHOOSE(MATCH($B$2,'ESTADO CONTABLE'!$A$5:$A$16,0),IFNA(_xlfn.XLOOKUP(A100,PAGOS!$A$2:$A$996,PAGOS!$E$2:$E$996,""),""),IFNA(_xlfn.XLOOKUP(A100,PAGOS!$A$2:$A$996,PAGOS!$G$2:$G$996,""),""),IFNA(_xlfn.XLOOKUP(A100,PAGOS!$A$2:$A$996,PAGOS!$J$2:$J$996,""),""),IFNA(_xlfn.XLOOKUP(A100,PAGOS!$A$2:$A$996,PAGOS!$M$2:$M$996,""),""),IFNA(_xlfn.XLOOKUP(A100,PAGOS!$A$2:$A$996,PAGOS!$P$2:$P$996,""),""),IFNA(_xlfn.XLOOKUP(A100,PAGOS!$A$2:$A$996,PAGOS!$S$2:$S$996,""),""),IFNA(_xlfn.XLOOKUP(A100,PAGOS!$A$2:$A$996,PAGOS!$V$2:$V$996,""),""),IFNA(_xlfn.XLOOKUP(A100,PAGOS!$A$2:$A$996,PAGOS!$Y$2:$Y$996,""),""),IFNA(_xlfn.XLOOKUP(A100,PAGOS!$A$2:$A$996,PAGOS!$AB$2:$AB$996,""),""),IFNA(_xlfn.XLOOKUP(A100,PAGOS!$A$2:$A$996,PAGOS!$AE$2:$AE$996,""),""),IFNA(_xlfn.XLOOKUP(A100,PAGOS!$A$2:$A$996,PAGOS!$AH$2:$AH$996,""),""),IFNA(_xlfn.XLOOKUP(A100,PAGOS!$A$2:$A$996,PAGOS!$AK$2:$AK$996,""),"")),IF(abonos&gt;0,abonos,pago)))</f>
        <v/>
      </c>
      <c r="E100" s="51" t="str">
        <f>IFERROR(__xludf.DUMMYFUNCTION("IF(A100="""","""",LET(mes,DATE($E$2,MATCH($B$2,'ESTADO CONTABLE'!$A$5:$A$16,0),1),abonos,SUMIFS('ABONOS MENSUALIDADES'!$F$5:$F$500,'ABONOS MENSUALIDADES'!$C$5:$C$500,A100,'ABONOS MENSUALIDADES'!$D$5:$D$500,mes),metodoDirecto,CHOOSE(MATCH($B$2,'ESTADO CONT"&amp;"ABLE'!$A$5:$A$16,0),IF(ISNUMBER(D100),""POR CLASIFICAR"",""""),IFNA(XLOOKUP(A100,PAGOS!$A$2:$A$996,PAGOS!$H$2:$H$996,""""),""""),IFNA(XLOOKUP(A100,PAGOS!$A$2:$A$996,PAGOS!$K$2:$K$996,""""),""""),IFNA(XLOOKUP(A100,PAGOS!$A$2:$A$996,PAGOS!$N$2:$N$996,""""),"&amp;"""""),IFNA(XLOOKUP(A100,PAGOS!$A$2:$A$996,PAGOS!$Q$2:$Q$996,""""),""""),IFNA(XLOOKUP(A100,PAGOS!$A$2:$A$996,PAGOS!$T$2:$T$996,""""),""""),IFNA(XLOOKUP(A100,PAGOS!$A$2:$A$996,PAGOS!$W$2:$W$996,""""),""""),IFNA(XLOOKUP(A100,PAGOS!$A$2:$A$996,PAGOS!$Z$2:$Z$9"&amp;"96,""""),""""),IFNA(XLOOKUP(A100,PAGOS!$A$2:$A$996,PAGOS!$AC$2:$AC$996,""""),""""),IFNA(XLOOKUP(A100,PAGOS!$A$2:$A$996,PAGOS!$AF$2:$AF$996,""""),""""),IFNA(XLOOKUP(A100,PAGOS!$A$2:$A$996,PAGOS!$AI$2:$AI$996,""""),""""),IFNA(XLOOKUP(A100,PAGOS!$A$2:$A$996,"&amp;"PAGOS!$AL$2:$AL$996,""""),"""")),IF(abonos&gt;0,IFERROR(TEXTJOIN("" + "",TRUE,UNIQUE(FILTER('ABONOS MENSUALIDADES'!$E$5:$E$500,'ABONOS MENSUALIDADES'!$C$5:$C$500=A100,'ABONOS MENSUALIDADES'!$D$5:$D$500=mes))),""""),metodoDirecto)))"),"")</f>
        <v/>
      </c>
      <c r="F100" s="51" t="str">
        <f t="array" ref="F100">IF(A100="","",LET(mes,DATE($E$2,MATCH($B$2,'ESTADO CONTABLE'!$A$5:$A$16,0),1),cobrarDesde,IFERROR(INDEX('BASE DE DATOSS'!I:I,ROW()-13),""),pausada,SUMPRODUCT((UPPER(TRIM('PAUSAS MENSUALIDADES'!$A$5:$A$500))=UPPER(TRIM(A100)))*('PAUSAS MENSUALIDADES'!$B$5:$B$500=mes)*(UPPER(TRIM('PAUSAS MENSUALIDADES'!$D$5:$D$500))="APLICAR"))&gt;0,abonoActivo,SUMIFS('ABONOS MENSUALIDADES'!$F$5:$F$500,'ABONOS MENSUALIDADES'!$C$5:$C$500,A100,'ABONOS MENSUALIDADES'!$D$5:$D$500,mes,'ABONOS MENSUALIDADES'!$G$5:$G$500,"&lt;&gt;*CONSOLIDADO EN PAGOS*")&gt;0,esperadaBruta,MAX(IFNA(VLOOKUP(B100,COSTOS!$A$3:$B$13,2,FALSE),0)-150,0),IF(AND(cobrarDesde&lt;&gt;"",mes&lt;cobrarDesde),"AÚN NO INICIA",IF(pausada,"PAUSADA",IF(AND(abonoActivo,COUNTIFS('ABONOS MENSUALIDADES'!$C$5:$C$500,A100,'ABONOS MENSUALIDADES'!$D$5:$D$500,mes,'ABONOS MENSUALIDADES'!$G$5:$G$500,"*MENSUALIDAD LIQUIDADA*")=0),"ABONO",IF(N(D100)&gt;=esperadaBruta,"COBRADA",IF(N(D100)&gt;0,"ABONO","PENDIENTE")))))))</f>
        <v/>
      </c>
      <c r="G100" s="79" t="str">
        <f t="array" ref="G100">IF(A100="","",IFERROR(INDEX('BASE DE DATOSS'!I:I,ROW()-13),""))</f>
        <v/>
      </c>
    </row>
    <row r="101">
      <c r="A101" s="51" t="str">
        <f t="array" ref="A101">IFERROR(INDEX('BASE DE DATOSS'!A:A,ROW()-13),"")</f>
        <v/>
      </c>
      <c r="B101" s="51" t="str">
        <f t="array" ref="B101">IF(A101="","",IFERROR(INDEX('BASE DE DATOSS'!C:C,ROW()-13),""))</f>
        <v/>
      </c>
      <c r="C101" s="62" t="str">
        <f t="array" ref="C101">IF(A101="","",LET(mes,DATE($E$2,MATCH($B$2,'ESTADO CONTABLE'!$A$5:$A$16,0),1),cobrarDesde,IFERROR(INDEX('BASE DE DATOSS'!I:I,ROW()-13),""),pausada,SUMPRODUCT((UPPER(TRIM('PAUSAS MENSUALIDADES'!$A$5:$A$500))=UPPER(TRIM(A101)))*('PAUSAS MENSUALIDADES'!$B$5:$B$500=mes)*(UPPER(TRIM('PAUSAS MENSUALIDADES'!$D$5:$D$500))="APLICAR"))&gt;0,IF(OR(AND(cobrarDesde&lt;&gt;"",mes&lt;cobrarDesde),pausada),0,MAX(IFNA(VLOOKUP(B101,COSTOS!$A$3:$B$13,2,FALSE),0)-150,0)/1.16)))</f>
        <v/>
      </c>
      <c r="D101" s="62" t="str">
        <f t="array" ref="D101">IF(A101="","",LET(mes,DATE($E$2,MATCH($B$2,'ESTADO CONTABLE'!$A$5:$A$16,0),1),abonos,SUMIFS('ABONOS MENSUALIDADES'!$F$5:$F$500,'ABONOS MENSUALIDADES'!$C$5:$C$500,A101,'ABONOS MENSUALIDADES'!$D$5:$D$500,mes),pago,CHOOSE(MATCH($B$2,'ESTADO CONTABLE'!$A$5:$A$16,0),IFNA(_xlfn.XLOOKUP(A101,PAGOS!$A$2:$A$996,PAGOS!$E$2:$E$996,""),""),IFNA(_xlfn.XLOOKUP(A101,PAGOS!$A$2:$A$996,PAGOS!$G$2:$G$996,""),""),IFNA(_xlfn.XLOOKUP(A101,PAGOS!$A$2:$A$996,PAGOS!$J$2:$J$996,""),""),IFNA(_xlfn.XLOOKUP(A101,PAGOS!$A$2:$A$996,PAGOS!$M$2:$M$996,""),""),IFNA(_xlfn.XLOOKUP(A101,PAGOS!$A$2:$A$996,PAGOS!$P$2:$P$996,""),""),IFNA(_xlfn.XLOOKUP(A101,PAGOS!$A$2:$A$996,PAGOS!$S$2:$S$996,""),""),IFNA(_xlfn.XLOOKUP(A101,PAGOS!$A$2:$A$996,PAGOS!$V$2:$V$996,""),""),IFNA(_xlfn.XLOOKUP(A101,PAGOS!$A$2:$A$996,PAGOS!$Y$2:$Y$996,""),""),IFNA(_xlfn.XLOOKUP(A101,PAGOS!$A$2:$A$996,PAGOS!$AB$2:$AB$996,""),""),IFNA(_xlfn.XLOOKUP(A101,PAGOS!$A$2:$A$996,PAGOS!$AE$2:$AE$996,""),""),IFNA(_xlfn.XLOOKUP(A101,PAGOS!$A$2:$A$996,PAGOS!$AH$2:$AH$996,""),""),IFNA(_xlfn.XLOOKUP(A101,PAGOS!$A$2:$A$996,PAGOS!$AK$2:$AK$996,""),"")),IF(abonos&gt;0,abonos,pago)))</f>
        <v/>
      </c>
      <c r="E101" s="51" t="str">
        <f>IFERROR(__xludf.DUMMYFUNCTION("IF(A101="""","""",LET(mes,DATE($E$2,MATCH($B$2,'ESTADO CONTABLE'!$A$5:$A$16,0),1),abonos,SUMIFS('ABONOS MENSUALIDADES'!$F$5:$F$500,'ABONOS MENSUALIDADES'!$C$5:$C$500,A101,'ABONOS MENSUALIDADES'!$D$5:$D$500,mes),metodoDirecto,CHOOSE(MATCH($B$2,'ESTADO CONT"&amp;"ABLE'!$A$5:$A$16,0),IF(ISNUMBER(D101),""POR CLASIFICAR"",""""),IFNA(XLOOKUP(A101,PAGOS!$A$2:$A$996,PAGOS!$H$2:$H$996,""""),""""),IFNA(XLOOKUP(A101,PAGOS!$A$2:$A$996,PAGOS!$K$2:$K$996,""""),""""),IFNA(XLOOKUP(A101,PAGOS!$A$2:$A$996,PAGOS!$N$2:$N$996,""""),"&amp;"""""),IFNA(XLOOKUP(A101,PAGOS!$A$2:$A$996,PAGOS!$Q$2:$Q$996,""""),""""),IFNA(XLOOKUP(A101,PAGOS!$A$2:$A$996,PAGOS!$T$2:$T$996,""""),""""),IFNA(XLOOKUP(A101,PAGOS!$A$2:$A$996,PAGOS!$W$2:$W$996,""""),""""),IFNA(XLOOKUP(A101,PAGOS!$A$2:$A$996,PAGOS!$Z$2:$Z$9"&amp;"96,""""),""""),IFNA(XLOOKUP(A101,PAGOS!$A$2:$A$996,PAGOS!$AC$2:$AC$996,""""),""""),IFNA(XLOOKUP(A101,PAGOS!$A$2:$A$996,PAGOS!$AF$2:$AF$996,""""),""""),IFNA(XLOOKUP(A101,PAGOS!$A$2:$A$996,PAGOS!$AI$2:$AI$996,""""),""""),IFNA(XLOOKUP(A101,PAGOS!$A$2:$A$996,"&amp;"PAGOS!$AL$2:$AL$996,""""),"""")),IF(abonos&gt;0,IFERROR(TEXTJOIN("" + "",TRUE,UNIQUE(FILTER('ABONOS MENSUALIDADES'!$E$5:$E$500,'ABONOS MENSUALIDADES'!$C$5:$C$500=A101,'ABONOS MENSUALIDADES'!$D$5:$D$500=mes))),""""),metodoDirecto)))"),"")</f>
        <v/>
      </c>
      <c r="F101" s="51" t="str">
        <f t="array" ref="F101">IF(A101="","",LET(mes,DATE($E$2,MATCH($B$2,'ESTADO CONTABLE'!$A$5:$A$16,0),1),cobrarDesde,IFERROR(INDEX('BASE DE DATOSS'!I:I,ROW()-13),""),pausada,SUMPRODUCT((UPPER(TRIM('PAUSAS MENSUALIDADES'!$A$5:$A$500))=UPPER(TRIM(A101)))*('PAUSAS MENSUALIDADES'!$B$5:$B$500=mes)*(UPPER(TRIM('PAUSAS MENSUALIDADES'!$D$5:$D$500))="APLICAR"))&gt;0,abonoActivo,SUMIFS('ABONOS MENSUALIDADES'!$F$5:$F$500,'ABONOS MENSUALIDADES'!$C$5:$C$500,A101,'ABONOS MENSUALIDADES'!$D$5:$D$500,mes,'ABONOS MENSUALIDADES'!$G$5:$G$500,"&lt;&gt;*CONSOLIDADO EN PAGOS*")&gt;0,esperadaBruta,MAX(IFNA(VLOOKUP(B101,COSTOS!$A$3:$B$13,2,FALSE),0)-150,0),IF(AND(cobrarDesde&lt;&gt;"",mes&lt;cobrarDesde),"AÚN NO INICIA",IF(pausada,"PAUSADA",IF(AND(abonoActivo,COUNTIFS('ABONOS MENSUALIDADES'!$C$5:$C$500,A101,'ABONOS MENSUALIDADES'!$D$5:$D$500,mes,'ABONOS MENSUALIDADES'!$G$5:$G$500,"*MENSUALIDAD LIQUIDADA*")=0),"ABONO",IF(N(D101)&gt;=esperadaBruta,"COBRADA",IF(N(D101)&gt;0,"ABONO","PENDIENTE")))))))</f>
        <v/>
      </c>
      <c r="G101" s="79" t="str">
        <f t="array" ref="G101">IF(A101="","",IFERROR(INDEX('BASE DE DATOSS'!I:I,ROW()-13),""))</f>
        <v/>
      </c>
    </row>
    <row r="102">
      <c r="A102" s="51" t="str">
        <f t="array" ref="A102">IFERROR(INDEX('BASE DE DATOSS'!A:A,ROW()-13),"")</f>
        <v/>
      </c>
      <c r="B102" s="51" t="str">
        <f t="array" ref="B102">IF(A102="","",IFERROR(INDEX('BASE DE DATOSS'!C:C,ROW()-13),""))</f>
        <v/>
      </c>
      <c r="C102" s="62" t="str">
        <f t="array" ref="C102">IF(A102="","",LET(mes,DATE($E$2,MATCH($B$2,'ESTADO CONTABLE'!$A$5:$A$16,0),1),cobrarDesde,IFERROR(INDEX('BASE DE DATOSS'!I:I,ROW()-13),""),pausada,SUMPRODUCT((UPPER(TRIM('PAUSAS MENSUALIDADES'!$A$5:$A$500))=UPPER(TRIM(A102)))*('PAUSAS MENSUALIDADES'!$B$5:$B$500=mes)*(UPPER(TRIM('PAUSAS MENSUALIDADES'!$D$5:$D$500))="APLICAR"))&gt;0,IF(OR(AND(cobrarDesde&lt;&gt;"",mes&lt;cobrarDesde),pausada),0,MAX(IFNA(VLOOKUP(B102,COSTOS!$A$3:$B$13,2,FALSE),0)-150,0)/1.16)))</f>
        <v/>
      </c>
      <c r="D102" s="62" t="str">
        <f t="array" ref="D102">IF(A102="","",LET(mes,DATE($E$2,MATCH($B$2,'ESTADO CONTABLE'!$A$5:$A$16,0),1),abonos,SUMIFS('ABONOS MENSUALIDADES'!$F$5:$F$500,'ABONOS MENSUALIDADES'!$C$5:$C$500,A102,'ABONOS MENSUALIDADES'!$D$5:$D$500,mes),pago,CHOOSE(MATCH($B$2,'ESTADO CONTABLE'!$A$5:$A$16,0),IFNA(_xlfn.XLOOKUP(A102,PAGOS!$A$2:$A$996,PAGOS!$E$2:$E$996,""),""),IFNA(_xlfn.XLOOKUP(A102,PAGOS!$A$2:$A$996,PAGOS!$G$2:$G$996,""),""),IFNA(_xlfn.XLOOKUP(A102,PAGOS!$A$2:$A$996,PAGOS!$J$2:$J$996,""),""),IFNA(_xlfn.XLOOKUP(A102,PAGOS!$A$2:$A$996,PAGOS!$M$2:$M$996,""),""),IFNA(_xlfn.XLOOKUP(A102,PAGOS!$A$2:$A$996,PAGOS!$P$2:$P$996,""),""),IFNA(_xlfn.XLOOKUP(A102,PAGOS!$A$2:$A$996,PAGOS!$S$2:$S$996,""),""),IFNA(_xlfn.XLOOKUP(A102,PAGOS!$A$2:$A$996,PAGOS!$V$2:$V$996,""),""),IFNA(_xlfn.XLOOKUP(A102,PAGOS!$A$2:$A$996,PAGOS!$Y$2:$Y$996,""),""),IFNA(_xlfn.XLOOKUP(A102,PAGOS!$A$2:$A$996,PAGOS!$AB$2:$AB$996,""),""),IFNA(_xlfn.XLOOKUP(A102,PAGOS!$A$2:$A$996,PAGOS!$AE$2:$AE$996,""),""),IFNA(_xlfn.XLOOKUP(A102,PAGOS!$A$2:$A$996,PAGOS!$AH$2:$AH$996,""),""),IFNA(_xlfn.XLOOKUP(A102,PAGOS!$A$2:$A$996,PAGOS!$AK$2:$AK$996,""),"")),IF(abonos&gt;0,abonos,pago)))</f>
        <v/>
      </c>
      <c r="E102" s="51" t="str">
        <f>IFERROR(__xludf.DUMMYFUNCTION("IF(A102="""","""",LET(mes,DATE($E$2,MATCH($B$2,'ESTADO CONTABLE'!$A$5:$A$16,0),1),abonos,SUMIFS('ABONOS MENSUALIDADES'!$F$5:$F$500,'ABONOS MENSUALIDADES'!$C$5:$C$500,A102,'ABONOS MENSUALIDADES'!$D$5:$D$500,mes),metodoDirecto,CHOOSE(MATCH($B$2,'ESTADO CONT"&amp;"ABLE'!$A$5:$A$16,0),IF(ISNUMBER(D102),""POR CLASIFICAR"",""""),IFNA(XLOOKUP(A102,PAGOS!$A$2:$A$996,PAGOS!$H$2:$H$996,""""),""""),IFNA(XLOOKUP(A102,PAGOS!$A$2:$A$996,PAGOS!$K$2:$K$996,""""),""""),IFNA(XLOOKUP(A102,PAGOS!$A$2:$A$996,PAGOS!$N$2:$N$996,""""),"&amp;"""""),IFNA(XLOOKUP(A102,PAGOS!$A$2:$A$996,PAGOS!$Q$2:$Q$996,""""),""""),IFNA(XLOOKUP(A102,PAGOS!$A$2:$A$996,PAGOS!$T$2:$T$996,""""),""""),IFNA(XLOOKUP(A102,PAGOS!$A$2:$A$996,PAGOS!$W$2:$W$996,""""),""""),IFNA(XLOOKUP(A102,PAGOS!$A$2:$A$996,PAGOS!$Z$2:$Z$9"&amp;"96,""""),""""),IFNA(XLOOKUP(A102,PAGOS!$A$2:$A$996,PAGOS!$AC$2:$AC$996,""""),""""),IFNA(XLOOKUP(A102,PAGOS!$A$2:$A$996,PAGOS!$AF$2:$AF$996,""""),""""),IFNA(XLOOKUP(A102,PAGOS!$A$2:$A$996,PAGOS!$AI$2:$AI$996,""""),""""),IFNA(XLOOKUP(A102,PAGOS!$A$2:$A$996,"&amp;"PAGOS!$AL$2:$AL$996,""""),"""")),IF(abonos&gt;0,IFERROR(TEXTJOIN("" + "",TRUE,UNIQUE(FILTER('ABONOS MENSUALIDADES'!$E$5:$E$500,'ABONOS MENSUALIDADES'!$C$5:$C$500=A102,'ABONOS MENSUALIDADES'!$D$5:$D$500=mes))),""""),metodoDirecto)))"),"")</f>
        <v/>
      </c>
      <c r="F102" s="51" t="str">
        <f t="array" ref="F102">IF(A102="","",LET(mes,DATE($E$2,MATCH($B$2,'ESTADO CONTABLE'!$A$5:$A$16,0),1),cobrarDesde,IFERROR(INDEX('BASE DE DATOSS'!I:I,ROW()-13),""),pausada,SUMPRODUCT((UPPER(TRIM('PAUSAS MENSUALIDADES'!$A$5:$A$500))=UPPER(TRIM(A102)))*('PAUSAS MENSUALIDADES'!$B$5:$B$500=mes)*(UPPER(TRIM('PAUSAS MENSUALIDADES'!$D$5:$D$500))="APLICAR"))&gt;0,abonoActivo,SUMIFS('ABONOS MENSUALIDADES'!$F$5:$F$500,'ABONOS MENSUALIDADES'!$C$5:$C$500,A102,'ABONOS MENSUALIDADES'!$D$5:$D$500,mes,'ABONOS MENSUALIDADES'!$G$5:$G$500,"&lt;&gt;*CONSOLIDADO EN PAGOS*")&gt;0,esperadaBruta,MAX(IFNA(VLOOKUP(B102,COSTOS!$A$3:$B$13,2,FALSE),0)-150,0),IF(AND(cobrarDesde&lt;&gt;"",mes&lt;cobrarDesde),"AÚN NO INICIA",IF(pausada,"PAUSADA",IF(AND(abonoActivo,COUNTIFS('ABONOS MENSUALIDADES'!$C$5:$C$500,A102,'ABONOS MENSUALIDADES'!$D$5:$D$500,mes,'ABONOS MENSUALIDADES'!$G$5:$G$500,"*MENSUALIDAD LIQUIDADA*")=0),"ABONO",IF(N(D102)&gt;=esperadaBruta,"COBRADA",IF(N(D102)&gt;0,"ABONO","PENDIENTE")))))))</f>
        <v/>
      </c>
      <c r="G102" s="79" t="str">
        <f t="array" ref="G102">IF(A102="","",IFERROR(INDEX('BASE DE DATOSS'!I:I,ROW()-13),""))</f>
        <v/>
      </c>
    </row>
    <row r="103">
      <c r="A103" s="51" t="str">
        <f t="array" ref="A103">IFERROR(INDEX('BASE DE DATOSS'!A:A,ROW()-13),"")</f>
        <v/>
      </c>
      <c r="B103" s="51" t="str">
        <f t="array" ref="B103">IF(A103="","",IFERROR(INDEX('BASE DE DATOSS'!C:C,ROW()-13),""))</f>
        <v/>
      </c>
      <c r="C103" s="62" t="str">
        <f t="array" ref="C103">IF(A103="","",LET(mes,DATE($E$2,MATCH($B$2,'ESTADO CONTABLE'!$A$5:$A$16,0),1),cobrarDesde,IFERROR(INDEX('BASE DE DATOSS'!I:I,ROW()-13),""),pausada,SUMPRODUCT((UPPER(TRIM('PAUSAS MENSUALIDADES'!$A$5:$A$500))=UPPER(TRIM(A103)))*('PAUSAS MENSUALIDADES'!$B$5:$B$500=mes)*(UPPER(TRIM('PAUSAS MENSUALIDADES'!$D$5:$D$500))="APLICAR"))&gt;0,IF(OR(AND(cobrarDesde&lt;&gt;"",mes&lt;cobrarDesde),pausada),0,MAX(IFNA(VLOOKUP(B103,COSTOS!$A$3:$B$13,2,FALSE),0)-150,0)/1.16)))</f>
        <v/>
      </c>
      <c r="D103" s="62" t="str">
        <f t="array" ref="D103">IF(A103="","",LET(mes,DATE($E$2,MATCH($B$2,'ESTADO CONTABLE'!$A$5:$A$16,0),1),abonos,SUMIFS('ABONOS MENSUALIDADES'!$F$5:$F$500,'ABONOS MENSUALIDADES'!$C$5:$C$500,A103,'ABONOS MENSUALIDADES'!$D$5:$D$500,mes),pago,CHOOSE(MATCH($B$2,'ESTADO CONTABLE'!$A$5:$A$16,0),IFNA(_xlfn.XLOOKUP(A103,PAGOS!$A$2:$A$996,PAGOS!$E$2:$E$996,""),""),IFNA(_xlfn.XLOOKUP(A103,PAGOS!$A$2:$A$996,PAGOS!$G$2:$G$996,""),""),IFNA(_xlfn.XLOOKUP(A103,PAGOS!$A$2:$A$996,PAGOS!$J$2:$J$996,""),""),IFNA(_xlfn.XLOOKUP(A103,PAGOS!$A$2:$A$996,PAGOS!$M$2:$M$996,""),""),IFNA(_xlfn.XLOOKUP(A103,PAGOS!$A$2:$A$996,PAGOS!$P$2:$P$996,""),""),IFNA(_xlfn.XLOOKUP(A103,PAGOS!$A$2:$A$996,PAGOS!$S$2:$S$996,""),""),IFNA(_xlfn.XLOOKUP(A103,PAGOS!$A$2:$A$996,PAGOS!$V$2:$V$996,""),""),IFNA(_xlfn.XLOOKUP(A103,PAGOS!$A$2:$A$996,PAGOS!$Y$2:$Y$996,""),""),IFNA(_xlfn.XLOOKUP(A103,PAGOS!$A$2:$A$996,PAGOS!$AB$2:$AB$996,""),""),IFNA(_xlfn.XLOOKUP(A103,PAGOS!$A$2:$A$996,PAGOS!$AE$2:$AE$996,""),""),IFNA(_xlfn.XLOOKUP(A103,PAGOS!$A$2:$A$996,PAGOS!$AH$2:$AH$996,""),""),IFNA(_xlfn.XLOOKUP(A103,PAGOS!$A$2:$A$996,PAGOS!$AK$2:$AK$996,""),"")),IF(abonos&gt;0,abonos,pago)))</f>
        <v/>
      </c>
      <c r="E103" s="51" t="str">
        <f>IFERROR(__xludf.DUMMYFUNCTION("IF(A103="""","""",LET(mes,DATE($E$2,MATCH($B$2,'ESTADO CONTABLE'!$A$5:$A$16,0),1),abonos,SUMIFS('ABONOS MENSUALIDADES'!$F$5:$F$500,'ABONOS MENSUALIDADES'!$C$5:$C$500,A103,'ABONOS MENSUALIDADES'!$D$5:$D$500,mes),metodoDirecto,CHOOSE(MATCH($B$2,'ESTADO CONT"&amp;"ABLE'!$A$5:$A$16,0),IF(ISNUMBER(D103),""POR CLASIFICAR"",""""),IFNA(XLOOKUP(A103,PAGOS!$A$2:$A$996,PAGOS!$H$2:$H$996,""""),""""),IFNA(XLOOKUP(A103,PAGOS!$A$2:$A$996,PAGOS!$K$2:$K$996,""""),""""),IFNA(XLOOKUP(A103,PAGOS!$A$2:$A$996,PAGOS!$N$2:$N$996,""""),"&amp;"""""),IFNA(XLOOKUP(A103,PAGOS!$A$2:$A$996,PAGOS!$Q$2:$Q$996,""""),""""),IFNA(XLOOKUP(A103,PAGOS!$A$2:$A$996,PAGOS!$T$2:$T$996,""""),""""),IFNA(XLOOKUP(A103,PAGOS!$A$2:$A$996,PAGOS!$W$2:$W$996,""""),""""),IFNA(XLOOKUP(A103,PAGOS!$A$2:$A$996,PAGOS!$Z$2:$Z$9"&amp;"96,""""),""""),IFNA(XLOOKUP(A103,PAGOS!$A$2:$A$996,PAGOS!$AC$2:$AC$996,""""),""""),IFNA(XLOOKUP(A103,PAGOS!$A$2:$A$996,PAGOS!$AF$2:$AF$996,""""),""""),IFNA(XLOOKUP(A103,PAGOS!$A$2:$A$996,PAGOS!$AI$2:$AI$996,""""),""""),IFNA(XLOOKUP(A103,PAGOS!$A$2:$A$996,"&amp;"PAGOS!$AL$2:$AL$996,""""),"""")),IF(abonos&gt;0,IFERROR(TEXTJOIN("" + "",TRUE,UNIQUE(FILTER('ABONOS MENSUALIDADES'!$E$5:$E$500,'ABONOS MENSUALIDADES'!$C$5:$C$500=A103,'ABONOS MENSUALIDADES'!$D$5:$D$500=mes))),""""),metodoDirecto)))"),"")</f>
        <v/>
      </c>
      <c r="F103" s="51" t="str">
        <f t="array" ref="F103">IF(A103="","",LET(mes,DATE($E$2,MATCH($B$2,'ESTADO CONTABLE'!$A$5:$A$16,0),1),cobrarDesde,IFERROR(INDEX('BASE DE DATOSS'!I:I,ROW()-13),""),pausada,SUMPRODUCT((UPPER(TRIM('PAUSAS MENSUALIDADES'!$A$5:$A$500))=UPPER(TRIM(A103)))*('PAUSAS MENSUALIDADES'!$B$5:$B$500=mes)*(UPPER(TRIM('PAUSAS MENSUALIDADES'!$D$5:$D$500))="APLICAR"))&gt;0,abonoActivo,SUMIFS('ABONOS MENSUALIDADES'!$F$5:$F$500,'ABONOS MENSUALIDADES'!$C$5:$C$500,A103,'ABONOS MENSUALIDADES'!$D$5:$D$500,mes,'ABONOS MENSUALIDADES'!$G$5:$G$500,"&lt;&gt;*CONSOLIDADO EN PAGOS*")&gt;0,esperadaBruta,MAX(IFNA(VLOOKUP(B103,COSTOS!$A$3:$B$13,2,FALSE),0)-150,0),IF(AND(cobrarDesde&lt;&gt;"",mes&lt;cobrarDesde),"AÚN NO INICIA",IF(pausada,"PAUSADA",IF(AND(abonoActivo,COUNTIFS('ABONOS MENSUALIDADES'!$C$5:$C$500,A103,'ABONOS MENSUALIDADES'!$D$5:$D$500,mes,'ABONOS MENSUALIDADES'!$G$5:$G$500,"*MENSUALIDAD LIQUIDADA*")=0),"ABONO",IF(N(D103)&gt;=esperadaBruta,"COBRADA",IF(N(D103)&gt;0,"ABONO","PENDIENTE")))))))</f>
        <v/>
      </c>
      <c r="G103" s="79" t="str">
        <f t="array" ref="G103">IF(A103="","",IFERROR(INDEX('BASE DE DATOSS'!I:I,ROW()-13),""))</f>
        <v/>
      </c>
    </row>
    <row r="104">
      <c r="A104" s="51" t="str">
        <f t="array" ref="A104">IFERROR(INDEX('BASE DE DATOSS'!A:A,ROW()-13),"")</f>
        <v/>
      </c>
      <c r="B104" s="51" t="str">
        <f t="array" ref="B104">IF(A104="","",IFERROR(INDEX('BASE DE DATOSS'!C:C,ROW()-13),""))</f>
        <v/>
      </c>
      <c r="C104" s="62" t="str">
        <f t="array" ref="C104">IF(A104="","",LET(mes,DATE($E$2,MATCH($B$2,'ESTADO CONTABLE'!$A$5:$A$16,0),1),cobrarDesde,IFERROR(INDEX('BASE DE DATOSS'!I:I,ROW()-13),""),pausada,SUMPRODUCT((UPPER(TRIM('PAUSAS MENSUALIDADES'!$A$5:$A$500))=UPPER(TRIM(A104)))*('PAUSAS MENSUALIDADES'!$B$5:$B$500=mes)*(UPPER(TRIM('PAUSAS MENSUALIDADES'!$D$5:$D$500))="APLICAR"))&gt;0,IF(OR(AND(cobrarDesde&lt;&gt;"",mes&lt;cobrarDesde),pausada),0,MAX(IFNA(VLOOKUP(B104,COSTOS!$A$3:$B$13,2,FALSE),0)-150,0)/1.16)))</f>
        <v/>
      </c>
      <c r="D104" s="62" t="str">
        <f t="array" ref="D104">IF(A104="","",LET(mes,DATE($E$2,MATCH($B$2,'ESTADO CONTABLE'!$A$5:$A$16,0),1),abonos,SUMIFS('ABONOS MENSUALIDADES'!$F$5:$F$500,'ABONOS MENSUALIDADES'!$C$5:$C$500,A104,'ABONOS MENSUALIDADES'!$D$5:$D$500,mes),pago,CHOOSE(MATCH($B$2,'ESTADO CONTABLE'!$A$5:$A$16,0),IFNA(_xlfn.XLOOKUP(A104,PAGOS!$A$2:$A$996,PAGOS!$E$2:$E$996,""),""),IFNA(_xlfn.XLOOKUP(A104,PAGOS!$A$2:$A$996,PAGOS!$G$2:$G$996,""),""),IFNA(_xlfn.XLOOKUP(A104,PAGOS!$A$2:$A$996,PAGOS!$J$2:$J$996,""),""),IFNA(_xlfn.XLOOKUP(A104,PAGOS!$A$2:$A$996,PAGOS!$M$2:$M$996,""),""),IFNA(_xlfn.XLOOKUP(A104,PAGOS!$A$2:$A$996,PAGOS!$P$2:$P$996,""),""),IFNA(_xlfn.XLOOKUP(A104,PAGOS!$A$2:$A$996,PAGOS!$S$2:$S$996,""),""),IFNA(_xlfn.XLOOKUP(A104,PAGOS!$A$2:$A$996,PAGOS!$V$2:$V$996,""),""),IFNA(_xlfn.XLOOKUP(A104,PAGOS!$A$2:$A$996,PAGOS!$Y$2:$Y$996,""),""),IFNA(_xlfn.XLOOKUP(A104,PAGOS!$A$2:$A$996,PAGOS!$AB$2:$AB$996,""),""),IFNA(_xlfn.XLOOKUP(A104,PAGOS!$A$2:$A$996,PAGOS!$AE$2:$AE$996,""),""),IFNA(_xlfn.XLOOKUP(A104,PAGOS!$A$2:$A$996,PAGOS!$AH$2:$AH$996,""),""),IFNA(_xlfn.XLOOKUP(A104,PAGOS!$A$2:$A$996,PAGOS!$AK$2:$AK$996,""),"")),IF(abonos&gt;0,abonos,pago)))</f>
        <v/>
      </c>
      <c r="E104" s="51" t="str">
        <f>IFERROR(__xludf.DUMMYFUNCTION("IF(A104="""","""",LET(mes,DATE($E$2,MATCH($B$2,'ESTADO CONTABLE'!$A$5:$A$16,0),1),abonos,SUMIFS('ABONOS MENSUALIDADES'!$F$5:$F$500,'ABONOS MENSUALIDADES'!$C$5:$C$500,A104,'ABONOS MENSUALIDADES'!$D$5:$D$500,mes),metodoDirecto,CHOOSE(MATCH($B$2,'ESTADO CONT"&amp;"ABLE'!$A$5:$A$16,0),IF(ISNUMBER(D104),""POR CLASIFICAR"",""""),IFNA(XLOOKUP(A104,PAGOS!$A$2:$A$996,PAGOS!$H$2:$H$996,""""),""""),IFNA(XLOOKUP(A104,PAGOS!$A$2:$A$996,PAGOS!$K$2:$K$996,""""),""""),IFNA(XLOOKUP(A104,PAGOS!$A$2:$A$996,PAGOS!$N$2:$N$996,""""),"&amp;"""""),IFNA(XLOOKUP(A104,PAGOS!$A$2:$A$996,PAGOS!$Q$2:$Q$996,""""),""""),IFNA(XLOOKUP(A104,PAGOS!$A$2:$A$996,PAGOS!$T$2:$T$996,""""),""""),IFNA(XLOOKUP(A104,PAGOS!$A$2:$A$996,PAGOS!$W$2:$W$996,""""),""""),IFNA(XLOOKUP(A104,PAGOS!$A$2:$A$996,PAGOS!$Z$2:$Z$9"&amp;"96,""""),""""),IFNA(XLOOKUP(A104,PAGOS!$A$2:$A$996,PAGOS!$AC$2:$AC$996,""""),""""),IFNA(XLOOKUP(A104,PAGOS!$A$2:$A$996,PAGOS!$AF$2:$AF$996,""""),""""),IFNA(XLOOKUP(A104,PAGOS!$A$2:$A$996,PAGOS!$AI$2:$AI$996,""""),""""),IFNA(XLOOKUP(A104,PAGOS!$A$2:$A$996,"&amp;"PAGOS!$AL$2:$AL$996,""""),"""")),IF(abonos&gt;0,IFERROR(TEXTJOIN("" + "",TRUE,UNIQUE(FILTER('ABONOS MENSUALIDADES'!$E$5:$E$500,'ABONOS MENSUALIDADES'!$C$5:$C$500=A104,'ABONOS MENSUALIDADES'!$D$5:$D$500=mes))),""""),metodoDirecto)))"),"")</f>
        <v/>
      </c>
      <c r="F104" s="51" t="str">
        <f t="array" ref="F104">IF(A104="","",LET(mes,DATE($E$2,MATCH($B$2,'ESTADO CONTABLE'!$A$5:$A$16,0),1),cobrarDesde,IFERROR(INDEX('BASE DE DATOSS'!I:I,ROW()-13),""),pausada,SUMPRODUCT((UPPER(TRIM('PAUSAS MENSUALIDADES'!$A$5:$A$500))=UPPER(TRIM(A104)))*('PAUSAS MENSUALIDADES'!$B$5:$B$500=mes)*(UPPER(TRIM('PAUSAS MENSUALIDADES'!$D$5:$D$500))="APLICAR"))&gt;0,abonoActivo,SUMIFS('ABONOS MENSUALIDADES'!$F$5:$F$500,'ABONOS MENSUALIDADES'!$C$5:$C$500,A104,'ABONOS MENSUALIDADES'!$D$5:$D$500,mes,'ABONOS MENSUALIDADES'!$G$5:$G$500,"&lt;&gt;*CONSOLIDADO EN PAGOS*")&gt;0,esperadaBruta,MAX(IFNA(VLOOKUP(B104,COSTOS!$A$3:$B$13,2,FALSE),0)-150,0),IF(AND(cobrarDesde&lt;&gt;"",mes&lt;cobrarDesde),"AÚN NO INICIA",IF(pausada,"PAUSADA",IF(AND(abonoActivo,COUNTIFS('ABONOS MENSUALIDADES'!$C$5:$C$500,A104,'ABONOS MENSUALIDADES'!$D$5:$D$500,mes,'ABONOS MENSUALIDADES'!$G$5:$G$500,"*MENSUALIDAD LIQUIDADA*")=0),"ABONO",IF(N(D104)&gt;=esperadaBruta,"COBRADA",IF(N(D104)&gt;0,"ABONO","PENDIENTE")))))))</f>
        <v/>
      </c>
      <c r="G104" s="79" t="str">
        <f t="array" ref="G104">IF(A104="","",IFERROR(INDEX('BASE DE DATOSS'!I:I,ROW()-13),""))</f>
        <v/>
      </c>
    </row>
    <row r="105">
      <c r="A105" s="51" t="str">
        <f t="array" ref="A105">IFERROR(INDEX('BASE DE DATOSS'!A:A,ROW()-13),"")</f>
        <v/>
      </c>
      <c r="B105" s="51" t="str">
        <f t="array" ref="B105">IF(A105="","",IFERROR(INDEX('BASE DE DATOSS'!C:C,ROW()-13),""))</f>
        <v/>
      </c>
      <c r="C105" s="62" t="str">
        <f t="array" ref="C105">IF(A105="","",LET(mes,DATE($E$2,MATCH($B$2,'ESTADO CONTABLE'!$A$5:$A$16,0),1),cobrarDesde,IFERROR(INDEX('BASE DE DATOSS'!I:I,ROW()-13),""),pausada,SUMPRODUCT((UPPER(TRIM('PAUSAS MENSUALIDADES'!$A$5:$A$500))=UPPER(TRIM(A105)))*('PAUSAS MENSUALIDADES'!$B$5:$B$500=mes)*(UPPER(TRIM('PAUSAS MENSUALIDADES'!$D$5:$D$500))="APLICAR"))&gt;0,IF(OR(AND(cobrarDesde&lt;&gt;"",mes&lt;cobrarDesde),pausada),0,MAX(IFNA(VLOOKUP(B105,COSTOS!$A$3:$B$13,2,FALSE),0)-150,0)/1.16)))</f>
        <v/>
      </c>
      <c r="D105" s="62" t="str">
        <f t="array" ref="D105">IF(A105="","",LET(mes,DATE($E$2,MATCH($B$2,'ESTADO CONTABLE'!$A$5:$A$16,0),1),abonos,SUMIFS('ABONOS MENSUALIDADES'!$F$5:$F$500,'ABONOS MENSUALIDADES'!$C$5:$C$500,A105,'ABONOS MENSUALIDADES'!$D$5:$D$500,mes),pago,CHOOSE(MATCH($B$2,'ESTADO CONTABLE'!$A$5:$A$16,0),IFNA(_xlfn.XLOOKUP(A105,PAGOS!$A$2:$A$996,PAGOS!$E$2:$E$996,""),""),IFNA(_xlfn.XLOOKUP(A105,PAGOS!$A$2:$A$996,PAGOS!$G$2:$G$996,""),""),IFNA(_xlfn.XLOOKUP(A105,PAGOS!$A$2:$A$996,PAGOS!$J$2:$J$996,""),""),IFNA(_xlfn.XLOOKUP(A105,PAGOS!$A$2:$A$996,PAGOS!$M$2:$M$996,""),""),IFNA(_xlfn.XLOOKUP(A105,PAGOS!$A$2:$A$996,PAGOS!$P$2:$P$996,""),""),IFNA(_xlfn.XLOOKUP(A105,PAGOS!$A$2:$A$996,PAGOS!$S$2:$S$996,""),""),IFNA(_xlfn.XLOOKUP(A105,PAGOS!$A$2:$A$996,PAGOS!$V$2:$V$996,""),""),IFNA(_xlfn.XLOOKUP(A105,PAGOS!$A$2:$A$996,PAGOS!$Y$2:$Y$996,""),""),IFNA(_xlfn.XLOOKUP(A105,PAGOS!$A$2:$A$996,PAGOS!$AB$2:$AB$996,""),""),IFNA(_xlfn.XLOOKUP(A105,PAGOS!$A$2:$A$996,PAGOS!$AE$2:$AE$996,""),""),IFNA(_xlfn.XLOOKUP(A105,PAGOS!$A$2:$A$996,PAGOS!$AH$2:$AH$996,""),""),IFNA(_xlfn.XLOOKUP(A105,PAGOS!$A$2:$A$996,PAGOS!$AK$2:$AK$996,""),"")),IF(abonos&gt;0,abonos,pago)))</f>
        <v/>
      </c>
      <c r="E105" s="51" t="str">
        <f>IFERROR(__xludf.DUMMYFUNCTION("IF(A105="""","""",LET(mes,DATE($E$2,MATCH($B$2,'ESTADO CONTABLE'!$A$5:$A$16,0),1),abonos,SUMIFS('ABONOS MENSUALIDADES'!$F$5:$F$500,'ABONOS MENSUALIDADES'!$C$5:$C$500,A105,'ABONOS MENSUALIDADES'!$D$5:$D$500,mes),metodoDirecto,CHOOSE(MATCH($B$2,'ESTADO CONT"&amp;"ABLE'!$A$5:$A$16,0),IF(ISNUMBER(D105),""POR CLASIFICAR"",""""),IFNA(XLOOKUP(A105,PAGOS!$A$2:$A$996,PAGOS!$H$2:$H$996,""""),""""),IFNA(XLOOKUP(A105,PAGOS!$A$2:$A$996,PAGOS!$K$2:$K$996,""""),""""),IFNA(XLOOKUP(A105,PAGOS!$A$2:$A$996,PAGOS!$N$2:$N$996,""""),"&amp;"""""),IFNA(XLOOKUP(A105,PAGOS!$A$2:$A$996,PAGOS!$Q$2:$Q$996,""""),""""),IFNA(XLOOKUP(A105,PAGOS!$A$2:$A$996,PAGOS!$T$2:$T$996,""""),""""),IFNA(XLOOKUP(A105,PAGOS!$A$2:$A$996,PAGOS!$W$2:$W$996,""""),""""),IFNA(XLOOKUP(A105,PAGOS!$A$2:$A$996,PAGOS!$Z$2:$Z$9"&amp;"96,""""),""""),IFNA(XLOOKUP(A105,PAGOS!$A$2:$A$996,PAGOS!$AC$2:$AC$996,""""),""""),IFNA(XLOOKUP(A105,PAGOS!$A$2:$A$996,PAGOS!$AF$2:$AF$996,""""),""""),IFNA(XLOOKUP(A105,PAGOS!$A$2:$A$996,PAGOS!$AI$2:$AI$996,""""),""""),IFNA(XLOOKUP(A105,PAGOS!$A$2:$A$996,"&amp;"PAGOS!$AL$2:$AL$996,""""),"""")),IF(abonos&gt;0,IFERROR(TEXTJOIN("" + "",TRUE,UNIQUE(FILTER('ABONOS MENSUALIDADES'!$E$5:$E$500,'ABONOS MENSUALIDADES'!$C$5:$C$500=A105,'ABONOS MENSUALIDADES'!$D$5:$D$500=mes))),""""),metodoDirecto)))"),"")</f>
        <v/>
      </c>
      <c r="F105" s="51" t="str">
        <f t="array" ref="F105">IF(A105="","",LET(mes,DATE($E$2,MATCH($B$2,'ESTADO CONTABLE'!$A$5:$A$16,0),1),cobrarDesde,IFERROR(INDEX('BASE DE DATOSS'!I:I,ROW()-13),""),pausada,SUMPRODUCT((UPPER(TRIM('PAUSAS MENSUALIDADES'!$A$5:$A$500))=UPPER(TRIM(A105)))*('PAUSAS MENSUALIDADES'!$B$5:$B$500=mes)*(UPPER(TRIM('PAUSAS MENSUALIDADES'!$D$5:$D$500))="APLICAR"))&gt;0,abonoActivo,SUMIFS('ABONOS MENSUALIDADES'!$F$5:$F$500,'ABONOS MENSUALIDADES'!$C$5:$C$500,A105,'ABONOS MENSUALIDADES'!$D$5:$D$500,mes,'ABONOS MENSUALIDADES'!$G$5:$G$500,"&lt;&gt;*CONSOLIDADO EN PAGOS*")&gt;0,esperadaBruta,MAX(IFNA(VLOOKUP(B105,COSTOS!$A$3:$B$13,2,FALSE),0)-150,0),IF(AND(cobrarDesde&lt;&gt;"",mes&lt;cobrarDesde),"AÚN NO INICIA",IF(pausada,"PAUSADA",IF(AND(abonoActivo,COUNTIFS('ABONOS MENSUALIDADES'!$C$5:$C$500,A105,'ABONOS MENSUALIDADES'!$D$5:$D$500,mes,'ABONOS MENSUALIDADES'!$G$5:$G$500,"*MENSUALIDAD LIQUIDADA*")=0),"ABONO",IF(N(D105)&gt;=esperadaBruta,"COBRADA",IF(N(D105)&gt;0,"ABONO","PENDIENTE")))))))</f>
        <v/>
      </c>
      <c r="G105" s="79" t="str">
        <f t="array" ref="G105">IF(A105="","",IFERROR(INDEX('BASE DE DATOSS'!I:I,ROW()-13),""))</f>
        <v/>
      </c>
    </row>
    <row r="106">
      <c r="A106" s="51" t="str">
        <f t="array" ref="A106">IFERROR(INDEX('BASE DE DATOSS'!A:A,ROW()-13),"")</f>
        <v/>
      </c>
      <c r="B106" s="51" t="str">
        <f t="array" ref="B106">IF(A106="","",IFERROR(INDEX('BASE DE DATOSS'!C:C,ROW()-13),""))</f>
        <v/>
      </c>
      <c r="C106" s="62" t="str">
        <f t="array" ref="C106">IF(A106="","",LET(mes,DATE($E$2,MATCH($B$2,'ESTADO CONTABLE'!$A$5:$A$16,0),1),cobrarDesde,IFERROR(INDEX('BASE DE DATOSS'!I:I,ROW()-13),""),pausada,SUMPRODUCT((UPPER(TRIM('PAUSAS MENSUALIDADES'!$A$5:$A$500))=UPPER(TRIM(A106)))*('PAUSAS MENSUALIDADES'!$B$5:$B$500=mes)*(UPPER(TRIM('PAUSAS MENSUALIDADES'!$D$5:$D$500))="APLICAR"))&gt;0,IF(OR(AND(cobrarDesde&lt;&gt;"",mes&lt;cobrarDesde),pausada),0,MAX(IFNA(VLOOKUP(B106,COSTOS!$A$3:$B$13,2,FALSE),0)-150,0)/1.16)))</f>
        <v/>
      </c>
      <c r="D106" s="62" t="str">
        <f t="array" ref="D106">IF(A106="","",LET(mes,DATE($E$2,MATCH($B$2,'ESTADO CONTABLE'!$A$5:$A$16,0),1),abonos,SUMIFS('ABONOS MENSUALIDADES'!$F$5:$F$500,'ABONOS MENSUALIDADES'!$C$5:$C$500,A106,'ABONOS MENSUALIDADES'!$D$5:$D$500,mes),pago,CHOOSE(MATCH($B$2,'ESTADO CONTABLE'!$A$5:$A$16,0),IFNA(_xlfn.XLOOKUP(A106,PAGOS!$A$2:$A$996,PAGOS!$E$2:$E$996,""),""),IFNA(_xlfn.XLOOKUP(A106,PAGOS!$A$2:$A$996,PAGOS!$G$2:$G$996,""),""),IFNA(_xlfn.XLOOKUP(A106,PAGOS!$A$2:$A$996,PAGOS!$J$2:$J$996,""),""),IFNA(_xlfn.XLOOKUP(A106,PAGOS!$A$2:$A$996,PAGOS!$M$2:$M$996,""),""),IFNA(_xlfn.XLOOKUP(A106,PAGOS!$A$2:$A$996,PAGOS!$P$2:$P$996,""),""),IFNA(_xlfn.XLOOKUP(A106,PAGOS!$A$2:$A$996,PAGOS!$S$2:$S$996,""),""),IFNA(_xlfn.XLOOKUP(A106,PAGOS!$A$2:$A$996,PAGOS!$V$2:$V$996,""),""),IFNA(_xlfn.XLOOKUP(A106,PAGOS!$A$2:$A$996,PAGOS!$Y$2:$Y$996,""),""),IFNA(_xlfn.XLOOKUP(A106,PAGOS!$A$2:$A$996,PAGOS!$AB$2:$AB$996,""),""),IFNA(_xlfn.XLOOKUP(A106,PAGOS!$A$2:$A$996,PAGOS!$AE$2:$AE$996,""),""),IFNA(_xlfn.XLOOKUP(A106,PAGOS!$A$2:$A$996,PAGOS!$AH$2:$AH$996,""),""),IFNA(_xlfn.XLOOKUP(A106,PAGOS!$A$2:$A$996,PAGOS!$AK$2:$AK$996,""),"")),IF(abonos&gt;0,abonos,pago)))</f>
        <v/>
      </c>
      <c r="E106" s="51" t="str">
        <f>IFERROR(__xludf.DUMMYFUNCTION("IF(A106="""","""",LET(mes,DATE($E$2,MATCH($B$2,'ESTADO CONTABLE'!$A$5:$A$16,0),1),abonos,SUMIFS('ABONOS MENSUALIDADES'!$F$5:$F$500,'ABONOS MENSUALIDADES'!$C$5:$C$500,A106,'ABONOS MENSUALIDADES'!$D$5:$D$500,mes),metodoDirecto,CHOOSE(MATCH($B$2,'ESTADO CONT"&amp;"ABLE'!$A$5:$A$16,0),IF(ISNUMBER(D106),""POR CLASIFICAR"",""""),IFNA(XLOOKUP(A106,PAGOS!$A$2:$A$996,PAGOS!$H$2:$H$996,""""),""""),IFNA(XLOOKUP(A106,PAGOS!$A$2:$A$996,PAGOS!$K$2:$K$996,""""),""""),IFNA(XLOOKUP(A106,PAGOS!$A$2:$A$996,PAGOS!$N$2:$N$996,""""),"&amp;"""""),IFNA(XLOOKUP(A106,PAGOS!$A$2:$A$996,PAGOS!$Q$2:$Q$996,""""),""""),IFNA(XLOOKUP(A106,PAGOS!$A$2:$A$996,PAGOS!$T$2:$T$996,""""),""""),IFNA(XLOOKUP(A106,PAGOS!$A$2:$A$996,PAGOS!$W$2:$W$996,""""),""""),IFNA(XLOOKUP(A106,PAGOS!$A$2:$A$996,PAGOS!$Z$2:$Z$9"&amp;"96,""""),""""),IFNA(XLOOKUP(A106,PAGOS!$A$2:$A$996,PAGOS!$AC$2:$AC$996,""""),""""),IFNA(XLOOKUP(A106,PAGOS!$A$2:$A$996,PAGOS!$AF$2:$AF$996,""""),""""),IFNA(XLOOKUP(A106,PAGOS!$A$2:$A$996,PAGOS!$AI$2:$AI$996,""""),""""),IFNA(XLOOKUP(A106,PAGOS!$A$2:$A$996,"&amp;"PAGOS!$AL$2:$AL$996,""""),"""")),IF(abonos&gt;0,IFERROR(TEXTJOIN("" + "",TRUE,UNIQUE(FILTER('ABONOS MENSUALIDADES'!$E$5:$E$500,'ABONOS MENSUALIDADES'!$C$5:$C$500=A106,'ABONOS MENSUALIDADES'!$D$5:$D$500=mes))),""""),metodoDirecto)))"),"")</f>
        <v/>
      </c>
      <c r="F106" s="51" t="str">
        <f t="array" ref="F106">IF(A106="","",LET(mes,DATE($E$2,MATCH($B$2,'ESTADO CONTABLE'!$A$5:$A$16,0),1),cobrarDesde,IFERROR(INDEX('BASE DE DATOSS'!I:I,ROW()-13),""),pausada,SUMPRODUCT((UPPER(TRIM('PAUSAS MENSUALIDADES'!$A$5:$A$500))=UPPER(TRIM(A106)))*('PAUSAS MENSUALIDADES'!$B$5:$B$500=mes)*(UPPER(TRIM('PAUSAS MENSUALIDADES'!$D$5:$D$500))="APLICAR"))&gt;0,abonoActivo,SUMIFS('ABONOS MENSUALIDADES'!$F$5:$F$500,'ABONOS MENSUALIDADES'!$C$5:$C$500,A106,'ABONOS MENSUALIDADES'!$D$5:$D$500,mes,'ABONOS MENSUALIDADES'!$G$5:$G$500,"&lt;&gt;*CONSOLIDADO EN PAGOS*")&gt;0,esperadaBruta,MAX(IFNA(VLOOKUP(B106,COSTOS!$A$3:$B$13,2,FALSE),0)-150,0),IF(AND(cobrarDesde&lt;&gt;"",mes&lt;cobrarDesde),"AÚN NO INICIA",IF(pausada,"PAUSADA",IF(AND(abonoActivo,COUNTIFS('ABONOS MENSUALIDADES'!$C$5:$C$500,A106,'ABONOS MENSUALIDADES'!$D$5:$D$500,mes,'ABONOS MENSUALIDADES'!$G$5:$G$500,"*MENSUALIDAD LIQUIDADA*")=0),"ABONO",IF(N(D106)&gt;=esperadaBruta,"COBRADA",IF(N(D106)&gt;0,"ABONO","PENDIENTE")))))))</f>
        <v/>
      </c>
      <c r="G106" s="79" t="str">
        <f t="array" ref="G106">IF(A106="","",IFERROR(INDEX('BASE DE DATOSS'!I:I,ROW()-13),""))</f>
        <v/>
      </c>
    </row>
    <row r="107">
      <c r="A107" s="51" t="str">
        <f t="array" ref="A107">IFERROR(INDEX('BASE DE DATOSS'!A:A,ROW()-13),"")</f>
        <v/>
      </c>
      <c r="B107" s="51" t="str">
        <f t="array" ref="B107">IF(A107="","",IFERROR(INDEX('BASE DE DATOSS'!C:C,ROW()-13),""))</f>
        <v/>
      </c>
      <c r="C107" s="62" t="str">
        <f t="array" ref="C107">IF(A107="","",LET(mes,DATE($E$2,MATCH($B$2,'ESTADO CONTABLE'!$A$5:$A$16,0),1),cobrarDesde,IFERROR(INDEX('BASE DE DATOSS'!I:I,ROW()-13),""),pausada,SUMPRODUCT((UPPER(TRIM('PAUSAS MENSUALIDADES'!$A$5:$A$500))=UPPER(TRIM(A107)))*('PAUSAS MENSUALIDADES'!$B$5:$B$500=mes)*(UPPER(TRIM('PAUSAS MENSUALIDADES'!$D$5:$D$500))="APLICAR"))&gt;0,IF(OR(AND(cobrarDesde&lt;&gt;"",mes&lt;cobrarDesde),pausada),0,MAX(IFNA(VLOOKUP(B107,COSTOS!$A$3:$B$13,2,FALSE),0)-150,0)/1.16)))</f>
        <v/>
      </c>
      <c r="D107" s="62" t="str">
        <f t="array" ref="D107">IF(A107="","",LET(mes,DATE($E$2,MATCH($B$2,'ESTADO CONTABLE'!$A$5:$A$16,0),1),abonos,SUMIFS('ABONOS MENSUALIDADES'!$F$5:$F$500,'ABONOS MENSUALIDADES'!$C$5:$C$500,A107,'ABONOS MENSUALIDADES'!$D$5:$D$500,mes),pago,CHOOSE(MATCH($B$2,'ESTADO CONTABLE'!$A$5:$A$16,0),IFNA(_xlfn.XLOOKUP(A107,PAGOS!$A$2:$A$996,PAGOS!$E$2:$E$996,""),""),IFNA(_xlfn.XLOOKUP(A107,PAGOS!$A$2:$A$996,PAGOS!$G$2:$G$996,""),""),IFNA(_xlfn.XLOOKUP(A107,PAGOS!$A$2:$A$996,PAGOS!$J$2:$J$996,""),""),IFNA(_xlfn.XLOOKUP(A107,PAGOS!$A$2:$A$996,PAGOS!$M$2:$M$996,""),""),IFNA(_xlfn.XLOOKUP(A107,PAGOS!$A$2:$A$996,PAGOS!$P$2:$P$996,""),""),IFNA(_xlfn.XLOOKUP(A107,PAGOS!$A$2:$A$996,PAGOS!$S$2:$S$996,""),""),IFNA(_xlfn.XLOOKUP(A107,PAGOS!$A$2:$A$996,PAGOS!$V$2:$V$996,""),""),IFNA(_xlfn.XLOOKUP(A107,PAGOS!$A$2:$A$996,PAGOS!$Y$2:$Y$996,""),""),IFNA(_xlfn.XLOOKUP(A107,PAGOS!$A$2:$A$996,PAGOS!$AB$2:$AB$996,""),""),IFNA(_xlfn.XLOOKUP(A107,PAGOS!$A$2:$A$996,PAGOS!$AE$2:$AE$996,""),""),IFNA(_xlfn.XLOOKUP(A107,PAGOS!$A$2:$A$996,PAGOS!$AH$2:$AH$996,""),""),IFNA(_xlfn.XLOOKUP(A107,PAGOS!$A$2:$A$996,PAGOS!$AK$2:$AK$996,""),"")),IF(abonos&gt;0,abonos,pago)))</f>
        <v/>
      </c>
      <c r="E107" s="51" t="str">
        <f>IFERROR(__xludf.DUMMYFUNCTION("IF(A107="""","""",LET(mes,DATE($E$2,MATCH($B$2,'ESTADO CONTABLE'!$A$5:$A$16,0),1),abonos,SUMIFS('ABONOS MENSUALIDADES'!$F$5:$F$500,'ABONOS MENSUALIDADES'!$C$5:$C$500,A107,'ABONOS MENSUALIDADES'!$D$5:$D$500,mes),metodoDirecto,CHOOSE(MATCH($B$2,'ESTADO CONT"&amp;"ABLE'!$A$5:$A$16,0),IF(ISNUMBER(D107),""POR CLASIFICAR"",""""),IFNA(XLOOKUP(A107,PAGOS!$A$2:$A$996,PAGOS!$H$2:$H$996,""""),""""),IFNA(XLOOKUP(A107,PAGOS!$A$2:$A$996,PAGOS!$K$2:$K$996,""""),""""),IFNA(XLOOKUP(A107,PAGOS!$A$2:$A$996,PAGOS!$N$2:$N$996,""""),"&amp;"""""),IFNA(XLOOKUP(A107,PAGOS!$A$2:$A$996,PAGOS!$Q$2:$Q$996,""""),""""),IFNA(XLOOKUP(A107,PAGOS!$A$2:$A$996,PAGOS!$T$2:$T$996,""""),""""),IFNA(XLOOKUP(A107,PAGOS!$A$2:$A$996,PAGOS!$W$2:$W$996,""""),""""),IFNA(XLOOKUP(A107,PAGOS!$A$2:$A$996,PAGOS!$Z$2:$Z$9"&amp;"96,""""),""""),IFNA(XLOOKUP(A107,PAGOS!$A$2:$A$996,PAGOS!$AC$2:$AC$996,""""),""""),IFNA(XLOOKUP(A107,PAGOS!$A$2:$A$996,PAGOS!$AF$2:$AF$996,""""),""""),IFNA(XLOOKUP(A107,PAGOS!$A$2:$A$996,PAGOS!$AI$2:$AI$996,""""),""""),IFNA(XLOOKUP(A107,PAGOS!$A$2:$A$996,"&amp;"PAGOS!$AL$2:$AL$996,""""),"""")),IF(abonos&gt;0,IFERROR(TEXTJOIN("" + "",TRUE,UNIQUE(FILTER('ABONOS MENSUALIDADES'!$E$5:$E$500,'ABONOS MENSUALIDADES'!$C$5:$C$500=A107,'ABONOS MENSUALIDADES'!$D$5:$D$500=mes))),""""),metodoDirecto)))"),"")</f>
        <v/>
      </c>
      <c r="F107" s="51" t="str">
        <f t="array" ref="F107">IF(A107="","",LET(mes,DATE($E$2,MATCH($B$2,'ESTADO CONTABLE'!$A$5:$A$16,0),1),cobrarDesde,IFERROR(INDEX('BASE DE DATOSS'!I:I,ROW()-13),""),pausada,SUMPRODUCT((UPPER(TRIM('PAUSAS MENSUALIDADES'!$A$5:$A$500))=UPPER(TRIM(A107)))*('PAUSAS MENSUALIDADES'!$B$5:$B$500=mes)*(UPPER(TRIM('PAUSAS MENSUALIDADES'!$D$5:$D$500))="APLICAR"))&gt;0,abonoActivo,SUMIFS('ABONOS MENSUALIDADES'!$F$5:$F$500,'ABONOS MENSUALIDADES'!$C$5:$C$500,A107,'ABONOS MENSUALIDADES'!$D$5:$D$500,mes,'ABONOS MENSUALIDADES'!$G$5:$G$500,"&lt;&gt;*CONSOLIDADO EN PAGOS*")&gt;0,esperadaBruta,MAX(IFNA(VLOOKUP(B107,COSTOS!$A$3:$B$13,2,FALSE),0)-150,0),IF(AND(cobrarDesde&lt;&gt;"",mes&lt;cobrarDesde),"AÚN NO INICIA",IF(pausada,"PAUSADA",IF(AND(abonoActivo,COUNTIFS('ABONOS MENSUALIDADES'!$C$5:$C$500,A107,'ABONOS MENSUALIDADES'!$D$5:$D$500,mes,'ABONOS MENSUALIDADES'!$G$5:$G$500,"*MENSUALIDAD LIQUIDADA*")=0),"ABONO",IF(N(D107)&gt;=esperadaBruta,"COBRADA",IF(N(D107)&gt;0,"ABONO","PENDIENTE")))))))</f>
        <v/>
      </c>
      <c r="G107" s="79" t="str">
        <f t="array" ref="G107">IF(A107="","",IFERROR(INDEX('BASE DE DATOSS'!I:I,ROW()-13),""))</f>
        <v/>
      </c>
    </row>
    <row r="108">
      <c r="A108" s="51" t="str">
        <f t="array" ref="A108">IFERROR(INDEX('BASE DE DATOSS'!A:A,ROW()-13),"")</f>
        <v/>
      </c>
      <c r="B108" s="51" t="str">
        <f t="array" ref="B108">IF(A108="","",IFERROR(INDEX('BASE DE DATOSS'!C:C,ROW()-13),""))</f>
        <v/>
      </c>
      <c r="C108" s="62" t="str">
        <f t="array" ref="C108">IF(A108="","",LET(mes,DATE($E$2,MATCH($B$2,'ESTADO CONTABLE'!$A$5:$A$16,0),1),cobrarDesde,IFERROR(INDEX('BASE DE DATOSS'!I:I,ROW()-13),""),pausada,SUMPRODUCT((UPPER(TRIM('PAUSAS MENSUALIDADES'!$A$5:$A$500))=UPPER(TRIM(A108)))*('PAUSAS MENSUALIDADES'!$B$5:$B$500=mes)*(UPPER(TRIM('PAUSAS MENSUALIDADES'!$D$5:$D$500))="APLICAR"))&gt;0,IF(OR(AND(cobrarDesde&lt;&gt;"",mes&lt;cobrarDesde),pausada),0,MAX(IFNA(VLOOKUP(B108,COSTOS!$A$3:$B$13,2,FALSE),0)-150,0)/1.16)))</f>
        <v/>
      </c>
      <c r="D108" s="62" t="str">
        <f t="array" ref="D108">IF(A108="","",LET(mes,DATE($E$2,MATCH($B$2,'ESTADO CONTABLE'!$A$5:$A$16,0),1),abonos,SUMIFS('ABONOS MENSUALIDADES'!$F$5:$F$500,'ABONOS MENSUALIDADES'!$C$5:$C$500,A108,'ABONOS MENSUALIDADES'!$D$5:$D$500,mes),pago,CHOOSE(MATCH($B$2,'ESTADO CONTABLE'!$A$5:$A$16,0),IFNA(_xlfn.XLOOKUP(A108,PAGOS!$A$2:$A$996,PAGOS!$E$2:$E$996,""),""),IFNA(_xlfn.XLOOKUP(A108,PAGOS!$A$2:$A$996,PAGOS!$G$2:$G$996,""),""),IFNA(_xlfn.XLOOKUP(A108,PAGOS!$A$2:$A$996,PAGOS!$J$2:$J$996,""),""),IFNA(_xlfn.XLOOKUP(A108,PAGOS!$A$2:$A$996,PAGOS!$M$2:$M$996,""),""),IFNA(_xlfn.XLOOKUP(A108,PAGOS!$A$2:$A$996,PAGOS!$P$2:$P$996,""),""),IFNA(_xlfn.XLOOKUP(A108,PAGOS!$A$2:$A$996,PAGOS!$S$2:$S$996,""),""),IFNA(_xlfn.XLOOKUP(A108,PAGOS!$A$2:$A$996,PAGOS!$V$2:$V$996,""),""),IFNA(_xlfn.XLOOKUP(A108,PAGOS!$A$2:$A$996,PAGOS!$Y$2:$Y$996,""),""),IFNA(_xlfn.XLOOKUP(A108,PAGOS!$A$2:$A$996,PAGOS!$AB$2:$AB$996,""),""),IFNA(_xlfn.XLOOKUP(A108,PAGOS!$A$2:$A$996,PAGOS!$AE$2:$AE$996,""),""),IFNA(_xlfn.XLOOKUP(A108,PAGOS!$A$2:$A$996,PAGOS!$AH$2:$AH$996,""),""),IFNA(_xlfn.XLOOKUP(A108,PAGOS!$A$2:$A$996,PAGOS!$AK$2:$AK$996,""),"")),IF(abonos&gt;0,abonos,pago)))</f>
        <v/>
      </c>
      <c r="E108" s="51" t="str">
        <f>IFERROR(__xludf.DUMMYFUNCTION("IF(A108="""","""",LET(mes,DATE($E$2,MATCH($B$2,'ESTADO CONTABLE'!$A$5:$A$16,0),1),abonos,SUMIFS('ABONOS MENSUALIDADES'!$F$5:$F$500,'ABONOS MENSUALIDADES'!$C$5:$C$500,A108,'ABONOS MENSUALIDADES'!$D$5:$D$500,mes),metodoDirecto,CHOOSE(MATCH($B$2,'ESTADO CONT"&amp;"ABLE'!$A$5:$A$16,0),IF(ISNUMBER(D108),""POR CLASIFICAR"",""""),IFNA(XLOOKUP(A108,PAGOS!$A$2:$A$996,PAGOS!$H$2:$H$996,""""),""""),IFNA(XLOOKUP(A108,PAGOS!$A$2:$A$996,PAGOS!$K$2:$K$996,""""),""""),IFNA(XLOOKUP(A108,PAGOS!$A$2:$A$996,PAGOS!$N$2:$N$996,""""),"&amp;"""""),IFNA(XLOOKUP(A108,PAGOS!$A$2:$A$996,PAGOS!$Q$2:$Q$996,""""),""""),IFNA(XLOOKUP(A108,PAGOS!$A$2:$A$996,PAGOS!$T$2:$T$996,""""),""""),IFNA(XLOOKUP(A108,PAGOS!$A$2:$A$996,PAGOS!$W$2:$W$996,""""),""""),IFNA(XLOOKUP(A108,PAGOS!$A$2:$A$996,PAGOS!$Z$2:$Z$9"&amp;"96,""""),""""),IFNA(XLOOKUP(A108,PAGOS!$A$2:$A$996,PAGOS!$AC$2:$AC$996,""""),""""),IFNA(XLOOKUP(A108,PAGOS!$A$2:$A$996,PAGOS!$AF$2:$AF$996,""""),""""),IFNA(XLOOKUP(A108,PAGOS!$A$2:$A$996,PAGOS!$AI$2:$AI$996,""""),""""),IFNA(XLOOKUP(A108,PAGOS!$A$2:$A$996,"&amp;"PAGOS!$AL$2:$AL$996,""""),"""")),IF(abonos&gt;0,IFERROR(TEXTJOIN("" + "",TRUE,UNIQUE(FILTER('ABONOS MENSUALIDADES'!$E$5:$E$500,'ABONOS MENSUALIDADES'!$C$5:$C$500=A108,'ABONOS MENSUALIDADES'!$D$5:$D$500=mes))),""""),metodoDirecto)))"),"")</f>
        <v/>
      </c>
      <c r="F108" s="51" t="str">
        <f t="array" ref="F108">IF(A108="","",LET(mes,DATE($E$2,MATCH($B$2,'ESTADO CONTABLE'!$A$5:$A$16,0),1),cobrarDesde,IFERROR(INDEX('BASE DE DATOSS'!I:I,ROW()-13),""),pausada,SUMPRODUCT((UPPER(TRIM('PAUSAS MENSUALIDADES'!$A$5:$A$500))=UPPER(TRIM(A108)))*('PAUSAS MENSUALIDADES'!$B$5:$B$500=mes)*(UPPER(TRIM('PAUSAS MENSUALIDADES'!$D$5:$D$500))="APLICAR"))&gt;0,abonoActivo,SUMIFS('ABONOS MENSUALIDADES'!$F$5:$F$500,'ABONOS MENSUALIDADES'!$C$5:$C$500,A108,'ABONOS MENSUALIDADES'!$D$5:$D$500,mes,'ABONOS MENSUALIDADES'!$G$5:$G$500,"&lt;&gt;*CONSOLIDADO EN PAGOS*")&gt;0,esperadaBruta,MAX(IFNA(VLOOKUP(B108,COSTOS!$A$3:$B$13,2,FALSE),0)-150,0),IF(AND(cobrarDesde&lt;&gt;"",mes&lt;cobrarDesde),"AÚN NO INICIA",IF(pausada,"PAUSADA",IF(AND(abonoActivo,COUNTIFS('ABONOS MENSUALIDADES'!$C$5:$C$500,A108,'ABONOS MENSUALIDADES'!$D$5:$D$500,mes,'ABONOS MENSUALIDADES'!$G$5:$G$500,"*MENSUALIDAD LIQUIDADA*")=0),"ABONO",IF(N(D108)&gt;=esperadaBruta,"COBRADA",IF(N(D108)&gt;0,"ABONO","PENDIENTE")))))))</f>
        <v/>
      </c>
      <c r="G108" s="79" t="str">
        <f t="array" ref="G108">IF(A108="","",IFERROR(INDEX('BASE DE DATOSS'!I:I,ROW()-13),""))</f>
        <v/>
      </c>
    </row>
    <row r="109">
      <c r="A109" s="51" t="str">
        <f t="array" ref="A109">IFERROR(INDEX('BASE DE DATOSS'!A:A,ROW()-13),"")</f>
        <v/>
      </c>
      <c r="B109" s="51" t="str">
        <f t="array" ref="B109">IF(A109="","",IFERROR(INDEX('BASE DE DATOSS'!C:C,ROW()-13),""))</f>
        <v/>
      </c>
      <c r="C109" s="62" t="str">
        <f t="array" ref="C109">IF(A109="","",LET(mes,DATE($E$2,MATCH($B$2,'ESTADO CONTABLE'!$A$5:$A$16,0),1),cobrarDesde,IFERROR(INDEX('BASE DE DATOSS'!I:I,ROW()-13),""),pausada,SUMPRODUCT((UPPER(TRIM('PAUSAS MENSUALIDADES'!$A$5:$A$500))=UPPER(TRIM(A109)))*('PAUSAS MENSUALIDADES'!$B$5:$B$500=mes)*(UPPER(TRIM('PAUSAS MENSUALIDADES'!$D$5:$D$500))="APLICAR"))&gt;0,IF(OR(AND(cobrarDesde&lt;&gt;"",mes&lt;cobrarDesde),pausada),0,MAX(IFNA(VLOOKUP(B109,COSTOS!$A$3:$B$13,2,FALSE),0)-150,0)/1.16)))</f>
        <v/>
      </c>
      <c r="D109" s="62" t="str">
        <f t="array" ref="D109">IF(A109="","",LET(mes,DATE($E$2,MATCH($B$2,'ESTADO CONTABLE'!$A$5:$A$16,0),1),abonos,SUMIFS('ABONOS MENSUALIDADES'!$F$5:$F$500,'ABONOS MENSUALIDADES'!$C$5:$C$500,A109,'ABONOS MENSUALIDADES'!$D$5:$D$500,mes),pago,CHOOSE(MATCH($B$2,'ESTADO CONTABLE'!$A$5:$A$16,0),IFNA(_xlfn.XLOOKUP(A109,PAGOS!$A$2:$A$996,PAGOS!$E$2:$E$996,""),""),IFNA(_xlfn.XLOOKUP(A109,PAGOS!$A$2:$A$996,PAGOS!$G$2:$G$996,""),""),IFNA(_xlfn.XLOOKUP(A109,PAGOS!$A$2:$A$996,PAGOS!$J$2:$J$996,""),""),IFNA(_xlfn.XLOOKUP(A109,PAGOS!$A$2:$A$996,PAGOS!$M$2:$M$996,""),""),IFNA(_xlfn.XLOOKUP(A109,PAGOS!$A$2:$A$996,PAGOS!$P$2:$P$996,""),""),IFNA(_xlfn.XLOOKUP(A109,PAGOS!$A$2:$A$996,PAGOS!$S$2:$S$996,""),""),IFNA(_xlfn.XLOOKUP(A109,PAGOS!$A$2:$A$996,PAGOS!$V$2:$V$996,""),""),IFNA(_xlfn.XLOOKUP(A109,PAGOS!$A$2:$A$996,PAGOS!$Y$2:$Y$996,""),""),IFNA(_xlfn.XLOOKUP(A109,PAGOS!$A$2:$A$996,PAGOS!$AB$2:$AB$996,""),""),IFNA(_xlfn.XLOOKUP(A109,PAGOS!$A$2:$A$996,PAGOS!$AE$2:$AE$996,""),""),IFNA(_xlfn.XLOOKUP(A109,PAGOS!$A$2:$A$996,PAGOS!$AH$2:$AH$996,""),""),IFNA(_xlfn.XLOOKUP(A109,PAGOS!$A$2:$A$996,PAGOS!$AK$2:$AK$996,""),"")),IF(abonos&gt;0,abonos,pago)))</f>
        <v/>
      </c>
      <c r="E109" s="51" t="str">
        <f>IFERROR(__xludf.DUMMYFUNCTION("IF(A109="""","""",LET(mes,DATE($E$2,MATCH($B$2,'ESTADO CONTABLE'!$A$5:$A$16,0),1),abonos,SUMIFS('ABONOS MENSUALIDADES'!$F$5:$F$500,'ABONOS MENSUALIDADES'!$C$5:$C$500,A109,'ABONOS MENSUALIDADES'!$D$5:$D$500,mes),metodoDirecto,CHOOSE(MATCH($B$2,'ESTADO CONT"&amp;"ABLE'!$A$5:$A$16,0),IF(ISNUMBER(D109),""POR CLASIFICAR"",""""),IFNA(XLOOKUP(A109,PAGOS!$A$2:$A$996,PAGOS!$H$2:$H$996,""""),""""),IFNA(XLOOKUP(A109,PAGOS!$A$2:$A$996,PAGOS!$K$2:$K$996,""""),""""),IFNA(XLOOKUP(A109,PAGOS!$A$2:$A$996,PAGOS!$N$2:$N$996,""""),"&amp;"""""),IFNA(XLOOKUP(A109,PAGOS!$A$2:$A$996,PAGOS!$Q$2:$Q$996,""""),""""),IFNA(XLOOKUP(A109,PAGOS!$A$2:$A$996,PAGOS!$T$2:$T$996,""""),""""),IFNA(XLOOKUP(A109,PAGOS!$A$2:$A$996,PAGOS!$W$2:$W$996,""""),""""),IFNA(XLOOKUP(A109,PAGOS!$A$2:$A$996,PAGOS!$Z$2:$Z$9"&amp;"96,""""),""""),IFNA(XLOOKUP(A109,PAGOS!$A$2:$A$996,PAGOS!$AC$2:$AC$996,""""),""""),IFNA(XLOOKUP(A109,PAGOS!$A$2:$A$996,PAGOS!$AF$2:$AF$996,""""),""""),IFNA(XLOOKUP(A109,PAGOS!$A$2:$A$996,PAGOS!$AI$2:$AI$996,""""),""""),IFNA(XLOOKUP(A109,PAGOS!$A$2:$A$996,"&amp;"PAGOS!$AL$2:$AL$996,""""),"""")),IF(abonos&gt;0,IFERROR(TEXTJOIN("" + "",TRUE,UNIQUE(FILTER('ABONOS MENSUALIDADES'!$E$5:$E$500,'ABONOS MENSUALIDADES'!$C$5:$C$500=A109,'ABONOS MENSUALIDADES'!$D$5:$D$500=mes))),""""),metodoDirecto)))"),"")</f>
        <v/>
      </c>
      <c r="F109" s="51" t="str">
        <f t="array" ref="F109">IF(A109="","",LET(mes,DATE($E$2,MATCH($B$2,'ESTADO CONTABLE'!$A$5:$A$16,0),1),cobrarDesde,IFERROR(INDEX('BASE DE DATOSS'!I:I,ROW()-13),""),pausada,SUMPRODUCT((UPPER(TRIM('PAUSAS MENSUALIDADES'!$A$5:$A$500))=UPPER(TRIM(A109)))*('PAUSAS MENSUALIDADES'!$B$5:$B$500=mes)*(UPPER(TRIM('PAUSAS MENSUALIDADES'!$D$5:$D$500))="APLICAR"))&gt;0,abonoActivo,SUMIFS('ABONOS MENSUALIDADES'!$F$5:$F$500,'ABONOS MENSUALIDADES'!$C$5:$C$500,A109,'ABONOS MENSUALIDADES'!$D$5:$D$500,mes,'ABONOS MENSUALIDADES'!$G$5:$G$500,"&lt;&gt;*CONSOLIDADO EN PAGOS*")&gt;0,esperadaBruta,MAX(IFNA(VLOOKUP(B109,COSTOS!$A$3:$B$13,2,FALSE),0)-150,0),IF(AND(cobrarDesde&lt;&gt;"",mes&lt;cobrarDesde),"AÚN NO INICIA",IF(pausada,"PAUSADA",IF(AND(abonoActivo,COUNTIFS('ABONOS MENSUALIDADES'!$C$5:$C$500,A109,'ABONOS MENSUALIDADES'!$D$5:$D$500,mes,'ABONOS MENSUALIDADES'!$G$5:$G$500,"*MENSUALIDAD LIQUIDADA*")=0),"ABONO",IF(N(D109)&gt;=esperadaBruta,"COBRADA",IF(N(D109)&gt;0,"ABONO","PENDIENTE")))))))</f>
        <v/>
      </c>
      <c r="G109" s="79" t="str">
        <f t="array" ref="G109">IF(A109="","",IFERROR(INDEX('BASE DE DATOSS'!I:I,ROW()-13),""))</f>
        <v/>
      </c>
    </row>
    <row r="110">
      <c r="A110" s="51" t="str">
        <f t="array" ref="A110">IFERROR(INDEX('BASE DE DATOSS'!A:A,ROW()-13),"")</f>
        <v/>
      </c>
      <c r="B110" s="51" t="str">
        <f t="array" ref="B110">IF(A110="","",IFERROR(INDEX('BASE DE DATOSS'!C:C,ROW()-13),""))</f>
        <v/>
      </c>
      <c r="C110" s="62" t="str">
        <f t="array" ref="C110">IF(A110="","",LET(mes,DATE($E$2,MATCH($B$2,'ESTADO CONTABLE'!$A$5:$A$16,0),1),cobrarDesde,IFERROR(INDEX('BASE DE DATOSS'!I:I,ROW()-13),""),pausada,SUMPRODUCT((UPPER(TRIM('PAUSAS MENSUALIDADES'!$A$5:$A$500))=UPPER(TRIM(A110)))*('PAUSAS MENSUALIDADES'!$B$5:$B$500=mes)*(UPPER(TRIM('PAUSAS MENSUALIDADES'!$D$5:$D$500))="APLICAR"))&gt;0,IF(OR(AND(cobrarDesde&lt;&gt;"",mes&lt;cobrarDesde),pausada),0,MAX(IFNA(VLOOKUP(B110,COSTOS!$A$3:$B$13,2,FALSE),0)-150,0)/1.16)))</f>
        <v/>
      </c>
      <c r="D110" s="62" t="str">
        <f t="array" ref="D110">IF(A110="","",LET(mes,DATE($E$2,MATCH($B$2,'ESTADO CONTABLE'!$A$5:$A$16,0),1),abonos,SUMIFS('ABONOS MENSUALIDADES'!$F$5:$F$500,'ABONOS MENSUALIDADES'!$C$5:$C$500,A110,'ABONOS MENSUALIDADES'!$D$5:$D$500,mes),pago,CHOOSE(MATCH($B$2,'ESTADO CONTABLE'!$A$5:$A$16,0),IFNA(_xlfn.XLOOKUP(A110,PAGOS!$A$2:$A$996,PAGOS!$E$2:$E$996,""),""),IFNA(_xlfn.XLOOKUP(A110,PAGOS!$A$2:$A$996,PAGOS!$G$2:$G$996,""),""),IFNA(_xlfn.XLOOKUP(A110,PAGOS!$A$2:$A$996,PAGOS!$J$2:$J$996,""),""),IFNA(_xlfn.XLOOKUP(A110,PAGOS!$A$2:$A$996,PAGOS!$M$2:$M$996,""),""),IFNA(_xlfn.XLOOKUP(A110,PAGOS!$A$2:$A$996,PAGOS!$P$2:$P$996,""),""),IFNA(_xlfn.XLOOKUP(A110,PAGOS!$A$2:$A$996,PAGOS!$S$2:$S$996,""),""),IFNA(_xlfn.XLOOKUP(A110,PAGOS!$A$2:$A$996,PAGOS!$V$2:$V$996,""),""),IFNA(_xlfn.XLOOKUP(A110,PAGOS!$A$2:$A$996,PAGOS!$Y$2:$Y$996,""),""),IFNA(_xlfn.XLOOKUP(A110,PAGOS!$A$2:$A$996,PAGOS!$AB$2:$AB$996,""),""),IFNA(_xlfn.XLOOKUP(A110,PAGOS!$A$2:$A$996,PAGOS!$AE$2:$AE$996,""),""),IFNA(_xlfn.XLOOKUP(A110,PAGOS!$A$2:$A$996,PAGOS!$AH$2:$AH$996,""),""),IFNA(_xlfn.XLOOKUP(A110,PAGOS!$A$2:$A$996,PAGOS!$AK$2:$AK$996,""),"")),IF(abonos&gt;0,abonos,pago)))</f>
        <v/>
      </c>
      <c r="E110" s="51" t="str">
        <f>IFERROR(__xludf.DUMMYFUNCTION("IF(A110="""","""",LET(mes,DATE($E$2,MATCH($B$2,'ESTADO CONTABLE'!$A$5:$A$16,0),1),abonos,SUMIFS('ABONOS MENSUALIDADES'!$F$5:$F$500,'ABONOS MENSUALIDADES'!$C$5:$C$500,A110,'ABONOS MENSUALIDADES'!$D$5:$D$500,mes),metodoDirecto,CHOOSE(MATCH($B$2,'ESTADO CONT"&amp;"ABLE'!$A$5:$A$16,0),IF(ISNUMBER(D110),""POR CLASIFICAR"",""""),IFNA(XLOOKUP(A110,PAGOS!$A$2:$A$996,PAGOS!$H$2:$H$996,""""),""""),IFNA(XLOOKUP(A110,PAGOS!$A$2:$A$996,PAGOS!$K$2:$K$996,""""),""""),IFNA(XLOOKUP(A110,PAGOS!$A$2:$A$996,PAGOS!$N$2:$N$996,""""),"&amp;"""""),IFNA(XLOOKUP(A110,PAGOS!$A$2:$A$996,PAGOS!$Q$2:$Q$996,""""),""""),IFNA(XLOOKUP(A110,PAGOS!$A$2:$A$996,PAGOS!$T$2:$T$996,""""),""""),IFNA(XLOOKUP(A110,PAGOS!$A$2:$A$996,PAGOS!$W$2:$W$996,""""),""""),IFNA(XLOOKUP(A110,PAGOS!$A$2:$A$996,PAGOS!$Z$2:$Z$9"&amp;"96,""""),""""),IFNA(XLOOKUP(A110,PAGOS!$A$2:$A$996,PAGOS!$AC$2:$AC$996,""""),""""),IFNA(XLOOKUP(A110,PAGOS!$A$2:$A$996,PAGOS!$AF$2:$AF$996,""""),""""),IFNA(XLOOKUP(A110,PAGOS!$A$2:$A$996,PAGOS!$AI$2:$AI$996,""""),""""),IFNA(XLOOKUP(A110,PAGOS!$A$2:$A$996,"&amp;"PAGOS!$AL$2:$AL$996,""""),"""")),IF(abonos&gt;0,IFERROR(TEXTJOIN("" + "",TRUE,UNIQUE(FILTER('ABONOS MENSUALIDADES'!$E$5:$E$500,'ABONOS MENSUALIDADES'!$C$5:$C$500=A110,'ABONOS MENSUALIDADES'!$D$5:$D$500=mes))),""""),metodoDirecto)))"),"")</f>
        <v/>
      </c>
      <c r="F110" s="51" t="str">
        <f t="array" ref="F110">IF(A110="","",LET(mes,DATE($E$2,MATCH($B$2,'ESTADO CONTABLE'!$A$5:$A$16,0),1),cobrarDesde,IFERROR(INDEX('BASE DE DATOSS'!I:I,ROW()-13),""),pausada,SUMPRODUCT((UPPER(TRIM('PAUSAS MENSUALIDADES'!$A$5:$A$500))=UPPER(TRIM(A110)))*('PAUSAS MENSUALIDADES'!$B$5:$B$500=mes)*(UPPER(TRIM('PAUSAS MENSUALIDADES'!$D$5:$D$500))="APLICAR"))&gt;0,abonoActivo,SUMIFS('ABONOS MENSUALIDADES'!$F$5:$F$500,'ABONOS MENSUALIDADES'!$C$5:$C$500,A110,'ABONOS MENSUALIDADES'!$D$5:$D$500,mes,'ABONOS MENSUALIDADES'!$G$5:$G$500,"&lt;&gt;*CONSOLIDADO EN PAGOS*")&gt;0,esperadaBruta,MAX(IFNA(VLOOKUP(B110,COSTOS!$A$3:$B$13,2,FALSE),0)-150,0),IF(AND(cobrarDesde&lt;&gt;"",mes&lt;cobrarDesde),"AÚN NO INICIA",IF(pausada,"PAUSADA",IF(AND(abonoActivo,COUNTIFS('ABONOS MENSUALIDADES'!$C$5:$C$500,A110,'ABONOS MENSUALIDADES'!$D$5:$D$500,mes,'ABONOS MENSUALIDADES'!$G$5:$G$500,"*MENSUALIDAD LIQUIDADA*")=0),"ABONO",IF(N(D110)&gt;=esperadaBruta,"COBRADA",IF(N(D110)&gt;0,"ABONO","PENDIENTE")))))))</f>
        <v/>
      </c>
      <c r="G110" s="79" t="str">
        <f t="array" ref="G110">IF(A110="","",IFERROR(INDEX('BASE DE DATOSS'!I:I,ROW()-13),""))</f>
        <v/>
      </c>
    </row>
    <row r="111">
      <c r="A111" s="51" t="str">
        <f t="array" ref="A111">IFERROR(INDEX('BASE DE DATOSS'!A:A,ROW()-13),"")</f>
        <v/>
      </c>
      <c r="B111" s="51" t="str">
        <f t="array" ref="B111">IF(A111="","",IFERROR(INDEX('BASE DE DATOSS'!C:C,ROW()-13),""))</f>
        <v/>
      </c>
      <c r="C111" s="62" t="str">
        <f t="array" ref="C111">IF(A111="","",LET(mes,DATE($E$2,MATCH($B$2,'ESTADO CONTABLE'!$A$5:$A$16,0),1),cobrarDesde,IFERROR(INDEX('BASE DE DATOSS'!I:I,ROW()-13),""),pausada,SUMPRODUCT((UPPER(TRIM('PAUSAS MENSUALIDADES'!$A$5:$A$500))=UPPER(TRIM(A111)))*('PAUSAS MENSUALIDADES'!$B$5:$B$500=mes)*(UPPER(TRIM('PAUSAS MENSUALIDADES'!$D$5:$D$500))="APLICAR"))&gt;0,IF(OR(AND(cobrarDesde&lt;&gt;"",mes&lt;cobrarDesde),pausada),0,MAX(IFNA(VLOOKUP(B111,COSTOS!$A$3:$B$13,2,FALSE),0)-150,0)/1.16)))</f>
        <v/>
      </c>
      <c r="D111" s="62" t="str">
        <f t="array" ref="D111">IF(A111="","",LET(mes,DATE($E$2,MATCH($B$2,'ESTADO CONTABLE'!$A$5:$A$16,0),1),abonos,SUMIFS('ABONOS MENSUALIDADES'!$F$5:$F$500,'ABONOS MENSUALIDADES'!$C$5:$C$500,A111,'ABONOS MENSUALIDADES'!$D$5:$D$500,mes),pago,CHOOSE(MATCH($B$2,'ESTADO CONTABLE'!$A$5:$A$16,0),IFNA(_xlfn.XLOOKUP(A111,PAGOS!$A$2:$A$996,PAGOS!$E$2:$E$996,""),""),IFNA(_xlfn.XLOOKUP(A111,PAGOS!$A$2:$A$996,PAGOS!$G$2:$G$996,""),""),IFNA(_xlfn.XLOOKUP(A111,PAGOS!$A$2:$A$996,PAGOS!$J$2:$J$996,""),""),IFNA(_xlfn.XLOOKUP(A111,PAGOS!$A$2:$A$996,PAGOS!$M$2:$M$996,""),""),IFNA(_xlfn.XLOOKUP(A111,PAGOS!$A$2:$A$996,PAGOS!$P$2:$P$996,""),""),IFNA(_xlfn.XLOOKUP(A111,PAGOS!$A$2:$A$996,PAGOS!$S$2:$S$996,""),""),IFNA(_xlfn.XLOOKUP(A111,PAGOS!$A$2:$A$996,PAGOS!$V$2:$V$996,""),""),IFNA(_xlfn.XLOOKUP(A111,PAGOS!$A$2:$A$996,PAGOS!$Y$2:$Y$996,""),""),IFNA(_xlfn.XLOOKUP(A111,PAGOS!$A$2:$A$996,PAGOS!$AB$2:$AB$996,""),""),IFNA(_xlfn.XLOOKUP(A111,PAGOS!$A$2:$A$996,PAGOS!$AE$2:$AE$996,""),""),IFNA(_xlfn.XLOOKUP(A111,PAGOS!$A$2:$A$996,PAGOS!$AH$2:$AH$996,""),""),IFNA(_xlfn.XLOOKUP(A111,PAGOS!$A$2:$A$996,PAGOS!$AK$2:$AK$996,""),"")),IF(abonos&gt;0,abonos,pago)))</f>
        <v/>
      </c>
      <c r="E111" s="51" t="str">
        <f>IFERROR(__xludf.DUMMYFUNCTION("IF(A111="""","""",LET(mes,DATE($E$2,MATCH($B$2,'ESTADO CONTABLE'!$A$5:$A$16,0),1),abonos,SUMIFS('ABONOS MENSUALIDADES'!$F$5:$F$500,'ABONOS MENSUALIDADES'!$C$5:$C$500,A111,'ABONOS MENSUALIDADES'!$D$5:$D$500,mes),metodoDirecto,CHOOSE(MATCH($B$2,'ESTADO CONT"&amp;"ABLE'!$A$5:$A$16,0),IF(ISNUMBER(D111),""POR CLASIFICAR"",""""),IFNA(XLOOKUP(A111,PAGOS!$A$2:$A$996,PAGOS!$H$2:$H$996,""""),""""),IFNA(XLOOKUP(A111,PAGOS!$A$2:$A$996,PAGOS!$K$2:$K$996,""""),""""),IFNA(XLOOKUP(A111,PAGOS!$A$2:$A$996,PAGOS!$N$2:$N$996,""""),"&amp;"""""),IFNA(XLOOKUP(A111,PAGOS!$A$2:$A$996,PAGOS!$Q$2:$Q$996,""""),""""),IFNA(XLOOKUP(A111,PAGOS!$A$2:$A$996,PAGOS!$T$2:$T$996,""""),""""),IFNA(XLOOKUP(A111,PAGOS!$A$2:$A$996,PAGOS!$W$2:$W$996,""""),""""),IFNA(XLOOKUP(A111,PAGOS!$A$2:$A$996,PAGOS!$Z$2:$Z$9"&amp;"96,""""),""""),IFNA(XLOOKUP(A111,PAGOS!$A$2:$A$996,PAGOS!$AC$2:$AC$996,""""),""""),IFNA(XLOOKUP(A111,PAGOS!$A$2:$A$996,PAGOS!$AF$2:$AF$996,""""),""""),IFNA(XLOOKUP(A111,PAGOS!$A$2:$A$996,PAGOS!$AI$2:$AI$996,""""),""""),IFNA(XLOOKUP(A111,PAGOS!$A$2:$A$996,"&amp;"PAGOS!$AL$2:$AL$996,""""),"""")),IF(abonos&gt;0,IFERROR(TEXTJOIN("" + "",TRUE,UNIQUE(FILTER('ABONOS MENSUALIDADES'!$E$5:$E$500,'ABONOS MENSUALIDADES'!$C$5:$C$500=A111,'ABONOS MENSUALIDADES'!$D$5:$D$500=mes))),""""),metodoDirecto)))"),"")</f>
        <v/>
      </c>
      <c r="F111" s="51" t="str">
        <f t="array" ref="F111">IF(A111="","",LET(mes,DATE($E$2,MATCH($B$2,'ESTADO CONTABLE'!$A$5:$A$16,0),1),cobrarDesde,IFERROR(INDEX('BASE DE DATOSS'!I:I,ROW()-13),""),pausada,SUMPRODUCT((UPPER(TRIM('PAUSAS MENSUALIDADES'!$A$5:$A$500))=UPPER(TRIM(A111)))*('PAUSAS MENSUALIDADES'!$B$5:$B$500=mes)*(UPPER(TRIM('PAUSAS MENSUALIDADES'!$D$5:$D$500))="APLICAR"))&gt;0,esperadaBruta,MAX(IFNA(VLOOKUP(B111,COSTOS!$A$3:$B$13,2,FALSE),0)-150,0),IF(AND(cobrarDesde&lt;&gt;"",mes&lt;cobrarDesde),"AÚN NO INICIA",IF(pausada,"PAUSADA",IF(N(D111)&gt;=esperadaBruta,"COBRADA",IF(N(D111)&gt;0,"ABONO","PENDIENTE"))))))</f>
        <v/>
      </c>
      <c r="G111" s="79" t="str">
        <f t="array" ref="G111">IF(A111="","",IFERROR(INDEX('BASE DE DATOSS'!I:I,ROW()-13),""))</f>
        <v/>
      </c>
    </row>
    <row r="112">
      <c r="A112" s="51" t="str">
        <f t="array" ref="A112">IFERROR(INDEX('BASE DE DATOSS'!A:A,ROW()-13),"")</f>
        <v/>
      </c>
      <c r="B112" s="51" t="str">
        <f t="array" ref="B112">IF(A112="","",IFERROR(INDEX('BASE DE DATOSS'!C:C,ROW()-13),""))</f>
        <v/>
      </c>
      <c r="C112" s="62" t="str">
        <f t="array" ref="C112">IF(A112="","",LET(mes,DATE($E$2,MATCH($B$2,'ESTADO CONTABLE'!$A$5:$A$16,0),1),cobrarDesde,IFERROR(INDEX('BASE DE DATOSS'!I:I,ROW()-13),""),pausada,SUMPRODUCT((UPPER(TRIM('PAUSAS MENSUALIDADES'!$A$5:$A$500))=UPPER(TRIM(A112)))*('PAUSAS MENSUALIDADES'!$B$5:$B$500=mes)*(UPPER(TRIM('PAUSAS MENSUALIDADES'!$D$5:$D$500))="APLICAR"))&gt;0,IF(OR(AND(cobrarDesde&lt;&gt;"",mes&lt;cobrarDesde),pausada),0,MAX(IFNA(VLOOKUP(B112,COSTOS!$A$3:$B$13,2,FALSE),0)-150,0)/1.16)))</f>
        <v/>
      </c>
      <c r="D112" s="62" t="str">
        <f t="array" ref="D112">IF(A112="","",LET(mes,DATE($E$2,MATCH($B$2,'ESTADO CONTABLE'!$A$5:$A$16,0),1),abonos,SUMIFS('ABONOS MENSUALIDADES'!$F$5:$F$500,'ABONOS MENSUALIDADES'!$C$5:$C$500,A112,'ABONOS MENSUALIDADES'!$D$5:$D$500,mes),pago,CHOOSE(MATCH($B$2,'ESTADO CONTABLE'!$A$5:$A$16,0),IFNA(_xlfn.XLOOKUP(A112,PAGOS!$A$2:$A$996,PAGOS!$E$2:$E$996,""),""),IFNA(_xlfn.XLOOKUP(A112,PAGOS!$A$2:$A$996,PAGOS!$G$2:$G$996,""),""),IFNA(_xlfn.XLOOKUP(A112,PAGOS!$A$2:$A$996,PAGOS!$J$2:$J$996,""),""),IFNA(_xlfn.XLOOKUP(A112,PAGOS!$A$2:$A$996,PAGOS!$M$2:$M$996,""),""),IFNA(_xlfn.XLOOKUP(A112,PAGOS!$A$2:$A$996,PAGOS!$P$2:$P$996,""),""),IFNA(_xlfn.XLOOKUP(A112,PAGOS!$A$2:$A$996,PAGOS!$S$2:$S$996,""),""),IFNA(_xlfn.XLOOKUP(A112,PAGOS!$A$2:$A$996,PAGOS!$V$2:$V$996,""),""),IFNA(_xlfn.XLOOKUP(A112,PAGOS!$A$2:$A$996,PAGOS!$Y$2:$Y$996,""),""),IFNA(_xlfn.XLOOKUP(A112,PAGOS!$A$2:$A$996,PAGOS!$AB$2:$AB$996,""),""),IFNA(_xlfn.XLOOKUP(A112,PAGOS!$A$2:$A$996,PAGOS!$AE$2:$AE$996,""),""),IFNA(_xlfn.XLOOKUP(A112,PAGOS!$A$2:$A$996,PAGOS!$AH$2:$AH$996,""),""),IFNA(_xlfn.XLOOKUP(A112,PAGOS!$A$2:$A$996,PAGOS!$AK$2:$AK$996,""),"")),IF(abonos&gt;0,abonos,pago)))</f>
        <v/>
      </c>
      <c r="E112" s="51" t="str">
        <f>IFERROR(__xludf.DUMMYFUNCTION("IF(A112="""","""",LET(mes,DATE($E$2,MATCH($B$2,'ESTADO CONTABLE'!$A$5:$A$16,0),1),abonos,SUMIFS('ABONOS MENSUALIDADES'!$F$5:$F$500,'ABONOS MENSUALIDADES'!$C$5:$C$500,A112,'ABONOS MENSUALIDADES'!$D$5:$D$500,mes),metodoDirecto,CHOOSE(MATCH($B$2,'ESTADO CONT"&amp;"ABLE'!$A$5:$A$16,0),IF(ISNUMBER(D112),""POR CLASIFICAR"",""""),IFNA(XLOOKUP(A112,PAGOS!$A$2:$A$996,PAGOS!$H$2:$H$996,""""),""""),IFNA(XLOOKUP(A112,PAGOS!$A$2:$A$996,PAGOS!$K$2:$K$996,""""),""""),IFNA(XLOOKUP(A112,PAGOS!$A$2:$A$996,PAGOS!$N$2:$N$996,""""),"&amp;"""""),IFNA(XLOOKUP(A112,PAGOS!$A$2:$A$996,PAGOS!$Q$2:$Q$996,""""),""""),IFNA(XLOOKUP(A112,PAGOS!$A$2:$A$996,PAGOS!$T$2:$T$996,""""),""""),IFNA(XLOOKUP(A112,PAGOS!$A$2:$A$996,PAGOS!$W$2:$W$996,""""),""""),IFNA(XLOOKUP(A112,PAGOS!$A$2:$A$996,PAGOS!$Z$2:$Z$9"&amp;"96,""""),""""),IFNA(XLOOKUP(A112,PAGOS!$A$2:$A$996,PAGOS!$AC$2:$AC$996,""""),""""),IFNA(XLOOKUP(A112,PAGOS!$A$2:$A$996,PAGOS!$AF$2:$AF$996,""""),""""),IFNA(XLOOKUP(A112,PAGOS!$A$2:$A$996,PAGOS!$AI$2:$AI$996,""""),""""),IFNA(XLOOKUP(A112,PAGOS!$A$2:$A$996,"&amp;"PAGOS!$AL$2:$AL$996,""""),"""")),IF(abonos&gt;0,IFERROR(TEXTJOIN("" + "",TRUE,UNIQUE(FILTER('ABONOS MENSUALIDADES'!$E$5:$E$500,'ABONOS MENSUALIDADES'!$C$5:$C$500=A112,'ABONOS MENSUALIDADES'!$D$5:$D$500=mes))),""""),metodoDirecto)))"),"")</f>
        <v/>
      </c>
      <c r="F112" s="51" t="str">
        <f t="array" ref="F112">IF(A112="","",LET(mes,DATE($E$2,MATCH($B$2,'ESTADO CONTABLE'!$A$5:$A$16,0),1),cobrarDesde,IFERROR(INDEX('BASE DE DATOSS'!I:I,ROW()-13),""),pausada,SUMPRODUCT((UPPER(TRIM('PAUSAS MENSUALIDADES'!$A$5:$A$500))=UPPER(TRIM(A112)))*('PAUSAS MENSUALIDADES'!$B$5:$B$500=mes)*(UPPER(TRIM('PAUSAS MENSUALIDADES'!$D$5:$D$500))="APLICAR"))&gt;0,esperadaBruta,MAX(IFNA(VLOOKUP(B112,COSTOS!$A$3:$B$13,2,FALSE),0)-150,0),IF(AND(cobrarDesde&lt;&gt;"",mes&lt;cobrarDesde),"AÚN NO INICIA",IF(pausada,"PAUSADA",IF(N(D112)&gt;=esperadaBruta,"COBRADA",IF(N(D112)&gt;0,"ABONO","PENDIENTE"))))))</f>
        <v/>
      </c>
      <c r="G112" s="79" t="str">
        <f t="array" ref="G112">IF(A112="","",IFERROR(INDEX('BASE DE DATOSS'!I:I,ROW()-13),""))</f>
        <v/>
      </c>
    </row>
    <row r="113">
      <c r="A113" s="51" t="str">
        <f t="array" ref="A113">IFERROR(INDEX('BASE DE DATOSS'!A:A,ROW()-13),"")</f>
        <v/>
      </c>
      <c r="B113" s="51" t="str">
        <f t="array" ref="B113">IF(A113="","",IFERROR(INDEX('BASE DE DATOSS'!C:C,ROW()-13),""))</f>
        <v/>
      </c>
      <c r="C113" s="62" t="str">
        <f t="array" ref="C113">IF(A113="","",LET(mes,DATE($E$2,MATCH($B$2,'ESTADO CONTABLE'!$A$5:$A$16,0),1),cobrarDesde,IFERROR(INDEX('BASE DE DATOSS'!I:I,ROW()-13),""),pausada,SUMPRODUCT((UPPER(TRIM('PAUSAS MENSUALIDADES'!$A$5:$A$500))=UPPER(TRIM(A113)))*('PAUSAS MENSUALIDADES'!$B$5:$B$500=mes)*(UPPER(TRIM('PAUSAS MENSUALIDADES'!$D$5:$D$500))="APLICAR"))&gt;0,IF(OR(AND(cobrarDesde&lt;&gt;"",mes&lt;cobrarDesde),pausada),0,MAX(IFNA(VLOOKUP(B113,COSTOS!$A$3:$B$13,2,FALSE),0)-150,0)/1.16)))</f>
        <v/>
      </c>
      <c r="D113" s="62" t="str">
        <f t="array" ref="D113">IF(A113="","",LET(mes,DATE($E$2,MATCH($B$2,'ESTADO CONTABLE'!$A$5:$A$16,0),1),abonos,SUMIFS('ABONOS MENSUALIDADES'!$F$5:$F$500,'ABONOS MENSUALIDADES'!$C$5:$C$500,A113,'ABONOS MENSUALIDADES'!$D$5:$D$500,mes),pago,CHOOSE(MATCH($B$2,'ESTADO CONTABLE'!$A$5:$A$16,0),IFNA(_xlfn.XLOOKUP(A113,PAGOS!$A$2:$A$996,PAGOS!$E$2:$E$996,""),""),IFNA(_xlfn.XLOOKUP(A113,PAGOS!$A$2:$A$996,PAGOS!$G$2:$G$996,""),""),IFNA(_xlfn.XLOOKUP(A113,PAGOS!$A$2:$A$996,PAGOS!$J$2:$J$996,""),""),IFNA(_xlfn.XLOOKUP(A113,PAGOS!$A$2:$A$996,PAGOS!$M$2:$M$996,""),""),IFNA(_xlfn.XLOOKUP(A113,PAGOS!$A$2:$A$996,PAGOS!$P$2:$P$996,""),""),IFNA(_xlfn.XLOOKUP(A113,PAGOS!$A$2:$A$996,PAGOS!$S$2:$S$996,""),""),IFNA(_xlfn.XLOOKUP(A113,PAGOS!$A$2:$A$996,PAGOS!$V$2:$V$996,""),""),IFNA(_xlfn.XLOOKUP(A113,PAGOS!$A$2:$A$996,PAGOS!$Y$2:$Y$996,""),""),IFNA(_xlfn.XLOOKUP(A113,PAGOS!$A$2:$A$996,PAGOS!$AB$2:$AB$996,""),""),IFNA(_xlfn.XLOOKUP(A113,PAGOS!$A$2:$A$996,PAGOS!$AE$2:$AE$996,""),""),IFNA(_xlfn.XLOOKUP(A113,PAGOS!$A$2:$A$996,PAGOS!$AH$2:$AH$996,""),""),IFNA(_xlfn.XLOOKUP(A113,PAGOS!$A$2:$A$996,PAGOS!$AK$2:$AK$996,""),"")),IF(abonos&gt;0,abonos,pago)))</f>
        <v/>
      </c>
      <c r="E113" s="51" t="str">
        <f>IFERROR(__xludf.DUMMYFUNCTION("IF(A113="""","""",LET(mes,DATE($E$2,MATCH($B$2,'ESTADO CONTABLE'!$A$5:$A$16,0),1),abonos,SUMIFS('ABONOS MENSUALIDADES'!$F$5:$F$500,'ABONOS MENSUALIDADES'!$C$5:$C$500,A113,'ABONOS MENSUALIDADES'!$D$5:$D$500,mes),metodoDirecto,CHOOSE(MATCH($B$2,'ESTADO CONT"&amp;"ABLE'!$A$5:$A$16,0),IF(ISNUMBER(D113),""POR CLASIFICAR"",""""),IFNA(XLOOKUP(A113,PAGOS!$A$2:$A$996,PAGOS!$H$2:$H$996,""""),""""),IFNA(XLOOKUP(A113,PAGOS!$A$2:$A$996,PAGOS!$K$2:$K$996,""""),""""),IFNA(XLOOKUP(A113,PAGOS!$A$2:$A$996,PAGOS!$N$2:$N$996,""""),"&amp;"""""),IFNA(XLOOKUP(A113,PAGOS!$A$2:$A$996,PAGOS!$Q$2:$Q$996,""""),""""),IFNA(XLOOKUP(A113,PAGOS!$A$2:$A$996,PAGOS!$T$2:$T$996,""""),""""),IFNA(XLOOKUP(A113,PAGOS!$A$2:$A$996,PAGOS!$W$2:$W$996,""""),""""),IFNA(XLOOKUP(A113,PAGOS!$A$2:$A$996,PAGOS!$Z$2:$Z$9"&amp;"96,""""),""""),IFNA(XLOOKUP(A113,PAGOS!$A$2:$A$996,PAGOS!$AC$2:$AC$996,""""),""""),IFNA(XLOOKUP(A113,PAGOS!$A$2:$A$996,PAGOS!$AF$2:$AF$996,""""),""""),IFNA(XLOOKUP(A113,PAGOS!$A$2:$A$996,PAGOS!$AI$2:$AI$996,""""),""""),IFNA(XLOOKUP(A113,PAGOS!$A$2:$A$996,"&amp;"PAGOS!$AL$2:$AL$996,""""),"""")),IF(abonos&gt;0,IFERROR(TEXTJOIN("" + "",TRUE,UNIQUE(FILTER('ABONOS MENSUALIDADES'!$E$5:$E$500,'ABONOS MENSUALIDADES'!$C$5:$C$500=A113,'ABONOS MENSUALIDADES'!$D$5:$D$500=mes))),""""),metodoDirecto)))"),"")</f>
        <v/>
      </c>
      <c r="F113" s="51" t="str">
        <f t="array" ref="F113">IF(A113="","",LET(mes,DATE($E$2,MATCH($B$2,'ESTADO CONTABLE'!$A$5:$A$16,0),1),cobrarDesde,IFERROR(INDEX('BASE DE DATOSS'!I:I,ROW()-13),""),pausada,SUMPRODUCT((UPPER(TRIM('PAUSAS MENSUALIDADES'!$A$5:$A$500))=UPPER(TRIM(A113)))*('PAUSAS MENSUALIDADES'!$B$5:$B$500=mes)*(UPPER(TRIM('PAUSAS MENSUALIDADES'!$D$5:$D$500))="APLICAR"))&gt;0,esperadaBruta,MAX(IFNA(VLOOKUP(B113,COSTOS!$A$3:$B$13,2,FALSE),0)-150,0),IF(AND(cobrarDesde&lt;&gt;"",mes&lt;cobrarDesde),"AÚN NO INICIA",IF(pausada,"PAUSADA",IF(N(D113)&gt;=esperadaBruta,"COBRADA",IF(N(D113)&gt;0,"ABONO","PENDIENTE"))))))</f>
        <v/>
      </c>
      <c r="G113" s="79" t="str">
        <f t="array" ref="G113">IF(A113="","",IFERROR(INDEX('BASE DE DATOSS'!I:I,ROW()-13),""))</f>
        <v/>
      </c>
    </row>
    <row r="114">
      <c r="A114" s="51" t="str">
        <f t="array" ref="A114">IFERROR(INDEX('BASE DE DATOSS'!A:A,ROW()-13),"")</f>
        <v/>
      </c>
      <c r="B114" s="51" t="str">
        <f t="array" ref="B114">IF(A114="","",IFERROR(INDEX('BASE DE DATOSS'!C:C,ROW()-13),""))</f>
        <v/>
      </c>
      <c r="C114" s="62" t="str">
        <f t="array" ref="C114">IF(A114="","",LET(mes,DATE($E$2,MATCH($B$2,'ESTADO CONTABLE'!$A$5:$A$16,0),1),cobrarDesde,IFERROR(INDEX('BASE DE DATOSS'!I:I,ROW()-13),""),pausada,SUMPRODUCT((UPPER(TRIM('PAUSAS MENSUALIDADES'!$A$5:$A$500))=UPPER(TRIM(A114)))*('PAUSAS MENSUALIDADES'!$B$5:$B$500=mes)*(UPPER(TRIM('PAUSAS MENSUALIDADES'!$D$5:$D$500))="APLICAR"))&gt;0,IF(OR(AND(cobrarDesde&lt;&gt;"",mes&lt;cobrarDesde),pausada),0,MAX(IFNA(VLOOKUP(B114,COSTOS!$A$3:$B$13,2,FALSE),0)-150,0)/1.16)))</f>
        <v/>
      </c>
      <c r="D114" s="62" t="str">
        <f t="array" ref="D114">IF(A114="","",LET(mes,DATE($E$2,MATCH($B$2,'ESTADO CONTABLE'!$A$5:$A$16,0),1),abonos,SUMIFS('ABONOS MENSUALIDADES'!$F$5:$F$500,'ABONOS MENSUALIDADES'!$C$5:$C$500,A114,'ABONOS MENSUALIDADES'!$D$5:$D$500,mes),pago,CHOOSE(MATCH($B$2,'ESTADO CONTABLE'!$A$5:$A$16,0),IFNA(_xlfn.XLOOKUP(A114,PAGOS!$A$2:$A$996,PAGOS!$E$2:$E$996,""),""),IFNA(_xlfn.XLOOKUP(A114,PAGOS!$A$2:$A$996,PAGOS!$G$2:$G$996,""),""),IFNA(_xlfn.XLOOKUP(A114,PAGOS!$A$2:$A$996,PAGOS!$J$2:$J$996,""),""),IFNA(_xlfn.XLOOKUP(A114,PAGOS!$A$2:$A$996,PAGOS!$M$2:$M$996,""),""),IFNA(_xlfn.XLOOKUP(A114,PAGOS!$A$2:$A$996,PAGOS!$P$2:$P$996,""),""),IFNA(_xlfn.XLOOKUP(A114,PAGOS!$A$2:$A$996,PAGOS!$S$2:$S$996,""),""),IFNA(_xlfn.XLOOKUP(A114,PAGOS!$A$2:$A$996,PAGOS!$V$2:$V$996,""),""),IFNA(_xlfn.XLOOKUP(A114,PAGOS!$A$2:$A$996,PAGOS!$Y$2:$Y$996,""),""),IFNA(_xlfn.XLOOKUP(A114,PAGOS!$A$2:$A$996,PAGOS!$AB$2:$AB$996,""),""),IFNA(_xlfn.XLOOKUP(A114,PAGOS!$A$2:$A$996,PAGOS!$AE$2:$AE$996,""),""),IFNA(_xlfn.XLOOKUP(A114,PAGOS!$A$2:$A$996,PAGOS!$AH$2:$AH$996,""),""),IFNA(_xlfn.XLOOKUP(A114,PAGOS!$A$2:$A$996,PAGOS!$AK$2:$AK$996,""),"")),IF(abonos&gt;0,abonos,pago)))</f>
        <v/>
      </c>
      <c r="E114" s="51" t="str">
        <f>IFERROR(__xludf.DUMMYFUNCTION("IF(A114="""","""",LET(mes,DATE($E$2,MATCH($B$2,'ESTADO CONTABLE'!$A$5:$A$16,0),1),abonos,SUMIFS('ABONOS MENSUALIDADES'!$F$5:$F$500,'ABONOS MENSUALIDADES'!$C$5:$C$500,A114,'ABONOS MENSUALIDADES'!$D$5:$D$500,mes),metodoDirecto,CHOOSE(MATCH($B$2,'ESTADO CONT"&amp;"ABLE'!$A$5:$A$16,0),IF(ISNUMBER(D114),""POR CLASIFICAR"",""""),IFNA(XLOOKUP(A114,PAGOS!$A$2:$A$996,PAGOS!$H$2:$H$996,""""),""""),IFNA(XLOOKUP(A114,PAGOS!$A$2:$A$996,PAGOS!$K$2:$K$996,""""),""""),IFNA(XLOOKUP(A114,PAGOS!$A$2:$A$996,PAGOS!$N$2:$N$996,""""),"&amp;"""""),IFNA(XLOOKUP(A114,PAGOS!$A$2:$A$996,PAGOS!$Q$2:$Q$996,""""),""""),IFNA(XLOOKUP(A114,PAGOS!$A$2:$A$996,PAGOS!$T$2:$T$996,""""),""""),IFNA(XLOOKUP(A114,PAGOS!$A$2:$A$996,PAGOS!$W$2:$W$996,""""),""""),IFNA(XLOOKUP(A114,PAGOS!$A$2:$A$996,PAGOS!$Z$2:$Z$9"&amp;"96,""""),""""),IFNA(XLOOKUP(A114,PAGOS!$A$2:$A$996,PAGOS!$AC$2:$AC$996,""""),""""),IFNA(XLOOKUP(A114,PAGOS!$A$2:$A$996,PAGOS!$AF$2:$AF$996,""""),""""),IFNA(XLOOKUP(A114,PAGOS!$A$2:$A$996,PAGOS!$AI$2:$AI$996,""""),""""),IFNA(XLOOKUP(A114,PAGOS!$A$2:$A$996,"&amp;"PAGOS!$AL$2:$AL$996,""""),"""")),IF(abonos&gt;0,IFERROR(TEXTJOIN("" + "",TRUE,UNIQUE(FILTER('ABONOS MENSUALIDADES'!$E$5:$E$500,'ABONOS MENSUALIDADES'!$C$5:$C$500=A114,'ABONOS MENSUALIDADES'!$D$5:$D$500=mes))),""""),metodoDirecto)))"),"")</f>
        <v/>
      </c>
      <c r="F114" s="51" t="str">
        <f t="array" ref="F114">IF(A114="","",LET(mes,DATE($E$2,MATCH($B$2,'ESTADO CONTABLE'!$A$5:$A$16,0),1),cobrarDesde,IFERROR(INDEX('BASE DE DATOSS'!I:I,ROW()-13),""),pausada,SUMPRODUCT((UPPER(TRIM('PAUSAS MENSUALIDADES'!$A$5:$A$500))=UPPER(TRIM(A114)))*('PAUSAS MENSUALIDADES'!$B$5:$B$500=mes)*(UPPER(TRIM('PAUSAS MENSUALIDADES'!$D$5:$D$500))="APLICAR"))&gt;0,esperadaBruta,MAX(IFNA(VLOOKUP(B114,COSTOS!$A$3:$B$13,2,FALSE),0)-150,0),IF(AND(cobrarDesde&lt;&gt;"",mes&lt;cobrarDesde),"AÚN NO INICIA",IF(pausada,"PAUSADA",IF(N(D114)&gt;=esperadaBruta,"COBRADA",IF(N(D114)&gt;0,"ABONO","PENDIENTE"))))))</f>
        <v/>
      </c>
      <c r="G114" s="79" t="str">
        <f t="array" ref="G114">IF(A114="","",IFERROR(INDEX('BASE DE DATOSS'!I:I,ROW()-13),""))</f>
        <v/>
      </c>
    </row>
    <row r="115">
      <c r="A115" s="51" t="str">
        <f t="array" ref="A115">IFERROR(INDEX('BASE DE DATOSS'!A:A,ROW()-13),"")</f>
        <v/>
      </c>
      <c r="B115" s="51" t="str">
        <f t="array" ref="B115">IF(A115="","",IFERROR(INDEX('BASE DE DATOSS'!C:C,ROW()-13),""))</f>
        <v/>
      </c>
      <c r="C115" s="62" t="str">
        <f t="array" ref="C115">IF(A115="","",LET(mes,DATE($E$2,MATCH($B$2,'ESTADO CONTABLE'!$A$5:$A$16,0),1),cobrarDesde,IFERROR(INDEX('BASE DE DATOSS'!I:I,ROW()-13),""),pausada,SUMPRODUCT((UPPER(TRIM('PAUSAS MENSUALIDADES'!$A$5:$A$500))=UPPER(TRIM(A115)))*('PAUSAS MENSUALIDADES'!$B$5:$B$500=mes)*(UPPER(TRIM('PAUSAS MENSUALIDADES'!$D$5:$D$500))="APLICAR"))&gt;0,IF(OR(AND(cobrarDesde&lt;&gt;"",mes&lt;cobrarDesde),pausada),0,MAX(IFNA(VLOOKUP(B115,COSTOS!$A$3:$B$13,2,FALSE),0)-150,0)/1.16)))</f>
        <v/>
      </c>
      <c r="D115" s="62" t="str">
        <f t="array" ref="D115">IF(A115="","",LET(mes,DATE($E$2,MATCH($B$2,'ESTADO CONTABLE'!$A$5:$A$16,0),1),abonos,SUMIFS('ABONOS MENSUALIDADES'!$F$5:$F$500,'ABONOS MENSUALIDADES'!$C$5:$C$500,A115,'ABONOS MENSUALIDADES'!$D$5:$D$500,mes),pago,CHOOSE(MATCH($B$2,'ESTADO CONTABLE'!$A$5:$A$16,0),IFNA(_xlfn.XLOOKUP(A115,PAGOS!$A$2:$A$996,PAGOS!$E$2:$E$996,""),""),IFNA(_xlfn.XLOOKUP(A115,PAGOS!$A$2:$A$996,PAGOS!$G$2:$G$996,""),""),IFNA(_xlfn.XLOOKUP(A115,PAGOS!$A$2:$A$996,PAGOS!$J$2:$J$996,""),""),IFNA(_xlfn.XLOOKUP(A115,PAGOS!$A$2:$A$996,PAGOS!$M$2:$M$996,""),""),IFNA(_xlfn.XLOOKUP(A115,PAGOS!$A$2:$A$996,PAGOS!$P$2:$P$996,""),""),IFNA(_xlfn.XLOOKUP(A115,PAGOS!$A$2:$A$996,PAGOS!$S$2:$S$996,""),""),IFNA(_xlfn.XLOOKUP(A115,PAGOS!$A$2:$A$996,PAGOS!$V$2:$V$996,""),""),IFNA(_xlfn.XLOOKUP(A115,PAGOS!$A$2:$A$996,PAGOS!$Y$2:$Y$996,""),""),IFNA(_xlfn.XLOOKUP(A115,PAGOS!$A$2:$A$996,PAGOS!$AB$2:$AB$996,""),""),IFNA(_xlfn.XLOOKUP(A115,PAGOS!$A$2:$A$996,PAGOS!$AE$2:$AE$996,""),""),IFNA(_xlfn.XLOOKUP(A115,PAGOS!$A$2:$A$996,PAGOS!$AH$2:$AH$996,""),""),IFNA(_xlfn.XLOOKUP(A115,PAGOS!$A$2:$A$996,PAGOS!$AK$2:$AK$996,""),"")),IF(abonos&gt;0,abonos,pago)))</f>
        <v/>
      </c>
      <c r="E115" s="51" t="str">
        <f>IFERROR(__xludf.DUMMYFUNCTION("IF(A115="""","""",LET(mes,DATE($E$2,MATCH($B$2,'ESTADO CONTABLE'!$A$5:$A$16,0),1),abonos,SUMIFS('ABONOS MENSUALIDADES'!$F$5:$F$500,'ABONOS MENSUALIDADES'!$C$5:$C$500,A115,'ABONOS MENSUALIDADES'!$D$5:$D$500,mes),metodoDirecto,CHOOSE(MATCH($B$2,'ESTADO CONT"&amp;"ABLE'!$A$5:$A$16,0),IF(ISNUMBER(D115),""POR CLASIFICAR"",""""),IFNA(XLOOKUP(A115,PAGOS!$A$2:$A$996,PAGOS!$H$2:$H$996,""""),""""),IFNA(XLOOKUP(A115,PAGOS!$A$2:$A$996,PAGOS!$K$2:$K$996,""""),""""),IFNA(XLOOKUP(A115,PAGOS!$A$2:$A$996,PAGOS!$N$2:$N$996,""""),"&amp;"""""),IFNA(XLOOKUP(A115,PAGOS!$A$2:$A$996,PAGOS!$Q$2:$Q$996,""""),""""),IFNA(XLOOKUP(A115,PAGOS!$A$2:$A$996,PAGOS!$T$2:$T$996,""""),""""),IFNA(XLOOKUP(A115,PAGOS!$A$2:$A$996,PAGOS!$W$2:$W$996,""""),""""),IFNA(XLOOKUP(A115,PAGOS!$A$2:$A$996,PAGOS!$Z$2:$Z$9"&amp;"96,""""),""""),IFNA(XLOOKUP(A115,PAGOS!$A$2:$A$996,PAGOS!$AC$2:$AC$996,""""),""""),IFNA(XLOOKUP(A115,PAGOS!$A$2:$A$996,PAGOS!$AF$2:$AF$996,""""),""""),IFNA(XLOOKUP(A115,PAGOS!$A$2:$A$996,PAGOS!$AI$2:$AI$996,""""),""""),IFNA(XLOOKUP(A115,PAGOS!$A$2:$A$996,"&amp;"PAGOS!$AL$2:$AL$996,""""),"""")),IF(abonos&gt;0,IFERROR(TEXTJOIN("" + "",TRUE,UNIQUE(FILTER('ABONOS MENSUALIDADES'!$E$5:$E$500,'ABONOS MENSUALIDADES'!$C$5:$C$500=A115,'ABONOS MENSUALIDADES'!$D$5:$D$500=mes))),""""),metodoDirecto)))"),"")</f>
        <v/>
      </c>
      <c r="F115" s="51" t="str">
        <f t="array" ref="F115">IF(A115="","",LET(mes,DATE($E$2,MATCH($B$2,'ESTADO CONTABLE'!$A$5:$A$16,0),1),cobrarDesde,IFERROR(INDEX('BASE DE DATOSS'!I:I,ROW()-13),""),pausada,SUMPRODUCT((UPPER(TRIM('PAUSAS MENSUALIDADES'!$A$5:$A$500))=UPPER(TRIM(A115)))*('PAUSAS MENSUALIDADES'!$B$5:$B$500=mes)*(UPPER(TRIM('PAUSAS MENSUALIDADES'!$D$5:$D$500))="APLICAR"))&gt;0,esperadaBruta,MAX(IFNA(VLOOKUP(B115,COSTOS!$A$3:$B$13,2,FALSE),0)-150,0),IF(AND(cobrarDesde&lt;&gt;"",mes&lt;cobrarDesde),"AÚN NO INICIA",IF(pausada,"PAUSADA",IF(N(D115)&gt;=esperadaBruta,"COBRADA",IF(N(D115)&gt;0,"ABONO","PENDIENTE"))))))</f>
        <v/>
      </c>
      <c r="G115" s="79" t="str">
        <f t="array" ref="G115">IF(A115="","",IFERROR(INDEX('BASE DE DATOSS'!I:I,ROW()-13),""))</f>
        <v/>
      </c>
    </row>
    <row r="116">
      <c r="A116" s="51" t="str">
        <f t="array" ref="A116">IFERROR(INDEX('BASE DE DATOSS'!A:A,ROW()-13),"")</f>
        <v/>
      </c>
      <c r="B116" s="51" t="str">
        <f t="array" ref="B116">IF(A116="","",IFERROR(INDEX('BASE DE DATOSS'!C:C,ROW()-13),""))</f>
        <v/>
      </c>
      <c r="C116" s="62" t="str">
        <f t="array" ref="C116">IF(A116="","",LET(mes,DATE($E$2,MATCH($B$2,'ESTADO CONTABLE'!$A$5:$A$16,0),1),cobrarDesde,IFERROR(INDEX('BASE DE DATOSS'!I:I,ROW()-13),""),pausada,SUMPRODUCT((UPPER(TRIM('PAUSAS MENSUALIDADES'!$A$5:$A$500))=UPPER(TRIM(A116)))*('PAUSAS MENSUALIDADES'!$B$5:$B$500=mes)*(UPPER(TRIM('PAUSAS MENSUALIDADES'!$D$5:$D$500))="APLICAR"))&gt;0,IF(OR(AND(cobrarDesde&lt;&gt;"",mes&lt;cobrarDesde),pausada),0,MAX(IFNA(VLOOKUP(B116,COSTOS!$A$3:$B$13,2,FALSE),0)-150,0)/1.16)))</f>
        <v/>
      </c>
      <c r="D116" s="62" t="str">
        <f t="array" ref="D116">IF(A116="","",LET(mes,DATE($E$2,MATCH($B$2,'ESTADO CONTABLE'!$A$5:$A$16,0),1),abonos,SUMIFS('ABONOS MENSUALIDADES'!$F$5:$F$500,'ABONOS MENSUALIDADES'!$C$5:$C$500,A116,'ABONOS MENSUALIDADES'!$D$5:$D$500,mes),pago,CHOOSE(MATCH($B$2,'ESTADO CONTABLE'!$A$5:$A$16,0),IFNA(_xlfn.XLOOKUP(A116,PAGOS!$A$2:$A$996,PAGOS!$E$2:$E$996,""),""),IFNA(_xlfn.XLOOKUP(A116,PAGOS!$A$2:$A$996,PAGOS!$G$2:$G$996,""),""),IFNA(_xlfn.XLOOKUP(A116,PAGOS!$A$2:$A$996,PAGOS!$J$2:$J$996,""),""),IFNA(_xlfn.XLOOKUP(A116,PAGOS!$A$2:$A$996,PAGOS!$M$2:$M$996,""),""),IFNA(_xlfn.XLOOKUP(A116,PAGOS!$A$2:$A$996,PAGOS!$P$2:$P$996,""),""),IFNA(_xlfn.XLOOKUP(A116,PAGOS!$A$2:$A$996,PAGOS!$S$2:$S$996,""),""),IFNA(_xlfn.XLOOKUP(A116,PAGOS!$A$2:$A$996,PAGOS!$V$2:$V$996,""),""),IFNA(_xlfn.XLOOKUP(A116,PAGOS!$A$2:$A$996,PAGOS!$Y$2:$Y$996,""),""),IFNA(_xlfn.XLOOKUP(A116,PAGOS!$A$2:$A$996,PAGOS!$AB$2:$AB$996,""),""),IFNA(_xlfn.XLOOKUP(A116,PAGOS!$A$2:$A$996,PAGOS!$AE$2:$AE$996,""),""),IFNA(_xlfn.XLOOKUP(A116,PAGOS!$A$2:$A$996,PAGOS!$AH$2:$AH$996,""),""),IFNA(_xlfn.XLOOKUP(A116,PAGOS!$A$2:$A$996,PAGOS!$AK$2:$AK$996,""),"")),IF(abonos&gt;0,abonos,pago)))</f>
        <v/>
      </c>
      <c r="E116" s="51" t="str">
        <f>IFERROR(__xludf.DUMMYFUNCTION("IF(A116="""","""",LET(mes,DATE($E$2,MATCH($B$2,'ESTADO CONTABLE'!$A$5:$A$16,0),1),abonos,SUMIFS('ABONOS MENSUALIDADES'!$F$5:$F$500,'ABONOS MENSUALIDADES'!$C$5:$C$500,A116,'ABONOS MENSUALIDADES'!$D$5:$D$500,mes),metodoDirecto,CHOOSE(MATCH($B$2,'ESTADO CONT"&amp;"ABLE'!$A$5:$A$16,0),IF(ISNUMBER(D116),""POR CLASIFICAR"",""""),IFNA(XLOOKUP(A116,PAGOS!$A$2:$A$996,PAGOS!$H$2:$H$996,""""),""""),IFNA(XLOOKUP(A116,PAGOS!$A$2:$A$996,PAGOS!$K$2:$K$996,""""),""""),IFNA(XLOOKUP(A116,PAGOS!$A$2:$A$996,PAGOS!$N$2:$N$996,""""),"&amp;"""""),IFNA(XLOOKUP(A116,PAGOS!$A$2:$A$996,PAGOS!$Q$2:$Q$996,""""),""""),IFNA(XLOOKUP(A116,PAGOS!$A$2:$A$996,PAGOS!$T$2:$T$996,""""),""""),IFNA(XLOOKUP(A116,PAGOS!$A$2:$A$996,PAGOS!$W$2:$W$996,""""),""""),IFNA(XLOOKUP(A116,PAGOS!$A$2:$A$996,PAGOS!$Z$2:$Z$9"&amp;"96,""""),""""),IFNA(XLOOKUP(A116,PAGOS!$A$2:$A$996,PAGOS!$AC$2:$AC$996,""""),""""),IFNA(XLOOKUP(A116,PAGOS!$A$2:$A$996,PAGOS!$AF$2:$AF$996,""""),""""),IFNA(XLOOKUP(A116,PAGOS!$A$2:$A$996,PAGOS!$AI$2:$AI$996,""""),""""),IFNA(XLOOKUP(A116,PAGOS!$A$2:$A$996,"&amp;"PAGOS!$AL$2:$AL$996,""""),"""")),IF(abonos&gt;0,IFERROR(TEXTJOIN("" + "",TRUE,UNIQUE(FILTER('ABONOS MENSUALIDADES'!$E$5:$E$500,'ABONOS MENSUALIDADES'!$C$5:$C$500=A116,'ABONOS MENSUALIDADES'!$D$5:$D$500=mes))),""""),metodoDirecto)))"),"")</f>
        <v/>
      </c>
      <c r="F116" s="51" t="str">
        <f t="array" ref="F116">IF(A116="","",LET(mes,DATE($E$2,MATCH($B$2,'ESTADO CONTABLE'!$A$5:$A$16,0),1),cobrarDesde,IFERROR(INDEX('BASE DE DATOSS'!I:I,ROW()-13),""),pausada,SUMPRODUCT((UPPER(TRIM('PAUSAS MENSUALIDADES'!$A$5:$A$500))=UPPER(TRIM(A116)))*('PAUSAS MENSUALIDADES'!$B$5:$B$500=mes)*(UPPER(TRIM('PAUSAS MENSUALIDADES'!$D$5:$D$500))="APLICAR"))&gt;0,esperadaBruta,MAX(IFNA(VLOOKUP(B116,COSTOS!$A$3:$B$13,2,FALSE),0)-150,0),IF(AND(cobrarDesde&lt;&gt;"",mes&lt;cobrarDesde),"AÚN NO INICIA",IF(pausada,"PAUSADA",IF(N(D116)&gt;=esperadaBruta,"COBRADA",IF(N(D116)&gt;0,"ABONO","PENDIENTE"))))))</f>
        <v/>
      </c>
      <c r="G116" s="79" t="str">
        <f t="array" ref="G116">IF(A116="","",IFERROR(INDEX('BASE DE DATOSS'!I:I,ROW()-13),""))</f>
        <v/>
      </c>
    </row>
    <row r="117">
      <c r="A117" s="51" t="str">
        <f t="array" ref="A117">IFERROR(INDEX('BASE DE DATOSS'!A:A,ROW()-13),"")</f>
        <v/>
      </c>
      <c r="B117" s="51" t="str">
        <f t="array" ref="B117">IF(A117="","",IFERROR(INDEX('BASE DE DATOSS'!C:C,ROW()-13),""))</f>
        <v/>
      </c>
      <c r="C117" s="62" t="str">
        <f t="array" ref="C117">IF(A117="","",LET(mes,DATE($E$2,MATCH($B$2,'ESTADO CONTABLE'!$A$5:$A$16,0),1),cobrarDesde,IFERROR(INDEX('BASE DE DATOSS'!I:I,ROW()-13),""),pausada,SUMPRODUCT((UPPER(TRIM('PAUSAS MENSUALIDADES'!$A$5:$A$500))=UPPER(TRIM(A117)))*('PAUSAS MENSUALIDADES'!$B$5:$B$500=mes)*(UPPER(TRIM('PAUSAS MENSUALIDADES'!$D$5:$D$500))="APLICAR"))&gt;0,IF(OR(AND(cobrarDesde&lt;&gt;"",mes&lt;cobrarDesde),pausada),0,MAX(IFNA(VLOOKUP(B117,COSTOS!$A$3:$B$13,2,FALSE),0)-150,0)/1.16)))</f>
        <v/>
      </c>
      <c r="D117" s="62" t="str">
        <f t="array" ref="D117">IF(A117="","",LET(mes,DATE($E$2,MATCH($B$2,'ESTADO CONTABLE'!$A$5:$A$16,0),1),abonos,SUMIFS('ABONOS MENSUALIDADES'!$F$5:$F$500,'ABONOS MENSUALIDADES'!$C$5:$C$500,A117,'ABONOS MENSUALIDADES'!$D$5:$D$500,mes),pago,CHOOSE(MATCH($B$2,'ESTADO CONTABLE'!$A$5:$A$16,0),IFNA(_xlfn.XLOOKUP(A117,PAGOS!$A$2:$A$996,PAGOS!$E$2:$E$996,""),""),IFNA(_xlfn.XLOOKUP(A117,PAGOS!$A$2:$A$996,PAGOS!$G$2:$G$996,""),""),IFNA(_xlfn.XLOOKUP(A117,PAGOS!$A$2:$A$996,PAGOS!$J$2:$J$996,""),""),IFNA(_xlfn.XLOOKUP(A117,PAGOS!$A$2:$A$996,PAGOS!$M$2:$M$996,""),""),IFNA(_xlfn.XLOOKUP(A117,PAGOS!$A$2:$A$996,PAGOS!$P$2:$P$996,""),""),IFNA(_xlfn.XLOOKUP(A117,PAGOS!$A$2:$A$996,PAGOS!$S$2:$S$996,""),""),IFNA(_xlfn.XLOOKUP(A117,PAGOS!$A$2:$A$996,PAGOS!$V$2:$V$996,""),""),IFNA(_xlfn.XLOOKUP(A117,PAGOS!$A$2:$A$996,PAGOS!$Y$2:$Y$996,""),""),IFNA(_xlfn.XLOOKUP(A117,PAGOS!$A$2:$A$996,PAGOS!$AB$2:$AB$996,""),""),IFNA(_xlfn.XLOOKUP(A117,PAGOS!$A$2:$A$996,PAGOS!$AE$2:$AE$996,""),""),IFNA(_xlfn.XLOOKUP(A117,PAGOS!$A$2:$A$996,PAGOS!$AH$2:$AH$996,""),""),IFNA(_xlfn.XLOOKUP(A117,PAGOS!$A$2:$A$996,PAGOS!$AK$2:$AK$996,""),"")),IF(abonos&gt;0,abonos,pago)))</f>
        <v/>
      </c>
      <c r="E117" s="51" t="str">
        <f>IFERROR(__xludf.DUMMYFUNCTION("IF(A117="""","""",LET(mes,DATE($E$2,MATCH($B$2,'ESTADO CONTABLE'!$A$5:$A$16,0),1),abonos,SUMIFS('ABONOS MENSUALIDADES'!$F$5:$F$500,'ABONOS MENSUALIDADES'!$C$5:$C$500,A117,'ABONOS MENSUALIDADES'!$D$5:$D$500,mes),metodoDirecto,CHOOSE(MATCH($B$2,'ESTADO CONT"&amp;"ABLE'!$A$5:$A$16,0),IF(ISNUMBER(D117),""POR CLASIFICAR"",""""),IFNA(XLOOKUP(A117,PAGOS!$A$2:$A$996,PAGOS!$H$2:$H$996,""""),""""),IFNA(XLOOKUP(A117,PAGOS!$A$2:$A$996,PAGOS!$K$2:$K$996,""""),""""),IFNA(XLOOKUP(A117,PAGOS!$A$2:$A$996,PAGOS!$N$2:$N$996,""""),"&amp;"""""),IFNA(XLOOKUP(A117,PAGOS!$A$2:$A$996,PAGOS!$Q$2:$Q$996,""""),""""),IFNA(XLOOKUP(A117,PAGOS!$A$2:$A$996,PAGOS!$T$2:$T$996,""""),""""),IFNA(XLOOKUP(A117,PAGOS!$A$2:$A$996,PAGOS!$W$2:$W$996,""""),""""),IFNA(XLOOKUP(A117,PAGOS!$A$2:$A$996,PAGOS!$Z$2:$Z$9"&amp;"96,""""),""""),IFNA(XLOOKUP(A117,PAGOS!$A$2:$A$996,PAGOS!$AC$2:$AC$996,""""),""""),IFNA(XLOOKUP(A117,PAGOS!$A$2:$A$996,PAGOS!$AF$2:$AF$996,""""),""""),IFNA(XLOOKUP(A117,PAGOS!$A$2:$A$996,PAGOS!$AI$2:$AI$996,""""),""""),IFNA(XLOOKUP(A117,PAGOS!$A$2:$A$996,"&amp;"PAGOS!$AL$2:$AL$996,""""),"""")),IF(abonos&gt;0,IFERROR(TEXTJOIN("" + "",TRUE,UNIQUE(FILTER('ABONOS MENSUALIDADES'!$E$5:$E$500,'ABONOS MENSUALIDADES'!$C$5:$C$500=A117,'ABONOS MENSUALIDADES'!$D$5:$D$500=mes))),""""),metodoDirecto)))"),"")</f>
        <v/>
      </c>
      <c r="F117" s="51" t="str">
        <f t="array" ref="F117">IF(A117="","",LET(mes,DATE($E$2,MATCH($B$2,'ESTADO CONTABLE'!$A$5:$A$16,0),1),cobrarDesde,IFERROR(INDEX('BASE DE DATOSS'!I:I,ROW()-13),""),pausada,SUMPRODUCT((UPPER(TRIM('PAUSAS MENSUALIDADES'!$A$5:$A$500))=UPPER(TRIM(A117)))*('PAUSAS MENSUALIDADES'!$B$5:$B$500=mes)*(UPPER(TRIM('PAUSAS MENSUALIDADES'!$D$5:$D$500))="APLICAR"))&gt;0,esperadaBruta,MAX(IFNA(VLOOKUP(B117,COSTOS!$A$3:$B$13,2,FALSE),0)-150,0),IF(AND(cobrarDesde&lt;&gt;"",mes&lt;cobrarDesde),"AÚN NO INICIA",IF(pausada,"PAUSADA",IF(N(D117)&gt;=esperadaBruta,"COBRADA",IF(N(D117)&gt;0,"ABONO","PENDIENTE"))))))</f>
        <v/>
      </c>
      <c r="G117" s="79" t="str">
        <f t="array" ref="G117">IF(A117="","",IFERROR(INDEX('BASE DE DATOSS'!I:I,ROW()-13),""))</f>
        <v/>
      </c>
    </row>
    <row r="118">
      <c r="A118" s="51" t="str">
        <f t="array" ref="A118">IFERROR(INDEX('BASE DE DATOSS'!A:A,ROW()-13),"")</f>
        <v/>
      </c>
      <c r="B118" s="51" t="str">
        <f t="array" ref="B118">IF(A118="","",IFERROR(INDEX('BASE DE DATOSS'!C:C,ROW()-13),""))</f>
        <v/>
      </c>
      <c r="C118" s="62" t="str">
        <f t="array" ref="C118">IF(A118="","",LET(mes,DATE($E$2,MATCH($B$2,'ESTADO CONTABLE'!$A$5:$A$16,0),1),cobrarDesde,IFERROR(INDEX('BASE DE DATOSS'!I:I,ROW()-13),""),pausada,SUMPRODUCT((UPPER(TRIM('PAUSAS MENSUALIDADES'!$A$5:$A$500))=UPPER(TRIM(A118)))*('PAUSAS MENSUALIDADES'!$B$5:$B$500=mes)*(UPPER(TRIM('PAUSAS MENSUALIDADES'!$D$5:$D$500))="APLICAR"))&gt;0,IF(OR(AND(cobrarDesde&lt;&gt;"",mes&lt;cobrarDesde),pausada),0,MAX(IFNA(VLOOKUP(B118,COSTOS!$A$3:$B$13,2,FALSE),0)-150,0)/1.16)))</f>
        <v/>
      </c>
      <c r="D118" s="62" t="str">
        <f t="array" ref="D118">IF(A118="","",LET(mes,DATE($E$2,MATCH($B$2,'ESTADO CONTABLE'!$A$5:$A$16,0),1),abonos,SUMIFS('ABONOS MENSUALIDADES'!$F$5:$F$500,'ABONOS MENSUALIDADES'!$C$5:$C$500,A118,'ABONOS MENSUALIDADES'!$D$5:$D$500,mes),pago,CHOOSE(MATCH($B$2,'ESTADO CONTABLE'!$A$5:$A$16,0),IFNA(_xlfn.XLOOKUP(A118,PAGOS!$A$2:$A$996,PAGOS!$E$2:$E$996,""),""),IFNA(_xlfn.XLOOKUP(A118,PAGOS!$A$2:$A$996,PAGOS!$G$2:$G$996,""),""),IFNA(_xlfn.XLOOKUP(A118,PAGOS!$A$2:$A$996,PAGOS!$J$2:$J$996,""),""),IFNA(_xlfn.XLOOKUP(A118,PAGOS!$A$2:$A$996,PAGOS!$M$2:$M$996,""),""),IFNA(_xlfn.XLOOKUP(A118,PAGOS!$A$2:$A$996,PAGOS!$P$2:$P$996,""),""),IFNA(_xlfn.XLOOKUP(A118,PAGOS!$A$2:$A$996,PAGOS!$S$2:$S$996,""),""),IFNA(_xlfn.XLOOKUP(A118,PAGOS!$A$2:$A$996,PAGOS!$V$2:$V$996,""),""),IFNA(_xlfn.XLOOKUP(A118,PAGOS!$A$2:$A$996,PAGOS!$Y$2:$Y$996,""),""),IFNA(_xlfn.XLOOKUP(A118,PAGOS!$A$2:$A$996,PAGOS!$AB$2:$AB$996,""),""),IFNA(_xlfn.XLOOKUP(A118,PAGOS!$A$2:$A$996,PAGOS!$AE$2:$AE$996,""),""),IFNA(_xlfn.XLOOKUP(A118,PAGOS!$A$2:$A$996,PAGOS!$AH$2:$AH$996,""),""),IFNA(_xlfn.XLOOKUP(A118,PAGOS!$A$2:$A$996,PAGOS!$AK$2:$AK$996,""),"")),IF(abonos&gt;0,abonos,pago)))</f>
        <v/>
      </c>
      <c r="E118" s="51" t="str">
        <f>IFERROR(__xludf.DUMMYFUNCTION("IF(A118="""","""",LET(mes,DATE($E$2,MATCH($B$2,'ESTADO CONTABLE'!$A$5:$A$16,0),1),abonos,SUMIFS('ABONOS MENSUALIDADES'!$F$5:$F$500,'ABONOS MENSUALIDADES'!$C$5:$C$500,A118,'ABONOS MENSUALIDADES'!$D$5:$D$500,mes),metodoDirecto,CHOOSE(MATCH($B$2,'ESTADO CONT"&amp;"ABLE'!$A$5:$A$16,0),IF(ISNUMBER(D118),""POR CLASIFICAR"",""""),IFNA(XLOOKUP(A118,PAGOS!$A$2:$A$996,PAGOS!$H$2:$H$996,""""),""""),IFNA(XLOOKUP(A118,PAGOS!$A$2:$A$996,PAGOS!$K$2:$K$996,""""),""""),IFNA(XLOOKUP(A118,PAGOS!$A$2:$A$996,PAGOS!$N$2:$N$996,""""),"&amp;"""""),IFNA(XLOOKUP(A118,PAGOS!$A$2:$A$996,PAGOS!$Q$2:$Q$996,""""),""""),IFNA(XLOOKUP(A118,PAGOS!$A$2:$A$996,PAGOS!$T$2:$T$996,""""),""""),IFNA(XLOOKUP(A118,PAGOS!$A$2:$A$996,PAGOS!$W$2:$W$996,""""),""""),IFNA(XLOOKUP(A118,PAGOS!$A$2:$A$996,PAGOS!$Z$2:$Z$9"&amp;"96,""""),""""),IFNA(XLOOKUP(A118,PAGOS!$A$2:$A$996,PAGOS!$AC$2:$AC$996,""""),""""),IFNA(XLOOKUP(A118,PAGOS!$A$2:$A$996,PAGOS!$AF$2:$AF$996,""""),""""),IFNA(XLOOKUP(A118,PAGOS!$A$2:$A$996,PAGOS!$AI$2:$AI$996,""""),""""),IFNA(XLOOKUP(A118,PAGOS!$A$2:$A$996,"&amp;"PAGOS!$AL$2:$AL$996,""""),"""")),IF(abonos&gt;0,IFERROR(TEXTJOIN("" + "",TRUE,UNIQUE(FILTER('ABONOS MENSUALIDADES'!$E$5:$E$500,'ABONOS MENSUALIDADES'!$C$5:$C$500=A118,'ABONOS MENSUALIDADES'!$D$5:$D$500=mes))),""""),metodoDirecto)))"),"")</f>
        <v/>
      </c>
      <c r="F118" s="51" t="str">
        <f t="array" ref="F118">IF(A118="","",LET(mes,DATE($E$2,MATCH($B$2,'ESTADO CONTABLE'!$A$5:$A$16,0),1),cobrarDesde,IFERROR(INDEX('BASE DE DATOSS'!I:I,ROW()-13),""),pausada,SUMPRODUCT((UPPER(TRIM('PAUSAS MENSUALIDADES'!$A$5:$A$500))=UPPER(TRIM(A118)))*('PAUSAS MENSUALIDADES'!$B$5:$B$500=mes)*(UPPER(TRIM('PAUSAS MENSUALIDADES'!$D$5:$D$500))="APLICAR"))&gt;0,esperadaBruta,MAX(IFNA(VLOOKUP(B118,COSTOS!$A$3:$B$13,2,FALSE),0)-150,0),IF(AND(cobrarDesde&lt;&gt;"",mes&lt;cobrarDesde),"AÚN NO INICIA",IF(pausada,"PAUSADA",IF(N(D118)&gt;=esperadaBruta,"COBRADA",IF(N(D118)&gt;0,"ABONO","PENDIENTE"))))))</f>
        <v/>
      </c>
      <c r="G118" s="79" t="str">
        <f t="array" ref="G118">IF(A118="","",IFERROR(INDEX('BASE DE DATOSS'!I:I,ROW()-13),""))</f>
        <v/>
      </c>
    </row>
    <row r="119">
      <c r="A119" s="51" t="str">
        <f t="array" ref="A119">IFERROR(INDEX('BASE DE DATOSS'!A:A,ROW()-13),"")</f>
        <v/>
      </c>
      <c r="B119" s="51" t="str">
        <f t="array" ref="B119">IF(A119="","",IFERROR(INDEX('BASE DE DATOSS'!C:C,ROW()-13),""))</f>
        <v/>
      </c>
      <c r="C119" s="62" t="str">
        <f t="array" ref="C119">IF(A119="","",LET(mes,DATE($E$2,MATCH($B$2,'ESTADO CONTABLE'!$A$5:$A$16,0),1),cobrarDesde,IFERROR(INDEX('BASE DE DATOSS'!I:I,ROW()-13),""),pausada,SUMPRODUCT((UPPER(TRIM('PAUSAS MENSUALIDADES'!$A$5:$A$500))=UPPER(TRIM(A119)))*('PAUSAS MENSUALIDADES'!$B$5:$B$500=mes)*(UPPER(TRIM('PAUSAS MENSUALIDADES'!$D$5:$D$500))="APLICAR"))&gt;0,IF(OR(AND(cobrarDesde&lt;&gt;"",mes&lt;cobrarDesde),pausada),0,MAX(IFNA(VLOOKUP(B119,COSTOS!$A$3:$B$13,2,FALSE),0)-150,0)/1.16)))</f>
        <v/>
      </c>
      <c r="D119" s="62" t="str">
        <f t="array" ref="D119">IF(A119="","",LET(mes,DATE($E$2,MATCH($B$2,'ESTADO CONTABLE'!$A$5:$A$16,0),1),abonos,SUMIFS('ABONOS MENSUALIDADES'!$F$5:$F$500,'ABONOS MENSUALIDADES'!$C$5:$C$500,A119,'ABONOS MENSUALIDADES'!$D$5:$D$500,mes),pago,CHOOSE(MATCH($B$2,'ESTADO CONTABLE'!$A$5:$A$16,0),IFNA(_xlfn.XLOOKUP(A119,PAGOS!$A$2:$A$996,PAGOS!$E$2:$E$996,""),""),IFNA(_xlfn.XLOOKUP(A119,PAGOS!$A$2:$A$996,PAGOS!$G$2:$G$996,""),""),IFNA(_xlfn.XLOOKUP(A119,PAGOS!$A$2:$A$996,PAGOS!$J$2:$J$996,""),""),IFNA(_xlfn.XLOOKUP(A119,PAGOS!$A$2:$A$996,PAGOS!$M$2:$M$996,""),""),IFNA(_xlfn.XLOOKUP(A119,PAGOS!$A$2:$A$996,PAGOS!$P$2:$P$996,""),""),IFNA(_xlfn.XLOOKUP(A119,PAGOS!$A$2:$A$996,PAGOS!$S$2:$S$996,""),""),IFNA(_xlfn.XLOOKUP(A119,PAGOS!$A$2:$A$996,PAGOS!$V$2:$V$996,""),""),IFNA(_xlfn.XLOOKUP(A119,PAGOS!$A$2:$A$996,PAGOS!$Y$2:$Y$996,""),""),IFNA(_xlfn.XLOOKUP(A119,PAGOS!$A$2:$A$996,PAGOS!$AB$2:$AB$996,""),""),IFNA(_xlfn.XLOOKUP(A119,PAGOS!$A$2:$A$996,PAGOS!$AE$2:$AE$996,""),""),IFNA(_xlfn.XLOOKUP(A119,PAGOS!$A$2:$A$996,PAGOS!$AH$2:$AH$996,""),""),IFNA(_xlfn.XLOOKUP(A119,PAGOS!$A$2:$A$996,PAGOS!$AK$2:$AK$996,""),"")),IF(abonos&gt;0,abonos,pago)))</f>
        <v/>
      </c>
      <c r="E119" s="51" t="str">
        <f>IFERROR(__xludf.DUMMYFUNCTION("IF(A119="""","""",LET(mes,DATE($E$2,MATCH($B$2,'ESTADO CONTABLE'!$A$5:$A$16,0),1),abonos,SUMIFS('ABONOS MENSUALIDADES'!$F$5:$F$500,'ABONOS MENSUALIDADES'!$C$5:$C$500,A119,'ABONOS MENSUALIDADES'!$D$5:$D$500,mes),metodoDirecto,CHOOSE(MATCH($B$2,'ESTADO CONT"&amp;"ABLE'!$A$5:$A$16,0),IF(ISNUMBER(D119),""POR CLASIFICAR"",""""),IFNA(XLOOKUP(A119,PAGOS!$A$2:$A$996,PAGOS!$H$2:$H$996,""""),""""),IFNA(XLOOKUP(A119,PAGOS!$A$2:$A$996,PAGOS!$K$2:$K$996,""""),""""),IFNA(XLOOKUP(A119,PAGOS!$A$2:$A$996,PAGOS!$N$2:$N$996,""""),"&amp;"""""),IFNA(XLOOKUP(A119,PAGOS!$A$2:$A$996,PAGOS!$Q$2:$Q$996,""""),""""),IFNA(XLOOKUP(A119,PAGOS!$A$2:$A$996,PAGOS!$T$2:$T$996,""""),""""),IFNA(XLOOKUP(A119,PAGOS!$A$2:$A$996,PAGOS!$W$2:$W$996,""""),""""),IFNA(XLOOKUP(A119,PAGOS!$A$2:$A$996,PAGOS!$Z$2:$Z$9"&amp;"96,""""),""""),IFNA(XLOOKUP(A119,PAGOS!$A$2:$A$996,PAGOS!$AC$2:$AC$996,""""),""""),IFNA(XLOOKUP(A119,PAGOS!$A$2:$A$996,PAGOS!$AF$2:$AF$996,""""),""""),IFNA(XLOOKUP(A119,PAGOS!$A$2:$A$996,PAGOS!$AI$2:$AI$996,""""),""""),IFNA(XLOOKUP(A119,PAGOS!$A$2:$A$996,"&amp;"PAGOS!$AL$2:$AL$996,""""),"""")),IF(abonos&gt;0,IFERROR(TEXTJOIN("" + "",TRUE,UNIQUE(FILTER('ABONOS MENSUALIDADES'!$E$5:$E$500,'ABONOS MENSUALIDADES'!$C$5:$C$500=A119,'ABONOS MENSUALIDADES'!$D$5:$D$500=mes))),""""),metodoDirecto)))"),"")</f>
        <v/>
      </c>
      <c r="F119" s="51" t="str">
        <f t="array" ref="F119">IF(A119="","",LET(mes,DATE($E$2,MATCH($B$2,'ESTADO CONTABLE'!$A$5:$A$16,0),1),cobrarDesde,IFERROR(INDEX('BASE DE DATOSS'!I:I,ROW()-13),""),pausada,SUMPRODUCT((UPPER(TRIM('PAUSAS MENSUALIDADES'!$A$5:$A$500))=UPPER(TRIM(A119)))*('PAUSAS MENSUALIDADES'!$B$5:$B$500=mes)*(UPPER(TRIM('PAUSAS MENSUALIDADES'!$D$5:$D$500))="APLICAR"))&gt;0,esperadaBruta,MAX(IFNA(VLOOKUP(B119,COSTOS!$A$3:$B$13,2,FALSE),0)-150,0),IF(AND(cobrarDesde&lt;&gt;"",mes&lt;cobrarDesde),"AÚN NO INICIA",IF(pausada,"PAUSADA",IF(N(D119)&gt;=esperadaBruta,"COBRADA",IF(N(D119)&gt;0,"ABONO","PENDIENTE"))))))</f>
        <v/>
      </c>
      <c r="G119" s="79" t="str">
        <f t="array" ref="G119">IF(A119="","",IFERROR(INDEX('BASE DE DATOSS'!I:I,ROW()-13),""))</f>
        <v/>
      </c>
    </row>
    <row r="120">
      <c r="A120" s="51" t="str">
        <f t="array" ref="A120">IFERROR(INDEX('BASE DE DATOSS'!A:A,ROW()-13),"")</f>
        <v/>
      </c>
      <c r="B120" s="51" t="str">
        <f t="array" ref="B120">IF(A120="","",IFERROR(INDEX('BASE DE DATOSS'!C:C,ROW()-13),""))</f>
        <v/>
      </c>
      <c r="C120" s="62" t="str">
        <f t="array" ref="C120">IF(A120="","",LET(mes,DATE($E$2,MATCH($B$2,'ESTADO CONTABLE'!$A$5:$A$16,0),1),cobrarDesde,IFERROR(INDEX('BASE DE DATOSS'!I:I,ROW()-13),""),pausada,SUMPRODUCT((UPPER(TRIM('PAUSAS MENSUALIDADES'!$A$5:$A$500))=UPPER(TRIM(A120)))*('PAUSAS MENSUALIDADES'!$B$5:$B$500=mes)*(UPPER(TRIM('PAUSAS MENSUALIDADES'!$D$5:$D$500))="APLICAR"))&gt;0,IF(OR(AND(cobrarDesde&lt;&gt;"",mes&lt;cobrarDesde),pausada),0,MAX(IFNA(VLOOKUP(B120,COSTOS!$A$3:$B$13,2,FALSE),0)-150,0)/1.16)))</f>
        <v/>
      </c>
      <c r="D120" s="62" t="str">
        <f t="array" ref="D120">IF(A120="","",LET(mes,DATE($E$2,MATCH($B$2,'ESTADO CONTABLE'!$A$5:$A$16,0),1),abonos,SUMIFS('ABONOS MENSUALIDADES'!$F$5:$F$500,'ABONOS MENSUALIDADES'!$C$5:$C$500,A120,'ABONOS MENSUALIDADES'!$D$5:$D$500,mes),pago,CHOOSE(MATCH($B$2,'ESTADO CONTABLE'!$A$5:$A$16,0),IFNA(_xlfn.XLOOKUP(A120,PAGOS!$A$2:$A$996,PAGOS!$E$2:$E$996,""),""),IFNA(_xlfn.XLOOKUP(A120,PAGOS!$A$2:$A$996,PAGOS!$G$2:$G$996,""),""),IFNA(_xlfn.XLOOKUP(A120,PAGOS!$A$2:$A$996,PAGOS!$J$2:$J$996,""),""),IFNA(_xlfn.XLOOKUP(A120,PAGOS!$A$2:$A$996,PAGOS!$M$2:$M$996,""),""),IFNA(_xlfn.XLOOKUP(A120,PAGOS!$A$2:$A$996,PAGOS!$P$2:$P$996,""),""),IFNA(_xlfn.XLOOKUP(A120,PAGOS!$A$2:$A$996,PAGOS!$S$2:$S$996,""),""),IFNA(_xlfn.XLOOKUP(A120,PAGOS!$A$2:$A$996,PAGOS!$V$2:$V$996,""),""),IFNA(_xlfn.XLOOKUP(A120,PAGOS!$A$2:$A$996,PAGOS!$Y$2:$Y$996,""),""),IFNA(_xlfn.XLOOKUP(A120,PAGOS!$A$2:$A$996,PAGOS!$AB$2:$AB$996,""),""),IFNA(_xlfn.XLOOKUP(A120,PAGOS!$A$2:$A$996,PAGOS!$AE$2:$AE$996,""),""),IFNA(_xlfn.XLOOKUP(A120,PAGOS!$A$2:$A$996,PAGOS!$AH$2:$AH$996,""),""),IFNA(_xlfn.XLOOKUP(A120,PAGOS!$A$2:$A$996,PAGOS!$AK$2:$AK$996,""),"")),IF(abonos&gt;0,abonos,pago)))</f>
        <v/>
      </c>
      <c r="E120" s="51" t="str">
        <f>IFERROR(__xludf.DUMMYFUNCTION("IF(A120="""","""",LET(mes,DATE($E$2,MATCH($B$2,'ESTADO CONTABLE'!$A$5:$A$16,0),1),abonos,SUMIFS('ABONOS MENSUALIDADES'!$F$5:$F$500,'ABONOS MENSUALIDADES'!$C$5:$C$500,A120,'ABONOS MENSUALIDADES'!$D$5:$D$500,mes),metodoDirecto,CHOOSE(MATCH($B$2,'ESTADO CONT"&amp;"ABLE'!$A$5:$A$16,0),IF(ISNUMBER(D120),""POR CLASIFICAR"",""""),IFNA(XLOOKUP(A120,PAGOS!$A$2:$A$996,PAGOS!$H$2:$H$996,""""),""""),IFNA(XLOOKUP(A120,PAGOS!$A$2:$A$996,PAGOS!$K$2:$K$996,""""),""""),IFNA(XLOOKUP(A120,PAGOS!$A$2:$A$996,PAGOS!$N$2:$N$996,""""),"&amp;"""""),IFNA(XLOOKUP(A120,PAGOS!$A$2:$A$996,PAGOS!$Q$2:$Q$996,""""),""""),IFNA(XLOOKUP(A120,PAGOS!$A$2:$A$996,PAGOS!$T$2:$T$996,""""),""""),IFNA(XLOOKUP(A120,PAGOS!$A$2:$A$996,PAGOS!$W$2:$W$996,""""),""""),IFNA(XLOOKUP(A120,PAGOS!$A$2:$A$996,PAGOS!$Z$2:$Z$9"&amp;"96,""""),""""),IFNA(XLOOKUP(A120,PAGOS!$A$2:$A$996,PAGOS!$AC$2:$AC$996,""""),""""),IFNA(XLOOKUP(A120,PAGOS!$A$2:$A$996,PAGOS!$AF$2:$AF$996,""""),""""),IFNA(XLOOKUP(A120,PAGOS!$A$2:$A$996,PAGOS!$AI$2:$AI$996,""""),""""),IFNA(XLOOKUP(A120,PAGOS!$A$2:$A$996,"&amp;"PAGOS!$AL$2:$AL$996,""""),"""")),IF(abonos&gt;0,IFERROR(TEXTJOIN("" + "",TRUE,UNIQUE(FILTER('ABONOS MENSUALIDADES'!$E$5:$E$500,'ABONOS MENSUALIDADES'!$C$5:$C$500=A120,'ABONOS MENSUALIDADES'!$D$5:$D$500=mes))),""""),metodoDirecto)))"),"")</f>
        <v/>
      </c>
      <c r="F120" s="51" t="str">
        <f t="array" ref="F120">IF(A120="","",LET(mes,DATE($E$2,MATCH($B$2,'ESTADO CONTABLE'!$A$5:$A$16,0),1),cobrarDesde,IFERROR(INDEX('BASE DE DATOSS'!I:I,ROW()-13),""),pausada,SUMPRODUCT((UPPER(TRIM('PAUSAS MENSUALIDADES'!$A$5:$A$500))=UPPER(TRIM(A120)))*('PAUSAS MENSUALIDADES'!$B$5:$B$500=mes)*(UPPER(TRIM('PAUSAS MENSUALIDADES'!$D$5:$D$500))="APLICAR"))&gt;0,esperadaBruta,MAX(IFNA(VLOOKUP(B120,COSTOS!$A$3:$B$13,2,FALSE),0)-150,0),IF(AND(cobrarDesde&lt;&gt;"",mes&lt;cobrarDesde),"AÚN NO INICIA",IF(pausada,"PAUSADA",IF(N(D120)&gt;=esperadaBruta,"COBRADA",IF(N(D120)&gt;0,"ABONO","PENDIENTE"))))))</f>
        <v/>
      </c>
      <c r="G120" s="79" t="str">
        <f t="array" ref="G120">IF(A120="","",IFERROR(INDEX('BASE DE DATOSS'!I:I,ROW()-13),""))</f>
        <v/>
      </c>
    </row>
    <row r="121">
      <c r="A121" s="51" t="str">
        <f t="array" ref="A121">IFERROR(INDEX('BASE DE DATOSS'!A:A,ROW()-13),"")</f>
        <v/>
      </c>
      <c r="B121" s="51" t="str">
        <f t="array" ref="B121">IF(A121="","",IFERROR(INDEX('BASE DE DATOSS'!C:C,ROW()-13),""))</f>
        <v/>
      </c>
      <c r="C121" s="62" t="str">
        <f t="array" ref="C121">IF(A121="","",LET(mes,DATE($E$2,MATCH($B$2,'ESTADO CONTABLE'!$A$5:$A$16,0),1),cobrarDesde,IFERROR(INDEX('BASE DE DATOSS'!I:I,ROW()-13),""),pausada,SUMPRODUCT((UPPER(TRIM('PAUSAS MENSUALIDADES'!$A$5:$A$500))=UPPER(TRIM(A121)))*('PAUSAS MENSUALIDADES'!$B$5:$B$500=mes)*(UPPER(TRIM('PAUSAS MENSUALIDADES'!$D$5:$D$500))="APLICAR"))&gt;0,IF(OR(AND(cobrarDesde&lt;&gt;"",mes&lt;cobrarDesde),pausada),0,MAX(IFNA(VLOOKUP(B121,COSTOS!$A$3:$B$13,2,FALSE),0)-150,0)/1.16)))</f>
        <v/>
      </c>
      <c r="D121" s="62" t="str">
        <f t="array" ref="D121">IF(A121="","",LET(mes,DATE($E$2,MATCH($B$2,'ESTADO CONTABLE'!$A$5:$A$16,0),1),abonos,SUMIFS('ABONOS MENSUALIDADES'!$F$5:$F$500,'ABONOS MENSUALIDADES'!$C$5:$C$500,A121,'ABONOS MENSUALIDADES'!$D$5:$D$500,mes),pago,CHOOSE(MATCH($B$2,'ESTADO CONTABLE'!$A$5:$A$16,0),IFNA(_xlfn.XLOOKUP(A121,PAGOS!$A$2:$A$996,PAGOS!$E$2:$E$996,""),""),IFNA(_xlfn.XLOOKUP(A121,PAGOS!$A$2:$A$996,PAGOS!$G$2:$G$996,""),""),IFNA(_xlfn.XLOOKUP(A121,PAGOS!$A$2:$A$996,PAGOS!$J$2:$J$996,""),""),IFNA(_xlfn.XLOOKUP(A121,PAGOS!$A$2:$A$996,PAGOS!$M$2:$M$996,""),""),IFNA(_xlfn.XLOOKUP(A121,PAGOS!$A$2:$A$996,PAGOS!$P$2:$P$996,""),""),IFNA(_xlfn.XLOOKUP(A121,PAGOS!$A$2:$A$996,PAGOS!$S$2:$S$996,""),""),IFNA(_xlfn.XLOOKUP(A121,PAGOS!$A$2:$A$996,PAGOS!$V$2:$V$996,""),""),IFNA(_xlfn.XLOOKUP(A121,PAGOS!$A$2:$A$996,PAGOS!$Y$2:$Y$996,""),""),IFNA(_xlfn.XLOOKUP(A121,PAGOS!$A$2:$A$996,PAGOS!$AB$2:$AB$996,""),""),IFNA(_xlfn.XLOOKUP(A121,PAGOS!$A$2:$A$996,PAGOS!$AE$2:$AE$996,""),""),IFNA(_xlfn.XLOOKUP(A121,PAGOS!$A$2:$A$996,PAGOS!$AH$2:$AH$996,""),""),IFNA(_xlfn.XLOOKUP(A121,PAGOS!$A$2:$A$996,PAGOS!$AK$2:$AK$996,""),"")),IF(abonos&gt;0,abonos,pago)))</f>
        <v/>
      </c>
      <c r="E121" s="51" t="str">
        <f>IFERROR(__xludf.DUMMYFUNCTION("IF(A121="""","""",LET(mes,DATE($E$2,MATCH($B$2,'ESTADO CONTABLE'!$A$5:$A$16,0),1),abonos,SUMIFS('ABONOS MENSUALIDADES'!$F$5:$F$500,'ABONOS MENSUALIDADES'!$C$5:$C$500,A121,'ABONOS MENSUALIDADES'!$D$5:$D$500,mes),metodoDirecto,CHOOSE(MATCH($B$2,'ESTADO CONT"&amp;"ABLE'!$A$5:$A$16,0),IF(ISNUMBER(D121),""POR CLASIFICAR"",""""),IFNA(XLOOKUP(A121,PAGOS!$A$2:$A$996,PAGOS!$H$2:$H$996,""""),""""),IFNA(XLOOKUP(A121,PAGOS!$A$2:$A$996,PAGOS!$K$2:$K$996,""""),""""),IFNA(XLOOKUP(A121,PAGOS!$A$2:$A$996,PAGOS!$N$2:$N$996,""""),"&amp;"""""),IFNA(XLOOKUP(A121,PAGOS!$A$2:$A$996,PAGOS!$Q$2:$Q$996,""""),""""),IFNA(XLOOKUP(A121,PAGOS!$A$2:$A$996,PAGOS!$T$2:$T$996,""""),""""),IFNA(XLOOKUP(A121,PAGOS!$A$2:$A$996,PAGOS!$W$2:$W$996,""""),""""),IFNA(XLOOKUP(A121,PAGOS!$A$2:$A$996,PAGOS!$Z$2:$Z$9"&amp;"96,""""),""""),IFNA(XLOOKUP(A121,PAGOS!$A$2:$A$996,PAGOS!$AC$2:$AC$996,""""),""""),IFNA(XLOOKUP(A121,PAGOS!$A$2:$A$996,PAGOS!$AF$2:$AF$996,""""),""""),IFNA(XLOOKUP(A121,PAGOS!$A$2:$A$996,PAGOS!$AI$2:$AI$996,""""),""""),IFNA(XLOOKUP(A121,PAGOS!$A$2:$A$996,"&amp;"PAGOS!$AL$2:$AL$996,""""),"""")),IF(abonos&gt;0,IFERROR(TEXTJOIN("" + "",TRUE,UNIQUE(FILTER('ABONOS MENSUALIDADES'!$E$5:$E$500,'ABONOS MENSUALIDADES'!$C$5:$C$500=A121,'ABONOS MENSUALIDADES'!$D$5:$D$500=mes))),""""),metodoDirecto)))"),"")</f>
        <v/>
      </c>
      <c r="F121" s="51" t="str">
        <f t="array" ref="F121">IF(A121="","",LET(mes,DATE($E$2,MATCH($B$2,'ESTADO CONTABLE'!$A$5:$A$16,0),1),cobrarDesde,IFERROR(INDEX('BASE DE DATOSS'!I:I,ROW()-13),""),pausada,SUMPRODUCT((UPPER(TRIM('PAUSAS MENSUALIDADES'!$A$5:$A$500))=UPPER(TRIM(A121)))*('PAUSAS MENSUALIDADES'!$B$5:$B$500=mes)*(UPPER(TRIM('PAUSAS MENSUALIDADES'!$D$5:$D$500))="APLICAR"))&gt;0,esperadaBruta,MAX(IFNA(VLOOKUP(B121,COSTOS!$A$3:$B$13,2,FALSE),0)-150,0),IF(AND(cobrarDesde&lt;&gt;"",mes&lt;cobrarDesde),"AÚN NO INICIA",IF(pausada,"PAUSADA",IF(N(D121)&gt;=esperadaBruta,"COBRADA",IF(N(D121)&gt;0,"ABONO","PENDIENTE"))))))</f>
        <v/>
      </c>
      <c r="G121" s="79" t="str">
        <f t="array" ref="G121">IF(A121="","",IFERROR(INDEX('BASE DE DATOSS'!I:I,ROW()-13),""))</f>
        <v/>
      </c>
    </row>
    <row r="122">
      <c r="A122" s="51" t="str">
        <f t="array" ref="A122">IFERROR(INDEX('BASE DE DATOSS'!A:A,ROW()-13),"")</f>
        <v/>
      </c>
      <c r="B122" s="51" t="str">
        <f t="array" ref="B122">IF(A122="","",IFERROR(INDEX('BASE DE DATOSS'!C:C,ROW()-13),""))</f>
        <v/>
      </c>
      <c r="C122" s="62" t="str">
        <f t="array" ref="C122">IF(A122="","",LET(mes,DATE($E$2,MATCH($B$2,'ESTADO CONTABLE'!$A$5:$A$16,0),1),cobrarDesde,IFERROR(INDEX('BASE DE DATOSS'!I:I,ROW()-13),""),pausada,SUMPRODUCT((UPPER(TRIM('PAUSAS MENSUALIDADES'!$A$5:$A$500))=UPPER(TRIM(A122)))*('PAUSAS MENSUALIDADES'!$B$5:$B$500=mes)*(UPPER(TRIM('PAUSAS MENSUALIDADES'!$D$5:$D$500))="APLICAR"))&gt;0,IF(OR(AND(cobrarDesde&lt;&gt;"",mes&lt;cobrarDesde),pausada),0,MAX(IFNA(VLOOKUP(B122,COSTOS!$A$3:$B$13,2,FALSE),0)-150,0)/1.16)))</f>
        <v/>
      </c>
      <c r="D122" s="62" t="str">
        <f t="array" ref="D122">IF(A122="","",LET(mes,DATE($E$2,MATCH($B$2,'ESTADO CONTABLE'!$A$5:$A$16,0),1),abonos,SUMIFS('ABONOS MENSUALIDADES'!$F$5:$F$500,'ABONOS MENSUALIDADES'!$C$5:$C$500,A122,'ABONOS MENSUALIDADES'!$D$5:$D$500,mes),pago,CHOOSE(MATCH($B$2,'ESTADO CONTABLE'!$A$5:$A$16,0),IFNA(_xlfn.XLOOKUP(A122,PAGOS!$A$2:$A$996,PAGOS!$E$2:$E$996,""),""),IFNA(_xlfn.XLOOKUP(A122,PAGOS!$A$2:$A$996,PAGOS!$G$2:$G$996,""),""),IFNA(_xlfn.XLOOKUP(A122,PAGOS!$A$2:$A$996,PAGOS!$J$2:$J$996,""),""),IFNA(_xlfn.XLOOKUP(A122,PAGOS!$A$2:$A$996,PAGOS!$M$2:$M$996,""),""),IFNA(_xlfn.XLOOKUP(A122,PAGOS!$A$2:$A$996,PAGOS!$P$2:$P$996,""),""),IFNA(_xlfn.XLOOKUP(A122,PAGOS!$A$2:$A$996,PAGOS!$S$2:$S$996,""),""),IFNA(_xlfn.XLOOKUP(A122,PAGOS!$A$2:$A$996,PAGOS!$V$2:$V$996,""),""),IFNA(_xlfn.XLOOKUP(A122,PAGOS!$A$2:$A$996,PAGOS!$Y$2:$Y$996,""),""),IFNA(_xlfn.XLOOKUP(A122,PAGOS!$A$2:$A$996,PAGOS!$AB$2:$AB$996,""),""),IFNA(_xlfn.XLOOKUP(A122,PAGOS!$A$2:$A$996,PAGOS!$AE$2:$AE$996,""),""),IFNA(_xlfn.XLOOKUP(A122,PAGOS!$A$2:$A$996,PAGOS!$AH$2:$AH$996,""),""),IFNA(_xlfn.XLOOKUP(A122,PAGOS!$A$2:$A$996,PAGOS!$AK$2:$AK$996,""),"")),IF(abonos&gt;0,abonos,pago)))</f>
        <v/>
      </c>
      <c r="E122" s="51" t="str">
        <f>IFERROR(__xludf.DUMMYFUNCTION("IF(A122="""","""",LET(mes,DATE($E$2,MATCH($B$2,'ESTADO CONTABLE'!$A$5:$A$16,0),1),abonos,SUMIFS('ABONOS MENSUALIDADES'!$F$5:$F$500,'ABONOS MENSUALIDADES'!$C$5:$C$500,A122,'ABONOS MENSUALIDADES'!$D$5:$D$500,mes),metodoDirecto,CHOOSE(MATCH($B$2,'ESTADO CONT"&amp;"ABLE'!$A$5:$A$16,0),IF(ISNUMBER(D122),""POR CLASIFICAR"",""""),IFNA(XLOOKUP(A122,PAGOS!$A$2:$A$996,PAGOS!$H$2:$H$996,""""),""""),IFNA(XLOOKUP(A122,PAGOS!$A$2:$A$996,PAGOS!$K$2:$K$996,""""),""""),IFNA(XLOOKUP(A122,PAGOS!$A$2:$A$996,PAGOS!$N$2:$N$996,""""),"&amp;"""""),IFNA(XLOOKUP(A122,PAGOS!$A$2:$A$996,PAGOS!$Q$2:$Q$996,""""),""""),IFNA(XLOOKUP(A122,PAGOS!$A$2:$A$996,PAGOS!$T$2:$T$996,""""),""""),IFNA(XLOOKUP(A122,PAGOS!$A$2:$A$996,PAGOS!$W$2:$W$996,""""),""""),IFNA(XLOOKUP(A122,PAGOS!$A$2:$A$996,PAGOS!$Z$2:$Z$9"&amp;"96,""""),""""),IFNA(XLOOKUP(A122,PAGOS!$A$2:$A$996,PAGOS!$AC$2:$AC$996,""""),""""),IFNA(XLOOKUP(A122,PAGOS!$A$2:$A$996,PAGOS!$AF$2:$AF$996,""""),""""),IFNA(XLOOKUP(A122,PAGOS!$A$2:$A$996,PAGOS!$AI$2:$AI$996,""""),""""),IFNA(XLOOKUP(A122,PAGOS!$A$2:$A$996,"&amp;"PAGOS!$AL$2:$AL$996,""""),"""")),IF(abonos&gt;0,IFERROR(TEXTJOIN("" + "",TRUE,UNIQUE(FILTER('ABONOS MENSUALIDADES'!$E$5:$E$500,'ABONOS MENSUALIDADES'!$C$5:$C$500=A122,'ABONOS MENSUALIDADES'!$D$5:$D$500=mes))),""""),metodoDirecto)))"),"")</f>
        <v/>
      </c>
      <c r="F122" s="51" t="str">
        <f t="array" ref="F122">IF(A122="","",LET(mes,DATE($E$2,MATCH($B$2,'ESTADO CONTABLE'!$A$5:$A$16,0),1),cobrarDesde,IFERROR(INDEX('BASE DE DATOSS'!I:I,ROW()-13),""),pausada,SUMPRODUCT((UPPER(TRIM('PAUSAS MENSUALIDADES'!$A$5:$A$500))=UPPER(TRIM(A122)))*('PAUSAS MENSUALIDADES'!$B$5:$B$500=mes)*(UPPER(TRIM('PAUSAS MENSUALIDADES'!$D$5:$D$500))="APLICAR"))&gt;0,esperadaBruta,MAX(IFNA(VLOOKUP(B122,COSTOS!$A$3:$B$13,2,FALSE),0)-150,0),IF(AND(cobrarDesde&lt;&gt;"",mes&lt;cobrarDesde),"AÚN NO INICIA",IF(pausada,"PAUSADA",IF(N(D122)&gt;=esperadaBruta,"COBRADA",IF(N(D122)&gt;0,"ABONO","PENDIENTE"))))))</f>
        <v/>
      </c>
      <c r="G122" s="79" t="str">
        <f t="array" ref="G122">IF(A122="","",IFERROR(INDEX('BASE DE DATOSS'!I:I,ROW()-13),""))</f>
        <v/>
      </c>
    </row>
    <row r="123">
      <c r="A123" s="51" t="str">
        <f t="array" ref="A123">IFERROR(INDEX('BASE DE DATOSS'!A:A,ROW()-13),"")</f>
        <v/>
      </c>
      <c r="B123" s="51" t="str">
        <f t="array" ref="B123">IF(A123="","",IFERROR(INDEX('BASE DE DATOSS'!C:C,ROW()-13),""))</f>
        <v/>
      </c>
      <c r="C123" s="62" t="str">
        <f t="array" ref="C123">IF(A123="","",LET(mes,DATE($E$2,MATCH($B$2,'ESTADO CONTABLE'!$A$5:$A$16,0),1),cobrarDesde,IFERROR(INDEX('BASE DE DATOSS'!I:I,ROW()-13),""),pausada,SUMPRODUCT((UPPER(TRIM('PAUSAS MENSUALIDADES'!$A$5:$A$500))=UPPER(TRIM(A123)))*('PAUSAS MENSUALIDADES'!$B$5:$B$500=mes)*(UPPER(TRIM('PAUSAS MENSUALIDADES'!$D$5:$D$500))="APLICAR"))&gt;0,IF(OR(AND(cobrarDesde&lt;&gt;"",mes&lt;cobrarDesde),pausada),0,MAX(IFNA(VLOOKUP(B123,COSTOS!$A$3:$B$13,2,FALSE),0)-150,0)/1.16)))</f>
        <v/>
      </c>
      <c r="D123" s="62" t="str">
        <f t="array" ref="D123">IF(A123="","",LET(mes,DATE($E$2,MATCH($B$2,'ESTADO CONTABLE'!$A$5:$A$16,0),1),abonos,SUMIFS('ABONOS MENSUALIDADES'!$F$5:$F$500,'ABONOS MENSUALIDADES'!$C$5:$C$500,A123,'ABONOS MENSUALIDADES'!$D$5:$D$500,mes),pago,CHOOSE(MATCH($B$2,'ESTADO CONTABLE'!$A$5:$A$16,0),IFNA(_xlfn.XLOOKUP(A123,PAGOS!$A$2:$A$996,PAGOS!$E$2:$E$996,""),""),IFNA(_xlfn.XLOOKUP(A123,PAGOS!$A$2:$A$996,PAGOS!$G$2:$G$996,""),""),IFNA(_xlfn.XLOOKUP(A123,PAGOS!$A$2:$A$996,PAGOS!$J$2:$J$996,""),""),IFNA(_xlfn.XLOOKUP(A123,PAGOS!$A$2:$A$996,PAGOS!$M$2:$M$996,""),""),IFNA(_xlfn.XLOOKUP(A123,PAGOS!$A$2:$A$996,PAGOS!$P$2:$P$996,""),""),IFNA(_xlfn.XLOOKUP(A123,PAGOS!$A$2:$A$996,PAGOS!$S$2:$S$996,""),""),IFNA(_xlfn.XLOOKUP(A123,PAGOS!$A$2:$A$996,PAGOS!$V$2:$V$996,""),""),IFNA(_xlfn.XLOOKUP(A123,PAGOS!$A$2:$A$996,PAGOS!$Y$2:$Y$996,""),""),IFNA(_xlfn.XLOOKUP(A123,PAGOS!$A$2:$A$996,PAGOS!$AB$2:$AB$996,""),""),IFNA(_xlfn.XLOOKUP(A123,PAGOS!$A$2:$A$996,PAGOS!$AE$2:$AE$996,""),""),IFNA(_xlfn.XLOOKUP(A123,PAGOS!$A$2:$A$996,PAGOS!$AH$2:$AH$996,""),""),IFNA(_xlfn.XLOOKUP(A123,PAGOS!$A$2:$A$996,PAGOS!$AK$2:$AK$996,""),"")),IF(abonos&gt;0,abonos,pago)))</f>
        <v/>
      </c>
      <c r="E123" s="51" t="str">
        <f>IFERROR(__xludf.DUMMYFUNCTION("IF(A123="""","""",LET(mes,DATE($E$2,MATCH($B$2,'ESTADO CONTABLE'!$A$5:$A$16,0),1),abonos,SUMIFS('ABONOS MENSUALIDADES'!$F$5:$F$500,'ABONOS MENSUALIDADES'!$C$5:$C$500,A123,'ABONOS MENSUALIDADES'!$D$5:$D$500,mes),metodoDirecto,CHOOSE(MATCH($B$2,'ESTADO CONT"&amp;"ABLE'!$A$5:$A$16,0),IF(ISNUMBER(D123),""POR CLASIFICAR"",""""),IFNA(XLOOKUP(A123,PAGOS!$A$2:$A$996,PAGOS!$H$2:$H$996,""""),""""),IFNA(XLOOKUP(A123,PAGOS!$A$2:$A$996,PAGOS!$K$2:$K$996,""""),""""),IFNA(XLOOKUP(A123,PAGOS!$A$2:$A$996,PAGOS!$N$2:$N$996,""""),"&amp;"""""),IFNA(XLOOKUP(A123,PAGOS!$A$2:$A$996,PAGOS!$Q$2:$Q$996,""""),""""),IFNA(XLOOKUP(A123,PAGOS!$A$2:$A$996,PAGOS!$T$2:$T$996,""""),""""),IFNA(XLOOKUP(A123,PAGOS!$A$2:$A$996,PAGOS!$W$2:$W$996,""""),""""),IFNA(XLOOKUP(A123,PAGOS!$A$2:$A$996,PAGOS!$Z$2:$Z$9"&amp;"96,""""),""""),IFNA(XLOOKUP(A123,PAGOS!$A$2:$A$996,PAGOS!$AC$2:$AC$996,""""),""""),IFNA(XLOOKUP(A123,PAGOS!$A$2:$A$996,PAGOS!$AF$2:$AF$996,""""),""""),IFNA(XLOOKUP(A123,PAGOS!$A$2:$A$996,PAGOS!$AI$2:$AI$996,""""),""""),IFNA(XLOOKUP(A123,PAGOS!$A$2:$A$996,"&amp;"PAGOS!$AL$2:$AL$996,""""),"""")),IF(abonos&gt;0,IFERROR(TEXTJOIN("" + "",TRUE,UNIQUE(FILTER('ABONOS MENSUALIDADES'!$E$5:$E$500,'ABONOS MENSUALIDADES'!$C$5:$C$500=A123,'ABONOS MENSUALIDADES'!$D$5:$D$500=mes))),""""),metodoDirecto)))"),"")</f>
        <v/>
      </c>
      <c r="F123" s="51" t="str">
        <f t="array" ref="F123">IF(A123="","",LET(mes,DATE($E$2,MATCH($B$2,'ESTADO CONTABLE'!$A$5:$A$16,0),1),cobrarDesde,IFERROR(INDEX('BASE DE DATOSS'!I:I,ROW()-13),""),pausada,SUMPRODUCT((UPPER(TRIM('PAUSAS MENSUALIDADES'!$A$5:$A$500))=UPPER(TRIM(A123)))*('PAUSAS MENSUALIDADES'!$B$5:$B$500=mes)*(UPPER(TRIM('PAUSAS MENSUALIDADES'!$D$5:$D$500))="APLICAR"))&gt;0,esperadaBruta,MAX(IFNA(VLOOKUP(B123,COSTOS!$A$3:$B$13,2,FALSE),0)-150,0),IF(AND(cobrarDesde&lt;&gt;"",mes&lt;cobrarDesde),"AÚN NO INICIA",IF(pausada,"PAUSADA",IF(N(D123)&gt;=esperadaBruta,"COBRADA",IF(N(D123)&gt;0,"ABONO","PENDIENTE"))))))</f>
        <v/>
      </c>
      <c r="G123" s="79" t="str">
        <f t="array" ref="G123">IF(A123="","",IFERROR(INDEX('BASE DE DATOSS'!I:I,ROW()-13),""))</f>
        <v/>
      </c>
    </row>
    <row r="124">
      <c r="A124" s="51" t="str">
        <f t="array" ref="A124">IFERROR(INDEX('BASE DE DATOSS'!A:A,ROW()-13),"")</f>
        <v/>
      </c>
      <c r="B124" s="51" t="str">
        <f t="array" ref="B124">IF(A124="","",IFERROR(INDEX('BASE DE DATOSS'!C:C,ROW()-13),""))</f>
        <v/>
      </c>
      <c r="C124" s="62" t="str">
        <f t="array" ref="C124">IF(A124="","",LET(mes,DATE($E$2,MATCH($B$2,'ESTADO CONTABLE'!$A$5:$A$16,0),1),cobrarDesde,IFERROR(INDEX('BASE DE DATOSS'!I:I,ROW()-13),""),pausada,SUMPRODUCT((UPPER(TRIM('PAUSAS MENSUALIDADES'!$A$5:$A$500))=UPPER(TRIM(A124)))*('PAUSAS MENSUALIDADES'!$B$5:$B$500=mes)*(UPPER(TRIM('PAUSAS MENSUALIDADES'!$D$5:$D$500))="APLICAR"))&gt;0,IF(OR(AND(cobrarDesde&lt;&gt;"",mes&lt;cobrarDesde),pausada),0,MAX(IFNA(VLOOKUP(B124,COSTOS!$A$3:$B$13,2,FALSE),0)-150,0)/1.16)))</f>
        <v/>
      </c>
      <c r="D124" s="62" t="str">
        <f t="array" ref="D124">IF(A124="","",LET(mes,DATE($E$2,MATCH($B$2,'ESTADO CONTABLE'!$A$5:$A$16,0),1),abonos,SUMIFS('ABONOS MENSUALIDADES'!$F$5:$F$500,'ABONOS MENSUALIDADES'!$C$5:$C$500,A124,'ABONOS MENSUALIDADES'!$D$5:$D$500,mes),pago,CHOOSE(MATCH($B$2,'ESTADO CONTABLE'!$A$5:$A$16,0),IFNA(_xlfn.XLOOKUP(A124,PAGOS!$A$2:$A$996,PAGOS!$E$2:$E$996,""),""),IFNA(_xlfn.XLOOKUP(A124,PAGOS!$A$2:$A$996,PAGOS!$G$2:$G$996,""),""),IFNA(_xlfn.XLOOKUP(A124,PAGOS!$A$2:$A$996,PAGOS!$J$2:$J$996,""),""),IFNA(_xlfn.XLOOKUP(A124,PAGOS!$A$2:$A$996,PAGOS!$M$2:$M$996,""),""),IFNA(_xlfn.XLOOKUP(A124,PAGOS!$A$2:$A$996,PAGOS!$P$2:$P$996,""),""),IFNA(_xlfn.XLOOKUP(A124,PAGOS!$A$2:$A$996,PAGOS!$S$2:$S$996,""),""),IFNA(_xlfn.XLOOKUP(A124,PAGOS!$A$2:$A$996,PAGOS!$V$2:$V$996,""),""),IFNA(_xlfn.XLOOKUP(A124,PAGOS!$A$2:$A$996,PAGOS!$Y$2:$Y$996,""),""),IFNA(_xlfn.XLOOKUP(A124,PAGOS!$A$2:$A$996,PAGOS!$AB$2:$AB$996,""),""),IFNA(_xlfn.XLOOKUP(A124,PAGOS!$A$2:$A$996,PAGOS!$AE$2:$AE$996,""),""),IFNA(_xlfn.XLOOKUP(A124,PAGOS!$A$2:$A$996,PAGOS!$AH$2:$AH$996,""),""),IFNA(_xlfn.XLOOKUP(A124,PAGOS!$A$2:$A$996,PAGOS!$AK$2:$AK$996,""),"")),IF(abonos&gt;0,abonos,pago)))</f>
        <v/>
      </c>
      <c r="E124" s="51" t="str">
        <f>IFERROR(__xludf.DUMMYFUNCTION("IF(A124="""","""",LET(mes,DATE($E$2,MATCH($B$2,'ESTADO CONTABLE'!$A$5:$A$16,0),1),abonos,SUMIFS('ABONOS MENSUALIDADES'!$F$5:$F$500,'ABONOS MENSUALIDADES'!$C$5:$C$500,A124,'ABONOS MENSUALIDADES'!$D$5:$D$500,mes),metodoDirecto,CHOOSE(MATCH($B$2,'ESTADO CONT"&amp;"ABLE'!$A$5:$A$16,0),IF(ISNUMBER(D124),""POR CLASIFICAR"",""""),IFNA(XLOOKUP(A124,PAGOS!$A$2:$A$996,PAGOS!$H$2:$H$996,""""),""""),IFNA(XLOOKUP(A124,PAGOS!$A$2:$A$996,PAGOS!$K$2:$K$996,""""),""""),IFNA(XLOOKUP(A124,PAGOS!$A$2:$A$996,PAGOS!$N$2:$N$996,""""),"&amp;"""""),IFNA(XLOOKUP(A124,PAGOS!$A$2:$A$996,PAGOS!$Q$2:$Q$996,""""),""""),IFNA(XLOOKUP(A124,PAGOS!$A$2:$A$996,PAGOS!$T$2:$T$996,""""),""""),IFNA(XLOOKUP(A124,PAGOS!$A$2:$A$996,PAGOS!$W$2:$W$996,""""),""""),IFNA(XLOOKUP(A124,PAGOS!$A$2:$A$996,PAGOS!$Z$2:$Z$9"&amp;"96,""""),""""),IFNA(XLOOKUP(A124,PAGOS!$A$2:$A$996,PAGOS!$AC$2:$AC$996,""""),""""),IFNA(XLOOKUP(A124,PAGOS!$A$2:$A$996,PAGOS!$AF$2:$AF$996,""""),""""),IFNA(XLOOKUP(A124,PAGOS!$A$2:$A$996,PAGOS!$AI$2:$AI$996,""""),""""),IFNA(XLOOKUP(A124,PAGOS!$A$2:$A$996,"&amp;"PAGOS!$AL$2:$AL$996,""""),"""")),IF(abonos&gt;0,IFERROR(TEXTJOIN("" + "",TRUE,UNIQUE(FILTER('ABONOS MENSUALIDADES'!$E$5:$E$500,'ABONOS MENSUALIDADES'!$C$5:$C$500=A124,'ABONOS MENSUALIDADES'!$D$5:$D$500=mes))),""""),metodoDirecto)))"),"")</f>
        <v/>
      </c>
      <c r="F124" s="51" t="str">
        <f t="array" ref="F124">IF(A124="","",LET(mes,DATE($E$2,MATCH($B$2,'ESTADO CONTABLE'!$A$5:$A$16,0),1),cobrarDesde,IFERROR(INDEX('BASE DE DATOSS'!I:I,ROW()-13),""),pausada,SUMPRODUCT((UPPER(TRIM('PAUSAS MENSUALIDADES'!$A$5:$A$500))=UPPER(TRIM(A124)))*('PAUSAS MENSUALIDADES'!$B$5:$B$500=mes)*(UPPER(TRIM('PAUSAS MENSUALIDADES'!$D$5:$D$500))="APLICAR"))&gt;0,esperadaBruta,MAX(IFNA(VLOOKUP(B124,COSTOS!$A$3:$B$13,2,FALSE),0)-150,0),IF(AND(cobrarDesde&lt;&gt;"",mes&lt;cobrarDesde),"AÚN NO INICIA",IF(pausada,"PAUSADA",IF(N(D124)&gt;=esperadaBruta,"COBRADA",IF(N(D124)&gt;0,"ABONO","PENDIENTE"))))))</f>
        <v/>
      </c>
      <c r="G124" s="79" t="str">
        <f t="array" ref="G124">IF(A124="","",IFERROR(INDEX('BASE DE DATOSS'!I:I,ROW()-13),""))</f>
        <v/>
      </c>
    </row>
    <row r="125">
      <c r="A125" s="51" t="str">
        <f t="array" ref="A125">IFERROR(INDEX('BASE DE DATOSS'!A:A,ROW()-13),"")</f>
        <v/>
      </c>
      <c r="B125" s="51" t="str">
        <f t="array" ref="B125">IF(A125="","",IFERROR(INDEX('BASE DE DATOSS'!C:C,ROW()-13),""))</f>
        <v/>
      </c>
      <c r="C125" s="62" t="str">
        <f t="array" ref="C125">IF(A125="","",LET(mes,DATE($E$2,MATCH($B$2,'ESTADO CONTABLE'!$A$5:$A$16,0),1),cobrarDesde,IFERROR(INDEX('BASE DE DATOSS'!I:I,ROW()-13),""),pausada,SUMPRODUCT((UPPER(TRIM('PAUSAS MENSUALIDADES'!$A$5:$A$500))=UPPER(TRIM(A125)))*('PAUSAS MENSUALIDADES'!$B$5:$B$500=mes)*(UPPER(TRIM('PAUSAS MENSUALIDADES'!$D$5:$D$500))="APLICAR"))&gt;0,IF(OR(AND(cobrarDesde&lt;&gt;"",mes&lt;cobrarDesde),pausada),0,MAX(IFNA(VLOOKUP(B125,COSTOS!$A$3:$B$13,2,FALSE),0)-150,0)/1.16)))</f>
        <v/>
      </c>
      <c r="D125" s="62" t="str">
        <f t="array" ref="D125">IF(A125="","",LET(mes,DATE($E$2,MATCH($B$2,'ESTADO CONTABLE'!$A$5:$A$16,0),1),abonos,SUMIFS('ABONOS MENSUALIDADES'!$F$5:$F$500,'ABONOS MENSUALIDADES'!$C$5:$C$500,A125,'ABONOS MENSUALIDADES'!$D$5:$D$500,mes),pago,CHOOSE(MATCH($B$2,'ESTADO CONTABLE'!$A$5:$A$16,0),IFNA(_xlfn.XLOOKUP(A125,PAGOS!$A$2:$A$996,PAGOS!$E$2:$E$996,""),""),IFNA(_xlfn.XLOOKUP(A125,PAGOS!$A$2:$A$996,PAGOS!$G$2:$G$996,""),""),IFNA(_xlfn.XLOOKUP(A125,PAGOS!$A$2:$A$996,PAGOS!$J$2:$J$996,""),""),IFNA(_xlfn.XLOOKUP(A125,PAGOS!$A$2:$A$996,PAGOS!$M$2:$M$996,""),""),IFNA(_xlfn.XLOOKUP(A125,PAGOS!$A$2:$A$996,PAGOS!$P$2:$P$996,""),""),IFNA(_xlfn.XLOOKUP(A125,PAGOS!$A$2:$A$996,PAGOS!$S$2:$S$996,""),""),IFNA(_xlfn.XLOOKUP(A125,PAGOS!$A$2:$A$996,PAGOS!$V$2:$V$996,""),""),IFNA(_xlfn.XLOOKUP(A125,PAGOS!$A$2:$A$996,PAGOS!$Y$2:$Y$996,""),""),IFNA(_xlfn.XLOOKUP(A125,PAGOS!$A$2:$A$996,PAGOS!$AB$2:$AB$996,""),""),IFNA(_xlfn.XLOOKUP(A125,PAGOS!$A$2:$A$996,PAGOS!$AE$2:$AE$996,""),""),IFNA(_xlfn.XLOOKUP(A125,PAGOS!$A$2:$A$996,PAGOS!$AH$2:$AH$996,""),""),IFNA(_xlfn.XLOOKUP(A125,PAGOS!$A$2:$A$996,PAGOS!$AK$2:$AK$996,""),"")),IF(abonos&gt;0,abonos,pago)))</f>
        <v/>
      </c>
      <c r="E125" s="51" t="str">
        <f>IFERROR(__xludf.DUMMYFUNCTION("IF(A125="""","""",LET(mes,DATE($E$2,MATCH($B$2,'ESTADO CONTABLE'!$A$5:$A$16,0),1),abonos,SUMIFS('ABONOS MENSUALIDADES'!$F$5:$F$500,'ABONOS MENSUALIDADES'!$C$5:$C$500,A125,'ABONOS MENSUALIDADES'!$D$5:$D$500,mes),metodoDirecto,CHOOSE(MATCH($B$2,'ESTADO CONT"&amp;"ABLE'!$A$5:$A$16,0),IF(ISNUMBER(D125),""POR CLASIFICAR"",""""),IFNA(XLOOKUP(A125,PAGOS!$A$2:$A$996,PAGOS!$H$2:$H$996,""""),""""),IFNA(XLOOKUP(A125,PAGOS!$A$2:$A$996,PAGOS!$K$2:$K$996,""""),""""),IFNA(XLOOKUP(A125,PAGOS!$A$2:$A$996,PAGOS!$N$2:$N$996,""""),"&amp;"""""),IFNA(XLOOKUP(A125,PAGOS!$A$2:$A$996,PAGOS!$Q$2:$Q$996,""""),""""),IFNA(XLOOKUP(A125,PAGOS!$A$2:$A$996,PAGOS!$T$2:$T$996,""""),""""),IFNA(XLOOKUP(A125,PAGOS!$A$2:$A$996,PAGOS!$W$2:$W$996,""""),""""),IFNA(XLOOKUP(A125,PAGOS!$A$2:$A$996,PAGOS!$Z$2:$Z$9"&amp;"96,""""),""""),IFNA(XLOOKUP(A125,PAGOS!$A$2:$A$996,PAGOS!$AC$2:$AC$996,""""),""""),IFNA(XLOOKUP(A125,PAGOS!$A$2:$A$996,PAGOS!$AF$2:$AF$996,""""),""""),IFNA(XLOOKUP(A125,PAGOS!$A$2:$A$996,PAGOS!$AI$2:$AI$996,""""),""""),IFNA(XLOOKUP(A125,PAGOS!$A$2:$A$996,"&amp;"PAGOS!$AL$2:$AL$996,""""),"""")),IF(abonos&gt;0,IFERROR(TEXTJOIN("" + "",TRUE,UNIQUE(FILTER('ABONOS MENSUALIDADES'!$E$5:$E$500,'ABONOS MENSUALIDADES'!$C$5:$C$500=A125,'ABONOS MENSUALIDADES'!$D$5:$D$500=mes))),""""),metodoDirecto)))"),"")</f>
        <v/>
      </c>
      <c r="F125" s="51" t="str">
        <f t="array" ref="F125">IF(A125="","",LET(mes,DATE($E$2,MATCH($B$2,'ESTADO CONTABLE'!$A$5:$A$16,0),1),cobrarDesde,IFERROR(INDEX('BASE DE DATOSS'!I:I,ROW()-13),""),pausada,SUMPRODUCT((UPPER(TRIM('PAUSAS MENSUALIDADES'!$A$5:$A$500))=UPPER(TRIM(A125)))*('PAUSAS MENSUALIDADES'!$B$5:$B$500=mes)*(UPPER(TRIM('PAUSAS MENSUALIDADES'!$D$5:$D$500))="APLICAR"))&gt;0,esperadaBruta,MAX(IFNA(VLOOKUP(B125,COSTOS!$A$3:$B$13,2,FALSE),0)-150,0),IF(AND(cobrarDesde&lt;&gt;"",mes&lt;cobrarDesde),"AÚN NO INICIA",IF(pausada,"PAUSADA",IF(N(D125)&gt;=esperadaBruta,"COBRADA",IF(N(D125)&gt;0,"ABONO","PENDIENTE"))))))</f>
        <v/>
      </c>
      <c r="G125" s="79" t="str">
        <f t="array" ref="G125">IF(A125="","",IFERROR(INDEX('BASE DE DATOSS'!I:I,ROW()-13),""))</f>
        <v/>
      </c>
    </row>
    <row r="126">
      <c r="A126" s="51" t="str">
        <f t="array" ref="A126">IFERROR(INDEX('BASE DE DATOSS'!A:A,ROW()-13),"")</f>
        <v/>
      </c>
      <c r="B126" s="51" t="str">
        <f t="array" ref="B126">IF(A126="","",IFERROR(INDEX('BASE DE DATOSS'!C:C,ROW()-13),""))</f>
        <v/>
      </c>
      <c r="C126" s="62" t="str">
        <f t="array" ref="C126">IF(A126="","",LET(mes,DATE($E$2,MATCH($B$2,'ESTADO CONTABLE'!$A$5:$A$16,0),1),cobrarDesde,IFERROR(INDEX('BASE DE DATOSS'!I:I,ROW()-13),""),pausada,SUMPRODUCT((UPPER(TRIM('PAUSAS MENSUALIDADES'!$A$5:$A$500))=UPPER(TRIM(A126)))*('PAUSAS MENSUALIDADES'!$B$5:$B$500=mes)*(UPPER(TRIM('PAUSAS MENSUALIDADES'!$D$5:$D$500))="APLICAR"))&gt;0,IF(OR(AND(cobrarDesde&lt;&gt;"",mes&lt;cobrarDesde),pausada),0,MAX(IFNA(VLOOKUP(B126,COSTOS!$A$3:$B$13,2,FALSE),0)-150,0)/1.16)))</f>
        <v/>
      </c>
      <c r="D126" s="62" t="str">
        <f t="array" ref="D126">IF(A126="","",LET(mes,DATE($E$2,MATCH($B$2,'ESTADO CONTABLE'!$A$5:$A$16,0),1),abonos,SUMIFS('ABONOS MENSUALIDADES'!$F$5:$F$500,'ABONOS MENSUALIDADES'!$C$5:$C$500,A126,'ABONOS MENSUALIDADES'!$D$5:$D$500,mes),pago,CHOOSE(MATCH($B$2,'ESTADO CONTABLE'!$A$5:$A$16,0),IFNA(_xlfn.XLOOKUP(A126,PAGOS!$A$2:$A$996,PAGOS!$E$2:$E$996,""),""),IFNA(_xlfn.XLOOKUP(A126,PAGOS!$A$2:$A$996,PAGOS!$G$2:$G$996,""),""),IFNA(_xlfn.XLOOKUP(A126,PAGOS!$A$2:$A$996,PAGOS!$J$2:$J$996,""),""),IFNA(_xlfn.XLOOKUP(A126,PAGOS!$A$2:$A$996,PAGOS!$M$2:$M$996,""),""),IFNA(_xlfn.XLOOKUP(A126,PAGOS!$A$2:$A$996,PAGOS!$P$2:$P$996,""),""),IFNA(_xlfn.XLOOKUP(A126,PAGOS!$A$2:$A$996,PAGOS!$S$2:$S$996,""),""),IFNA(_xlfn.XLOOKUP(A126,PAGOS!$A$2:$A$996,PAGOS!$V$2:$V$996,""),""),IFNA(_xlfn.XLOOKUP(A126,PAGOS!$A$2:$A$996,PAGOS!$Y$2:$Y$996,""),""),IFNA(_xlfn.XLOOKUP(A126,PAGOS!$A$2:$A$996,PAGOS!$AB$2:$AB$996,""),""),IFNA(_xlfn.XLOOKUP(A126,PAGOS!$A$2:$A$996,PAGOS!$AE$2:$AE$996,""),""),IFNA(_xlfn.XLOOKUP(A126,PAGOS!$A$2:$A$996,PAGOS!$AH$2:$AH$996,""),""),IFNA(_xlfn.XLOOKUP(A126,PAGOS!$A$2:$A$996,PAGOS!$AK$2:$AK$996,""),"")),IF(abonos&gt;0,abonos,pago)))</f>
        <v/>
      </c>
      <c r="E126" s="51" t="str">
        <f>IFERROR(__xludf.DUMMYFUNCTION("IF(A126="""","""",LET(mes,DATE($E$2,MATCH($B$2,'ESTADO CONTABLE'!$A$5:$A$16,0),1),abonos,SUMIFS('ABONOS MENSUALIDADES'!$F$5:$F$500,'ABONOS MENSUALIDADES'!$C$5:$C$500,A126,'ABONOS MENSUALIDADES'!$D$5:$D$500,mes),metodoDirecto,CHOOSE(MATCH($B$2,'ESTADO CONT"&amp;"ABLE'!$A$5:$A$16,0),IF(ISNUMBER(D126),""POR CLASIFICAR"",""""),IFNA(XLOOKUP(A126,PAGOS!$A$2:$A$996,PAGOS!$H$2:$H$996,""""),""""),IFNA(XLOOKUP(A126,PAGOS!$A$2:$A$996,PAGOS!$K$2:$K$996,""""),""""),IFNA(XLOOKUP(A126,PAGOS!$A$2:$A$996,PAGOS!$N$2:$N$996,""""),"&amp;"""""),IFNA(XLOOKUP(A126,PAGOS!$A$2:$A$996,PAGOS!$Q$2:$Q$996,""""),""""),IFNA(XLOOKUP(A126,PAGOS!$A$2:$A$996,PAGOS!$T$2:$T$996,""""),""""),IFNA(XLOOKUP(A126,PAGOS!$A$2:$A$996,PAGOS!$W$2:$W$996,""""),""""),IFNA(XLOOKUP(A126,PAGOS!$A$2:$A$996,PAGOS!$Z$2:$Z$9"&amp;"96,""""),""""),IFNA(XLOOKUP(A126,PAGOS!$A$2:$A$996,PAGOS!$AC$2:$AC$996,""""),""""),IFNA(XLOOKUP(A126,PAGOS!$A$2:$A$996,PAGOS!$AF$2:$AF$996,""""),""""),IFNA(XLOOKUP(A126,PAGOS!$A$2:$A$996,PAGOS!$AI$2:$AI$996,""""),""""),IFNA(XLOOKUP(A126,PAGOS!$A$2:$A$996,"&amp;"PAGOS!$AL$2:$AL$996,""""),"""")),IF(abonos&gt;0,IFERROR(TEXTJOIN("" + "",TRUE,UNIQUE(FILTER('ABONOS MENSUALIDADES'!$E$5:$E$500,'ABONOS MENSUALIDADES'!$C$5:$C$500=A126,'ABONOS MENSUALIDADES'!$D$5:$D$500=mes))),""""),metodoDirecto)))"),"")</f>
        <v/>
      </c>
      <c r="F126" s="51" t="str">
        <f t="array" ref="F126">IF(A126="","",LET(mes,DATE($E$2,MATCH($B$2,'ESTADO CONTABLE'!$A$5:$A$16,0),1),cobrarDesde,IFERROR(INDEX('BASE DE DATOSS'!I:I,ROW()-13),""),pausada,SUMPRODUCT((UPPER(TRIM('PAUSAS MENSUALIDADES'!$A$5:$A$500))=UPPER(TRIM(A126)))*('PAUSAS MENSUALIDADES'!$B$5:$B$500=mes)*(UPPER(TRIM('PAUSAS MENSUALIDADES'!$D$5:$D$500))="APLICAR"))&gt;0,esperadaBruta,MAX(IFNA(VLOOKUP(B126,COSTOS!$A$3:$B$13,2,FALSE),0)-150,0),IF(AND(cobrarDesde&lt;&gt;"",mes&lt;cobrarDesde),"AÚN NO INICIA",IF(pausada,"PAUSADA",IF(N(D126)&gt;=esperadaBruta,"COBRADA",IF(N(D126)&gt;0,"ABONO","PENDIENTE"))))))</f>
        <v/>
      </c>
      <c r="G126" s="79" t="str">
        <f t="array" ref="G126">IF(A126="","",IFERROR(INDEX('BASE DE DATOSS'!I:I,ROW()-13),""))</f>
        <v/>
      </c>
    </row>
    <row r="127">
      <c r="A127" s="51" t="str">
        <f t="array" ref="A127">IFERROR(INDEX('BASE DE DATOSS'!A:A,ROW()-13),"")</f>
        <v/>
      </c>
      <c r="B127" s="51" t="str">
        <f t="array" ref="B127">IF(A127="","",IFERROR(INDEX('BASE DE DATOSS'!C:C,ROW()-13),""))</f>
        <v/>
      </c>
      <c r="C127" s="62" t="str">
        <f t="array" ref="C127">IF(A127="","",LET(mes,DATE($E$2,MATCH($B$2,'ESTADO CONTABLE'!$A$5:$A$16,0),1),cobrarDesde,IFERROR(INDEX('BASE DE DATOSS'!I:I,ROW()-13),""),pausada,SUMPRODUCT((UPPER(TRIM('PAUSAS MENSUALIDADES'!$A$5:$A$500))=UPPER(TRIM(A127)))*('PAUSAS MENSUALIDADES'!$B$5:$B$500=mes)*(UPPER(TRIM('PAUSAS MENSUALIDADES'!$D$5:$D$500))="APLICAR"))&gt;0,IF(OR(AND(cobrarDesde&lt;&gt;"",mes&lt;cobrarDesde),pausada),0,MAX(IFNA(VLOOKUP(B127,COSTOS!$A$3:$B$13,2,FALSE),0)-150,0)/1.16)))</f>
        <v/>
      </c>
      <c r="D127" s="62" t="str">
        <f t="array" ref="D127">IF(A127="","",LET(mes,DATE($E$2,MATCH($B$2,'ESTADO CONTABLE'!$A$5:$A$16,0),1),abonos,SUMIFS('ABONOS MENSUALIDADES'!$F$5:$F$500,'ABONOS MENSUALIDADES'!$C$5:$C$500,A127,'ABONOS MENSUALIDADES'!$D$5:$D$500,mes),pago,CHOOSE(MATCH($B$2,'ESTADO CONTABLE'!$A$5:$A$16,0),IFNA(_xlfn.XLOOKUP(A127,PAGOS!$A$2:$A$996,PAGOS!$E$2:$E$996,""),""),IFNA(_xlfn.XLOOKUP(A127,PAGOS!$A$2:$A$996,PAGOS!$G$2:$G$996,""),""),IFNA(_xlfn.XLOOKUP(A127,PAGOS!$A$2:$A$996,PAGOS!$J$2:$J$996,""),""),IFNA(_xlfn.XLOOKUP(A127,PAGOS!$A$2:$A$996,PAGOS!$M$2:$M$996,""),""),IFNA(_xlfn.XLOOKUP(A127,PAGOS!$A$2:$A$996,PAGOS!$P$2:$P$996,""),""),IFNA(_xlfn.XLOOKUP(A127,PAGOS!$A$2:$A$996,PAGOS!$S$2:$S$996,""),""),IFNA(_xlfn.XLOOKUP(A127,PAGOS!$A$2:$A$996,PAGOS!$V$2:$V$996,""),""),IFNA(_xlfn.XLOOKUP(A127,PAGOS!$A$2:$A$996,PAGOS!$Y$2:$Y$996,""),""),IFNA(_xlfn.XLOOKUP(A127,PAGOS!$A$2:$A$996,PAGOS!$AB$2:$AB$996,""),""),IFNA(_xlfn.XLOOKUP(A127,PAGOS!$A$2:$A$996,PAGOS!$AE$2:$AE$996,""),""),IFNA(_xlfn.XLOOKUP(A127,PAGOS!$A$2:$A$996,PAGOS!$AH$2:$AH$996,""),""),IFNA(_xlfn.XLOOKUP(A127,PAGOS!$A$2:$A$996,PAGOS!$AK$2:$AK$996,""),"")),IF(abonos&gt;0,abonos,pago)))</f>
        <v/>
      </c>
      <c r="E127" s="51" t="str">
        <f>IFERROR(__xludf.DUMMYFUNCTION("IF(A127="""","""",LET(mes,DATE($E$2,MATCH($B$2,'ESTADO CONTABLE'!$A$5:$A$16,0),1),abonos,SUMIFS('ABONOS MENSUALIDADES'!$F$5:$F$500,'ABONOS MENSUALIDADES'!$C$5:$C$500,A127,'ABONOS MENSUALIDADES'!$D$5:$D$500,mes),metodoDirecto,CHOOSE(MATCH($B$2,'ESTADO CONT"&amp;"ABLE'!$A$5:$A$16,0),IF(ISNUMBER(D127),""POR CLASIFICAR"",""""),IFNA(XLOOKUP(A127,PAGOS!$A$2:$A$996,PAGOS!$H$2:$H$996,""""),""""),IFNA(XLOOKUP(A127,PAGOS!$A$2:$A$996,PAGOS!$K$2:$K$996,""""),""""),IFNA(XLOOKUP(A127,PAGOS!$A$2:$A$996,PAGOS!$N$2:$N$996,""""),"&amp;"""""),IFNA(XLOOKUP(A127,PAGOS!$A$2:$A$996,PAGOS!$Q$2:$Q$996,""""),""""),IFNA(XLOOKUP(A127,PAGOS!$A$2:$A$996,PAGOS!$T$2:$T$996,""""),""""),IFNA(XLOOKUP(A127,PAGOS!$A$2:$A$996,PAGOS!$W$2:$W$996,""""),""""),IFNA(XLOOKUP(A127,PAGOS!$A$2:$A$996,PAGOS!$Z$2:$Z$9"&amp;"96,""""),""""),IFNA(XLOOKUP(A127,PAGOS!$A$2:$A$996,PAGOS!$AC$2:$AC$996,""""),""""),IFNA(XLOOKUP(A127,PAGOS!$A$2:$A$996,PAGOS!$AF$2:$AF$996,""""),""""),IFNA(XLOOKUP(A127,PAGOS!$A$2:$A$996,PAGOS!$AI$2:$AI$996,""""),""""),IFNA(XLOOKUP(A127,PAGOS!$A$2:$A$996,"&amp;"PAGOS!$AL$2:$AL$996,""""),"""")),IF(abonos&gt;0,IFERROR(TEXTJOIN("" + "",TRUE,UNIQUE(FILTER('ABONOS MENSUALIDADES'!$E$5:$E$500,'ABONOS MENSUALIDADES'!$C$5:$C$500=A127,'ABONOS MENSUALIDADES'!$D$5:$D$500=mes))),""""),metodoDirecto)))"),"")</f>
        <v/>
      </c>
      <c r="F127" s="51" t="str">
        <f t="array" ref="F127">IF(A127="","",LET(mes,DATE($E$2,MATCH($B$2,'ESTADO CONTABLE'!$A$5:$A$16,0),1),cobrarDesde,IFERROR(INDEX('BASE DE DATOSS'!I:I,ROW()-13),""),pausada,SUMPRODUCT((UPPER(TRIM('PAUSAS MENSUALIDADES'!$A$5:$A$500))=UPPER(TRIM(A127)))*('PAUSAS MENSUALIDADES'!$B$5:$B$500=mes)*(UPPER(TRIM('PAUSAS MENSUALIDADES'!$D$5:$D$500))="APLICAR"))&gt;0,esperadaBruta,MAX(IFNA(VLOOKUP(B127,COSTOS!$A$3:$B$13,2,FALSE),0)-150,0),IF(AND(cobrarDesde&lt;&gt;"",mes&lt;cobrarDesde),"AÚN NO INICIA",IF(pausada,"PAUSADA",IF(N(D127)&gt;=esperadaBruta,"COBRADA",IF(N(D127)&gt;0,"ABONO","PENDIENTE"))))))</f>
        <v/>
      </c>
      <c r="G127" s="79" t="str">
        <f t="array" ref="G127">IF(A127="","",IFERROR(INDEX('BASE DE DATOSS'!I:I,ROW()-13),""))</f>
        <v/>
      </c>
    </row>
    <row r="128">
      <c r="A128" s="51" t="str">
        <f t="array" ref="A128">IFERROR(INDEX('BASE DE DATOSS'!A:A,ROW()-13),"")</f>
        <v/>
      </c>
      <c r="B128" s="51" t="str">
        <f t="array" ref="B128">IF(A128="","",IFERROR(INDEX('BASE DE DATOSS'!C:C,ROW()-13),""))</f>
        <v/>
      </c>
      <c r="C128" s="62" t="str">
        <f t="array" ref="C128">IF(A128="","",LET(mes,DATE($E$2,MATCH($B$2,'ESTADO CONTABLE'!$A$5:$A$16,0),1),cobrarDesde,IFERROR(INDEX('BASE DE DATOSS'!I:I,ROW()-13),""),pausada,SUMPRODUCT((UPPER(TRIM('PAUSAS MENSUALIDADES'!$A$5:$A$500))=UPPER(TRIM(A128)))*('PAUSAS MENSUALIDADES'!$B$5:$B$500=mes)*(UPPER(TRIM('PAUSAS MENSUALIDADES'!$D$5:$D$500))="APLICAR"))&gt;0,IF(OR(AND(cobrarDesde&lt;&gt;"",mes&lt;cobrarDesde),pausada),0,MAX(IFNA(VLOOKUP(B128,COSTOS!$A$3:$B$13,2,FALSE),0)-150,0)/1.16)))</f>
        <v/>
      </c>
      <c r="D128" s="62" t="str">
        <f t="array" ref="D128">IF(A128="","",LET(mes,DATE($E$2,MATCH($B$2,'ESTADO CONTABLE'!$A$5:$A$16,0),1),abonos,SUMIFS('ABONOS MENSUALIDADES'!$F$5:$F$500,'ABONOS MENSUALIDADES'!$C$5:$C$500,A128,'ABONOS MENSUALIDADES'!$D$5:$D$500,mes),pago,CHOOSE(MATCH($B$2,'ESTADO CONTABLE'!$A$5:$A$16,0),IFNA(_xlfn.XLOOKUP(A128,PAGOS!$A$2:$A$996,PAGOS!$E$2:$E$996,""),""),IFNA(_xlfn.XLOOKUP(A128,PAGOS!$A$2:$A$996,PAGOS!$G$2:$G$996,""),""),IFNA(_xlfn.XLOOKUP(A128,PAGOS!$A$2:$A$996,PAGOS!$J$2:$J$996,""),""),IFNA(_xlfn.XLOOKUP(A128,PAGOS!$A$2:$A$996,PAGOS!$M$2:$M$996,""),""),IFNA(_xlfn.XLOOKUP(A128,PAGOS!$A$2:$A$996,PAGOS!$P$2:$P$996,""),""),IFNA(_xlfn.XLOOKUP(A128,PAGOS!$A$2:$A$996,PAGOS!$S$2:$S$996,""),""),IFNA(_xlfn.XLOOKUP(A128,PAGOS!$A$2:$A$996,PAGOS!$V$2:$V$996,""),""),IFNA(_xlfn.XLOOKUP(A128,PAGOS!$A$2:$A$996,PAGOS!$Y$2:$Y$996,""),""),IFNA(_xlfn.XLOOKUP(A128,PAGOS!$A$2:$A$996,PAGOS!$AB$2:$AB$996,""),""),IFNA(_xlfn.XLOOKUP(A128,PAGOS!$A$2:$A$996,PAGOS!$AE$2:$AE$996,""),""),IFNA(_xlfn.XLOOKUP(A128,PAGOS!$A$2:$A$996,PAGOS!$AH$2:$AH$996,""),""),IFNA(_xlfn.XLOOKUP(A128,PAGOS!$A$2:$A$996,PAGOS!$AK$2:$AK$996,""),"")),IF(abonos&gt;0,abonos,pago)))</f>
        <v/>
      </c>
      <c r="E128" s="51" t="str">
        <f>IFERROR(__xludf.DUMMYFUNCTION("IF(A128="""","""",LET(mes,DATE($E$2,MATCH($B$2,'ESTADO CONTABLE'!$A$5:$A$16,0),1),abonos,SUMIFS('ABONOS MENSUALIDADES'!$F$5:$F$500,'ABONOS MENSUALIDADES'!$C$5:$C$500,A128,'ABONOS MENSUALIDADES'!$D$5:$D$500,mes),metodoDirecto,CHOOSE(MATCH($B$2,'ESTADO CONT"&amp;"ABLE'!$A$5:$A$16,0),IF(ISNUMBER(D128),""POR CLASIFICAR"",""""),IFNA(XLOOKUP(A128,PAGOS!$A$2:$A$996,PAGOS!$H$2:$H$996,""""),""""),IFNA(XLOOKUP(A128,PAGOS!$A$2:$A$996,PAGOS!$K$2:$K$996,""""),""""),IFNA(XLOOKUP(A128,PAGOS!$A$2:$A$996,PAGOS!$N$2:$N$996,""""),"&amp;"""""),IFNA(XLOOKUP(A128,PAGOS!$A$2:$A$996,PAGOS!$Q$2:$Q$996,""""),""""),IFNA(XLOOKUP(A128,PAGOS!$A$2:$A$996,PAGOS!$T$2:$T$996,""""),""""),IFNA(XLOOKUP(A128,PAGOS!$A$2:$A$996,PAGOS!$W$2:$W$996,""""),""""),IFNA(XLOOKUP(A128,PAGOS!$A$2:$A$996,PAGOS!$Z$2:$Z$9"&amp;"96,""""),""""),IFNA(XLOOKUP(A128,PAGOS!$A$2:$A$996,PAGOS!$AC$2:$AC$996,""""),""""),IFNA(XLOOKUP(A128,PAGOS!$A$2:$A$996,PAGOS!$AF$2:$AF$996,""""),""""),IFNA(XLOOKUP(A128,PAGOS!$A$2:$A$996,PAGOS!$AI$2:$AI$996,""""),""""),IFNA(XLOOKUP(A128,PAGOS!$A$2:$A$996,"&amp;"PAGOS!$AL$2:$AL$996,""""),"""")),IF(abonos&gt;0,IFERROR(TEXTJOIN("" + "",TRUE,UNIQUE(FILTER('ABONOS MENSUALIDADES'!$E$5:$E$500,'ABONOS MENSUALIDADES'!$C$5:$C$500=A128,'ABONOS MENSUALIDADES'!$D$5:$D$500=mes))),""""),metodoDirecto)))"),"")</f>
        <v/>
      </c>
      <c r="F128" s="51" t="str">
        <f t="array" ref="F128">IF(A128="","",LET(mes,DATE($E$2,MATCH($B$2,'ESTADO CONTABLE'!$A$5:$A$16,0),1),cobrarDesde,IFERROR(INDEX('BASE DE DATOSS'!I:I,ROW()-13),""),pausada,SUMPRODUCT((UPPER(TRIM('PAUSAS MENSUALIDADES'!$A$5:$A$500))=UPPER(TRIM(A128)))*('PAUSAS MENSUALIDADES'!$B$5:$B$500=mes)*(UPPER(TRIM('PAUSAS MENSUALIDADES'!$D$5:$D$500))="APLICAR"))&gt;0,esperadaBruta,MAX(IFNA(VLOOKUP(B128,COSTOS!$A$3:$B$13,2,FALSE),0)-150,0),IF(AND(cobrarDesde&lt;&gt;"",mes&lt;cobrarDesde),"AÚN NO INICIA",IF(pausada,"PAUSADA",IF(N(D128)&gt;=esperadaBruta,"COBRADA",IF(N(D128)&gt;0,"ABONO","PENDIENTE"))))))</f>
        <v/>
      </c>
      <c r="G128" s="79" t="str">
        <f t="array" ref="G128">IF(A128="","",IFERROR(INDEX('BASE DE DATOSS'!I:I,ROW()-13),""))</f>
        <v/>
      </c>
    </row>
    <row r="129">
      <c r="A129" s="51" t="str">
        <f t="array" ref="A129">IFERROR(INDEX('BASE DE DATOSS'!A:A,ROW()-13),"")</f>
        <v/>
      </c>
      <c r="B129" s="51" t="str">
        <f t="array" ref="B129">IF(A129="","",IFERROR(INDEX('BASE DE DATOSS'!C:C,ROW()-13),""))</f>
        <v/>
      </c>
      <c r="C129" s="62" t="str">
        <f t="array" ref="C129">IF(A129="","",LET(mes,DATE($E$2,MATCH($B$2,'ESTADO CONTABLE'!$A$5:$A$16,0),1),cobrarDesde,IFERROR(INDEX('BASE DE DATOSS'!I:I,ROW()-13),""),pausada,SUMPRODUCT((UPPER(TRIM('PAUSAS MENSUALIDADES'!$A$5:$A$500))=UPPER(TRIM(A129)))*('PAUSAS MENSUALIDADES'!$B$5:$B$500=mes)*(UPPER(TRIM('PAUSAS MENSUALIDADES'!$D$5:$D$500))="APLICAR"))&gt;0,IF(OR(AND(cobrarDesde&lt;&gt;"",mes&lt;cobrarDesde),pausada),0,MAX(IFNA(VLOOKUP(B129,COSTOS!$A$3:$B$13,2,FALSE),0)-150,0)/1.16)))</f>
        <v/>
      </c>
      <c r="D129" s="62" t="str">
        <f t="array" ref="D129">IF(A129="","",LET(mes,DATE($E$2,MATCH($B$2,'ESTADO CONTABLE'!$A$5:$A$16,0),1),abonos,SUMIFS('ABONOS MENSUALIDADES'!$F$5:$F$500,'ABONOS MENSUALIDADES'!$C$5:$C$500,A129,'ABONOS MENSUALIDADES'!$D$5:$D$500,mes),pago,CHOOSE(MATCH($B$2,'ESTADO CONTABLE'!$A$5:$A$16,0),IFNA(_xlfn.XLOOKUP(A129,PAGOS!$A$2:$A$996,PAGOS!$E$2:$E$996,""),""),IFNA(_xlfn.XLOOKUP(A129,PAGOS!$A$2:$A$996,PAGOS!$G$2:$G$996,""),""),IFNA(_xlfn.XLOOKUP(A129,PAGOS!$A$2:$A$996,PAGOS!$J$2:$J$996,""),""),IFNA(_xlfn.XLOOKUP(A129,PAGOS!$A$2:$A$996,PAGOS!$M$2:$M$996,""),""),IFNA(_xlfn.XLOOKUP(A129,PAGOS!$A$2:$A$996,PAGOS!$P$2:$P$996,""),""),IFNA(_xlfn.XLOOKUP(A129,PAGOS!$A$2:$A$996,PAGOS!$S$2:$S$996,""),""),IFNA(_xlfn.XLOOKUP(A129,PAGOS!$A$2:$A$996,PAGOS!$V$2:$V$996,""),""),IFNA(_xlfn.XLOOKUP(A129,PAGOS!$A$2:$A$996,PAGOS!$Y$2:$Y$996,""),""),IFNA(_xlfn.XLOOKUP(A129,PAGOS!$A$2:$A$996,PAGOS!$AB$2:$AB$996,""),""),IFNA(_xlfn.XLOOKUP(A129,PAGOS!$A$2:$A$996,PAGOS!$AE$2:$AE$996,""),""),IFNA(_xlfn.XLOOKUP(A129,PAGOS!$A$2:$A$996,PAGOS!$AH$2:$AH$996,""),""),IFNA(_xlfn.XLOOKUP(A129,PAGOS!$A$2:$A$996,PAGOS!$AK$2:$AK$996,""),"")),IF(abonos&gt;0,abonos,pago)))</f>
        <v/>
      </c>
      <c r="E129" s="51" t="str">
        <f>IFERROR(__xludf.DUMMYFUNCTION("IF(A129="""","""",LET(mes,DATE($E$2,MATCH($B$2,'ESTADO CONTABLE'!$A$5:$A$16,0),1),abonos,SUMIFS('ABONOS MENSUALIDADES'!$F$5:$F$500,'ABONOS MENSUALIDADES'!$C$5:$C$500,A129,'ABONOS MENSUALIDADES'!$D$5:$D$500,mes),metodoDirecto,CHOOSE(MATCH($B$2,'ESTADO CONT"&amp;"ABLE'!$A$5:$A$16,0),IF(ISNUMBER(D129),""POR CLASIFICAR"",""""),IFNA(XLOOKUP(A129,PAGOS!$A$2:$A$996,PAGOS!$H$2:$H$996,""""),""""),IFNA(XLOOKUP(A129,PAGOS!$A$2:$A$996,PAGOS!$K$2:$K$996,""""),""""),IFNA(XLOOKUP(A129,PAGOS!$A$2:$A$996,PAGOS!$N$2:$N$996,""""),"&amp;"""""),IFNA(XLOOKUP(A129,PAGOS!$A$2:$A$996,PAGOS!$Q$2:$Q$996,""""),""""),IFNA(XLOOKUP(A129,PAGOS!$A$2:$A$996,PAGOS!$T$2:$T$996,""""),""""),IFNA(XLOOKUP(A129,PAGOS!$A$2:$A$996,PAGOS!$W$2:$W$996,""""),""""),IFNA(XLOOKUP(A129,PAGOS!$A$2:$A$996,PAGOS!$Z$2:$Z$9"&amp;"96,""""),""""),IFNA(XLOOKUP(A129,PAGOS!$A$2:$A$996,PAGOS!$AC$2:$AC$996,""""),""""),IFNA(XLOOKUP(A129,PAGOS!$A$2:$A$996,PAGOS!$AF$2:$AF$996,""""),""""),IFNA(XLOOKUP(A129,PAGOS!$A$2:$A$996,PAGOS!$AI$2:$AI$996,""""),""""),IFNA(XLOOKUP(A129,PAGOS!$A$2:$A$996,"&amp;"PAGOS!$AL$2:$AL$996,""""),"""")),IF(abonos&gt;0,IFERROR(TEXTJOIN("" + "",TRUE,UNIQUE(FILTER('ABONOS MENSUALIDADES'!$E$5:$E$500,'ABONOS MENSUALIDADES'!$C$5:$C$500=A129,'ABONOS MENSUALIDADES'!$D$5:$D$500=mes))),""""),metodoDirecto)))"),"")</f>
        <v/>
      </c>
      <c r="F129" s="51" t="str">
        <f t="array" ref="F129">IF(A129="","",LET(mes,DATE($E$2,MATCH($B$2,'ESTADO CONTABLE'!$A$5:$A$16,0),1),cobrarDesde,IFERROR(INDEX('BASE DE DATOSS'!I:I,ROW()-13),""),pausada,SUMPRODUCT((UPPER(TRIM('PAUSAS MENSUALIDADES'!$A$5:$A$500))=UPPER(TRIM(A129)))*('PAUSAS MENSUALIDADES'!$B$5:$B$500=mes)*(UPPER(TRIM('PAUSAS MENSUALIDADES'!$D$5:$D$500))="APLICAR"))&gt;0,esperadaBruta,MAX(IFNA(VLOOKUP(B129,COSTOS!$A$3:$B$13,2,FALSE),0)-150,0),IF(AND(cobrarDesde&lt;&gt;"",mes&lt;cobrarDesde),"AÚN NO INICIA",IF(pausada,"PAUSADA",IF(N(D129)&gt;=esperadaBruta,"COBRADA",IF(N(D129)&gt;0,"ABONO","PENDIENTE"))))))</f>
        <v/>
      </c>
      <c r="G129" s="79" t="str">
        <f t="array" ref="G129">IF(A129="","",IFERROR(INDEX('BASE DE DATOSS'!I:I,ROW()-13),""))</f>
        <v/>
      </c>
    </row>
    <row r="130">
      <c r="A130" s="51" t="str">
        <f t="array" ref="A130">IFERROR(INDEX('BASE DE DATOSS'!A:A,ROW()-13),"")</f>
        <v/>
      </c>
      <c r="B130" s="51" t="str">
        <f t="array" ref="B130">IF(A130="","",IFERROR(INDEX('BASE DE DATOSS'!C:C,ROW()-13),""))</f>
        <v/>
      </c>
      <c r="C130" s="62" t="str">
        <f t="array" ref="C130">IF(A130="","",LET(mes,DATE($E$2,MATCH($B$2,'ESTADO CONTABLE'!$A$5:$A$16,0),1),cobrarDesde,IFERROR(INDEX('BASE DE DATOSS'!I:I,ROW()-13),""),pausada,SUMPRODUCT((UPPER(TRIM('PAUSAS MENSUALIDADES'!$A$5:$A$500))=UPPER(TRIM(A130)))*('PAUSAS MENSUALIDADES'!$B$5:$B$500=mes)*(UPPER(TRIM('PAUSAS MENSUALIDADES'!$D$5:$D$500))="APLICAR"))&gt;0,IF(OR(AND(cobrarDesde&lt;&gt;"",mes&lt;cobrarDesde),pausada),0,MAX(IFNA(VLOOKUP(B130,COSTOS!$A$3:$B$13,2,FALSE),0)-150,0)/1.16)))</f>
        <v/>
      </c>
      <c r="D130" s="62" t="str">
        <f t="array" ref="D130">IF(A130="","",LET(mes,DATE($E$2,MATCH($B$2,'ESTADO CONTABLE'!$A$5:$A$16,0),1),abonos,SUMIFS('ABONOS MENSUALIDADES'!$F$5:$F$500,'ABONOS MENSUALIDADES'!$C$5:$C$500,A130,'ABONOS MENSUALIDADES'!$D$5:$D$500,mes),pago,CHOOSE(MATCH($B$2,'ESTADO CONTABLE'!$A$5:$A$16,0),IFNA(_xlfn.XLOOKUP(A130,PAGOS!$A$2:$A$996,PAGOS!$E$2:$E$996,""),""),IFNA(_xlfn.XLOOKUP(A130,PAGOS!$A$2:$A$996,PAGOS!$G$2:$G$996,""),""),IFNA(_xlfn.XLOOKUP(A130,PAGOS!$A$2:$A$996,PAGOS!$J$2:$J$996,""),""),IFNA(_xlfn.XLOOKUP(A130,PAGOS!$A$2:$A$996,PAGOS!$M$2:$M$996,""),""),IFNA(_xlfn.XLOOKUP(A130,PAGOS!$A$2:$A$996,PAGOS!$P$2:$P$996,""),""),IFNA(_xlfn.XLOOKUP(A130,PAGOS!$A$2:$A$996,PAGOS!$S$2:$S$996,""),""),IFNA(_xlfn.XLOOKUP(A130,PAGOS!$A$2:$A$996,PAGOS!$V$2:$V$996,""),""),IFNA(_xlfn.XLOOKUP(A130,PAGOS!$A$2:$A$996,PAGOS!$Y$2:$Y$996,""),""),IFNA(_xlfn.XLOOKUP(A130,PAGOS!$A$2:$A$996,PAGOS!$AB$2:$AB$996,""),""),IFNA(_xlfn.XLOOKUP(A130,PAGOS!$A$2:$A$996,PAGOS!$AE$2:$AE$996,""),""),IFNA(_xlfn.XLOOKUP(A130,PAGOS!$A$2:$A$996,PAGOS!$AH$2:$AH$996,""),""),IFNA(_xlfn.XLOOKUP(A130,PAGOS!$A$2:$A$996,PAGOS!$AK$2:$AK$996,""),"")),IF(abonos&gt;0,abonos,pago)))</f>
        <v/>
      </c>
      <c r="E130" s="51" t="str">
        <f>IFERROR(__xludf.DUMMYFUNCTION("IF(A130="""","""",LET(mes,DATE($E$2,MATCH($B$2,'ESTADO CONTABLE'!$A$5:$A$16,0),1),abonos,SUMIFS('ABONOS MENSUALIDADES'!$F$5:$F$500,'ABONOS MENSUALIDADES'!$C$5:$C$500,A130,'ABONOS MENSUALIDADES'!$D$5:$D$500,mes),metodoDirecto,CHOOSE(MATCH($B$2,'ESTADO CONT"&amp;"ABLE'!$A$5:$A$16,0),IF(ISNUMBER(D130),""POR CLASIFICAR"",""""),IFNA(XLOOKUP(A130,PAGOS!$A$2:$A$996,PAGOS!$H$2:$H$996,""""),""""),IFNA(XLOOKUP(A130,PAGOS!$A$2:$A$996,PAGOS!$K$2:$K$996,""""),""""),IFNA(XLOOKUP(A130,PAGOS!$A$2:$A$996,PAGOS!$N$2:$N$996,""""),"&amp;"""""),IFNA(XLOOKUP(A130,PAGOS!$A$2:$A$996,PAGOS!$Q$2:$Q$996,""""),""""),IFNA(XLOOKUP(A130,PAGOS!$A$2:$A$996,PAGOS!$T$2:$T$996,""""),""""),IFNA(XLOOKUP(A130,PAGOS!$A$2:$A$996,PAGOS!$W$2:$W$996,""""),""""),IFNA(XLOOKUP(A130,PAGOS!$A$2:$A$996,PAGOS!$Z$2:$Z$9"&amp;"96,""""),""""),IFNA(XLOOKUP(A130,PAGOS!$A$2:$A$996,PAGOS!$AC$2:$AC$996,""""),""""),IFNA(XLOOKUP(A130,PAGOS!$A$2:$A$996,PAGOS!$AF$2:$AF$996,""""),""""),IFNA(XLOOKUP(A130,PAGOS!$A$2:$A$996,PAGOS!$AI$2:$AI$996,""""),""""),IFNA(XLOOKUP(A130,PAGOS!$A$2:$A$996,"&amp;"PAGOS!$AL$2:$AL$996,""""),"""")),IF(abonos&gt;0,IFERROR(TEXTJOIN("" + "",TRUE,UNIQUE(FILTER('ABONOS MENSUALIDADES'!$E$5:$E$500,'ABONOS MENSUALIDADES'!$C$5:$C$500=A130,'ABONOS MENSUALIDADES'!$D$5:$D$500=mes))),""""),metodoDirecto)))"),"")</f>
        <v/>
      </c>
      <c r="F130" s="51" t="str">
        <f t="array" ref="F130">IF(A130="","",LET(mes,DATE($E$2,MATCH($B$2,'ESTADO CONTABLE'!$A$5:$A$16,0),1),cobrarDesde,IFERROR(INDEX('BASE DE DATOSS'!I:I,ROW()-13),""),pausada,SUMPRODUCT((UPPER(TRIM('PAUSAS MENSUALIDADES'!$A$5:$A$500))=UPPER(TRIM(A130)))*('PAUSAS MENSUALIDADES'!$B$5:$B$500=mes)*(UPPER(TRIM('PAUSAS MENSUALIDADES'!$D$5:$D$500))="APLICAR"))&gt;0,esperadaBruta,MAX(IFNA(VLOOKUP(B130,COSTOS!$A$3:$B$13,2,FALSE),0)-150,0),IF(AND(cobrarDesde&lt;&gt;"",mes&lt;cobrarDesde),"AÚN NO INICIA",IF(pausada,"PAUSADA",IF(N(D130)&gt;=esperadaBruta,"COBRADA",IF(N(D130)&gt;0,"ABONO","PENDIENTE"))))))</f>
        <v/>
      </c>
      <c r="G130" s="79" t="str">
        <f t="array" ref="G130">IF(A130="","",IFERROR(INDEX('BASE DE DATOSS'!I:I,ROW()-13),""))</f>
        <v/>
      </c>
    </row>
    <row r="131">
      <c r="A131" s="51" t="str">
        <f t="array" ref="A131">IFERROR(INDEX('BASE DE DATOSS'!A:A,ROW()-13),"")</f>
        <v/>
      </c>
      <c r="B131" s="51" t="str">
        <f t="array" ref="B131">IF(A131="","",IFERROR(INDEX('BASE DE DATOSS'!C:C,ROW()-13),""))</f>
        <v/>
      </c>
      <c r="C131" s="62" t="str">
        <f t="array" ref="C131">IF(A131="","",LET(mes,DATE($E$2,MATCH($B$2,'ESTADO CONTABLE'!$A$5:$A$16,0),1),cobrarDesde,IFERROR(INDEX('BASE DE DATOSS'!I:I,ROW()-13),""),pausada,SUMPRODUCT((UPPER(TRIM('PAUSAS MENSUALIDADES'!$A$5:$A$500))=UPPER(TRIM(A131)))*('PAUSAS MENSUALIDADES'!$B$5:$B$500=mes)*(UPPER(TRIM('PAUSAS MENSUALIDADES'!$D$5:$D$500))="APLICAR"))&gt;0,IF(OR(AND(cobrarDesde&lt;&gt;"",mes&lt;cobrarDesde),pausada),0,MAX(IFNA(VLOOKUP(B131,COSTOS!$A$3:$B$13,2,FALSE),0)-150,0)/1.16)))</f>
        <v/>
      </c>
      <c r="D131" s="62" t="str">
        <f t="array" ref="D131">IF(A131="","",LET(mes,DATE($E$2,MATCH($B$2,'ESTADO CONTABLE'!$A$5:$A$16,0),1),abonos,SUMIFS('ABONOS MENSUALIDADES'!$F$5:$F$500,'ABONOS MENSUALIDADES'!$C$5:$C$500,A131,'ABONOS MENSUALIDADES'!$D$5:$D$500,mes),pago,CHOOSE(MATCH($B$2,'ESTADO CONTABLE'!$A$5:$A$16,0),IFNA(_xlfn.XLOOKUP(A131,PAGOS!$A$2:$A$996,PAGOS!$E$2:$E$996,""),""),IFNA(_xlfn.XLOOKUP(A131,PAGOS!$A$2:$A$996,PAGOS!$G$2:$G$996,""),""),IFNA(_xlfn.XLOOKUP(A131,PAGOS!$A$2:$A$996,PAGOS!$J$2:$J$996,""),""),IFNA(_xlfn.XLOOKUP(A131,PAGOS!$A$2:$A$996,PAGOS!$M$2:$M$996,""),""),IFNA(_xlfn.XLOOKUP(A131,PAGOS!$A$2:$A$996,PAGOS!$P$2:$P$996,""),""),IFNA(_xlfn.XLOOKUP(A131,PAGOS!$A$2:$A$996,PAGOS!$S$2:$S$996,""),""),IFNA(_xlfn.XLOOKUP(A131,PAGOS!$A$2:$A$996,PAGOS!$V$2:$V$996,""),""),IFNA(_xlfn.XLOOKUP(A131,PAGOS!$A$2:$A$996,PAGOS!$Y$2:$Y$996,""),""),IFNA(_xlfn.XLOOKUP(A131,PAGOS!$A$2:$A$996,PAGOS!$AB$2:$AB$996,""),""),IFNA(_xlfn.XLOOKUP(A131,PAGOS!$A$2:$A$996,PAGOS!$AE$2:$AE$996,""),""),IFNA(_xlfn.XLOOKUP(A131,PAGOS!$A$2:$A$996,PAGOS!$AH$2:$AH$996,""),""),IFNA(_xlfn.XLOOKUP(A131,PAGOS!$A$2:$A$996,PAGOS!$AK$2:$AK$996,""),"")),IF(abonos&gt;0,abonos,pago)))</f>
        <v/>
      </c>
      <c r="E131" s="51" t="str">
        <f>IFERROR(__xludf.DUMMYFUNCTION("IF(A131="""","""",LET(mes,DATE($E$2,MATCH($B$2,'ESTADO CONTABLE'!$A$5:$A$16,0),1),abonos,SUMIFS('ABONOS MENSUALIDADES'!$F$5:$F$500,'ABONOS MENSUALIDADES'!$C$5:$C$500,A131,'ABONOS MENSUALIDADES'!$D$5:$D$500,mes),metodoDirecto,CHOOSE(MATCH($B$2,'ESTADO CONT"&amp;"ABLE'!$A$5:$A$16,0),IF(ISNUMBER(D131),""POR CLASIFICAR"",""""),IFNA(XLOOKUP(A131,PAGOS!$A$2:$A$996,PAGOS!$H$2:$H$996,""""),""""),IFNA(XLOOKUP(A131,PAGOS!$A$2:$A$996,PAGOS!$K$2:$K$996,""""),""""),IFNA(XLOOKUP(A131,PAGOS!$A$2:$A$996,PAGOS!$N$2:$N$996,""""),"&amp;"""""),IFNA(XLOOKUP(A131,PAGOS!$A$2:$A$996,PAGOS!$Q$2:$Q$996,""""),""""),IFNA(XLOOKUP(A131,PAGOS!$A$2:$A$996,PAGOS!$T$2:$T$996,""""),""""),IFNA(XLOOKUP(A131,PAGOS!$A$2:$A$996,PAGOS!$W$2:$W$996,""""),""""),IFNA(XLOOKUP(A131,PAGOS!$A$2:$A$996,PAGOS!$Z$2:$Z$9"&amp;"96,""""),""""),IFNA(XLOOKUP(A131,PAGOS!$A$2:$A$996,PAGOS!$AC$2:$AC$996,""""),""""),IFNA(XLOOKUP(A131,PAGOS!$A$2:$A$996,PAGOS!$AF$2:$AF$996,""""),""""),IFNA(XLOOKUP(A131,PAGOS!$A$2:$A$996,PAGOS!$AI$2:$AI$996,""""),""""),IFNA(XLOOKUP(A131,PAGOS!$A$2:$A$996,"&amp;"PAGOS!$AL$2:$AL$996,""""),"""")),IF(abonos&gt;0,IFERROR(TEXTJOIN("" + "",TRUE,UNIQUE(FILTER('ABONOS MENSUALIDADES'!$E$5:$E$500,'ABONOS MENSUALIDADES'!$C$5:$C$500=A131,'ABONOS MENSUALIDADES'!$D$5:$D$500=mes))),""""),metodoDirecto)))"),"")</f>
        <v/>
      </c>
      <c r="F131" s="51" t="str">
        <f t="array" ref="F131">IF(A131="","",LET(mes,DATE($E$2,MATCH($B$2,'ESTADO CONTABLE'!$A$5:$A$16,0),1),cobrarDesde,IFERROR(INDEX('BASE DE DATOSS'!I:I,ROW()-13),""),pausada,SUMPRODUCT((UPPER(TRIM('PAUSAS MENSUALIDADES'!$A$5:$A$500))=UPPER(TRIM(A131)))*('PAUSAS MENSUALIDADES'!$B$5:$B$500=mes)*(UPPER(TRIM('PAUSAS MENSUALIDADES'!$D$5:$D$500))="APLICAR"))&gt;0,esperadaBruta,MAX(IFNA(VLOOKUP(B131,COSTOS!$A$3:$B$13,2,FALSE),0)-150,0),IF(AND(cobrarDesde&lt;&gt;"",mes&lt;cobrarDesde),"AÚN NO INICIA",IF(pausada,"PAUSADA",IF(N(D131)&gt;=esperadaBruta,"COBRADA",IF(N(D131)&gt;0,"ABONO","PENDIENTE"))))))</f>
        <v/>
      </c>
      <c r="G131" s="79" t="str">
        <f t="array" ref="G131">IF(A131="","",IFERROR(INDEX('BASE DE DATOSS'!I:I,ROW()-13),""))</f>
        <v/>
      </c>
    </row>
    <row r="132">
      <c r="A132" s="51" t="str">
        <f t="array" ref="A132">IFERROR(INDEX('BASE DE DATOSS'!A:A,ROW()-13),"")</f>
        <v/>
      </c>
      <c r="B132" s="51" t="str">
        <f t="array" ref="B132">IF(A132="","",IFERROR(INDEX('BASE DE DATOSS'!C:C,ROW()-13),""))</f>
        <v/>
      </c>
      <c r="C132" s="62" t="str">
        <f t="array" ref="C132">IF(A132="","",LET(mes,DATE($E$2,MATCH($B$2,'ESTADO CONTABLE'!$A$5:$A$16,0),1),cobrarDesde,IFERROR(INDEX('BASE DE DATOSS'!I:I,ROW()-13),""),pausada,SUMPRODUCT((UPPER(TRIM('PAUSAS MENSUALIDADES'!$A$5:$A$500))=UPPER(TRIM(A132)))*('PAUSAS MENSUALIDADES'!$B$5:$B$500=mes)*(UPPER(TRIM('PAUSAS MENSUALIDADES'!$D$5:$D$500))="APLICAR"))&gt;0,IF(OR(AND(cobrarDesde&lt;&gt;"",mes&lt;cobrarDesde),pausada),0,MAX(IFNA(VLOOKUP(B132,COSTOS!$A$3:$B$13,2,FALSE),0)-150,0)/1.16)))</f>
        <v/>
      </c>
      <c r="D132" s="62" t="str">
        <f t="array" ref="D132">IF(A132="","",LET(mes,DATE($E$2,MATCH($B$2,'ESTADO CONTABLE'!$A$5:$A$16,0),1),abonos,SUMIFS('ABONOS MENSUALIDADES'!$F$5:$F$500,'ABONOS MENSUALIDADES'!$C$5:$C$500,A132,'ABONOS MENSUALIDADES'!$D$5:$D$500,mes),pago,CHOOSE(MATCH($B$2,'ESTADO CONTABLE'!$A$5:$A$16,0),IFNA(_xlfn.XLOOKUP(A132,PAGOS!$A$2:$A$996,PAGOS!$E$2:$E$996,""),""),IFNA(_xlfn.XLOOKUP(A132,PAGOS!$A$2:$A$996,PAGOS!$G$2:$G$996,""),""),IFNA(_xlfn.XLOOKUP(A132,PAGOS!$A$2:$A$996,PAGOS!$J$2:$J$996,""),""),IFNA(_xlfn.XLOOKUP(A132,PAGOS!$A$2:$A$996,PAGOS!$M$2:$M$996,""),""),IFNA(_xlfn.XLOOKUP(A132,PAGOS!$A$2:$A$996,PAGOS!$P$2:$P$996,""),""),IFNA(_xlfn.XLOOKUP(A132,PAGOS!$A$2:$A$996,PAGOS!$S$2:$S$996,""),""),IFNA(_xlfn.XLOOKUP(A132,PAGOS!$A$2:$A$996,PAGOS!$V$2:$V$996,""),""),IFNA(_xlfn.XLOOKUP(A132,PAGOS!$A$2:$A$996,PAGOS!$Y$2:$Y$996,""),""),IFNA(_xlfn.XLOOKUP(A132,PAGOS!$A$2:$A$996,PAGOS!$AB$2:$AB$996,""),""),IFNA(_xlfn.XLOOKUP(A132,PAGOS!$A$2:$A$996,PAGOS!$AE$2:$AE$996,""),""),IFNA(_xlfn.XLOOKUP(A132,PAGOS!$A$2:$A$996,PAGOS!$AH$2:$AH$996,""),""),IFNA(_xlfn.XLOOKUP(A132,PAGOS!$A$2:$A$996,PAGOS!$AK$2:$AK$996,""),"")),IF(abonos&gt;0,abonos,pago)))</f>
        <v/>
      </c>
      <c r="E132" s="51" t="str">
        <f>IFERROR(__xludf.DUMMYFUNCTION("IF(A132="""","""",LET(mes,DATE($E$2,MATCH($B$2,'ESTADO CONTABLE'!$A$5:$A$16,0),1),abonos,SUMIFS('ABONOS MENSUALIDADES'!$F$5:$F$500,'ABONOS MENSUALIDADES'!$C$5:$C$500,A132,'ABONOS MENSUALIDADES'!$D$5:$D$500,mes),metodoDirecto,CHOOSE(MATCH($B$2,'ESTADO CONT"&amp;"ABLE'!$A$5:$A$16,0),IF(ISNUMBER(D132),""POR CLASIFICAR"",""""),IFNA(XLOOKUP(A132,PAGOS!$A$2:$A$996,PAGOS!$H$2:$H$996,""""),""""),IFNA(XLOOKUP(A132,PAGOS!$A$2:$A$996,PAGOS!$K$2:$K$996,""""),""""),IFNA(XLOOKUP(A132,PAGOS!$A$2:$A$996,PAGOS!$N$2:$N$996,""""),"&amp;"""""),IFNA(XLOOKUP(A132,PAGOS!$A$2:$A$996,PAGOS!$Q$2:$Q$996,""""),""""),IFNA(XLOOKUP(A132,PAGOS!$A$2:$A$996,PAGOS!$T$2:$T$996,""""),""""),IFNA(XLOOKUP(A132,PAGOS!$A$2:$A$996,PAGOS!$W$2:$W$996,""""),""""),IFNA(XLOOKUP(A132,PAGOS!$A$2:$A$996,PAGOS!$Z$2:$Z$9"&amp;"96,""""),""""),IFNA(XLOOKUP(A132,PAGOS!$A$2:$A$996,PAGOS!$AC$2:$AC$996,""""),""""),IFNA(XLOOKUP(A132,PAGOS!$A$2:$A$996,PAGOS!$AF$2:$AF$996,""""),""""),IFNA(XLOOKUP(A132,PAGOS!$A$2:$A$996,PAGOS!$AI$2:$AI$996,""""),""""),IFNA(XLOOKUP(A132,PAGOS!$A$2:$A$996,"&amp;"PAGOS!$AL$2:$AL$996,""""),"""")),IF(abonos&gt;0,IFERROR(TEXTJOIN("" + "",TRUE,UNIQUE(FILTER('ABONOS MENSUALIDADES'!$E$5:$E$500,'ABONOS MENSUALIDADES'!$C$5:$C$500=A132,'ABONOS MENSUALIDADES'!$D$5:$D$500=mes))),""""),metodoDirecto)))"),"")</f>
        <v/>
      </c>
      <c r="F132" s="51" t="str">
        <f t="array" ref="F132">IF(A132="","",LET(mes,DATE($E$2,MATCH($B$2,'ESTADO CONTABLE'!$A$5:$A$16,0),1),cobrarDesde,IFERROR(INDEX('BASE DE DATOSS'!I:I,ROW()-13),""),pausada,SUMPRODUCT((UPPER(TRIM('PAUSAS MENSUALIDADES'!$A$5:$A$500))=UPPER(TRIM(A132)))*('PAUSAS MENSUALIDADES'!$B$5:$B$500=mes)*(UPPER(TRIM('PAUSAS MENSUALIDADES'!$D$5:$D$500))="APLICAR"))&gt;0,esperadaBruta,MAX(IFNA(VLOOKUP(B132,COSTOS!$A$3:$B$13,2,FALSE),0)-150,0),IF(AND(cobrarDesde&lt;&gt;"",mes&lt;cobrarDesde),"AÚN NO INICIA",IF(pausada,"PAUSADA",IF(N(D132)&gt;=esperadaBruta,"COBRADA",IF(N(D132)&gt;0,"ABONO","PENDIENTE"))))))</f>
        <v/>
      </c>
      <c r="G132" s="79" t="str">
        <f t="array" ref="G132">IF(A132="","",IFERROR(INDEX('BASE DE DATOSS'!I:I,ROW()-13),""))</f>
        <v/>
      </c>
    </row>
    <row r="133">
      <c r="A133" s="51" t="str">
        <f t="array" ref="A133">IFERROR(INDEX('BASE DE DATOSS'!A:A,ROW()-13),"")</f>
        <v/>
      </c>
      <c r="B133" s="51" t="str">
        <f t="array" ref="B133">IF(A133="","",IFERROR(INDEX('BASE DE DATOSS'!C:C,ROW()-13),""))</f>
        <v/>
      </c>
      <c r="C133" s="62" t="str">
        <f t="array" ref="C133">IF(A133="","",LET(mes,DATE($E$2,MATCH($B$2,'ESTADO CONTABLE'!$A$5:$A$16,0),1),cobrarDesde,IFERROR(INDEX('BASE DE DATOSS'!I:I,ROW()-13),""),pausada,SUMPRODUCT((UPPER(TRIM('PAUSAS MENSUALIDADES'!$A$5:$A$500))=UPPER(TRIM(A133)))*('PAUSAS MENSUALIDADES'!$B$5:$B$500=mes)*(UPPER(TRIM('PAUSAS MENSUALIDADES'!$D$5:$D$500))="APLICAR"))&gt;0,IF(OR(AND(cobrarDesde&lt;&gt;"",mes&lt;cobrarDesde),pausada),0,MAX(IFNA(VLOOKUP(B133,COSTOS!$A$3:$B$13,2,FALSE),0)-150,0)/1.16)))</f>
        <v/>
      </c>
      <c r="D133" s="62" t="str">
        <f t="array" ref="D133">IF(A133="","",LET(mes,DATE($E$2,MATCH($B$2,'ESTADO CONTABLE'!$A$5:$A$16,0),1),abonos,SUMIFS('ABONOS MENSUALIDADES'!$F$5:$F$500,'ABONOS MENSUALIDADES'!$C$5:$C$500,A133,'ABONOS MENSUALIDADES'!$D$5:$D$500,mes),pago,CHOOSE(MATCH($B$2,'ESTADO CONTABLE'!$A$5:$A$16,0),IFNA(_xlfn.XLOOKUP(A133,PAGOS!$A$2:$A$996,PAGOS!$E$2:$E$996,""),""),IFNA(_xlfn.XLOOKUP(A133,PAGOS!$A$2:$A$996,PAGOS!$G$2:$G$996,""),""),IFNA(_xlfn.XLOOKUP(A133,PAGOS!$A$2:$A$996,PAGOS!$J$2:$J$996,""),""),IFNA(_xlfn.XLOOKUP(A133,PAGOS!$A$2:$A$996,PAGOS!$M$2:$M$996,""),""),IFNA(_xlfn.XLOOKUP(A133,PAGOS!$A$2:$A$996,PAGOS!$P$2:$P$996,""),""),IFNA(_xlfn.XLOOKUP(A133,PAGOS!$A$2:$A$996,PAGOS!$S$2:$S$996,""),""),IFNA(_xlfn.XLOOKUP(A133,PAGOS!$A$2:$A$996,PAGOS!$V$2:$V$996,""),""),IFNA(_xlfn.XLOOKUP(A133,PAGOS!$A$2:$A$996,PAGOS!$Y$2:$Y$996,""),""),IFNA(_xlfn.XLOOKUP(A133,PAGOS!$A$2:$A$996,PAGOS!$AB$2:$AB$996,""),""),IFNA(_xlfn.XLOOKUP(A133,PAGOS!$A$2:$A$996,PAGOS!$AE$2:$AE$996,""),""),IFNA(_xlfn.XLOOKUP(A133,PAGOS!$A$2:$A$996,PAGOS!$AH$2:$AH$996,""),""),IFNA(_xlfn.XLOOKUP(A133,PAGOS!$A$2:$A$996,PAGOS!$AK$2:$AK$996,""),"")),IF(abonos&gt;0,abonos,pago)))</f>
        <v/>
      </c>
      <c r="E133" s="51" t="str">
        <f>IFERROR(__xludf.DUMMYFUNCTION("IF(A133="""","""",LET(mes,DATE($E$2,MATCH($B$2,'ESTADO CONTABLE'!$A$5:$A$16,0),1),abonos,SUMIFS('ABONOS MENSUALIDADES'!$F$5:$F$500,'ABONOS MENSUALIDADES'!$C$5:$C$500,A133,'ABONOS MENSUALIDADES'!$D$5:$D$500,mes),metodoDirecto,CHOOSE(MATCH($B$2,'ESTADO CONT"&amp;"ABLE'!$A$5:$A$16,0),IF(ISNUMBER(D133),""POR CLASIFICAR"",""""),IFNA(XLOOKUP(A133,PAGOS!$A$2:$A$996,PAGOS!$H$2:$H$996,""""),""""),IFNA(XLOOKUP(A133,PAGOS!$A$2:$A$996,PAGOS!$K$2:$K$996,""""),""""),IFNA(XLOOKUP(A133,PAGOS!$A$2:$A$996,PAGOS!$N$2:$N$996,""""),"&amp;"""""),IFNA(XLOOKUP(A133,PAGOS!$A$2:$A$996,PAGOS!$Q$2:$Q$996,""""),""""),IFNA(XLOOKUP(A133,PAGOS!$A$2:$A$996,PAGOS!$T$2:$T$996,""""),""""),IFNA(XLOOKUP(A133,PAGOS!$A$2:$A$996,PAGOS!$W$2:$W$996,""""),""""),IFNA(XLOOKUP(A133,PAGOS!$A$2:$A$996,PAGOS!$Z$2:$Z$9"&amp;"96,""""),""""),IFNA(XLOOKUP(A133,PAGOS!$A$2:$A$996,PAGOS!$AC$2:$AC$996,""""),""""),IFNA(XLOOKUP(A133,PAGOS!$A$2:$A$996,PAGOS!$AF$2:$AF$996,""""),""""),IFNA(XLOOKUP(A133,PAGOS!$A$2:$A$996,PAGOS!$AI$2:$AI$996,""""),""""),IFNA(XLOOKUP(A133,PAGOS!$A$2:$A$996,"&amp;"PAGOS!$AL$2:$AL$996,""""),"""")),IF(abonos&gt;0,IFERROR(TEXTJOIN("" + "",TRUE,UNIQUE(FILTER('ABONOS MENSUALIDADES'!$E$5:$E$500,'ABONOS MENSUALIDADES'!$C$5:$C$500=A133,'ABONOS MENSUALIDADES'!$D$5:$D$500=mes))),""""),metodoDirecto)))"),"")</f>
        <v/>
      </c>
      <c r="F133" s="51" t="str">
        <f t="array" ref="F133">IF(A133="","",LET(mes,DATE($E$2,MATCH($B$2,'ESTADO CONTABLE'!$A$5:$A$16,0),1),cobrarDesde,IFERROR(INDEX('BASE DE DATOSS'!I:I,ROW()-13),""),pausada,SUMPRODUCT((UPPER(TRIM('PAUSAS MENSUALIDADES'!$A$5:$A$500))=UPPER(TRIM(A133)))*('PAUSAS MENSUALIDADES'!$B$5:$B$500=mes)*(UPPER(TRIM('PAUSAS MENSUALIDADES'!$D$5:$D$500))="APLICAR"))&gt;0,esperadaBruta,MAX(IFNA(VLOOKUP(B133,COSTOS!$A$3:$B$13,2,FALSE),0)-150,0),IF(AND(cobrarDesde&lt;&gt;"",mes&lt;cobrarDesde),"AÚN NO INICIA",IF(pausada,"PAUSADA",IF(N(D133)&gt;=esperadaBruta,"COBRADA",IF(N(D133)&gt;0,"ABONO","PENDIENTE"))))))</f>
        <v/>
      </c>
      <c r="G133" s="79" t="str">
        <f t="array" ref="G133">IF(A133="","",IFERROR(INDEX('BASE DE DATOSS'!I:I,ROW()-13),""))</f>
        <v/>
      </c>
    </row>
    <row r="134">
      <c r="A134" s="51" t="str">
        <f t="array" ref="A134">IFERROR(INDEX('BASE DE DATOSS'!A:A,ROW()-13),"")</f>
        <v/>
      </c>
      <c r="B134" s="51" t="str">
        <f t="array" ref="B134">IF(A134="","",IFERROR(INDEX('BASE DE DATOSS'!C:C,ROW()-13),""))</f>
        <v/>
      </c>
      <c r="C134" s="62" t="str">
        <f t="array" ref="C134">IF(A134="","",LET(mes,DATE($E$2,MATCH($B$2,'ESTADO CONTABLE'!$A$5:$A$16,0),1),cobrarDesde,IFERROR(INDEX('BASE DE DATOSS'!I:I,ROW()-13),""),pausada,SUMPRODUCT((UPPER(TRIM('PAUSAS MENSUALIDADES'!$A$5:$A$500))=UPPER(TRIM(A134)))*('PAUSAS MENSUALIDADES'!$B$5:$B$500=mes)*(UPPER(TRIM('PAUSAS MENSUALIDADES'!$D$5:$D$500))="APLICAR"))&gt;0,IF(OR(AND(cobrarDesde&lt;&gt;"",mes&lt;cobrarDesde),pausada),0,MAX(IFNA(VLOOKUP(B134,COSTOS!$A$3:$B$13,2,FALSE),0)-150,0)/1.16)))</f>
        <v/>
      </c>
      <c r="D134" s="62" t="str">
        <f t="array" ref="D134">IF(A134="","",LET(mes,DATE($E$2,MATCH($B$2,'ESTADO CONTABLE'!$A$5:$A$16,0),1),abonos,SUMIFS('ABONOS MENSUALIDADES'!$F$5:$F$500,'ABONOS MENSUALIDADES'!$C$5:$C$500,A134,'ABONOS MENSUALIDADES'!$D$5:$D$500,mes),pago,CHOOSE(MATCH($B$2,'ESTADO CONTABLE'!$A$5:$A$16,0),IFNA(_xlfn.XLOOKUP(A134,PAGOS!$A$2:$A$996,PAGOS!$E$2:$E$996,""),""),IFNA(_xlfn.XLOOKUP(A134,PAGOS!$A$2:$A$996,PAGOS!$G$2:$G$996,""),""),IFNA(_xlfn.XLOOKUP(A134,PAGOS!$A$2:$A$996,PAGOS!$J$2:$J$996,""),""),IFNA(_xlfn.XLOOKUP(A134,PAGOS!$A$2:$A$996,PAGOS!$M$2:$M$996,""),""),IFNA(_xlfn.XLOOKUP(A134,PAGOS!$A$2:$A$996,PAGOS!$P$2:$P$996,""),""),IFNA(_xlfn.XLOOKUP(A134,PAGOS!$A$2:$A$996,PAGOS!$S$2:$S$996,""),""),IFNA(_xlfn.XLOOKUP(A134,PAGOS!$A$2:$A$996,PAGOS!$V$2:$V$996,""),""),IFNA(_xlfn.XLOOKUP(A134,PAGOS!$A$2:$A$996,PAGOS!$Y$2:$Y$996,""),""),IFNA(_xlfn.XLOOKUP(A134,PAGOS!$A$2:$A$996,PAGOS!$AB$2:$AB$996,""),""),IFNA(_xlfn.XLOOKUP(A134,PAGOS!$A$2:$A$996,PAGOS!$AE$2:$AE$996,""),""),IFNA(_xlfn.XLOOKUP(A134,PAGOS!$A$2:$A$996,PAGOS!$AH$2:$AH$996,""),""),IFNA(_xlfn.XLOOKUP(A134,PAGOS!$A$2:$A$996,PAGOS!$AK$2:$AK$996,""),"")),IF(abonos&gt;0,abonos,pago)))</f>
        <v/>
      </c>
      <c r="E134" s="51" t="str">
        <f>IFERROR(__xludf.DUMMYFUNCTION("IF(A134="""","""",LET(mes,DATE($E$2,MATCH($B$2,'ESTADO CONTABLE'!$A$5:$A$16,0),1),abonos,SUMIFS('ABONOS MENSUALIDADES'!$F$5:$F$500,'ABONOS MENSUALIDADES'!$C$5:$C$500,A134,'ABONOS MENSUALIDADES'!$D$5:$D$500,mes),metodoDirecto,CHOOSE(MATCH($B$2,'ESTADO CONT"&amp;"ABLE'!$A$5:$A$16,0),IF(ISNUMBER(D134),""POR CLASIFICAR"",""""),IFNA(XLOOKUP(A134,PAGOS!$A$2:$A$996,PAGOS!$H$2:$H$996,""""),""""),IFNA(XLOOKUP(A134,PAGOS!$A$2:$A$996,PAGOS!$K$2:$K$996,""""),""""),IFNA(XLOOKUP(A134,PAGOS!$A$2:$A$996,PAGOS!$N$2:$N$996,""""),"&amp;"""""),IFNA(XLOOKUP(A134,PAGOS!$A$2:$A$996,PAGOS!$Q$2:$Q$996,""""),""""),IFNA(XLOOKUP(A134,PAGOS!$A$2:$A$996,PAGOS!$T$2:$T$996,""""),""""),IFNA(XLOOKUP(A134,PAGOS!$A$2:$A$996,PAGOS!$W$2:$W$996,""""),""""),IFNA(XLOOKUP(A134,PAGOS!$A$2:$A$996,PAGOS!$Z$2:$Z$9"&amp;"96,""""),""""),IFNA(XLOOKUP(A134,PAGOS!$A$2:$A$996,PAGOS!$AC$2:$AC$996,""""),""""),IFNA(XLOOKUP(A134,PAGOS!$A$2:$A$996,PAGOS!$AF$2:$AF$996,""""),""""),IFNA(XLOOKUP(A134,PAGOS!$A$2:$A$996,PAGOS!$AI$2:$AI$996,""""),""""),IFNA(XLOOKUP(A134,PAGOS!$A$2:$A$996,"&amp;"PAGOS!$AL$2:$AL$996,""""),"""")),IF(abonos&gt;0,IFERROR(TEXTJOIN("" + "",TRUE,UNIQUE(FILTER('ABONOS MENSUALIDADES'!$E$5:$E$500,'ABONOS MENSUALIDADES'!$C$5:$C$500=A134,'ABONOS MENSUALIDADES'!$D$5:$D$500=mes))),""""),metodoDirecto)))"),"")</f>
        <v/>
      </c>
      <c r="F134" s="51" t="str">
        <f t="array" ref="F134">IF(A134="","",LET(mes,DATE($E$2,MATCH($B$2,'ESTADO CONTABLE'!$A$5:$A$16,0),1),cobrarDesde,IFERROR(INDEX('BASE DE DATOSS'!I:I,ROW()-13),""),pausada,SUMPRODUCT((UPPER(TRIM('PAUSAS MENSUALIDADES'!$A$5:$A$500))=UPPER(TRIM(A134)))*('PAUSAS MENSUALIDADES'!$B$5:$B$500=mes)*(UPPER(TRIM('PAUSAS MENSUALIDADES'!$D$5:$D$500))="APLICAR"))&gt;0,esperadaBruta,MAX(IFNA(VLOOKUP(B134,COSTOS!$A$3:$B$13,2,FALSE),0)-150,0),IF(AND(cobrarDesde&lt;&gt;"",mes&lt;cobrarDesde),"AÚN NO INICIA",IF(pausada,"PAUSADA",IF(N(D134)&gt;=esperadaBruta,"COBRADA",IF(N(D134)&gt;0,"ABONO","PENDIENTE"))))))</f>
        <v/>
      </c>
      <c r="G134" s="79" t="str">
        <f t="array" ref="G134">IF(A134="","",IFERROR(INDEX('BASE DE DATOSS'!I:I,ROW()-13),""))</f>
        <v/>
      </c>
    </row>
    <row r="135">
      <c r="A135" s="51" t="str">
        <f t="array" ref="A135">IFERROR(INDEX('BASE DE DATOSS'!A:A,ROW()-13),"")</f>
        <v/>
      </c>
      <c r="B135" s="51" t="str">
        <f t="array" ref="B135">IF(A135="","",IFERROR(INDEX('BASE DE DATOSS'!C:C,ROW()-13),""))</f>
        <v/>
      </c>
      <c r="C135" s="62" t="str">
        <f t="array" ref="C135">IF(A135="","",LET(mes,DATE($E$2,MATCH($B$2,'ESTADO CONTABLE'!$A$5:$A$16,0),1),cobrarDesde,IFERROR(INDEX('BASE DE DATOSS'!I:I,ROW()-13),""),pausada,SUMPRODUCT((UPPER(TRIM('PAUSAS MENSUALIDADES'!$A$5:$A$500))=UPPER(TRIM(A135)))*('PAUSAS MENSUALIDADES'!$B$5:$B$500=mes)*(UPPER(TRIM('PAUSAS MENSUALIDADES'!$D$5:$D$500))="APLICAR"))&gt;0,IF(OR(AND(cobrarDesde&lt;&gt;"",mes&lt;cobrarDesde),pausada),0,MAX(IFNA(VLOOKUP(B135,COSTOS!$A$3:$B$13,2,FALSE),0)-150,0)/1.16)))</f>
        <v/>
      </c>
      <c r="D135" s="62" t="str">
        <f t="array" ref="D135">IF(A135="","",LET(mes,DATE($E$2,MATCH($B$2,'ESTADO CONTABLE'!$A$5:$A$16,0),1),abonos,SUMIFS('ABONOS MENSUALIDADES'!$F$5:$F$500,'ABONOS MENSUALIDADES'!$C$5:$C$500,A135,'ABONOS MENSUALIDADES'!$D$5:$D$500,mes),pago,CHOOSE(MATCH($B$2,'ESTADO CONTABLE'!$A$5:$A$16,0),IFNA(_xlfn.XLOOKUP(A135,PAGOS!$A$2:$A$996,PAGOS!$E$2:$E$996,""),""),IFNA(_xlfn.XLOOKUP(A135,PAGOS!$A$2:$A$996,PAGOS!$G$2:$G$996,""),""),IFNA(_xlfn.XLOOKUP(A135,PAGOS!$A$2:$A$996,PAGOS!$J$2:$J$996,""),""),IFNA(_xlfn.XLOOKUP(A135,PAGOS!$A$2:$A$996,PAGOS!$M$2:$M$996,""),""),IFNA(_xlfn.XLOOKUP(A135,PAGOS!$A$2:$A$996,PAGOS!$P$2:$P$996,""),""),IFNA(_xlfn.XLOOKUP(A135,PAGOS!$A$2:$A$996,PAGOS!$S$2:$S$996,""),""),IFNA(_xlfn.XLOOKUP(A135,PAGOS!$A$2:$A$996,PAGOS!$V$2:$V$996,""),""),IFNA(_xlfn.XLOOKUP(A135,PAGOS!$A$2:$A$996,PAGOS!$Y$2:$Y$996,""),""),IFNA(_xlfn.XLOOKUP(A135,PAGOS!$A$2:$A$996,PAGOS!$AB$2:$AB$996,""),""),IFNA(_xlfn.XLOOKUP(A135,PAGOS!$A$2:$A$996,PAGOS!$AE$2:$AE$996,""),""),IFNA(_xlfn.XLOOKUP(A135,PAGOS!$A$2:$A$996,PAGOS!$AH$2:$AH$996,""),""),IFNA(_xlfn.XLOOKUP(A135,PAGOS!$A$2:$A$996,PAGOS!$AK$2:$AK$996,""),"")),IF(abonos&gt;0,abonos,pago)))</f>
        <v/>
      </c>
      <c r="E135" s="51" t="str">
        <f>IFERROR(__xludf.DUMMYFUNCTION("IF(A135="""","""",LET(mes,DATE($E$2,MATCH($B$2,'ESTADO CONTABLE'!$A$5:$A$16,0),1),abonos,SUMIFS('ABONOS MENSUALIDADES'!$F$5:$F$500,'ABONOS MENSUALIDADES'!$C$5:$C$500,A135,'ABONOS MENSUALIDADES'!$D$5:$D$500,mes),metodoDirecto,CHOOSE(MATCH($B$2,'ESTADO CONT"&amp;"ABLE'!$A$5:$A$16,0),IF(ISNUMBER(D135),""POR CLASIFICAR"",""""),IFNA(XLOOKUP(A135,PAGOS!$A$2:$A$996,PAGOS!$H$2:$H$996,""""),""""),IFNA(XLOOKUP(A135,PAGOS!$A$2:$A$996,PAGOS!$K$2:$K$996,""""),""""),IFNA(XLOOKUP(A135,PAGOS!$A$2:$A$996,PAGOS!$N$2:$N$996,""""),"&amp;"""""),IFNA(XLOOKUP(A135,PAGOS!$A$2:$A$996,PAGOS!$Q$2:$Q$996,""""),""""),IFNA(XLOOKUP(A135,PAGOS!$A$2:$A$996,PAGOS!$T$2:$T$996,""""),""""),IFNA(XLOOKUP(A135,PAGOS!$A$2:$A$996,PAGOS!$W$2:$W$996,""""),""""),IFNA(XLOOKUP(A135,PAGOS!$A$2:$A$996,PAGOS!$Z$2:$Z$9"&amp;"96,""""),""""),IFNA(XLOOKUP(A135,PAGOS!$A$2:$A$996,PAGOS!$AC$2:$AC$996,""""),""""),IFNA(XLOOKUP(A135,PAGOS!$A$2:$A$996,PAGOS!$AF$2:$AF$996,""""),""""),IFNA(XLOOKUP(A135,PAGOS!$A$2:$A$996,PAGOS!$AI$2:$AI$996,""""),""""),IFNA(XLOOKUP(A135,PAGOS!$A$2:$A$996,"&amp;"PAGOS!$AL$2:$AL$996,""""),"""")),IF(abonos&gt;0,IFERROR(TEXTJOIN("" + "",TRUE,UNIQUE(FILTER('ABONOS MENSUALIDADES'!$E$5:$E$500,'ABONOS MENSUALIDADES'!$C$5:$C$500=A135,'ABONOS MENSUALIDADES'!$D$5:$D$500=mes))),""""),metodoDirecto)))"),"")</f>
        <v/>
      </c>
      <c r="F135" s="51" t="str">
        <f t="array" ref="F135">IF(A135="","",LET(mes,DATE($E$2,MATCH($B$2,'ESTADO CONTABLE'!$A$5:$A$16,0),1),cobrarDesde,IFERROR(INDEX('BASE DE DATOSS'!I:I,ROW()-13),""),pausada,SUMPRODUCT((UPPER(TRIM('PAUSAS MENSUALIDADES'!$A$5:$A$500))=UPPER(TRIM(A135)))*('PAUSAS MENSUALIDADES'!$B$5:$B$500=mes)*(UPPER(TRIM('PAUSAS MENSUALIDADES'!$D$5:$D$500))="APLICAR"))&gt;0,esperadaBruta,MAX(IFNA(VLOOKUP(B135,COSTOS!$A$3:$B$13,2,FALSE),0)-150,0),IF(AND(cobrarDesde&lt;&gt;"",mes&lt;cobrarDesde),"AÚN NO INICIA",IF(pausada,"PAUSADA",IF(N(D135)&gt;=esperadaBruta,"COBRADA",IF(N(D135)&gt;0,"ABONO","PENDIENTE"))))))</f>
        <v/>
      </c>
      <c r="G135" s="79" t="str">
        <f t="array" ref="G135">IF(A135="","",IFERROR(INDEX('BASE DE DATOSS'!I:I,ROW()-13),""))</f>
        <v/>
      </c>
    </row>
    <row r="136">
      <c r="A136" s="51" t="str">
        <f t="array" ref="A136">IFERROR(INDEX('BASE DE DATOSS'!A:A,ROW()-13),"")</f>
        <v/>
      </c>
      <c r="B136" s="51" t="str">
        <f t="array" ref="B136">IF(A136="","",IFERROR(INDEX('BASE DE DATOSS'!C:C,ROW()-13),""))</f>
        <v/>
      </c>
      <c r="C136" s="62" t="str">
        <f t="array" ref="C136">IF(A136="","",LET(mes,DATE($E$2,MATCH($B$2,'ESTADO CONTABLE'!$A$5:$A$16,0),1),cobrarDesde,IFERROR(INDEX('BASE DE DATOSS'!I:I,ROW()-13),""),pausada,SUMPRODUCT((UPPER(TRIM('PAUSAS MENSUALIDADES'!$A$5:$A$500))=UPPER(TRIM(A136)))*('PAUSAS MENSUALIDADES'!$B$5:$B$500=mes)*(UPPER(TRIM('PAUSAS MENSUALIDADES'!$D$5:$D$500))="APLICAR"))&gt;0,IF(OR(AND(cobrarDesde&lt;&gt;"",mes&lt;cobrarDesde),pausada),0,MAX(IFNA(VLOOKUP(B136,COSTOS!$A$3:$B$13,2,FALSE),0)-150,0)/1.16)))</f>
        <v/>
      </c>
      <c r="D136" s="62" t="str">
        <f t="array" ref="D136">IF(A136="","",LET(mes,DATE($E$2,MATCH($B$2,'ESTADO CONTABLE'!$A$5:$A$16,0),1),abonos,SUMIFS('ABONOS MENSUALIDADES'!$F$5:$F$500,'ABONOS MENSUALIDADES'!$C$5:$C$500,A136,'ABONOS MENSUALIDADES'!$D$5:$D$500,mes),pago,CHOOSE(MATCH($B$2,'ESTADO CONTABLE'!$A$5:$A$16,0),IFNA(_xlfn.XLOOKUP(A136,PAGOS!$A$2:$A$996,PAGOS!$E$2:$E$996,""),""),IFNA(_xlfn.XLOOKUP(A136,PAGOS!$A$2:$A$996,PAGOS!$G$2:$G$996,""),""),IFNA(_xlfn.XLOOKUP(A136,PAGOS!$A$2:$A$996,PAGOS!$J$2:$J$996,""),""),IFNA(_xlfn.XLOOKUP(A136,PAGOS!$A$2:$A$996,PAGOS!$M$2:$M$996,""),""),IFNA(_xlfn.XLOOKUP(A136,PAGOS!$A$2:$A$996,PAGOS!$P$2:$P$996,""),""),IFNA(_xlfn.XLOOKUP(A136,PAGOS!$A$2:$A$996,PAGOS!$S$2:$S$996,""),""),IFNA(_xlfn.XLOOKUP(A136,PAGOS!$A$2:$A$996,PAGOS!$V$2:$V$996,""),""),IFNA(_xlfn.XLOOKUP(A136,PAGOS!$A$2:$A$996,PAGOS!$Y$2:$Y$996,""),""),IFNA(_xlfn.XLOOKUP(A136,PAGOS!$A$2:$A$996,PAGOS!$AB$2:$AB$996,""),""),IFNA(_xlfn.XLOOKUP(A136,PAGOS!$A$2:$A$996,PAGOS!$AE$2:$AE$996,""),""),IFNA(_xlfn.XLOOKUP(A136,PAGOS!$A$2:$A$996,PAGOS!$AH$2:$AH$996,""),""),IFNA(_xlfn.XLOOKUP(A136,PAGOS!$A$2:$A$996,PAGOS!$AK$2:$AK$996,""),"")),IF(abonos&gt;0,abonos,pago)))</f>
        <v/>
      </c>
      <c r="E136" s="51" t="str">
        <f>IFERROR(__xludf.DUMMYFUNCTION("IF(A136="""","""",LET(mes,DATE($E$2,MATCH($B$2,'ESTADO CONTABLE'!$A$5:$A$16,0),1),abonos,SUMIFS('ABONOS MENSUALIDADES'!$F$5:$F$500,'ABONOS MENSUALIDADES'!$C$5:$C$500,A136,'ABONOS MENSUALIDADES'!$D$5:$D$500,mes),metodoDirecto,CHOOSE(MATCH($B$2,'ESTADO CONT"&amp;"ABLE'!$A$5:$A$16,0),IF(ISNUMBER(D136),""POR CLASIFICAR"",""""),IFNA(XLOOKUP(A136,PAGOS!$A$2:$A$996,PAGOS!$H$2:$H$996,""""),""""),IFNA(XLOOKUP(A136,PAGOS!$A$2:$A$996,PAGOS!$K$2:$K$996,""""),""""),IFNA(XLOOKUP(A136,PAGOS!$A$2:$A$996,PAGOS!$N$2:$N$996,""""),"&amp;"""""),IFNA(XLOOKUP(A136,PAGOS!$A$2:$A$996,PAGOS!$Q$2:$Q$996,""""),""""),IFNA(XLOOKUP(A136,PAGOS!$A$2:$A$996,PAGOS!$T$2:$T$996,""""),""""),IFNA(XLOOKUP(A136,PAGOS!$A$2:$A$996,PAGOS!$W$2:$W$996,""""),""""),IFNA(XLOOKUP(A136,PAGOS!$A$2:$A$996,PAGOS!$Z$2:$Z$9"&amp;"96,""""),""""),IFNA(XLOOKUP(A136,PAGOS!$A$2:$A$996,PAGOS!$AC$2:$AC$996,""""),""""),IFNA(XLOOKUP(A136,PAGOS!$A$2:$A$996,PAGOS!$AF$2:$AF$996,""""),""""),IFNA(XLOOKUP(A136,PAGOS!$A$2:$A$996,PAGOS!$AI$2:$AI$996,""""),""""),IFNA(XLOOKUP(A136,PAGOS!$A$2:$A$996,"&amp;"PAGOS!$AL$2:$AL$996,""""),"""")),IF(abonos&gt;0,IFERROR(TEXTJOIN("" + "",TRUE,UNIQUE(FILTER('ABONOS MENSUALIDADES'!$E$5:$E$500,'ABONOS MENSUALIDADES'!$C$5:$C$500=A136,'ABONOS MENSUALIDADES'!$D$5:$D$500=mes))),""""),metodoDirecto)))"),"")</f>
        <v/>
      </c>
      <c r="F136" s="51" t="str">
        <f t="array" ref="F136">IF(A136="","",LET(mes,DATE($E$2,MATCH($B$2,'ESTADO CONTABLE'!$A$5:$A$16,0),1),cobrarDesde,IFERROR(INDEX('BASE DE DATOSS'!I:I,ROW()-13),""),pausada,SUMPRODUCT((UPPER(TRIM('PAUSAS MENSUALIDADES'!$A$5:$A$500))=UPPER(TRIM(A136)))*('PAUSAS MENSUALIDADES'!$B$5:$B$500=mes)*(UPPER(TRIM('PAUSAS MENSUALIDADES'!$D$5:$D$500))="APLICAR"))&gt;0,esperadaBruta,MAX(IFNA(VLOOKUP(B136,COSTOS!$A$3:$B$13,2,FALSE),0)-150,0),IF(AND(cobrarDesde&lt;&gt;"",mes&lt;cobrarDesde),"AÚN NO INICIA",IF(pausada,"PAUSADA",IF(N(D136)&gt;=esperadaBruta,"COBRADA",IF(N(D136)&gt;0,"ABONO","PENDIENTE"))))))</f>
        <v/>
      </c>
      <c r="G136" s="79" t="str">
        <f t="array" ref="G136">IF(A136="","",IFERROR(INDEX('BASE DE DATOSS'!I:I,ROW()-13),""))</f>
        <v/>
      </c>
    </row>
    <row r="137">
      <c r="A137" s="51" t="str">
        <f t="array" ref="A137">IFERROR(INDEX('BASE DE DATOSS'!A:A,ROW()-13),"")</f>
        <v/>
      </c>
      <c r="B137" s="51" t="str">
        <f t="array" ref="B137">IF(A137="","",IFERROR(INDEX('BASE DE DATOSS'!C:C,ROW()-13),""))</f>
        <v/>
      </c>
      <c r="C137" s="62" t="str">
        <f t="array" ref="C137">IF(A137="","",LET(mes,DATE($E$2,MATCH($B$2,'ESTADO CONTABLE'!$A$5:$A$16,0),1),cobrarDesde,IFERROR(INDEX('BASE DE DATOSS'!I:I,ROW()-13),""),pausada,SUMPRODUCT((UPPER(TRIM('PAUSAS MENSUALIDADES'!$A$5:$A$500))=UPPER(TRIM(A137)))*('PAUSAS MENSUALIDADES'!$B$5:$B$500=mes)*(UPPER(TRIM('PAUSAS MENSUALIDADES'!$D$5:$D$500))="APLICAR"))&gt;0,IF(OR(AND(cobrarDesde&lt;&gt;"",mes&lt;cobrarDesde),pausada),0,MAX(IFNA(VLOOKUP(B137,COSTOS!$A$3:$B$13,2,FALSE),0)-150,0)/1.16)))</f>
        <v/>
      </c>
      <c r="D137" s="62" t="str">
        <f t="array" ref="D137">IF(A137="","",LET(mes,DATE($E$2,MATCH($B$2,'ESTADO CONTABLE'!$A$5:$A$16,0),1),abonos,SUMIFS('ABONOS MENSUALIDADES'!$F$5:$F$500,'ABONOS MENSUALIDADES'!$C$5:$C$500,A137,'ABONOS MENSUALIDADES'!$D$5:$D$500,mes),pago,CHOOSE(MATCH($B$2,'ESTADO CONTABLE'!$A$5:$A$16,0),IFNA(_xlfn.XLOOKUP(A137,PAGOS!$A$2:$A$996,PAGOS!$E$2:$E$996,""),""),IFNA(_xlfn.XLOOKUP(A137,PAGOS!$A$2:$A$996,PAGOS!$G$2:$G$996,""),""),IFNA(_xlfn.XLOOKUP(A137,PAGOS!$A$2:$A$996,PAGOS!$J$2:$J$996,""),""),IFNA(_xlfn.XLOOKUP(A137,PAGOS!$A$2:$A$996,PAGOS!$M$2:$M$996,""),""),IFNA(_xlfn.XLOOKUP(A137,PAGOS!$A$2:$A$996,PAGOS!$P$2:$P$996,""),""),IFNA(_xlfn.XLOOKUP(A137,PAGOS!$A$2:$A$996,PAGOS!$S$2:$S$996,""),""),IFNA(_xlfn.XLOOKUP(A137,PAGOS!$A$2:$A$996,PAGOS!$V$2:$V$996,""),""),IFNA(_xlfn.XLOOKUP(A137,PAGOS!$A$2:$A$996,PAGOS!$Y$2:$Y$996,""),""),IFNA(_xlfn.XLOOKUP(A137,PAGOS!$A$2:$A$996,PAGOS!$AB$2:$AB$996,""),""),IFNA(_xlfn.XLOOKUP(A137,PAGOS!$A$2:$A$996,PAGOS!$AE$2:$AE$996,""),""),IFNA(_xlfn.XLOOKUP(A137,PAGOS!$A$2:$A$996,PAGOS!$AH$2:$AH$996,""),""),IFNA(_xlfn.XLOOKUP(A137,PAGOS!$A$2:$A$996,PAGOS!$AK$2:$AK$996,""),"")),IF(abonos&gt;0,abonos,pago)))</f>
        <v/>
      </c>
      <c r="E137" s="51" t="str">
        <f>IFERROR(__xludf.DUMMYFUNCTION("IF(A137="""","""",LET(mes,DATE($E$2,MATCH($B$2,'ESTADO CONTABLE'!$A$5:$A$16,0),1),abonos,SUMIFS('ABONOS MENSUALIDADES'!$F$5:$F$500,'ABONOS MENSUALIDADES'!$C$5:$C$500,A137,'ABONOS MENSUALIDADES'!$D$5:$D$500,mes),metodoDirecto,CHOOSE(MATCH($B$2,'ESTADO CONT"&amp;"ABLE'!$A$5:$A$16,0),IF(ISNUMBER(D137),""POR CLASIFICAR"",""""),IFNA(XLOOKUP(A137,PAGOS!$A$2:$A$996,PAGOS!$H$2:$H$996,""""),""""),IFNA(XLOOKUP(A137,PAGOS!$A$2:$A$996,PAGOS!$K$2:$K$996,""""),""""),IFNA(XLOOKUP(A137,PAGOS!$A$2:$A$996,PAGOS!$N$2:$N$996,""""),"&amp;"""""),IFNA(XLOOKUP(A137,PAGOS!$A$2:$A$996,PAGOS!$Q$2:$Q$996,""""),""""),IFNA(XLOOKUP(A137,PAGOS!$A$2:$A$996,PAGOS!$T$2:$T$996,""""),""""),IFNA(XLOOKUP(A137,PAGOS!$A$2:$A$996,PAGOS!$W$2:$W$996,""""),""""),IFNA(XLOOKUP(A137,PAGOS!$A$2:$A$996,PAGOS!$Z$2:$Z$9"&amp;"96,""""),""""),IFNA(XLOOKUP(A137,PAGOS!$A$2:$A$996,PAGOS!$AC$2:$AC$996,""""),""""),IFNA(XLOOKUP(A137,PAGOS!$A$2:$A$996,PAGOS!$AF$2:$AF$996,""""),""""),IFNA(XLOOKUP(A137,PAGOS!$A$2:$A$996,PAGOS!$AI$2:$AI$996,""""),""""),IFNA(XLOOKUP(A137,PAGOS!$A$2:$A$996,"&amp;"PAGOS!$AL$2:$AL$996,""""),"""")),IF(abonos&gt;0,IFERROR(TEXTJOIN("" + "",TRUE,UNIQUE(FILTER('ABONOS MENSUALIDADES'!$E$5:$E$500,'ABONOS MENSUALIDADES'!$C$5:$C$500=A137,'ABONOS MENSUALIDADES'!$D$5:$D$500=mes))),""""),metodoDirecto)))"),"")</f>
        <v/>
      </c>
      <c r="F137" s="51" t="str">
        <f t="array" ref="F137">IF(A137="","",LET(mes,DATE($E$2,MATCH($B$2,'ESTADO CONTABLE'!$A$5:$A$16,0),1),cobrarDesde,IFERROR(INDEX('BASE DE DATOSS'!I:I,ROW()-13),""),pausada,SUMPRODUCT((UPPER(TRIM('PAUSAS MENSUALIDADES'!$A$5:$A$500))=UPPER(TRIM(A137)))*('PAUSAS MENSUALIDADES'!$B$5:$B$500=mes)*(UPPER(TRIM('PAUSAS MENSUALIDADES'!$D$5:$D$500))="APLICAR"))&gt;0,esperadaBruta,MAX(IFNA(VLOOKUP(B137,COSTOS!$A$3:$B$13,2,FALSE),0)-150,0),IF(AND(cobrarDesde&lt;&gt;"",mes&lt;cobrarDesde),"AÚN NO INICIA",IF(pausada,"PAUSADA",IF(N(D137)&gt;=esperadaBruta,"COBRADA",IF(N(D137)&gt;0,"ABONO","PENDIENTE"))))))</f>
        <v/>
      </c>
      <c r="G137" s="79" t="str">
        <f t="array" ref="G137">IF(A137="","",IFERROR(INDEX('BASE DE DATOSS'!I:I,ROW()-13),""))</f>
        <v/>
      </c>
    </row>
    <row r="138">
      <c r="A138" s="51" t="str">
        <f t="array" ref="A138">IFERROR(INDEX('BASE DE DATOSS'!A:A,ROW()-13),"")</f>
        <v/>
      </c>
      <c r="B138" s="51" t="str">
        <f t="array" ref="B138">IF(A138="","",IFERROR(INDEX('BASE DE DATOSS'!C:C,ROW()-13),""))</f>
        <v/>
      </c>
      <c r="C138" s="62" t="str">
        <f t="array" ref="C138">IF(A138="","",LET(mes,DATE($E$2,MATCH($B$2,'ESTADO CONTABLE'!$A$5:$A$16,0),1),cobrarDesde,IFERROR(INDEX('BASE DE DATOSS'!I:I,ROW()-13),""),pausada,SUMPRODUCT((UPPER(TRIM('PAUSAS MENSUALIDADES'!$A$5:$A$500))=UPPER(TRIM(A138)))*('PAUSAS MENSUALIDADES'!$B$5:$B$500=mes)*(UPPER(TRIM('PAUSAS MENSUALIDADES'!$D$5:$D$500))="APLICAR"))&gt;0,IF(OR(AND(cobrarDesde&lt;&gt;"",mes&lt;cobrarDesde),pausada),0,MAX(IFNA(VLOOKUP(B138,COSTOS!$A$3:$B$13,2,FALSE),0)-150,0)/1.16)))</f>
        <v/>
      </c>
      <c r="D138" s="62" t="str">
        <f t="array" ref="D138">IF(A138="","",LET(mes,DATE($E$2,MATCH($B$2,'ESTADO CONTABLE'!$A$5:$A$16,0),1),abonos,SUMIFS('ABONOS MENSUALIDADES'!$F$5:$F$500,'ABONOS MENSUALIDADES'!$C$5:$C$500,A138,'ABONOS MENSUALIDADES'!$D$5:$D$500,mes),pago,CHOOSE(MATCH($B$2,'ESTADO CONTABLE'!$A$5:$A$16,0),IFNA(_xlfn.XLOOKUP(A138,PAGOS!$A$2:$A$996,PAGOS!$E$2:$E$996,""),""),IFNA(_xlfn.XLOOKUP(A138,PAGOS!$A$2:$A$996,PAGOS!$G$2:$G$996,""),""),IFNA(_xlfn.XLOOKUP(A138,PAGOS!$A$2:$A$996,PAGOS!$J$2:$J$996,""),""),IFNA(_xlfn.XLOOKUP(A138,PAGOS!$A$2:$A$996,PAGOS!$M$2:$M$996,""),""),IFNA(_xlfn.XLOOKUP(A138,PAGOS!$A$2:$A$996,PAGOS!$P$2:$P$996,""),""),IFNA(_xlfn.XLOOKUP(A138,PAGOS!$A$2:$A$996,PAGOS!$S$2:$S$996,""),""),IFNA(_xlfn.XLOOKUP(A138,PAGOS!$A$2:$A$996,PAGOS!$V$2:$V$996,""),""),IFNA(_xlfn.XLOOKUP(A138,PAGOS!$A$2:$A$996,PAGOS!$Y$2:$Y$996,""),""),IFNA(_xlfn.XLOOKUP(A138,PAGOS!$A$2:$A$996,PAGOS!$AB$2:$AB$996,""),""),IFNA(_xlfn.XLOOKUP(A138,PAGOS!$A$2:$A$996,PAGOS!$AE$2:$AE$996,""),""),IFNA(_xlfn.XLOOKUP(A138,PAGOS!$A$2:$A$996,PAGOS!$AH$2:$AH$996,""),""),IFNA(_xlfn.XLOOKUP(A138,PAGOS!$A$2:$A$996,PAGOS!$AK$2:$AK$996,""),"")),IF(abonos&gt;0,abonos,pago)))</f>
        <v/>
      </c>
      <c r="E138" s="51" t="str">
        <f>IFERROR(__xludf.DUMMYFUNCTION("IF(A138="""","""",LET(mes,DATE($E$2,MATCH($B$2,'ESTADO CONTABLE'!$A$5:$A$16,0),1),abonos,SUMIFS('ABONOS MENSUALIDADES'!$F$5:$F$500,'ABONOS MENSUALIDADES'!$C$5:$C$500,A138,'ABONOS MENSUALIDADES'!$D$5:$D$500,mes),metodoDirecto,CHOOSE(MATCH($B$2,'ESTADO CONT"&amp;"ABLE'!$A$5:$A$16,0),IF(ISNUMBER(D138),""POR CLASIFICAR"",""""),IFNA(XLOOKUP(A138,PAGOS!$A$2:$A$996,PAGOS!$H$2:$H$996,""""),""""),IFNA(XLOOKUP(A138,PAGOS!$A$2:$A$996,PAGOS!$K$2:$K$996,""""),""""),IFNA(XLOOKUP(A138,PAGOS!$A$2:$A$996,PAGOS!$N$2:$N$996,""""),"&amp;"""""),IFNA(XLOOKUP(A138,PAGOS!$A$2:$A$996,PAGOS!$Q$2:$Q$996,""""),""""),IFNA(XLOOKUP(A138,PAGOS!$A$2:$A$996,PAGOS!$T$2:$T$996,""""),""""),IFNA(XLOOKUP(A138,PAGOS!$A$2:$A$996,PAGOS!$W$2:$W$996,""""),""""),IFNA(XLOOKUP(A138,PAGOS!$A$2:$A$996,PAGOS!$Z$2:$Z$9"&amp;"96,""""),""""),IFNA(XLOOKUP(A138,PAGOS!$A$2:$A$996,PAGOS!$AC$2:$AC$996,""""),""""),IFNA(XLOOKUP(A138,PAGOS!$A$2:$A$996,PAGOS!$AF$2:$AF$996,""""),""""),IFNA(XLOOKUP(A138,PAGOS!$A$2:$A$996,PAGOS!$AI$2:$AI$996,""""),""""),IFNA(XLOOKUP(A138,PAGOS!$A$2:$A$996,"&amp;"PAGOS!$AL$2:$AL$996,""""),"""")),IF(abonos&gt;0,IFERROR(TEXTJOIN("" + "",TRUE,UNIQUE(FILTER('ABONOS MENSUALIDADES'!$E$5:$E$500,'ABONOS MENSUALIDADES'!$C$5:$C$500=A138,'ABONOS MENSUALIDADES'!$D$5:$D$500=mes))),""""),metodoDirecto)))"),"")</f>
        <v/>
      </c>
      <c r="F138" s="51" t="str">
        <f t="array" ref="F138">IF(A138="","",LET(mes,DATE($E$2,MATCH($B$2,'ESTADO CONTABLE'!$A$5:$A$16,0),1),cobrarDesde,IFERROR(INDEX('BASE DE DATOSS'!I:I,ROW()-13),""),pausada,SUMPRODUCT((UPPER(TRIM('PAUSAS MENSUALIDADES'!$A$5:$A$500))=UPPER(TRIM(A138)))*('PAUSAS MENSUALIDADES'!$B$5:$B$500=mes)*(UPPER(TRIM('PAUSAS MENSUALIDADES'!$D$5:$D$500))="APLICAR"))&gt;0,esperadaBruta,MAX(IFNA(VLOOKUP(B138,COSTOS!$A$3:$B$13,2,FALSE),0)-150,0),IF(AND(cobrarDesde&lt;&gt;"",mes&lt;cobrarDesde),"AÚN NO INICIA",IF(pausada,"PAUSADA",IF(N(D138)&gt;=esperadaBruta,"COBRADA",IF(N(D138)&gt;0,"ABONO","PENDIENTE"))))))</f>
        <v/>
      </c>
      <c r="G138" s="79" t="str">
        <f t="array" ref="G138">IF(A138="","",IFERROR(INDEX('BASE DE DATOSS'!I:I,ROW()-13),""))</f>
        <v/>
      </c>
    </row>
    <row r="139">
      <c r="A139" s="51" t="str">
        <f t="array" ref="A139">IFERROR(INDEX('BASE DE DATOSS'!A:A,ROW()-13),"")</f>
        <v/>
      </c>
      <c r="B139" s="51" t="str">
        <f t="array" ref="B139">IF(A139="","",IFERROR(INDEX('BASE DE DATOSS'!C:C,ROW()-13),""))</f>
        <v/>
      </c>
      <c r="C139" s="62" t="str">
        <f t="array" ref="C139">IF(A139="","",LET(mes,DATE($E$2,MATCH($B$2,'ESTADO CONTABLE'!$A$5:$A$16,0),1),cobrarDesde,IFERROR(INDEX('BASE DE DATOSS'!I:I,ROW()-13),""),pausada,SUMPRODUCT((UPPER(TRIM('PAUSAS MENSUALIDADES'!$A$5:$A$500))=UPPER(TRIM(A139)))*('PAUSAS MENSUALIDADES'!$B$5:$B$500=mes)*(UPPER(TRIM('PAUSAS MENSUALIDADES'!$D$5:$D$500))="APLICAR"))&gt;0,IF(OR(AND(cobrarDesde&lt;&gt;"",mes&lt;cobrarDesde),pausada),0,MAX(IFNA(VLOOKUP(B139,COSTOS!$A$3:$B$13,2,FALSE),0)-150,0)/1.16)))</f>
        <v/>
      </c>
      <c r="D139" s="62" t="str">
        <f t="array" ref="D139">IF(A139="","",LET(mes,DATE($E$2,MATCH($B$2,'ESTADO CONTABLE'!$A$5:$A$16,0),1),abonos,SUMIFS('ABONOS MENSUALIDADES'!$F$5:$F$500,'ABONOS MENSUALIDADES'!$C$5:$C$500,A139,'ABONOS MENSUALIDADES'!$D$5:$D$500,mes),pago,CHOOSE(MATCH($B$2,'ESTADO CONTABLE'!$A$5:$A$16,0),IFNA(_xlfn.XLOOKUP(A139,PAGOS!$A$2:$A$996,PAGOS!$E$2:$E$996,""),""),IFNA(_xlfn.XLOOKUP(A139,PAGOS!$A$2:$A$996,PAGOS!$G$2:$G$996,""),""),IFNA(_xlfn.XLOOKUP(A139,PAGOS!$A$2:$A$996,PAGOS!$J$2:$J$996,""),""),IFNA(_xlfn.XLOOKUP(A139,PAGOS!$A$2:$A$996,PAGOS!$M$2:$M$996,""),""),IFNA(_xlfn.XLOOKUP(A139,PAGOS!$A$2:$A$996,PAGOS!$P$2:$P$996,""),""),IFNA(_xlfn.XLOOKUP(A139,PAGOS!$A$2:$A$996,PAGOS!$S$2:$S$996,""),""),IFNA(_xlfn.XLOOKUP(A139,PAGOS!$A$2:$A$996,PAGOS!$V$2:$V$996,""),""),IFNA(_xlfn.XLOOKUP(A139,PAGOS!$A$2:$A$996,PAGOS!$Y$2:$Y$996,""),""),IFNA(_xlfn.XLOOKUP(A139,PAGOS!$A$2:$A$996,PAGOS!$AB$2:$AB$996,""),""),IFNA(_xlfn.XLOOKUP(A139,PAGOS!$A$2:$A$996,PAGOS!$AE$2:$AE$996,""),""),IFNA(_xlfn.XLOOKUP(A139,PAGOS!$A$2:$A$996,PAGOS!$AH$2:$AH$996,""),""),IFNA(_xlfn.XLOOKUP(A139,PAGOS!$A$2:$A$996,PAGOS!$AK$2:$AK$996,""),"")),IF(abonos&gt;0,abonos,pago)))</f>
        <v/>
      </c>
      <c r="E139" s="51" t="str">
        <f>IFERROR(__xludf.DUMMYFUNCTION("IF(A139="""","""",LET(mes,DATE($E$2,MATCH($B$2,'ESTADO CONTABLE'!$A$5:$A$16,0),1),abonos,SUMIFS('ABONOS MENSUALIDADES'!$F$5:$F$500,'ABONOS MENSUALIDADES'!$C$5:$C$500,A139,'ABONOS MENSUALIDADES'!$D$5:$D$500,mes),metodoDirecto,CHOOSE(MATCH($B$2,'ESTADO CONT"&amp;"ABLE'!$A$5:$A$16,0),IF(ISNUMBER(D139),""POR CLASIFICAR"",""""),IFNA(XLOOKUP(A139,PAGOS!$A$2:$A$996,PAGOS!$H$2:$H$996,""""),""""),IFNA(XLOOKUP(A139,PAGOS!$A$2:$A$996,PAGOS!$K$2:$K$996,""""),""""),IFNA(XLOOKUP(A139,PAGOS!$A$2:$A$996,PAGOS!$N$2:$N$996,""""),"&amp;"""""),IFNA(XLOOKUP(A139,PAGOS!$A$2:$A$996,PAGOS!$Q$2:$Q$996,""""),""""),IFNA(XLOOKUP(A139,PAGOS!$A$2:$A$996,PAGOS!$T$2:$T$996,""""),""""),IFNA(XLOOKUP(A139,PAGOS!$A$2:$A$996,PAGOS!$W$2:$W$996,""""),""""),IFNA(XLOOKUP(A139,PAGOS!$A$2:$A$996,PAGOS!$Z$2:$Z$9"&amp;"96,""""),""""),IFNA(XLOOKUP(A139,PAGOS!$A$2:$A$996,PAGOS!$AC$2:$AC$996,""""),""""),IFNA(XLOOKUP(A139,PAGOS!$A$2:$A$996,PAGOS!$AF$2:$AF$996,""""),""""),IFNA(XLOOKUP(A139,PAGOS!$A$2:$A$996,PAGOS!$AI$2:$AI$996,""""),""""),IFNA(XLOOKUP(A139,PAGOS!$A$2:$A$996,"&amp;"PAGOS!$AL$2:$AL$996,""""),"""")),IF(abonos&gt;0,IFERROR(TEXTJOIN("" + "",TRUE,UNIQUE(FILTER('ABONOS MENSUALIDADES'!$E$5:$E$500,'ABONOS MENSUALIDADES'!$C$5:$C$500=A139,'ABONOS MENSUALIDADES'!$D$5:$D$500=mes))),""""),metodoDirecto)))"),"")</f>
        <v/>
      </c>
      <c r="F139" s="51" t="str">
        <f t="array" ref="F139">IF(A139="","",LET(mes,DATE($E$2,MATCH($B$2,'ESTADO CONTABLE'!$A$5:$A$16,0),1),cobrarDesde,IFERROR(INDEX('BASE DE DATOSS'!I:I,ROW()-13),""),pausada,SUMPRODUCT((UPPER(TRIM('PAUSAS MENSUALIDADES'!$A$5:$A$500))=UPPER(TRIM(A139)))*('PAUSAS MENSUALIDADES'!$B$5:$B$500=mes)*(UPPER(TRIM('PAUSAS MENSUALIDADES'!$D$5:$D$500))="APLICAR"))&gt;0,esperadaBruta,MAX(IFNA(VLOOKUP(B139,COSTOS!$A$3:$B$13,2,FALSE),0)-150,0),IF(AND(cobrarDesde&lt;&gt;"",mes&lt;cobrarDesde),"AÚN NO INICIA",IF(pausada,"PAUSADA",IF(N(D139)&gt;=esperadaBruta,"COBRADA",IF(N(D139)&gt;0,"ABONO","PENDIENTE"))))))</f>
        <v/>
      </c>
      <c r="G139" s="79" t="str">
        <f t="array" ref="G139">IF(A139="","",IFERROR(INDEX('BASE DE DATOSS'!I:I,ROW()-13),""))</f>
        <v/>
      </c>
    </row>
    <row r="140">
      <c r="A140" s="51" t="str">
        <f t="array" ref="A140">IFERROR(INDEX('BASE DE DATOSS'!A:A,ROW()-13),"")</f>
        <v/>
      </c>
      <c r="B140" s="51" t="str">
        <f t="array" ref="B140">IF(A140="","",IFERROR(INDEX('BASE DE DATOSS'!C:C,ROW()-13),""))</f>
        <v/>
      </c>
      <c r="C140" s="62" t="str">
        <f t="array" ref="C140">IF(A140="","",LET(mes,DATE($E$2,MATCH($B$2,'ESTADO CONTABLE'!$A$5:$A$16,0),1),cobrarDesde,IFERROR(INDEX('BASE DE DATOSS'!I:I,ROW()-13),""),pausada,SUMPRODUCT((UPPER(TRIM('PAUSAS MENSUALIDADES'!$A$5:$A$500))=UPPER(TRIM(A140)))*('PAUSAS MENSUALIDADES'!$B$5:$B$500=mes)*(UPPER(TRIM('PAUSAS MENSUALIDADES'!$D$5:$D$500))="APLICAR"))&gt;0,IF(OR(AND(cobrarDesde&lt;&gt;"",mes&lt;cobrarDesde),pausada),0,MAX(IFNA(VLOOKUP(B140,COSTOS!$A$3:$B$13,2,FALSE),0)-150,0)/1.16)))</f>
        <v/>
      </c>
      <c r="D140" s="62" t="str">
        <f t="array" ref="D140">IF(A140="","",LET(mes,DATE($E$2,MATCH($B$2,'ESTADO CONTABLE'!$A$5:$A$16,0),1),abonos,SUMIFS('ABONOS MENSUALIDADES'!$F$5:$F$500,'ABONOS MENSUALIDADES'!$C$5:$C$500,A140,'ABONOS MENSUALIDADES'!$D$5:$D$500,mes),pago,CHOOSE(MATCH($B$2,'ESTADO CONTABLE'!$A$5:$A$16,0),IFNA(_xlfn.XLOOKUP(A140,PAGOS!$A$2:$A$996,PAGOS!$E$2:$E$996,""),""),IFNA(_xlfn.XLOOKUP(A140,PAGOS!$A$2:$A$996,PAGOS!$G$2:$G$996,""),""),IFNA(_xlfn.XLOOKUP(A140,PAGOS!$A$2:$A$996,PAGOS!$J$2:$J$996,""),""),IFNA(_xlfn.XLOOKUP(A140,PAGOS!$A$2:$A$996,PAGOS!$M$2:$M$996,""),""),IFNA(_xlfn.XLOOKUP(A140,PAGOS!$A$2:$A$996,PAGOS!$P$2:$P$996,""),""),IFNA(_xlfn.XLOOKUP(A140,PAGOS!$A$2:$A$996,PAGOS!$S$2:$S$996,""),""),IFNA(_xlfn.XLOOKUP(A140,PAGOS!$A$2:$A$996,PAGOS!$V$2:$V$996,""),""),IFNA(_xlfn.XLOOKUP(A140,PAGOS!$A$2:$A$996,PAGOS!$Y$2:$Y$996,""),""),IFNA(_xlfn.XLOOKUP(A140,PAGOS!$A$2:$A$996,PAGOS!$AB$2:$AB$996,""),""),IFNA(_xlfn.XLOOKUP(A140,PAGOS!$A$2:$A$996,PAGOS!$AE$2:$AE$996,""),""),IFNA(_xlfn.XLOOKUP(A140,PAGOS!$A$2:$A$996,PAGOS!$AH$2:$AH$996,""),""),IFNA(_xlfn.XLOOKUP(A140,PAGOS!$A$2:$A$996,PAGOS!$AK$2:$AK$996,""),"")),IF(abonos&gt;0,abonos,pago)))</f>
        <v/>
      </c>
      <c r="E140" s="51" t="str">
        <f>IFERROR(__xludf.DUMMYFUNCTION("IF(A140="""","""",LET(mes,DATE($E$2,MATCH($B$2,'ESTADO CONTABLE'!$A$5:$A$16,0),1),abonos,SUMIFS('ABONOS MENSUALIDADES'!$F$5:$F$500,'ABONOS MENSUALIDADES'!$C$5:$C$500,A140,'ABONOS MENSUALIDADES'!$D$5:$D$500,mes),metodoDirecto,CHOOSE(MATCH($B$2,'ESTADO CONT"&amp;"ABLE'!$A$5:$A$16,0),IF(ISNUMBER(D140),""POR CLASIFICAR"",""""),IFNA(XLOOKUP(A140,PAGOS!$A$2:$A$996,PAGOS!$H$2:$H$996,""""),""""),IFNA(XLOOKUP(A140,PAGOS!$A$2:$A$996,PAGOS!$K$2:$K$996,""""),""""),IFNA(XLOOKUP(A140,PAGOS!$A$2:$A$996,PAGOS!$N$2:$N$996,""""),"&amp;"""""),IFNA(XLOOKUP(A140,PAGOS!$A$2:$A$996,PAGOS!$Q$2:$Q$996,""""),""""),IFNA(XLOOKUP(A140,PAGOS!$A$2:$A$996,PAGOS!$T$2:$T$996,""""),""""),IFNA(XLOOKUP(A140,PAGOS!$A$2:$A$996,PAGOS!$W$2:$W$996,""""),""""),IFNA(XLOOKUP(A140,PAGOS!$A$2:$A$996,PAGOS!$Z$2:$Z$9"&amp;"96,""""),""""),IFNA(XLOOKUP(A140,PAGOS!$A$2:$A$996,PAGOS!$AC$2:$AC$996,""""),""""),IFNA(XLOOKUP(A140,PAGOS!$A$2:$A$996,PAGOS!$AF$2:$AF$996,""""),""""),IFNA(XLOOKUP(A140,PAGOS!$A$2:$A$996,PAGOS!$AI$2:$AI$996,""""),""""),IFNA(XLOOKUP(A140,PAGOS!$A$2:$A$996,"&amp;"PAGOS!$AL$2:$AL$996,""""),"""")),IF(abonos&gt;0,IFERROR(TEXTJOIN("" + "",TRUE,UNIQUE(FILTER('ABONOS MENSUALIDADES'!$E$5:$E$500,'ABONOS MENSUALIDADES'!$C$5:$C$500=A140,'ABONOS MENSUALIDADES'!$D$5:$D$500=mes))),""""),metodoDirecto)))"),"")</f>
        <v/>
      </c>
      <c r="F140" s="51" t="str">
        <f t="array" ref="F140">IF(A140="","",LET(mes,DATE($E$2,MATCH($B$2,'ESTADO CONTABLE'!$A$5:$A$16,0),1),cobrarDesde,IFERROR(INDEX('BASE DE DATOSS'!I:I,ROW()-13),""),pausada,SUMPRODUCT((UPPER(TRIM('PAUSAS MENSUALIDADES'!$A$5:$A$500))=UPPER(TRIM(A140)))*('PAUSAS MENSUALIDADES'!$B$5:$B$500=mes)*(UPPER(TRIM('PAUSAS MENSUALIDADES'!$D$5:$D$500))="APLICAR"))&gt;0,esperadaBruta,MAX(IFNA(VLOOKUP(B140,COSTOS!$A$3:$B$13,2,FALSE),0)-150,0),IF(AND(cobrarDesde&lt;&gt;"",mes&lt;cobrarDesde),"AÚN NO INICIA",IF(pausada,"PAUSADA",IF(N(D140)&gt;=esperadaBruta,"COBRADA",IF(N(D140)&gt;0,"ABONO","PENDIENTE"))))))</f>
        <v/>
      </c>
      <c r="G140" s="79" t="str">
        <f t="array" ref="G140">IF(A140="","",IFERROR(INDEX('BASE DE DATOSS'!I:I,ROW()-13),""))</f>
        <v/>
      </c>
    </row>
    <row r="141">
      <c r="A141" s="51" t="str">
        <f t="array" ref="A141">IFERROR(INDEX('BASE DE DATOSS'!A:A,ROW()-13),"")</f>
        <v/>
      </c>
      <c r="B141" s="51" t="str">
        <f t="array" ref="B141">IF(A141="","",IFERROR(INDEX('BASE DE DATOSS'!C:C,ROW()-13),""))</f>
        <v/>
      </c>
      <c r="C141" s="62" t="str">
        <f t="array" ref="C141">IF(A141="","",LET(mes,DATE($E$2,MATCH($B$2,'ESTADO CONTABLE'!$A$5:$A$16,0),1),cobrarDesde,IFERROR(INDEX('BASE DE DATOSS'!I:I,ROW()-13),""),pausada,SUMPRODUCT((UPPER(TRIM('PAUSAS MENSUALIDADES'!$A$5:$A$500))=UPPER(TRIM(A141)))*('PAUSAS MENSUALIDADES'!$B$5:$B$500=mes)*(UPPER(TRIM('PAUSAS MENSUALIDADES'!$D$5:$D$500))="APLICAR"))&gt;0,IF(OR(AND(cobrarDesde&lt;&gt;"",mes&lt;cobrarDesde),pausada),0,MAX(IFNA(VLOOKUP(B141,COSTOS!$A$3:$B$13,2,FALSE),0)-150,0)/1.16)))</f>
        <v/>
      </c>
      <c r="D141" s="62" t="str">
        <f t="array" ref="D141">IF(A141="","",LET(mes,DATE($E$2,MATCH($B$2,'ESTADO CONTABLE'!$A$5:$A$16,0),1),abonos,SUMIFS('ABONOS MENSUALIDADES'!$F$5:$F$500,'ABONOS MENSUALIDADES'!$C$5:$C$500,A141,'ABONOS MENSUALIDADES'!$D$5:$D$500,mes),pago,CHOOSE(MATCH($B$2,'ESTADO CONTABLE'!$A$5:$A$16,0),IFNA(_xlfn.XLOOKUP(A141,PAGOS!$A$2:$A$996,PAGOS!$E$2:$E$996,""),""),IFNA(_xlfn.XLOOKUP(A141,PAGOS!$A$2:$A$996,PAGOS!$G$2:$G$996,""),""),IFNA(_xlfn.XLOOKUP(A141,PAGOS!$A$2:$A$996,PAGOS!$J$2:$J$996,""),""),IFNA(_xlfn.XLOOKUP(A141,PAGOS!$A$2:$A$996,PAGOS!$M$2:$M$996,""),""),IFNA(_xlfn.XLOOKUP(A141,PAGOS!$A$2:$A$996,PAGOS!$P$2:$P$996,""),""),IFNA(_xlfn.XLOOKUP(A141,PAGOS!$A$2:$A$996,PAGOS!$S$2:$S$996,""),""),IFNA(_xlfn.XLOOKUP(A141,PAGOS!$A$2:$A$996,PAGOS!$V$2:$V$996,""),""),IFNA(_xlfn.XLOOKUP(A141,PAGOS!$A$2:$A$996,PAGOS!$Y$2:$Y$996,""),""),IFNA(_xlfn.XLOOKUP(A141,PAGOS!$A$2:$A$996,PAGOS!$AB$2:$AB$996,""),""),IFNA(_xlfn.XLOOKUP(A141,PAGOS!$A$2:$A$996,PAGOS!$AE$2:$AE$996,""),""),IFNA(_xlfn.XLOOKUP(A141,PAGOS!$A$2:$A$996,PAGOS!$AH$2:$AH$996,""),""),IFNA(_xlfn.XLOOKUP(A141,PAGOS!$A$2:$A$996,PAGOS!$AK$2:$AK$996,""),"")),IF(abonos&gt;0,abonos,pago)))</f>
        <v/>
      </c>
      <c r="E141" s="51" t="str">
        <f>IFERROR(__xludf.DUMMYFUNCTION("IF(A141="""","""",LET(mes,DATE($E$2,MATCH($B$2,'ESTADO CONTABLE'!$A$5:$A$16,0),1),abonos,SUMIFS('ABONOS MENSUALIDADES'!$F$5:$F$500,'ABONOS MENSUALIDADES'!$C$5:$C$500,A141,'ABONOS MENSUALIDADES'!$D$5:$D$500,mes),metodoDirecto,CHOOSE(MATCH($B$2,'ESTADO CONT"&amp;"ABLE'!$A$5:$A$16,0),IF(ISNUMBER(D141),""POR CLASIFICAR"",""""),IFNA(XLOOKUP(A141,PAGOS!$A$2:$A$996,PAGOS!$H$2:$H$996,""""),""""),IFNA(XLOOKUP(A141,PAGOS!$A$2:$A$996,PAGOS!$K$2:$K$996,""""),""""),IFNA(XLOOKUP(A141,PAGOS!$A$2:$A$996,PAGOS!$N$2:$N$996,""""),"&amp;"""""),IFNA(XLOOKUP(A141,PAGOS!$A$2:$A$996,PAGOS!$Q$2:$Q$996,""""),""""),IFNA(XLOOKUP(A141,PAGOS!$A$2:$A$996,PAGOS!$T$2:$T$996,""""),""""),IFNA(XLOOKUP(A141,PAGOS!$A$2:$A$996,PAGOS!$W$2:$W$996,""""),""""),IFNA(XLOOKUP(A141,PAGOS!$A$2:$A$996,PAGOS!$Z$2:$Z$9"&amp;"96,""""),""""),IFNA(XLOOKUP(A141,PAGOS!$A$2:$A$996,PAGOS!$AC$2:$AC$996,""""),""""),IFNA(XLOOKUP(A141,PAGOS!$A$2:$A$996,PAGOS!$AF$2:$AF$996,""""),""""),IFNA(XLOOKUP(A141,PAGOS!$A$2:$A$996,PAGOS!$AI$2:$AI$996,""""),""""),IFNA(XLOOKUP(A141,PAGOS!$A$2:$A$996,"&amp;"PAGOS!$AL$2:$AL$996,""""),"""")),IF(abonos&gt;0,IFERROR(TEXTJOIN("" + "",TRUE,UNIQUE(FILTER('ABONOS MENSUALIDADES'!$E$5:$E$500,'ABONOS MENSUALIDADES'!$C$5:$C$500=A141,'ABONOS MENSUALIDADES'!$D$5:$D$500=mes))),""""),metodoDirecto)))"),"")</f>
        <v/>
      </c>
      <c r="F141" s="51" t="str">
        <f t="array" ref="F141">IF(A141="","",LET(mes,DATE($E$2,MATCH($B$2,'ESTADO CONTABLE'!$A$5:$A$16,0),1),cobrarDesde,IFERROR(INDEX('BASE DE DATOSS'!I:I,ROW()-13),""),pausada,SUMPRODUCT((UPPER(TRIM('PAUSAS MENSUALIDADES'!$A$5:$A$500))=UPPER(TRIM(A141)))*('PAUSAS MENSUALIDADES'!$B$5:$B$500=mes)*(UPPER(TRIM('PAUSAS MENSUALIDADES'!$D$5:$D$500))="APLICAR"))&gt;0,esperadaBruta,MAX(IFNA(VLOOKUP(B141,COSTOS!$A$3:$B$13,2,FALSE),0)-150,0),IF(AND(cobrarDesde&lt;&gt;"",mes&lt;cobrarDesde),"AÚN NO INICIA",IF(pausada,"PAUSADA",IF(N(D141)&gt;=esperadaBruta,"COBRADA",IF(N(D141)&gt;0,"ABONO","PENDIENTE"))))))</f>
        <v/>
      </c>
      <c r="G141" s="79" t="str">
        <f t="array" ref="G141">IF(A141="","",IFERROR(INDEX('BASE DE DATOSS'!I:I,ROW()-13),""))</f>
        <v/>
      </c>
    </row>
    <row r="142">
      <c r="A142" s="51" t="str">
        <f t="array" ref="A142">IFERROR(INDEX('BASE DE DATOSS'!A:A,ROW()-13),"")</f>
        <v/>
      </c>
      <c r="B142" s="51" t="str">
        <f t="array" ref="B142">IF(A142="","",IFERROR(INDEX('BASE DE DATOSS'!C:C,ROW()-13),""))</f>
        <v/>
      </c>
      <c r="C142" s="62" t="str">
        <f t="array" ref="C142">IF(A142="","",LET(mes,DATE($E$2,MATCH($B$2,'ESTADO CONTABLE'!$A$5:$A$16,0),1),cobrarDesde,IFERROR(INDEX('BASE DE DATOSS'!I:I,ROW()-13),""),pausada,SUMPRODUCT((UPPER(TRIM('PAUSAS MENSUALIDADES'!$A$5:$A$500))=UPPER(TRIM(A142)))*('PAUSAS MENSUALIDADES'!$B$5:$B$500=mes)*(UPPER(TRIM('PAUSAS MENSUALIDADES'!$D$5:$D$500))="APLICAR"))&gt;0,IF(OR(AND(cobrarDesde&lt;&gt;"",mes&lt;cobrarDesde),pausada),0,MAX(IFNA(VLOOKUP(B142,COSTOS!$A$3:$B$13,2,FALSE),0)-150,0)/1.16)))</f>
        <v/>
      </c>
      <c r="D142" s="62" t="str">
        <f t="array" ref="D142">IF(A142="","",LET(mes,DATE($E$2,MATCH($B$2,'ESTADO CONTABLE'!$A$5:$A$16,0),1),abonos,SUMIFS('ABONOS MENSUALIDADES'!$F$5:$F$500,'ABONOS MENSUALIDADES'!$C$5:$C$500,A142,'ABONOS MENSUALIDADES'!$D$5:$D$500,mes),pago,CHOOSE(MATCH($B$2,'ESTADO CONTABLE'!$A$5:$A$16,0),IFNA(_xlfn.XLOOKUP(A142,PAGOS!$A$2:$A$996,PAGOS!$E$2:$E$996,""),""),IFNA(_xlfn.XLOOKUP(A142,PAGOS!$A$2:$A$996,PAGOS!$G$2:$G$996,""),""),IFNA(_xlfn.XLOOKUP(A142,PAGOS!$A$2:$A$996,PAGOS!$J$2:$J$996,""),""),IFNA(_xlfn.XLOOKUP(A142,PAGOS!$A$2:$A$996,PAGOS!$M$2:$M$996,""),""),IFNA(_xlfn.XLOOKUP(A142,PAGOS!$A$2:$A$996,PAGOS!$P$2:$P$996,""),""),IFNA(_xlfn.XLOOKUP(A142,PAGOS!$A$2:$A$996,PAGOS!$S$2:$S$996,""),""),IFNA(_xlfn.XLOOKUP(A142,PAGOS!$A$2:$A$996,PAGOS!$V$2:$V$996,""),""),IFNA(_xlfn.XLOOKUP(A142,PAGOS!$A$2:$A$996,PAGOS!$Y$2:$Y$996,""),""),IFNA(_xlfn.XLOOKUP(A142,PAGOS!$A$2:$A$996,PAGOS!$AB$2:$AB$996,""),""),IFNA(_xlfn.XLOOKUP(A142,PAGOS!$A$2:$A$996,PAGOS!$AE$2:$AE$996,""),""),IFNA(_xlfn.XLOOKUP(A142,PAGOS!$A$2:$A$996,PAGOS!$AH$2:$AH$996,""),""),IFNA(_xlfn.XLOOKUP(A142,PAGOS!$A$2:$A$996,PAGOS!$AK$2:$AK$996,""),"")),IF(abonos&gt;0,abonos,pago)))</f>
        <v/>
      </c>
      <c r="E142" s="51" t="str">
        <f>IFERROR(__xludf.DUMMYFUNCTION("IF(A142="""","""",LET(mes,DATE($E$2,MATCH($B$2,'ESTADO CONTABLE'!$A$5:$A$16,0),1),abonos,SUMIFS('ABONOS MENSUALIDADES'!$F$5:$F$500,'ABONOS MENSUALIDADES'!$C$5:$C$500,A142,'ABONOS MENSUALIDADES'!$D$5:$D$500,mes),metodoDirecto,CHOOSE(MATCH($B$2,'ESTADO CONT"&amp;"ABLE'!$A$5:$A$16,0),IF(ISNUMBER(D142),""POR CLASIFICAR"",""""),IFNA(XLOOKUP(A142,PAGOS!$A$2:$A$996,PAGOS!$H$2:$H$996,""""),""""),IFNA(XLOOKUP(A142,PAGOS!$A$2:$A$996,PAGOS!$K$2:$K$996,""""),""""),IFNA(XLOOKUP(A142,PAGOS!$A$2:$A$996,PAGOS!$N$2:$N$996,""""),"&amp;"""""),IFNA(XLOOKUP(A142,PAGOS!$A$2:$A$996,PAGOS!$Q$2:$Q$996,""""),""""),IFNA(XLOOKUP(A142,PAGOS!$A$2:$A$996,PAGOS!$T$2:$T$996,""""),""""),IFNA(XLOOKUP(A142,PAGOS!$A$2:$A$996,PAGOS!$W$2:$W$996,""""),""""),IFNA(XLOOKUP(A142,PAGOS!$A$2:$A$996,PAGOS!$Z$2:$Z$9"&amp;"96,""""),""""),IFNA(XLOOKUP(A142,PAGOS!$A$2:$A$996,PAGOS!$AC$2:$AC$996,""""),""""),IFNA(XLOOKUP(A142,PAGOS!$A$2:$A$996,PAGOS!$AF$2:$AF$996,""""),""""),IFNA(XLOOKUP(A142,PAGOS!$A$2:$A$996,PAGOS!$AI$2:$AI$996,""""),""""),IFNA(XLOOKUP(A142,PAGOS!$A$2:$A$996,"&amp;"PAGOS!$AL$2:$AL$996,""""),"""")),IF(abonos&gt;0,IFERROR(TEXTJOIN("" + "",TRUE,UNIQUE(FILTER('ABONOS MENSUALIDADES'!$E$5:$E$500,'ABONOS MENSUALIDADES'!$C$5:$C$500=A142,'ABONOS MENSUALIDADES'!$D$5:$D$500=mes))),""""),metodoDirecto)))"),"")</f>
        <v/>
      </c>
      <c r="F142" s="51" t="str">
        <f t="array" ref="F142">IF(A142="","",LET(mes,DATE($E$2,MATCH($B$2,'ESTADO CONTABLE'!$A$5:$A$16,0),1),cobrarDesde,IFERROR(INDEX('BASE DE DATOSS'!I:I,ROW()-13),""),pausada,SUMPRODUCT((UPPER(TRIM('PAUSAS MENSUALIDADES'!$A$5:$A$500))=UPPER(TRIM(A142)))*('PAUSAS MENSUALIDADES'!$B$5:$B$500=mes)*(UPPER(TRIM('PAUSAS MENSUALIDADES'!$D$5:$D$500))="APLICAR"))&gt;0,esperadaBruta,MAX(IFNA(VLOOKUP(B142,COSTOS!$A$3:$B$13,2,FALSE),0)-150,0),IF(AND(cobrarDesde&lt;&gt;"",mes&lt;cobrarDesde),"AÚN NO INICIA",IF(pausada,"PAUSADA",IF(N(D142)&gt;=esperadaBruta,"COBRADA",IF(N(D142)&gt;0,"ABONO","PENDIENTE"))))))</f>
        <v/>
      </c>
      <c r="G142" s="79" t="str">
        <f t="array" ref="G142">IF(A142="","",IFERROR(INDEX('BASE DE DATOSS'!I:I,ROW()-13),""))</f>
        <v/>
      </c>
    </row>
    <row r="143">
      <c r="A143" s="51" t="str">
        <f t="array" ref="A143">IFERROR(INDEX('BASE DE DATOSS'!A:A,ROW()-13),"")</f>
        <v/>
      </c>
      <c r="B143" s="51" t="str">
        <f t="array" ref="B143">IF(A143="","",IFERROR(INDEX('BASE DE DATOSS'!C:C,ROW()-13),""))</f>
        <v/>
      </c>
      <c r="C143" s="62" t="str">
        <f t="array" ref="C143">IF(A143="","",LET(mes,DATE($E$2,MATCH($B$2,'ESTADO CONTABLE'!$A$5:$A$16,0),1),cobrarDesde,IFERROR(INDEX('BASE DE DATOSS'!I:I,ROW()-13),""),pausada,SUMPRODUCT((UPPER(TRIM('PAUSAS MENSUALIDADES'!$A$5:$A$500))=UPPER(TRIM(A143)))*('PAUSAS MENSUALIDADES'!$B$5:$B$500=mes)*(UPPER(TRIM('PAUSAS MENSUALIDADES'!$D$5:$D$500))="APLICAR"))&gt;0,IF(OR(AND(cobrarDesde&lt;&gt;"",mes&lt;cobrarDesde),pausada),0,MAX(IFNA(VLOOKUP(B143,COSTOS!$A$3:$B$13,2,FALSE),0)-150,0)/1.16)))</f>
        <v/>
      </c>
      <c r="D143" s="62" t="str">
        <f t="array" ref="D143">IF(A143="","",LET(mes,DATE($E$2,MATCH($B$2,'ESTADO CONTABLE'!$A$5:$A$16,0),1),abonos,SUMIFS('ABONOS MENSUALIDADES'!$F$5:$F$500,'ABONOS MENSUALIDADES'!$C$5:$C$500,A143,'ABONOS MENSUALIDADES'!$D$5:$D$500,mes),pago,CHOOSE(MATCH($B$2,'ESTADO CONTABLE'!$A$5:$A$16,0),IFNA(_xlfn.XLOOKUP(A143,PAGOS!$A$2:$A$996,PAGOS!$E$2:$E$996,""),""),IFNA(_xlfn.XLOOKUP(A143,PAGOS!$A$2:$A$996,PAGOS!$G$2:$G$996,""),""),IFNA(_xlfn.XLOOKUP(A143,PAGOS!$A$2:$A$996,PAGOS!$J$2:$J$996,""),""),IFNA(_xlfn.XLOOKUP(A143,PAGOS!$A$2:$A$996,PAGOS!$M$2:$M$996,""),""),IFNA(_xlfn.XLOOKUP(A143,PAGOS!$A$2:$A$996,PAGOS!$P$2:$P$996,""),""),IFNA(_xlfn.XLOOKUP(A143,PAGOS!$A$2:$A$996,PAGOS!$S$2:$S$996,""),""),IFNA(_xlfn.XLOOKUP(A143,PAGOS!$A$2:$A$996,PAGOS!$V$2:$V$996,""),""),IFNA(_xlfn.XLOOKUP(A143,PAGOS!$A$2:$A$996,PAGOS!$Y$2:$Y$996,""),""),IFNA(_xlfn.XLOOKUP(A143,PAGOS!$A$2:$A$996,PAGOS!$AB$2:$AB$996,""),""),IFNA(_xlfn.XLOOKUP(A143,PAGOS!$A$2:$A$996,PAGOS!$AE$2:$AE$996,""),""),IFNA(_xlfn.XLOOKUP(A143,PAGOS!$A$2:$A$996,PAGOS!$AH$2:$AH$996,""),""),IFNA(_xlfn.XLOOKUP(A143,PAGOS!$A$2:$A$996,PAGOS!$AK$2:$AK$996,""),"")),IF(abonos&gt;0,abonos,pago)))</f>
        <v/>
      </c>
      <c r="E143" s="51" t="str">
        <f>IFERROR(__xludf.DUMMYFUNCTION("IF(A143="""","""",LET(mes,DATE($E$2,MATCH($B$2,'ESTADO CONTABLE'!$A$5:$A$16,0),1),abonos,SUMIFS('ABONOS MENSUALIDADES'!$F$5:$F$500,'ABONOS MENSUALIDADES'!$C$5:$C$500,A143,'ABONOS MENSUALIDADES'!$D$5:$D$500,mes),metodoDirecto,CHOOSE(MATCH($B$2,'ESTADO CONT"&amp;"ABLE'!$A$5:$A$16,0),IF(ISNUMBER(D143),""POR CLASIFICAR"",""""),IFNA(XLOOKUP(A143,PAGOS!$A$2:$A$996,PAGOS!$H$2:$H$996,""""),""""),IFNA(XLOOKUP(A143,PAGOS!$A$2:$A$996,PAGOS!$K$2:$K$996,""""),""""),IFNA(XLOOKUP(A143,PAGOS!$A$2:$A$996,PAGOS!$N$2:$N$996,""""),"&amp;"""""),IFNA(XLOOKUP(A143,PAGOS!$A$2:$A$996,PAGOS!$Q$2:$Q$996,""""),""""),IFNA(XLOOKUP(A143,PAGOS!$A$2:$A$996,PAGOS!$T$2:$T$996,""""),""""),IFNA(XLOOKUP(A143,PAGOS!$A$2:$A$996,PAGOS!$W$2:$W$996,""""),""""),IFNA(XLOOKUP(A143,PAGOS!$A$2:$A$996,PAGOS!$Z$2:$Z$9"&amp;"96,""""),""""),IFNA(XLOOKUP(A143,PAGOS!$A$2:$A$996,PAGOS!$AC$2:$AC$996,""""),""""),IFNA(XLOOKUP(A143,PAGOS!$A$2:$A$996,PAGOS!$AF$2:$AF$996,""""),""""),IFNA(XLOOKUP(A143,PAGOS!$A$2:$A$996,PAGOS!$AI$2:$AI$996,""""),""""),IFNA(XLOOKUP(A143,PAGOS!$A$2:$A$996,"&amp;"PAGOS!$AL$2:$AL$996,""""),"""")),IF(abonos&gt;0,IFERROR(TEXTJOIN("" + "",TRUE,UNIQUE(FILTER('ABONOS MENSUALIDADES'!$E$5:$E$500,'ABONOS MENSUALIDADES'!$C$5:$C$500=A143,'ABONOS MENSUALIDADES'!$D$5:$D$500=mes))),""""),metodoDirecto)))"),"")</f>
        <v/>
      </c>
      <c r="F143" s="51" t="str">
        <f t="array" ref="F143">IF(A143="","",LET(mes,DATE($E$2,MATCH($B$2,'ESTADO CONTABLE'!$A$5:$A$16,0),1),cobrarDesde,IFERROR(INDEX('BASE DE DATOSS'!I:I,ROW()-13),""),pausada,SUMPRODUCT((UPPER(TRIM('PAUSAS MENSUALIDADES'!$A$5:$A$500))=UPPER(TRIM(A143)))*('PAUSAS MENSUALIDADES'!$B$5:$B$500=mes)*(UPPER(TRIM('PAUSAS MENSUALIDADES'!$D$5:$D$500))="APLICAR"))&gt;0,esperadaBruta,MAX(IFNA(VLOOKUP(B143,COSTOS!$A$3:$B$13,2,FALSE),0)-150,0),IF(AND(cobrarDesde&lt;&gt;"",mes&lt;cobrarDesde),"AÚN NO INICIA",IF(pausada,"PAUSADA",IF(N(D143)&gt;=esperadaBruta,"COBRADA",IF(N(D143)&gt;0,"ABONO","PENDIENTE"))))))</f>
        <v/>
      </c>
      <c r="G143" s="79" t="str">
        <f t="array" ref="G143">IF(A143="","",IFERROR(INDEX('BASE DE DATOSS'!I:I,ROW()-13),""))</f>
        <v/>
      </c>
    </row>
    <row r="144">
      <c r="A144" s="51" t="str">
        <f t="array" ref="A144">IFERROR(INDEX('BASE DE DATOSS'!A:A,ROW()-13),"")</f>
        <v/>
      </c>
      <c r="B144" s="51" t="str">
        <f t="array" ref="B144">IF(A144="","",IFERROR(INDEX('BASE DE DATOSS'!C:C,ROW()-13),""))</f>
        <v/>
      </c>
      <c r="C144" s="62" t="str">
        <f t="array" ref="C144">IF(A144="","",LET(mes,DATE($E$2,MATCH($B$2,'ESTADO CONTABLE'!$A$5:$A$16,0),1),cobrarDesde,IFERROR(INDEX('BASE DE DATOSS'!I:I,ROW()-13),""),pausada,SUMPRODUCT((UPPER(TRIM('PAUSAS MENSUALIDADES'!$A$5:$A$500))=UPPER(TRIM(A144)))*('PAUSAS MENSUALIDADES'!$B$5:$B$500=mes)*(UPPER(TRIM('PAUSAS MENSUALIDADES'!$D$5:$D$500))="APLICAR"))&gt;0,IF(OR(AND(cobrarDesde&lt;&gt;"",mes&lt;cobrarDesde),pausada),0,MAX(IFNA(VLOOKUP(B144,COSTOS!$A$3:$B$13,2,FALSE),0)-150,0)/1.16)))</f>
        <v/>
      </c>
      <c r="D144" s="62" t="str">
        <f t="array" ref="D144">IF(A144="","",LET(mes,DATE($E$2,MATCH($B$2,'ESTADO CONTABLE'!$A$5:$A$16,0),1),abonos,SUMIFS('ABONOS MENSUALIDADES'!$F$5:$F$500,'ABONOS MENSUALIDADES'!$C$5:$C$500,A144,'ABONOS MENSUALIDADES'!$D$5:$D$500,mes),pago,CHOOSE(MATCH($B$2,'ESTADO CONTABLE'!$A$5:$A$16,0),IFNA(_xlfn.XLOOKUP(A144,PAGOS!$A$2:$A$996,PAGOS!$E$2:$E$996,""),""),IFNA(_xlfn.XLOOKUP(A144,PAGOS!$A$2:$A$996,PAGOS!$G$2:$G$996,""),""),IFNA(_xlfn.XLOOKUP(A144,PAGOS!$A$2:$A$996,PAGOS!$J$2:$J$996,""),""),IFNA(_xlfn.XLOOKUP(A144,PAGOS!$A$2:$A$996,PAGOS!$M$2:$M$996,""),""),IFNA(_xlfn.XLOOKUP(A144,PAGOS!$A$2:$A$996,PAGOS!$P$2:$P$996,""),""),IFNA(_xlfn.XLOOKUP(A144,PAGOS!$A$2:$A$996,PAGOS!$S$2:$S$996,""),""),IFNA(_xlfn.XLOOKUP(A144,PAGOS!$A$2:$A$996,PAGOS!$V$2:$V$996,""),""),IFNA(_xlfn.XLOOKUP(A144,PAGOS!$A$2:$A$996,PAGOS!$Y$2:$Y$996,""),""),IFNA(_xlfn.XLOOKUP(A144,PAGOS!$A$2:$A$996,PAGOS!$AB$2:$AB$996,""),""),IFNA(_xlfn.XLOOKUP(A144,PAGOS!$A$2:$A$996,PAGOS!$AE$2:$AE$996,""),""),IFNA(_xlfn.XLOOKUP(A144,PAGOS!$A$2:$A$996,PAGOS!$AH$2:$AH$996,""),""),IFNA(_xlfn.XLOOKUP(A144,PAGOS!$A$2:$A$996,PAGOS!$AK$2:$AK$996,""),"")),IF(abonos&gt;0,abonos,pago)))</f>
        <v/>
      </c>
      <c r="E144" s="51" t="str">
        <f>IFERROR(__xludf.DUMMYFUNCTION("IF(A144="""","""",LET(mes,DATE($E$2,MATCH($B$2,'ESTADO CONTABLE'!$A$5:$A$16,0),1),abonos,SUMIFS('ABONOS MENSUALIDADES'!$F$5:$F$500,'ABONOS MENSUALIDADES'!$C$5:$C$500,A144,'ABONOS MENSUALIDADES'!$D$5:$D$500,mes),metodoDirecto,CHOOSE(MATCH($B$2,'ESTADO CONT"&amp;"ABLE'!$A$5:$A$16,0),IF(ISNUMBER(D144),""POR CLASIFICAR"",""""),IFNA(XLOOKUP(A144,PAGOS!$A$2:$A$996,PAGOS!$H$2:$H$996,""""),""""),IFNA(XLOOKUP(A144,PAGOS!$A$2:$A$996,PAGOS!$K$2:$K$996,""""),""""),IFNA(XLOOKUP(A144,PAGOS!$A$2:$A$996,PAGOS!$N$2:$N$996,""""),"&amp;"""""),IFNA(XLOOKUP(A144,PAGOS!$A$2:$A$996,PAGOS!$Q$2:$Q$996,""""),""""),IFNA(XLOOKUP(A144,PAGOS!$A$2:$A$996,PAGOS!$T$2:$T$996,""""),""""),IFNA(XLOOKUP(A144,PAGOS!$A$2:$A$996,PAGOS!$W$2:$W$996,""""),""""),IFNA(XLOOKUP(A144,PAGOS!$A$2:$A$996,PAGOS!$Z$2:$Z$9"&amp;"96,""""),""""),IFNA(XLOOKUP(A144,PAGOS!$A$2:$A$996,PAGOS!$AC$2:$AC$996,""""),""""),IFNA(XLOOKUP(A144,PAGOS!$A$2:$A$996,PAGOS!$AF$2:$AF$996,""""),""""),IFNA(XLOOKUP(A144,PAGOS!$A$2:$A$996,PAGOS!$AI$2:$AI$996,""""),""""),IFNA(XLOOKUP(A144,PAGOS!$A$2:$A$996,"&amp;"PAGOS!$AL$2:$AL$996,""""),"""")),IF(abonos&gt;0,IFERROR(TEXTJOIN("" + "",TRUE,UNIQUE(FILTER('ABONOS MENSUALIDADES'!$E$5:$E$500,'ABONOS MENSUALIDADES'!$C$5:$C$500=A144,'ABONOS MENSUALIDADES'!$D$5:$D$500=mes))),""""),metodoDirecto)))"),"")</f>
        <v/>
      </c>
      <c r="F144" s="51" t="str">
        <f t="array" ref="F144">IF(A144="","",LET(mes,DATE($E$2,MATCH($B$2,'ESTADO CONTABLE'!$A$5:$A$16,0),1),cobrarDesde,IFERROR(INDEX('BASE DE DATOSS'!I:I,ROW()-13),""),pausada,SUMPRODUCT((UPPER(TRIM('PAUSAS MENSUALIDADES'!$A$5:$A$500))=UPPER(TRIM(A144)))*('PAUSAS MENSUALIDADES'!$B$5:$B$500=mes)*(UPPER(TRIM('PAUSAS MENSUALIDADES'!$D$5:$D$500))="APLICAR"))&gt;0,esperadaBruta,MAX(IFNA(VLOOKUP(B144,COSTOS!$A$3:$B$13,2,FALSE),0)-150,0),IF(AND(cobrarDesde&lt;&gt;"",mes&lt;cobrarDesde),"AÚN NO INICIA",IF(pausada,"PAUSADA",IF(N(D144)&gt;=esperadaBruta,"COBRADA",IF(N(D144)&gt;0,"ABONO","PENDIENTE"))))))</f>
        <v/>
      </c>
      <c r="G144" s="79" t="str">
        <f t="array" ref="G144">IF(A144="","",IFERROR(INDEX('BASE DE DATOSS'!I:I,ROW()-13),""))</f>
        <v/>
      </c>
    </row>
    <row r="145">
      <c r="A145" s="51" t="str">
        <f t="array" ref="A145">IFERROR(INDEX('BASE DE DATOSS'!A:A,ROW()-13),"")</f>
        <v/>
      </c>
      <c r="B145" s="51" t="str">
        <f t="array" ref="B145">IF(A145="","",IFERROR(INDEX('BASE DE DATOSS'!C:C,ROW()-13),""))</f>
        <v/>
      </c>
      <c r="C145" s="62" t="str">
        <f t="array" ref="C145">IF(A145="","",LET(mes,DATE($E$2,MATCH($B$2,'ESTADO CONTABLE'!$A$5:$A$16,0),1),cobrarDesde,IFERROR(INDEX('BASE DE DATOSS'!I:I,ROW()-13),""),pausada,SUMPRODUCT((UPPER(TRIM('PAUSAS MENSUALIDADES'!$A$5:$A$500))=UPPER(TRIM(A145)))*('PAUSAS MENSUALIDADES'!$B$5:$B$500=mes)*(UPPER(TRIM('PAUSAS MENSUALIDADES'!$D$5:$D$500))="APLICAR"))&gt;0,IF(OR(AND(cobrarDesde&lt;&gt;"",mes&lt;cobrarDesde),pausada),0,MAX(IFNA(VLOOKUP(B145,COSTOS!$A$3:$B$13,2,FALSE),0)-150,0)/1.16)))</f>
        <v/>
      </c>
      <c r="D145" s="62" t="str">
        <f t="array" ref="D145">IF(A145="","",LET(mes,DATE($E$2,MATCH($B$2,'ESTADO CONTABLE'!$A$5:$A$16,0),1),abonos,SUMIFS('ABONOS MENSUALIDADES'!$F$5:$F$500,'ABONOS MENSUALIDADES'!$C$5:$C$500,A145,'ABONOS MENSUALIDADES'!$D$5:$D$500,mes),pago,CHOOSE(MATCH($B$2,'ESTADO CONTABLE'!$A$5:$A$16,0),IFNA(_xlfn.XLOOKUP(A145,PAGOS!$A$2:$A$996,PAGOS!$E$2:$E$996,""),""),IFNA(_xlfn.XLOOKUP(A145,PAGOS!$A$2:$A$996,PAGOS!$G$2:$G$996,""),""),IFNA(_xlfn.XLOOKUP(A145,PAGOS!$A$2:$A$996,PAGOS!$J$2:$J$996,""),""),IFNA(_xlfn.XLOOKUP(A145,PAGOS!$A$2:$A$996,PAGOS!$M$2:$M$996,""),""),IFNA(_xlfn.XLOOKUP(A145,PAGOS!$A$2:$A$996,PAGOS!$P$2:$P$996,""),""),IFNA(_xlfn.XLOOKUP(A145,PAGOS!$A$2:$A$996,PAGOS!$S$2:$S$996,""),""),IFNA(_xlfn.XLOOKUP(A145,PAGOS!$A$2:$A$996,PAGOS!$V$2:$V$996,""),""),IFNA(_xlfn.XLOOKUP(A145,PAGOS!$A$2:$A$996,PAGOS!$Y$2:$Y$996,""),""),IFNA(_xlfn.XLOOKUP(A145,PAGOS!$A$2:$A$996,PAGOS!$AB$2:$AB$996,""),""),IFNA(_xlfn.XLOOKUP(A145,PAGOS!$A$2:$A$996,PAGOS!$AE$2:$AE$996,""),""),IFNA(_xlfn.XLOOKUP(A145,PAGOS!$A$2:$A$996,PAGOS!$AH$2:$AH$996,""),""),IFNA(_xlfn.XLOOKUP(A145,PAGOS!$A$2:$A$996,PAGOS!$AK$2:$AK$996,""),"")),IF(abonos&gt;0,abonos,pago)))</f>
        <v/>
      </c>
      <c r="E145" s="51" t="str">
        <f>IFERROR(__xludf.DUMMYFUNCTION("IF(A145="""","""",LET(mes,DATE($E$2,MATCH($B$2,'ESTADO CONTABLE'!$A$5:$A$16,0),1),abonos,SUMIFS('ABONOS MENSUALIDADES'!$F$5:$F$500,'ABONOS MENSUALIDADES'!$C$5:$C$500,A145,'ABONOS MENSUALIDADES'!$D$5:$D$500,mes),metodoDirecto,CHOOSE(MATCH($B$2,'ESTADO CONT"&amp;"ABLE'!$A$5:$A$16,0),IF(ISNUMBER(D145),""POR CLASIFICAR"",""""),IFNA(XLOOKUP(A145,PAGOS!$A$2:$A$996,PAGOS!$H$2:$H$996,""""),""""),IFNA(XLOOKUP(A145,PAGOS!$A$2:$A$996,PAGOS!$K$2:$K$996,""""),""""),IFNA(XLOOKUP(A145,PAGOS!$A$2:$A$996,PAGOS!$N$2:$N$996,""""),"&amp;"""""),IFNA(XLOOKUP(A145,PAGOS!$A$2:$A$996,PAGOS!$Q$2:$Q$996,""""),""""),IFNA(XLOOKUP(A145,PAGOS!$A$2:$A$996,PAGOS!$T$2:$T$996,""""),""""),IFNA(XLOOKUP(A145,PAGOS!$A$2:$A$996,PAGOS!$W$2:$W$996,""""),""""),IFNA(XLOOKUP(A145,PAGOS!$A$2:$A$996,PAGOS!$Z$2:$Z$9"&amp;"96,""""),""""),IFNA(XLOOKUP(A145,PAGOS!$A$2:$A$996,PAGOS!$AC$2:$AC$996,""""),""""),IFNA(XLOOKUP(A145,PAGOS!$A$2:$A$996,PAGOS!$AF$2:$AF$996,""""),""""),IFNA(XLOOKUP(A145,PAGOS!$A$2:$A$996,PAGOS!$AI$2:$AI$996,""""),""""),IFNA(XLOOKUP(A145,PAGOS!$A$2:$A$996,"&amp;"PAGOS!$AL$2:$AL$996,""""),"""")),IF(abonos&gt;0,IFERROR(TEXTJOIN("" + "",TRUE,UNIQUE(FILTER('ABONOS MENSUALIDADES'!$E$5:$E$500,'ABONOS MENSUALIDADES'!$C$5:$C$500=A145,'ABONOS MENSUALIDADES'!$D$5:$D$500=mes))),""""),metodoDirecto)))"),"")</f>
        <v/>
      </c>
      <c r="F145" s="51" t="str">
        <f t="array" ref="F145">IF(A145="","",LET(mes,DATE($E$2,MATCH($B$2,'ESTADO CONTABLE'!$A$5:$A$16,0),1),cobrarDesde,IFERROR(INDEX('BASE DE DATOSS'!I:I,ROW()-13),""),pausada,SUMPRODUCT((UPPER(TRIM('PAUSAS MENSUALIDADES'!$A$5:$A$500))=UPPER(TRIM(A145)))*('PAUSAS MENSUALIDADES'!$B$5:$B$500=mes)*(UPPER(TRIM('PAUSAS MENSUALIDADES'!$D$5:$D$500))="APLICAR"))&gt;0,esperadaBruta,MAX(IFNA(VLOOKUP(B145,COSTOS!$A$3:$B$13,2,FALSE),0)-150,0),IF(AND(cobrarDesde&lt;&gt;"",mes&lt;cobrarDesde),"AÚN NO INICIA",IF(pausada,"PAUSADA",IF(N(D145)&gt;=esperadaBruta,"COBRADA",IF(N(D145)&gt;0,"ABONO","PENDIENTE"))))))</f>
        <v/>
      </c>
      <c r="G145" s="79" t="str">
        <f t="array" ref="G145">IF(A145="","",IFERROR(INDEX('BASE DE DATOSS'!I:I,ROW()-13),""))</f>
        <v/>
      </c>
    </row>
    <row r="146">
      <c r="A146" s="51" t="str">
        <f t="array" ref="A146">IFERROR(INDEX('BASE DE DATOSS'!A:A,ROW()-13),"")</f>
        <v/>
      </c>
      <c r="B146" s="51" t="str">
        <f t="array" ref="B146">IF(A146="","",IFERROR(INDEX('BASE DE DATOSS'!C:C,ROW()-13),""))</f>
        <v/>
      </c>
      <c r="C146" s="62" t="str">
        <f t="array" ref="C146">IF(A146="","",LET(mes,DATE($E$2,MATCH($B$2,'ESTADO CONTABLE'!$A$5:$A$16,0),1),cobrarDesde,IFERROR(INDEX('BASE DE DATOSS'!I:I,ROW()-13),""),pausada,SUMPRODUCT((UPPER(TRIM('PAUSAS MENSUALIDADES'!$A$5:$A$500))=UPPER(TRIM(A146)))*('PAUSAS MENSUALIDADES'!$B$5:$B$500=mes)*(UPPER(TRIM('PAUSAS MENSUALIDADES'!$D$5:$D$500))="APLICAR"))&gt;0,IF(OR(AND(cobrarDesde&lt;&gt;"",mes&lt;cobrarDesde),pausada),0,MAX(IFNA(VLOOKUP(B146,COSTOS!$A$3:$B$13,2,FALSE),0)-150,0)/1.16)))</f>
        <v/>
      </c>
      <c r="D146" s="62" t="str">
        <f t="array" ref="D146">IF(A146="","",LET(mes,DATE($E$2,MATCH($B$2,'ESTADO CONTABLE'!$A$5:$A$16,0),1),abonos,SUMIFS('ABONOS MENSUALIDADES'!$F$5:$F$500,'ABONOS MENSUALIDADES'!$C$5:$C$500,A146,'ABONOS MENSUALIDADES'!$D$5:$D$500,mes),pago,CHOOSE(MATCH($B$2,'ESTADO CONTABLE'!$A$5:$A$16,0),IFNA(_xlfn.XLOOKUP(A146,PAGOS!$A$2:$A$996,PAGOS!$E$2:$E$996,""),""),IFNA(_xlfn.XLOOKUP(A146,PAGOS!$A$2:$A$996,PAGOS!$G$2:$G$996,""),""),IFNA(_xlfn.XLOOKUP(A146,PAGOS!$A$2:$A$996,PAGOS!$J$2:$J$996,""),""),IFNA(_xlfn.XLOOKUP(A146,PAGOS!$A$2:$A$996,PAGOS!$M$2:$M$996,""),""),IFNA(_xlfn.XLOOKUP(A146,PAGOS!$A$2:$A$996,PAGOS!$P$2:$P$996,""),""),IFNA(_xlfn.XLOOKUP(A146,PAGOS!$A$2:$A$996,PAGOS!$S$2:$S$996,""),""),IFNA(_xlfn.XLOOKUP(A146,PAGOS!$A$2:$A$996,PAGOS!$V$2:$V$996,""),""),IFNA(_xlfn.XLOOKUP(A146,PAGOS!$A$2:$A$996,PAGOS!$Y$2:$Y$996,""),""),IFNA(_xlfn.XLOOKUP(A146,PAGOS!$A$2:$A$996,PAGOS!$AB$2:$AB$996,""),""),IFNA(_xlfn.XLOOKUP(A146,PAGOS!$A$2:$A$996,PAGOS!$AE$2:$AE$996,""),""),IFNA(_xlfn.XLOOKUP(A146,PAGOS!$A$2:$A$996,PAGOS!$AH$2:$AH$996,""),""),IFNA(_xlfn.XLOOKUP(A146,PAGOS!$A$2:$A$996,PAGOS!$AK$2:$AK$996,""),"")),IF(abonos&gt;0,abonos,pago)))</f>
        <v/>
      </c>
      <c r="E146" s="51" t="str">
        <f>IFERROR(__xludf.DUMMYFUNCTION("IF(A146="""","""",LET(mes,DATE($E$2,MATCH($B$2,'ESTADO CONTABLE'!$A$5:$A$16,0),1),abonos,SUMIFS('ABONOS MENSUALIDADES'!$F$5:$F$500,'ABONOS MENSUALIDADES'!$C$5:$C$500,A146,'ABONOS MENSUALIDADES'!$D$5:$D$500,mes),metodoDirecto,CHOOSE(MATCH($B$2,'ESTADO CONT"&amp;"ABLE'!$A$5:$A$16,0),IF(ISNUMBER(D146),""POR CLASIFICAR"",""""),IFNA(XLOOKUP(A146,PAGOS!$A$2:$A$996,PAGOS!$H$2:$H$996,""""),""""),IFNA(XLOOKUP(A146,PAGOS!$A$2:$A$996,PAGOS!$K$2:$K$996,""""),""""),IFNA(XLOOKUP(A146,PAGOS!$A$2:$A$996,PAGOS!$N$2:$N$996,""""),"&amp;"""""),IFNA(XLOOKUP(A146,PAGOS!$A$2:$A$996,PAGOS!$Q$2:$Q$996,""""),""""),IFNA(XLOOKUP(A146,PAGOS!$A$2:$A$996,PAGOS!$T$2:$T$996,""""),""""),IFNA(XLOOKUP(A146,PAGOS!$A$2:$A$996,PAGOS!$W$2:$W$996,""""),""""),IFNA(XLOOKUP(A146,PAGOS!$A$2:$A$996,PAGOS!$Z$2:$Z$9"&amp;"96,""""),""""),IFNA(XLOOKUP(A146,PAGOS!$A$2:$A$996,PAGOS!$AC$2:$AC$996,""""),""""),IFNA(XLOOKUP(A146,PAGOS!$A$2:$A$996,PAGOS!$AF$2:$AF$996,""""),""""),IFNA(XLOOKUP(A146,PAGOS!$A$2:$A$996,PAGOS!$AI$2:$AI$996,""""),""""),IFNA(XLOOKUP(A146,PAGOS!$A$2:$A$996,"&amp;"PAGOS!$AL$2:$AL$996,""""),"""")),IF(abonos&gt;0,IFERROR(TEXTJOIN("" + "",TRUE,UNIQUE(FILTER('ABONOS MENSUALIDADES'!$E$5:$E$500,'ABONOS MENSUALIDADES'!$C$5:$C$500=A146,'ABONOS MENSUALIDADES'!$D$5:$D$500=mes))),""""),metodoDirecto)))"),"")</f>
        <v/>
      </c>
      <c r="F146" s="51" t="str">
        <f t="array" ref="F146">IF(A146="","",LET(mes,DATE($E$2,MATCH($B$2,'ESTADO CONTABLE'!$A$5:$A$16,0),1),cobrarDesde,IFERROR(INDEX('BASE DE DATOSS'!I:I,ROW()-13),""),pausada,SUMPRODUCT((UPPER(TRIM('PAUSAS MENSUALIDADES'!$A$5:$A$500))=UPPER(TRIM(A146)))*('PAUSAS MENSUALIDADES'!$B$5:$B$500=mes)*(UPPER(TRIM('PAUSAS MENSUALIDADES'!$D$5:$D$500))="APLICAR"))&gt;0,esperadaBruta,MAX(IFNA(VLOOKUP(B146,COSTOS!$A$3:$B$13,2,FALSE),0)-150,0),IF(AND(cobrarDesde&lt;&gt;"",mes&lt;cobrarDesde),"AÚN NO INICIA",IF(pausada,"PAUSADA",IF(N(D146)&gt;=esperadaBruta,"COBRADA",IF(N(D146)&gt;0,"ABONO","PENDIENTE"))))))</f>
        <v/>
      </c>
      <c r="G146" s="79" t="str">
        <f t="array" ref="G146">IF(A146="","",IFERROR(INDEX('BASE DE DATOSS'!I:I,ROW()-13),""))</f>
        <v/>
      </c>
    </row>
    <row r="147">
      <c r="A147" s="51" t="str">
        <f t="array" ref="A147">IFERROR(INDEX('BASE DE DATOSS'!A:A,ROW()-13),"")</f>
        <v/>
      </c>
      <c r="B147" s="51" t="str">
        <f t="array" ref="B147">IF(A147="","",IFERROR(INDEX('BASE DE DATOSS'!C:C,ROW()-13),""))</f>
        <v/>
      </c>
      <c r="C147" s="62" t="str">
        <f t="array" ref="C147">IF(A147="","",LET(mes,DATE($E$2,MATCH($B$2,'ESTADO CONTABLE'!$A$5:$A$16,0),1),cobrarDesde,IFERROR(INDEX('BASE DE DATOSS'!I:I,ROW()-13),""),pausada,SUMPRODUCT((UPPER(TRIM('PAUSAS MENSUALIDADES'!$A$5:$A$500))=UPPER(TRIM(A147)))*('PAUSAS MENSUALIDADES'!$B$5:$B$500=mes)*(UPPER(TRIM('PAUSAS MENSUALIDADES'!$D$5:$D$500))="APLICAR"))&gt;0,IF(OR(AND(cobrarDesde&lt;&gt;"",mes&lt;cobrarDesde),pausada),0,MAX(IFNA(VLOOKUP(B147,COSTOS!$A$3:$B$13,2,FALSE),0)-150,0)/1.16)))</f>
        <v/>
      </c>
      <c r="D147" s="62" t="str">
        <f t="array" ref="D147">IF(A147="","",LET(mes,DATE($E$2,MATCH($B$2,'ESTADO CONTABLE'!$A$5:$A$16,0),1),abonos,SUMIFS('ABONOS MENSUALIDADES'!$F$5:$F$500,'ABONOS MENSUALIDADES'!$C$5:$C$500,A147,'ABONOS MENSUALIDADES'!$D$5:$D$500,mes),pago,CHOOSE(MATCH($B$2,'ESTADO CONTABLE'!$A$5:$A$16,0),IFNA(_xlfn.XLOOKUP(A147,PAGOS!$A$2:$A$996,PAGOS!$E$2:$E$996,""),""),IFNA(_xlfn.XLOOKUP(A147,PAGOS!$A$2:$A$996,PAGOS!$G$2:$G$996,""),""),IFNA(_xlfn.XLOOKUP(A147,PAGOS!$A$2:$A$996,PAGOS!$J$2:$J$996,""),""),IFNA(_xlfn.XLOOKUP(A147,PAGOS!$A$2:$A$996,PAGOS!$M$2:$M$996,""),""),IFNA(_xlfn.XLOOKUP(A147,PAGOS!$A$2:$A$996,PAGOS!$P$2:$P$996,""),""),IFNA(_xlfn.XLOOKUP(A147,PAGOS!$A$2:$A$996,PAGOS!$S$2:$S$996,""),""),IFNA(_xlfn.XLOOKUP(A147,PAGOS!$A$2:$A$996,PAGOS!$V$2:$V$996,""),""),IFNA(_xlfn.XLOOKUP(A147,PAGOS!$A$2:$A$996,PAGOS!$Y$2:$Y$996,""),""),IFNA(_xlfn.XLOOKUP(A147,PAGOS!$A$2:$A$996,PAGOS!$AB$2:$AB$996,""),""),IFNA(_xlfn.XLOOKUP(A147,PAGOS!$A$2:$A$996,PAGOS!$AE$2:$AE$996,""),""),IFNA(_xlfn.XLOOKUP(A147,PAGOS!$A$2:$A$996,PAGOS!$AH$2:$AH$996,""),""),IFNA(_xlfn.XLOOKUP(A147,PAGOS!$A$2:$A$996,PAGOS!$AK$2:$AK$996,""),"")),IF(abonos&gt;0,abonos,pago)))</f>
        <v/>
      </c>
      <c r="E147" s="51" t="str">
        <f>IFERROR(__xludf.DUMMYFUNCTION("IF(A147="""","""",LET(mes,DATE($E$2,MATCH($B$2,'ESTADO CONTABLE'!$A$5:$A$16,0),1),abonos,SUMIFS('ABONOS MENSUALIDADES'!$F$5:$F$500,'ABONOS MENSUALIDADES'!$C$5:$C$500,A147,'ABONOS MENSUALIDADES'!$D$5:$D$500,mes),metodoDirecto,CHOOSE(MATCH($B$2,'ESTADO CONT"&amp;"ABLE'!$A$5:$A$16,0),IF(ISNUMBER(D147),""POR CLASIFICAR"",""""),IFNA(XLOOKUP(A147,PAGOS!$A$2:$A$996,PAGOS!$H$2:$H$996,""""),""""),IFNA(XLOOKUP(A147,PAGOS!$A$2:$A$996,PAGOS!$K$2:$K$996,""""),""""),IFNA(XLOOKUP(A147,PAGOS!$A$2:$A$996,PAGOS!$N$2:$N$996,""""),"&amp;"""""),IFNA(XLOOKUP(A147,PAGOS!$A$2:$A$996,PAGOS!$Q$2:$Q$996,""""),""""),IFNA(XLOOKUP(A147,PAGOS!$A$2:$A$996,PAGOS!$T$2:$T$996,""""),""""),IFNA(XLOOKUP(A147,PAGOS!$A$2:$A$996,PAGOS!$W$2:$W$996,""""),""""),IFNA(XLOOKUP(A147,PAGOS!$A$2:$A$996,PAGOS!$Z$2:$Z$9"&amp;"96,""""),""""),IFNA(XLOOKUP(A147,PAGOS!$A$2:$A$996,PAGOS!$AC$2:$AC$996,""""),""""),IFNA(XLOOKUP(A147,PAGOS!$A$2:$A$996,PAGOS!$AF$2:$AF$996,""""),""""),IFNA(XLOOKUP(A147,PAGOS!$A$2:$A$996,PAGOS!$AI$2:$AI$996,""""),""""),IFNA(XLOOKUP(A147,PAGOS!$A$2:$A$996,"&amp;"PAGOS!$AL$2:$AL$996,""""),"""")),IF(abonos&gt;0,IFERROR(TEXTJOIN("" + "",TRUE,UNIQUE(FILTER('ABONOS MENSUALIDADES'!$E$5:$E$500,'ABONOS MENSUALIDADES'!$C$5:$C$500=A147,'ABONOS MENSUALIDADES'!$D$5:$D$500=mes))),""""),metodoDirecto)))"),"")</f>
        <v/>
      </c>
      <c r="F147" s="51" t="str">
        <f t="array" ref="F147">IF(A147="","",LET(mes,DATE($E$2,MATCH($B$2,'ESTADO CONTABLE'!$A$5:$A$16,0),1),cobrarDesde,IFERROR(INDEX('BASE DE DATOSS'!I:I,ROW()-13),""),pausada,SUMPRODUCT((UPPER(TRIM('PAUSAS MENSUALIDADES'!$A$5:$A$500))=UPPER(TRIM(A147)))*('PAUSAS MENSUALIDADES'!$B$5:$B$500=mes)*(UPPER(TRIM('PAUSAS MENSUALIDADES'!$D$5:$D$500))="APLICAR"))&gt;0,esperadaBruta,MAX(IFNA(VLOOKUP(B147,COSTOS!$A$3:$B$13,2,FALSE),0)-150,0),IF(AND(cobrarDesde&lt;&gt;"",mes&lt;cobrarDesde),"AÚN NO INICIA",IF(pausada,"PAUSADA",IF(N(D147)&gt;=esperadaBruta,"COBRADA",IF(N(D147)&gt;0,"ABONO","PENDIENTE"))))))</f>
        <v/>
      </c>
      <c r="G147" s="79" t="str">
        <f t="array" ref="G147">IF(A147="","",IFERROR(INDEX('BASE DE DATOSS'!I:I,ROW()-13),""))</f>
        <v/>
      </c>
    </row>
    <row r="148">
      <c r="A148" s="51" t="str">
        <f t="array" ref="A148">IFERROR(INDEX('BASE DE DATOSS'!A:A,ROW()-13),"")</f>
        <v/>
      </c>
      <c r="B148" s="51" t="str">
        <f t="array" ref="B148">IF(A148="","",IFERROR(INDEX('BASE DE DATOSS'!C:C,ROW()-13),""))</f>
        <v/>
      </c>
      <c r="C148" s="62" t="str">
        <f t="array" ref="C148">IF(A148="","",LET(mes,DATE($E$2,MATCH($B$2,'ESTADO CONTABLE'!$A$5:$A$16,0),1),cobrarDesde,IFERROR(INDEX('BASE DE DATOSS'!I:I,ROW()-13),""),pausada,SUMPRODUCT((UPPER(TRIM('PAUSAS MENSUALIDADES'!$A$5:$A$500))=UPPER(TRIM(A148)))*('PAUSAS MENSUALIDADES'!$B$5:$B$500=mes)*(UPPER(TRIM('PAUSAS MENSUALIDADES'!$D$5:$D$500))="APLICAR"))&gt;0,IF(OR(AND(cobrarDesde&lt;&gt;"",mes&lt;cobrarDesde),pausada),0,MAX(IFNA(VLOOKUP(B148,COSTOS!$A$3:$B$13,2,FALSE),0)-150,0)/1.16)))</f>
        <v/>
      </c>
      <c r="D148" s="62" t="str">
        <f t="array" ref="D148">IF(A148="","",LET(mes,DATE($E$2,MATCH($B$2,'ESTADO CONTABLE'!$A$5:$A$16,0),1),abonos,SUMIFS('ABONOS MENSUALIDADES'!$F$5:$F$500,'ABONOS MENSUALIDADES'!$C$5:$C$500,A148,'ABONOS MENSUALIDADES'!$D$5:$D$500,mes),pago,CHOOSE(MATCH($B$2,'ESTADO CONTABLE'!$A$5:$A$16,0),IFNA(_xlfn.XLOOKUP(A148,PAGOS!$A$2:$A$996,PAGOS!$E$2:$E$996,""),""),IFNA(_xlfn.XLOOKUP(A148,PAGOS!$A$2:$A$996,PAGOS!$G$2:$G$996,""),""),IFNA(_xlfn.XLOOKUP(A148,PAGOS!$A$2:$A$996,PAGOS!$J$2:$J$996,""),""),IFNA(_xlfn.XLOOKUP(A148,PAGOS!$A$2:$A$996,PAGOS!$M$2:$M$996,""),""),IFNA(_xlfn.XLOOKUP(A148,PAGOS!$A$2:$A$996,PAGOS!$P$2:$P$996,""),""),IFNA(_xlfn.XLOOKUP(A148,PAGOS!$A$2:$A$996,PAGOS!$S$2:$S$996,""),""),IFNA(_xlfn.XLOOKUP(A148,PAGOS!$A$2:$A$996,PAGOS!$V$2:$V$996,""),""),IFNA(_xlfn.XLOOKUP(A148,PAGOS!$A$2:$A$996,PAGOS!$Y$2:$Y$996,""),""),IFNA(_xlfn.XLOOKUP(A148,PAGOS!$A$2:$A$996,PAGOS!$AB$2:$AB$996,""),""),IFNA(_xlfn.XLOOKUP(A148,PAGOS!$A$2:$A$996,PAGOS!$AE$2:$AE$996,""),""),IFNA(_xlfn.XLOOKUP(A148,PAGOS!$A$2:$A$996,PAGOS!$AH$2:$AH$996,""),""),IFNA(_xlfn.XLOOKUP(A148,PAGOS!$A$2:$A$996,PAGOS!$AK$2:$AK$996,""),"")),IF(abonos&gt;0,abonos,pago)))</f>
        <v/>
      </c>
      <c r="E148" s="51" t="str">
        <f>IFERROR(__xludf.DUMMYFUNCTION("IF(A148="""","""",LET(mes,DATE($E$2,MATCH($B$2,'ESTADO CONTABLE'!$A$5:$A$16,0),1),abonos,SUMIFS('ABONOS MENSUALIDADES'!$F$5:$F$500,'ABONOS MENSUALIDADES'!$C$5:$C$500,A148,'ABONOS MENSUALIDADES'!$D$5:$D$500,mes),metodoDirecto,CHOOSE(MATCH($B$2,'ESTADO CONT"&amp;"ABLE'!$A$5:$A$16,0),IF(ISNUMBER(D148),""POR CLASIFICAR"",""""),IFNA(XLOOKUP(A148,PAGOS!$A$2:$A$996,PAGOS!$H$2:$H$996,""""),""""),IFNA(XLOOKUP(A148,PAGOS!$A$2:$A$996,PAGOS!$K$2:$K$996,""""),""""),IFNA(XLOOKUP(A148,PAGOS!$A$2:$A$996,PAGOS!$N$2:$N$996,""""),"&amp;"""""),IFNA(XLOOKUP(A148,PAGOS!$A$2:$A$996,PAGOS!$Q$2:$Q$996,""""),""""),IFNA(XLOOKUP(A148,PAGOS!$A$2:$A$996,PAGOS!$T$2:$T$996,""""),""""),IFNA(XLOOKUP(A148,PAGOS!$A$2:$A$996,PAGOS!$W$2:$W$996,""""),""""),IFNA(XLOOKUP(A148,PAGOS!$A$2:$A$996,PAGOS!$Z$2:$Z$9"&amp;"96,""""),""""),IFNA(XLOOKUP(A148,PAGOS!$A$2:$A$996,PAGOS!$AC$2:$AC$996,""""),""""),IFNA(XLOOKUP(A148,PAGOS!$A$2:$A$996,PAGOS!$AF$2:$AF$996,""""),""""),IFNA(XLOOKUP(A148,PAGOS!$A$2:$A$996,PAGOS!$AI$2:$AI$996,""""),""""),IFNA(XLOOKUP(A148,PAGOS!$A$2:$A$996,"&amp;"PAGOS!$AL$2:$AL$996,""""),"""")),IF(abonos&gt;0,IFERROR(TEXTJOIN("" + "",TRUE,UNIQUE(FILTER('ABONOS MENSUALIDADES'!$E$5:$E$500,'ABONOS MENSUALIDADES'!$C$5:$C$500=A148,'ABONOS MENSUALIDADES'!$D$5:$D$500=mes))),""""),metodoDirecto)))"),"")</f>
        <v/>
      </c>
      <c r="F148" s="51" t="str">
        <f t="array" ref="F148">IF(A148="","",LET(mes,DATE($E$2,MATCH($B$2,'ESTADO CONTABLE'!$A$5:$A$16,0),1),cobrarDesde,IFERROR(INDEX('BASE DE DATOSS'!I:I,ROW()-13),""),pausada,SUMPRODUCT((UPPER(TRIM('PAUSAS MENSUALIDADES'!$A$5:$A$500))=UPPER(TRIM(A148)))*('PAUSAS MENSUALIDADES'!$B$5:$B$500=mes)*(UPPER(TRIM('PAUSAS MENSUALIDADES'!$D$5:$D$500))="APLICAR"))&gt;0,esperadaBruta,MAX(IFNA(VLOOKUP(B148,COSTOS!$A$3:$B$13,2,FALSE),0)-150,0),IF(AND(cobrarDesde&lt;&gt;"",mes&lt;cobrarDesde),"AÚN NO INICIA",IF(pausada,"PAUSADA",IF(N(D148)&gt;=esperadaBruta,"COBRADA",IF(N(D148)&gt;0,"ABONO","PENDIENTE"))))))</f>
        <v/>
      </c>
      <c r="G148" s="79" t="str">
        <f t="array" ref="G148">IF(A148="","",IFERROR(INDEX('BASE DE DATOSS'!I:I,ROW()-13),""))</f>
        <v/>
      </c>
    </row>
    <row r="149">
      <c r="A149" s="51" t="str">
        <f t="array" ref="A149">IFERROR(INDEX('BASE DE DATOSS'!A:A,ROW()-13),"")</f>
        <v/>
      </c>
      <c r="B149" s="51" t="str">
        <f t="array" ref="B149">IF(A149="","",IFERROR(INDEX('BASE DE DATOSS'!C:C,ROW()-13),""))</f>
        <v/>
      </c>
      <c r="C149" s="62" t="str">
        <f t="array" ref="C149">IF(A149="","",LET(mes,DATE($E$2,MATCH($B$2,'ESTADO CONTABLE'!$A$5:$A$16,0),1),cobrarDesde,IFERROR(INDEX('BASE DE DATOSS'!I:I,ROW()-13),""),pausada,SUMPRODUCT((UPPER(TRIM('PAUSAS MENSUALIDADES'!$A$5:$A$500))=UPPER(TRIM(A149)))*('PAUSAS MENSUALIDADES'!$B$5:$B$500=mes)*(UPPER(TRIM('PAUSAS MENSUALIDADES'!$D$5:$D$500))="APLICAR"))&gt;0,IF(OR(AND(cobrarDesde&lt;&gt;"",mes&lt;cobrarDesde),pausada),0,MAX(IFNA(VLOOKUP(B149,COSTOS!$A$3:$B$13,2,FALSE),0)-150,0)/1.16)))</f>
        <v/>
      </c>
      <c r="D149" s="62" t="str">
        <f t="array" ref="D149">IF(A149="","",LET(mes,DATE($E$2,MATCH($B$2,'ESTADO CONTABLE'!$A$5:$A$16,0),1),abonos,SUMIFS('ABONOS MENSUALIDADES'!$F$5:$F$500,'ABONOS MENSUALIDADES'!$C$5:$C$500,A149,'ABONOS MENSUALIDADES'!$D$5:$D$500,mes),pago,CHOOSE(MATCH($B$2,'ESTADO CONTABLE'!$A$5:$A$16,0),IFNA(_xlfn.XLOOKUP(A149,PAGOS!$A$2:$A$996,PAGOS!$E$2:$E$996,""),""),IFNA(_xlfn.XLOOKUP(A149,PAGOS!$A$2:$A$996,PAGOS!$G$2:$G$996,""),""),IFNA(_xlfn.XLOOKUP(A149,PAGOS!$A$2:$A$996,PAGOS!$J$2:$J$996,""),""),IFNA(_xlfn.XLOOKUP(A149,PAGOS!$A$2:$A$996,PAGOS!$M$2:$M$996,""),""),IFNA(_xlfn.XLOOKUP(A149,PAGOS!$A$2:$A$996,PAGOS!$P$2:$P$996,""),""),IFNA(_xlfn.XLOOKUP(A149,PAGOS!$A$2:$A$996,PAGOS!$S$2:$S$996,""),""),IFNA(_xlfn.XLOOKUP(A149,PAGOS!$A$2:$A$996,PAGOS!$V$2:$V$996,""),""),IFNA(_xlfn.XLOOKUP(A149,PAGOS!$A$2:$A$996,PAGOS!$Y$2:$Y$996,""),""),IFNA(_xlfn.XLOOKUP(A149,PAGOS!$A$2:$A$996,PAGOS!$AB$2:$AB$996,""),""),IFNA(_xlfn.XLOOKUP(A149,PAGOS!$A$2:$A$996,PAGOS!$AE$2:$AE$996,""),""),IFNA(_xlfn.XLOOKUP(A149,PAGOS!$A$2:$A$996,PAGOS!$AH$2:$AH$996,""),""),IFNA(_xlfn.XLOOKUP(A149,PAGOS!$A$2:$A$996,PAGOS!$AK$2:$AK$996,""),"")),IF(abonos&gt;0,abonos,pago)))</f>
        <v/>
      </c>
      <c r="E149" s="51" t="str">
        <f>IFERROR(__xludf.DUMMYFUNCTION("IF(A149="""","""",LET(mes,DATE($E$2,MATCH($B$2,'ESTADO CONTABLE'!$A$5:$A$16,0),1),abonos,SUMIFS('ABONOS MENSUALIDADES'!$F$5:$F$500,'ABONOS MENSUALIDADES'!$C$5:$C$500,A149,'ABONOS MENSUALIDADES'!$D$5:$D$500,mes),metodoDirecto,CHOOSE(MATCH($B$2,'ESTADO CONT"&amp;"ABLE'!$A$5:$A$16,0),IF(ISNUMBER(D149),""POR CLASIFICAR"",""""),IFNA(XLOOKUP(A149,PAGOS!$A$2:$A$996,PAGOS!$H$2:$H$996,""""),""""),IFNA(XLOOKUP(A149,PAGOS!$A$2:$A$996,PAGOS!$K$2:$K$996,""""),""""),IFNA(XLOOKUP(A149,PAGOS!$A$2:$A$996,PAGOS!$N$2:$N$996,""""),"&amp;"""""),IFNA(XLOOKUP(A149,PAGOS!$A$2:$A$996,PAGOS!$Q$2:$Q$996,""""),""""),IFNA(XLOOKUP(A149,PAGOS!$A$2:$A$996,PAGOS!$T$2:$T$996,""""),""""),IFNA(XLOOKUP(A149,PAGOS!$A$2:$A$996,PAGOS!$W$2:$W$996,""""),""""),IFNA(XLOOKUP(A149,PAGOS!$A$2:$A$996,PAGOS!$Z$2:$Z$9"&amp;"96,""""),""""),IFNA(XLOOKUP(A149,PAGOS!$A$2:$A$996,PAGOS!$AC$2:$AC$996,""""),""""),IFNA(XLOOKUP(A149,PAGOS!$A$2:$A$996,PAGOS!$AF$2:$AF$996,""""),""""),IFNA(XLOOKUP(A149,PAGOS!$A$2:$A$996,PAGOS!$AI$2:$AI$996,""""),""""),IFNA(XLOOKUP(A149,PAGOS!$A$2:$A$996,"&amp;"PAGOS!$AL$2:$AL$996,""""),"""")),IF(abonos&gt;0,IFERROR(TEXTJOIN("" + "",TRUE,UNIQUE(FILTER('ABONOS MENSUALIDADES'!$E$5:$E$500,'ABONOS MENSUALIDADES'!$C$5:$C$500=A149,'ABONOS MENSUALIDADES'!$D$5:$D$500=mes))),""""),metodoDirecto)))"),"")</f>
        <v/>
      </c>
      <c r="F149" s="51" t="str">
        <f t="array" ref="F149">IF(A149="","",LET(mes,DATE($E$2,MATCH($B$2,'ESTADO CONTABLE'!$A$5:$A$16,0),1),cobrarDesde,IFERROR(INDEX('BASE DE DATOSS'!I:I,ROW()-13),""),pausada,SUMPRODUCT((UPPER(TRIM('PAUSAS MENSUALIDADES'!$A$5:$A$500))=UPPER(TRIM(A149)))*('PAUSAS MENSUALIDADES'!$B$5:$B$500=mes)*(UPPER(TRIM('PAUSAS MENSUALIDADES'!$D$5:$D$500))="APLICAR"))&gt;0,esperadaBruta,MAX(IFNA(VLOOKUP(B149,COSTOS!$A$3:$B$13,2,FALSE),0)-150,0),IF(AND(cobrarDesde&lt;&gt;"",mes&lt;cobrarDesde),"AÚN NO INICIA",IF(pausada,"PAUSADA",IF(N(D149)&gt;=esperadaBruta,"COBRADA",IF(N(D149)&gt;0,"ABONO","PENDIENTE"))))))</f>
        <v/>
      </c>
      <c r="G149" s="79" t="str">
        <f t="array" ref="G149">IF(A149="","",IFERROR(INDEX('BASE DE DATOSS'!I:I,ROW()-13),""))</f>
        <v/>
      </c>
    </row>
    <row r="150">
      <c r="A150" s="51" t="str">
        <f t="array" ref="A150">IFERROR(INDEX('BASE DE DATOSS'!A:A,ROW()-13),"")</f>
        <v/>
      </c>
      <c r="B150" s="51" t="str">
        <f t="array" ref="B150">IF(A150="","",IFERROR(INDEX('BASE DE DATOSS'!C:C,ROW()-13),""))</f>
        <v/>
      </c>
      <c r="C150" s="62" t="str">
        <f t="array" ref="C150">IF(A150="","",LET(mes,DATE($E$2,MATCH($B$2,'ESTADO CONTABLE'!$A$5:$A$16,0),1),cobrarDesde,IFERROR(INDEX('BASE DE DATOSS'!I:I,ROW()-13),""),pausada,SUMPRODUCT((UPPER(TRIM('PAUSAS MENSUALIDADES'!$A$5:$A$500))=UPPER(TRIM(A150)))*('PAUSAS MENSUALIDADES'!$B$5:$B$500=mes)*(UPPER(TRIM('PAUSAS MENSUALIDADES'!$D$5:$D$500))="APLICAR"))&gt;0,IF(OR(AND(cobrarDesde&lt;&gt;"",mes&lt;cobrarDesde),pausada),0,MAX(IFNA(VLOOKUP(B150,COSTOS!$A$3:$B$13,2,FALSE),0)-150,0)/1.16)))</f>
        <v/>
      </c>
      <c r="D150" s="62" t="str">
        <f t="array" ref="D150">IF(A150="","",LET(mes,DATE($E$2,MATCH($B$2,'ESTADO CONTABLE'!$A$5:$A$16,0),1),abonos,SUMIFS('ABONOS MENSUALIDADES'!$F$5:$F$500,'ABONOS MENSUALIDADES'!$C$5:$C$500,A150,'ABONOS MENSUALIDADES'!$D$5:$D$500,mes),pago,CHOOSE(MATCH($B$2,'ESTADO CONTABLE'!$A$5:$A$16,0),IFNA(_xlfn.XLOOKUP(A150,PAGOS!$A$2:$A$996,PAGOS!$E$2:$E$996,""),""),IFNA(_xlfn.XLOOKUP(A150,PAGOS!$A$2:$A$996,PAGOS!$G$2:$G$996,""),""),IFNA(_xlfn.XLOOKUP(A150,PAGOS!$A$2:$A$996,PAGOS!$J$2:$J$996,""),""),IFNA(_xlfn.XLOOKUP(A150,PAGOS!$A$2:$A$996,PAGOS!$M$2:$M$996,""),""),IFNA(_xlfn.XLOOKUP(A150,PAGOS!$A$2:$A$996,PAGOS!$P$2:$P$996,""),""),IFNA(_xlfn.XLOOKUP(A150,PAGOS!$A$2:$A$996,PAGOS!$S$2:$S$996,""),""),IFNA(_xlfn.XLOOKUP(A150,PAGOS!$A$2:$A$996,PAGOS!$V$2:$V$996,""),""),IFNA(_xlfn.XLOOKUP(A150,PAGOS!$A$2:$A$996,PAGOS!$Y$2:$Y$996,""),""),IFNA(_xlfn.XLOOKUP(A150,PAGOS!$A$2:$A$996,PAGOS!$AB$2:$AB$996,""),""),IFNA(_xlfn.XLOOKUP(A150,PAGOS!$A$2:$A$996,PAGOS!$AE$2:$AE$996,""),""),IFNA(_xlfn.XLOOKUP(A150,PAGOS!$A$2:$A$996,PAGOS!$AH$2:$AH$996,""),""),IFNA(_xlfn.XLOOKUP(A150,PAGOS!$A$2:$A$996,PAGOS!$AK$2:$AK$996,""),"")),IF(abonos&gt;0,abonos,pago)))</f>
        <v/>
      </c>
      <c r="E150" s="51" t="str">
        <f>IFERROR(__xludf.DUMMYFUNCTION("IF(A150="""","""",LET(mes,DATE($E$2,MATCH($B$2,'ESTADO CONTABLE'!$A$5:$A$16,0),1),abonos,SUMIFS('ABONOS MENSUALIDADES'!$F$5:$F$500,'ABONOS MENSUALIDADES'!$C$5:$C$500,A150,'ABONOS MENSUALIDADES'!$D$5:$D$500,mes),metodoDirecto,CHOOSE(MATCH($B$2,'ESTADO CONT"&amp;"ABLE'!$A$5:$A$16,0),IF(ISNUMBER(D150),""POR CLASIFICAR"",""""),IFNA(XLOOKUP(A150,PAGOS!$A$2:$A$996,PAGOS!$H$2:$H$996,""""),""""),IFNA(XLOOKUP(A150,PAGOS!$A$2:$A$996,PAGOS!$K$2:$K$996,""""),""""),IFNA(XLOOKUP(A150,PAGOS!$A$2:$A$996,PAGOS!$N$2:$N$996,""""),"&amp;"""""),IFNA(XLOOKUP(A150,PAGOS!$A$2:$A$996,PAGOS!$Q$2:$Q$996,""""),""""),IFNA(XLOOKUP(A150,PAGOS!$A$2:$A$996,PAGOS!$T$2:$T$996,""""),""""),IFNA(XLOOKUP(A150,PAGOS!$A$2:$A$996,PAGOS!$W$2:$W$996,""""),""""),IFNA(XLOOKUP(A150,PAGOS!$A$2:$A$996,PAGOS!$Z$2:$Z$9"&amp;"96,""""),""""),IFNA(XLOOKUP(A150,PAGOS!$A$2:$A$996,PAGOS!$AC$2:$AC$996,""""),""""),IFNA(XLOOKUP(A150,PAGOS!$A$2:$A$996,PAGOS!$AF$2:$AF$996,""""),""""),IFNA(XLOOKUP(A150,PAGOS!$A$2:$A$996,PAGOS!$AI$2:$AI$996,""""),""""),IFNA(XLOOKUP(A150,PAGOS!$A$2:$A$996,"&amp;"PAGOS!$AL$2:$AL$996,""""),"""")),IF(abonos&gt;0,IFERROR(TEXTJOIN("" + "",TRUE,UNIQUE(FILTER('ABONOS MENSUALIDADES'!$E$5:$E$500,'ABONOS MENSUALIDADES'!$C$5:$C$500=A150,'ABONOS MENSUALIDADES'!$D$5:$D$500=mes))),""""),metodoDirecto)))"),"")</f>
        <v/>
      </c>
      <c r="F150" s="51" t="str">
        <f t="array" ref="F150">IF(A150="","",LET(mes,DATE($E$2,MATCH($B$2,'ESTADO CONTABLE'!$A$5:$A$16,0),1),cobrarDesde,IFERROR(INDEX('BASE DE DATOSS'!I:I,ROW()-13),""),pausada,SUMPRODUCT((UPPER(TRIM('PAUSAS MENSUALIDADES'!$A$5:$A$500))=UPPER(TRIM(A150)))*('PAUSAS MENSUALIDADES'!$B$5:$B$500=mes)*(UPPER(TRIM('PAUSAS MENSUALIDADES'!$D$5:$D$500))="APLICAR"))&gt;0,esperadaBruta,MAX(IFNA(VLOOKUP(B150,COSTOS!$A$3:$B$13,2,FALSE),0)-150,0),IF(AND(cobrarDesde&lt;&gt;"",mes&lt;cobrarDesde),"AÚN NO INICIA",IF(pausada,"PAUSADA",IF(N(D150)&gt;=esperadaBruta,"COBRADA",IF(N(D150)&gt;0,"ABONO","PENDIENTE"))))))</f>
        <v/>
      </c>
      <c r="G150" s="79" t="str">
        <f t="array" ref="G150">IF(A150="","",IFERROR(INDEX('BASE DE DATOSS'!I:I,ROW()-13),""))</f>
        <v/>
      </c>
    </row>
  </sheetData>
  <mergeCells count="2">
    <mergeCell ref="A1:G1"/>
    <mergeCell ref="A13:G13"/>
  </mergeCells>
  <conditionalFormatting sqref="F15:F150">
    <cfRule type="cellIs" dxfId="17" priority="1" stopIfTrue="1" operator="equal">
      <formula>"PAUSADA"</formula>
    </cfRule>
  </conditionalFormatting>
  <conditionalFormatting sqref="F15:F150">
    <cfRule type="cellIs" dxfId="18" priority="2" stopIfTrue="1" operator="equal">
      <formula>"AÚN NO INICIA"</formula>
    </cfRule>
  </conditionalFormatting>
  <conditionalFormatting sqref="F15:F150">
    <cfRule type="cellIs" dxfId="14" priority="3" stopIfTrue="1" operator="equal">
      <formula>"COBRADA"</formula>
    </cfRule>
  </conditionalFormatting>
  <conditionalFormatting sqref="F15:F150">
    <cfRule type="cellIs" dxfId="13" priority="4" stopIfTrue="1" operator="equal">
      <formula>"PENDIENTE"</formula>
    </cfRule>
  </conditionalFormatting>
  <conditionalFormatting sqref="F15:F150">
    <cfRule type="cellIs" dxfId="19" priority="5" stopIfTrue="1" operator="equal">
      <formula>"ABONO"</formula>
    </cfRule>
  </conditionalFormatting>
  <conditionalFormatting sqref="D9 B11">
    <cfRule type="cellIs" dxfId="13" priority="6" stopIfTrue="1" operator="lessThan">
      <formula>0</formula>
    </cfRule>
  </conditionalFormatting>
  <dataValidations>
    <dataValidation type="list" allowBlank="1" showErrorMessage="1" sqref="B2">
      <formula1>"ENERO,FEBRERO,MARZO,ABRIL,MAYO,JUNIO,JULIO,AGOSTO,SEPTIEMBRE,OCTUBRE,NOVIEMBRE,DICIEMBRE"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37.89"/>
    <col customWidth="1" min="2" max="2" width="35.89"/>
    <col customWidth="1" min="3" max="4" width="20.11"/>
    <col customWidth="1" min="5" max="5" width="33.0"/>
    <col customWidth="1" min="6" max="6" width="20.11"/>
    <col customWidth="1" min="7" max="7" width="17.44"/>
    <col customWidth="1" min="8" max="8" width="17.33"/>
    <col customWidth="1" min="9" max="9" width="13.44"/>
  </cols>
  <sheetData>
    <row r="1" ht="48.0" customHeight="1">
      <c r="A1" s="20" t="s">
        <v>11</v>
      </c>
      <c r="B1" s="20" t="s">
        <v>14</v>
      </c>
      <c r="C1" s="20" t="s">
        <v>15</v>
      </c>
      <c r="D1" s="20" t="s">
        <v>17</v>
      </c>
      <c r="E1" s="20" t="s">
        <v>18</v>
      </c>
      <c r="F1" s="25" t="s">
        <v>21</v>
      </c>
      <c r="G1" s="26" t="s">
        <v>22</v>
      </c>
      <c r="H1" s="26" t="s">
        <v>23</v>
      </c>
      <c r="I1" s="27" t="s">
        <v>25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22.5" customHeight="1">
      <c r="A2" s="32" t="s">
        <v>28</v>
      </c>
      <c r="B2" s="32" t="s">
        <v>30</v>
      </c>
      <c r="C2" s="35" t="s">
        <v>31</v>
      </c>
      <c r="D2" s="37">
        <v>42700.0</v>
      </c>
      <c r="E2" s="39" t="s">
        <v>33</v>
      </c>
      <c r="F2" s="41">
        <v>3.121076069E9</v>
      </c>
      <c r="G2" s="46">
        <v>45583.0</v>
      </c>
      <c r="H2" s="47" t="b">
        <v>1</v>
      </c>
      <c r="I2" s="50">
        <v>46023.0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22.5" customHeight="1">
      <c r="A3" s="32" t="s">
        <v>50</v>
      </c>
      <c r="B3" s="32" t="s">
        <v>51</v>
      </c>
      <c r="C3" s="35" t="s">
        <v>31</v>
      </c>
      <c r="D3" s="37">
        <v>42358.0</v>
      </c>
      <c r="E3" s="39" t="s">
        <v>52</v>
      </c>
      <c r="F3" s="41">
        <v>3.121076396E9</v>
      </c>
      <c r="G3" s="58">
        <v>45717.0</v>
      </c>
      <c r="H3" s="47" t="b">
        <v>0</v>
      </c>
      <c r="I3" s="50">
        <v>46023.0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22.5" customHeight="1">
      <c r="A4" s="61" t="s">
        <v>56</v>
      </c>
      <c r="B4" s="39" t="s">
        <v>57</v>
      </c>
      <c r="C4" s="35" t="s">
        <v>59</v>
      </c>
      <c r="D4" s="63">
        <v>40863.0</v>
      </c>
      <c r="E4" s="61" t="s">
        <v>61</v>
      </c>
      <c r="F4" s="64"/>
      <c r="G4" s="58">
        <v>45882.0</v>
      </c>
      <c r="H4" s="47" t="b">
        <v>0</v>
      </c>
      <c r="I4" s="50">
        <v>46023.0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22.5" customHeight="1">
      <c r="A5" s="65" t="s">
        <v>65</v>
      </c>
      <c r="B5" s="66" t="s">
        <v>67</v>
      </c>
      <c r="C5" s="67" t="s">
        <v>69</v>
      </c>
      <c r="D5" s="68">
        <v>38685.0</v>
      </c>
      <c r="E5" s="66" t="s">
        <v>71</v>
      </c>
      <c r="F5" s="69">
        <v>3.121046941E9</v>
      </c>
      <c r="G5" s="70">
        <v>45570.0</v>
      </c>
      <c r="H5" s="72" t="b">
        <v>0</v>
      </c>
      <c r="I5" s="50">
        <v>46023.0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22.5" customHeight="1">
      <c r="A6" s="32" t="s">
        <v>78</v>
      </c>
      <c r="B6" s="32" t="s">
        <v>79</v>
      </c>
      <c r="C6" s="35" t="s">
        <v>81</v>
      </c>
      <c r="D6" s="75">
        <v>42592.0</v>
      </c>
      <c r="E6" s="39" t="s">
        <v>82</v>
      </c>
      <c r="F6" s="41" t="s">
        <v>84</v>
      </c>
      <c r="G6" s="46">
        <v>45539.0</v>
      </c>
      <c r="H6" s="47" t="b">
        <v>1</v>
      </c>
      <c r="I6" s="50">
        <v>46023.0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22.5" customHeight="1">
      <c r="A7" s="65" t="s">
        <v>91</v>
      </c>
      <c r="B7" s="65" t="s">
        <v>92</v>
      </c>
      <c r="C7" s="67" t="s">
        <v>69</v>
      </c>
      <c r="D7" s="76">
        <v>39496.0</v>
      </c>
      <c r="E7" s="66" t="s">
        <v>95</v>
      </c>
      <c r="F7" s="69">
        <v>3.12201108E9</v>
      </c>
      <c r="G7" s="70">
        <v>45538.0</v>
      </c>
      <c r="H7" s="72" t="b">
        <v>0</v>
      </c>
      <c r="I7" s="81">
        <v>46023.0</v>
      </c>
    </row>
    <row r="8" ht="22.5" customHeight="1">
      <c r="A8" s="65" t="s">
        <v>98</v>
      </c>
      <c r="B8" s="65" t="s">
        <v>67</v>
      </c>
      <c r="C8" s="67" t="s">
        <v>99</v>
      </c>
      <c r="D8" s="76">
        <v>38553.0</v>
      </c>
      <c r="E8" s="66" t="s">
        <v>100</v>
      </c>
      <c r="F8" s="69">
        <v>3.121126524E9</v>
      </c>
      <c r="G8" s="66" t="s">
        <v>101</v>
      </c>
      <c r="H8" s="72" t="b">
        <v>1</v>
      </c>
      <c r="I8" s="50">
        <v>46023.0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2.5" customHeight="1">
      <c r="A9" s="65" t="s">
        <v>103</v>
      </c>
      <c r="B9" s="65" t="s">
        <v>104</v>
      </c>
      <c r="C9" s="67" t="s">
        <v>105</v>
      </c>
      <c r="D9" s="76">
        <v>40761.0</v>
      </c>
      <c r="E9" s="92" t="s">
        <v>106</v>
      </c>
      <c r="F9" s="94"/>
      <c r="G9" s="70">
        <v>45682.0</v>
      </c>
      <c r="H9" s="72" t="b">
        <v>0</v>
      </c>
      <c r="I9" s="50">
        <v>46023.0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22.5" customHeight="1">
      <c r="A10" s="65" t="s">
        <v>121</v>
      </c>
      <c r="B10" s="65" t="s">
        <v>122</v>
      </c>
      <c r="C10" s="67" t="s">
        <v>123</v>
      </c>
      <c r="D10" s="76">
        <v>35994.0</v>
      </c>
      <c r="E10" s="66" t="s">
        <v>124</v>
      </c>
      <c r="F10" s="69">
        <v>3.131382238E9</v>
      </c>
      <c r="G10" s="70">
        <v>45544.0</v>
      </c>
      <c r="H10" s="72" t="b">
        <v>0</v>
      </c>
      <c r="I10" s="103">
        <v>46023.0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 ht="22.5" customHeight="1">
      <c r="A11" s="32" t="s">
        <v>130</v>
      </c>
      <c r="B11" s="32" t="s">
        <v>67</v>
      </c>
      <c r="C11" s="35" t="s">
        <v>59</v>
      </c>
      <c r="D11" s="108">
        <v>41604.0</v>
      </c>
      <c r="E11" s="39" t="s">
        <v>131</v>
      </c>
      <c r="F11" s="41">
        <v>3.121316854E9</v>
      </c>
      <c r="G11" s="46">
        <v>45507.0</v>
      </c>
      <c r="H11" s="47" t="b">
        <v>1</v>
      </c>
      <c r="I11" s="81">
        <v>46023.0</v>
      </c>
    </row>
    <row r="12" ht="22.5" customHeight="1">
      <c r="A12" s="65" t="s">
        <v>132</v>
      </c>
      <c r="B12" s="65" t="s">
        <v>133</v>
      </c>
      <c r="C12" s="67" t="s">
        <v>69</v>
      </c>
      <c r="D12" s="108">
        <v>39986.0</v>
      </c>
      <c r="E12" s="66" t="s">
        <v>135</v>
      </c>
      <c r="F12" s="69">
        <v>3.123024361E9</v>
      </c>
      <c r="G12" s="70">
        <v>45505.0</v>
      </c>
      <c r="H12" s="72" t="b">
        <v>1</v>
      </c>
      <c r="I12" s="50">
        <v>46023.0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22.5" customHeight="1">
      <c r="A13" s="65" t="s">
        <v>138</v>
      </c>
      <c r="B13" s="65" t="s">
        <v>139</v>
      </c>
      <c r="C13" s="67" t="s">
        <v>123</v>
      </c>
      <c r="D13" s="76">
        <v>41207.0</v>
      </c>
      <c r="E13" s="66" t="s">
        <v>141</v>
      </c>
      <c r="F13" s="69">
        <v>3.121675071E9</v>
      </c>
      <c r="G13" s="70">
        <v>45517.0</v>
      </c>
      <c r="H13" s="72" t="b">
        <v>1</v>
      </c>
      <c r="I13" s="50">
        <v>46023.0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22.5" customHeight="1">
      <c r="A14" s="61" t="s">
        <v>145</v>
      </c>
      <c r="B14" s="119" t="s">
        <v>146</v>
      </c>
      <c r="C14" s="35" t="s">
        <v>59</v>
      </c>
      <c r="D14" s="121">
        <v>41092.0</v>
      </c>
      <c r="E14" s="61" t="s">
        <v>149</v>
      </c>
      <c r="F14" s="119">
        <v>3.121983319E9</v>
      </c>
      <c r="G14" s="58">
        <v>45881.0</v>
      </c>
      <c r="H14" s="47" t="b">
        <v>1</v>
      </c>
      <c r="I14" s="81">
        <v>46023.0</v>
      </c>
    </row>
    <row r="15" ht="22.5" customHeight="1">
      <c r="A15" s="61" t="s">
        <v>153</v>
      </c>
      <c r="B15" s="119" t="s">
        <v>154</v>
      </c>
      <c r="C15" s="35" t="s">
        <v>31</v>
      </c>
      <c r="D15" s="121">
        <v>42819.0</v>
      </c>
      <c r="E15" s="61" t="s">
        <v>155</v>
      </c>
      <c r="F15" s="119">
        <v>3.122423086E9</v>
      </c>
      <c r="G15" s="58">
        <v>45870.0</v>
      </c>
      <c r="H15" s="47" t="b">
        <v>1</v>
      </c>
      <c r="I15" s="123">
        <v>46023.0</v>
      </c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</row>
    <row r="16" ht="22.5" customHeight="1">
      <c r="A16" s="125" t="s">
        <v>159</v>
      </c>
      <c r="B16" s="126" t="s">
        <v>122</v>
      </c>
      <c r="C16" s="128" t="s">
        <v>123</v>
      </c>
      <c r="D16" s="129">
        <v>36393.0</v>
      </c>
      <c r="E16" s="125" t="s">
        <v>164</v>
      </c>
      <c r="F16" s="131">
        <v>3.121080995E9</v>
      </c>
      <c r="G16" s="132">
        <v>45880.0</v>
      </c>
      <c r="H16" s="135" t="b">
        <v>0</v>
      </c>
      <c r="I16" s="137">
        <v>46023.0</v>
      </c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 ht="22.5" customHeight="1">
      <c r="A17" s="139" t="s">
        <v>168</v>
      </c>
      <c r="B17" s="66" t="s">
        <v>169</v>
      </c>
      <c r="C17" s="67" t="s">
        <v>31</v>
      </c>
      <c r="D17" s="140">
        <v>43038.0</v>
      </c>
      <c r="E17" s="139" t="s">
        <v>171</v>
      </c>
      <c r="F17" s="141">
        <v>3.121558297E9</v>
      </c>
      <c r="G17" s="142">
        <v>45901.0</v>
      </c>
      <c r="H17" s="72" t="b">
        <v>1</v>
      </c>
      <c r="I17" s="50">
        <v>46023.0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22.5" customHeight="1">
      <c r="A18" s="61" t="s">
        <v>176</v>
      </c>
      <c r="B18" s="39" t="s">
        <v>177</v>
      </c>
      <c r="C18" s="35" t="s">
        <v>105</v>
      </c>
      <c r="D18" s="143">
        <v>41085.0</v>
      </c>
      <c r="E18" s="61" t="s">
        <v>179</v>
      </c>
      <c r="F18" s="119">
        <v>3.12104094E9</v>
      </c>
      <c r="G18" s="58">
        <v>45870.0</v>
      </c>
      <c r="H18" s="47" t="b">
        <v>1</v>
      </c>
      <c r="I18" s="81">
        <v>46023.0</v>
      </c>
    </row>
    <row r="19" ht="22.5" customHeight="1">
      <c r="A19" s="61" t="s">
        <v>180</v>
      </c>
      <c r="B19" s="39" t="s">
        <v>122</v>
      </c>
      <c r="C19" s="35" t="s">
        <v>69</v>
      </c>
      <c r="D19" s="63">
        <v>36882.0</v>
      </c>
      <c r="E19" s="61" t="s">
        <v>183</v>
      </c>
      <c r="F19" s="119">
        <v>3.121011835E9</v>
      </c>
      <c r="G19" s="58">
        <v>45940.0</v>
      </c>
      <c r="H19" s="47" t="b">
        <v>0</v>
      </c>
      <c r="I19" s="81">
        <v>46023.0</v>
      </c>
    </row>
    <row r="20" ht="22.5" customHeight="1">
      <c r="A20" s="61" t="s">
        <v>184</v>
      </c>
      <c r="B20" s="39" t="s">
        <v>185</v>
      </c>
      <c r="C20" s="35" t="s">
        <v>186</v>
      </c>
      <c r="D20" s="63">
        <v>42671.0</v>
      </c>
      <c r="E20" s="61" t="s">
        <v>187</v>
      </c>
      <c r="F20" s="119">
        <v>3.121172349E9</v>
      </c>
      <c r="G20" s="58">
        <v>45663.0</v>
      </c>
      <c r="H20" s="47" t="b">
        <v>1</v>
      </c>
      <c r="I20" s="81">
        <v>46023.0</v>
      </c>
    </row>
    <row r="21" ht="22.5" customHeight="1">
      <c r="A21" s="61" t="s">
        <v>189</v>
      </c>
      <c r="B21" s="39" t="s">
        <v>122</v>
      </c>
      <c r="C21" s="35" t="s">
        <v>69</v>
      </c>
      <c r="D21" s="63">
        <v>33907.0</v>
      </c>
      <c r="E21" s="61" t="s">
        <v>191</v>
      </c>
      <c r="F21" s="119">
        <v>3.12309232E9</v>
      </c>
      <c r="G21" s="58">
        <v>46023.0</v>
      </c>
      <c r="H21" s="47" t="b">
        <v>0</v>
      </c>
      <c r="I21" s="81">
        <v>46023.0</v>
      </c>
    </row>
    <row r="22" ht="22.5" customHeight="1">
      <c r="A22" s="61" t="s">
        <v>194</v>
      </c>
      <c r="B22" s="39" t="s">
        <v>122</v>
      </c>
      <c r="C22" s="35" t="s">
        <v>69</v>
      </c>
      <c r="D22" s="63">
        <v>34349.0</v>
      </c>
      <c r="E22" s="61" t="s">
        <v>195</v>
      </c>
      <c r="F22" s="119">
        <v>3.121052905E9</v>
      </c>
      <c r="G22" s="58">
        <v>46023.0</v>
      </c>
      <c r="H22" s="47" t="b">
        <v>1</v>
      </c>
      <c r="I22" s="81">
        <v>46023.0</v>
      </c>
    </row>
    <row r="23" ht="22.5" customHeight="1">
      <c r="A23" s="61" t="s">
        <v>197</v>
      </c>
      <c r="B23" s="39" t="s">
        <v>199</v>
      </c>
      <c r="C23" s="35" t="s">
        <v>59</v>
      </c>
      <c r="D23" s="145">
        <v>41979.0</v>
      </c>
      <c r="E23" s="61" t="s">
        <v>200</v>
      </c>
      <c r="F23" s="119">
        <v>3.12232061E9</v>
      </c>
      <c r="G23" s="58">
        <v>46054.0</v>
      </c>
      <c r="H23" s="47" t="b">
        <v>1</v>
      </c>
      <c r="I23" s="81">
        <v>46054.0</v>
      </c>
    </row>
    <row r="24" ht="22.5" customHeight="1">
      <c r="A24" s="61" t="s">
        <v>204</v>
      </c>
      <c r="B24" s="39" t="s">
        <v>205</v>
      </c>
      <c r="C24" s="35" t="s">
        <v>206</v>
      </c>
      <c r="D24" s="63">
        <v>41261.0</v>
      </c>
      <c r="E24" s="61" t="s">
        <v>207</v>
      </c>
      <c r="F24" s="119">
        <v>3.121662653E9</v>
      </c>
      <c r="G24" s="58">
        <v>46057.0</v>
      </c>
      <c r="H24" s="47" t="b">
        <v>0</v>
      </c>
      <c r="I24" s="81">
        <v>46054.0</v>
      </c>
    </row>
    <row r="25" ht="22.5" customHeight="1">
      <c r="A25" s="61" t="s">
        <v>209</v>
      </c>
      <c r="B25" s="39" t="s">
        <v>205</v>
      </c>
      <c r="C25" s="35" t="s">
        <v>206</v>
      </c>
      <c r="D25" s="146">
        <v>42237.0</v>
      </c>
      <c r="E25" s="61" t="s">
        <v>207</v>
      </c>
      <c r="F25" s="119">
        <v>3.121662653E9</v>
      </c>
      <c r="G25" s="58">
        <v>46057.0</v>
      </c>
      <c r="H25" s="47" t="b">
        <v>0</v>
      </c>
      <c r="I25" s="81">
        <v>46054.0</v>
      </c>
    </row>
    <row r="26" ht="22.5" customHeight="1">
      <c r="A26" s="61" t="s">
        <v>212</v>
      </c>
      <c r="B26" s="39" t="s">
        <v>213</v>
      </c>
      <c r="C26" s="35" t="s">
        <v>215</v>
      </c>
      <c r="D26" s="146">
        <v>42573.0</v>
      </c>
      <c r="E26" s="61" t="s">
        <v>216</v>
      </c>
      <c r="F26" s="119">
        <v>3.121405456E9</v>
      </c>
      <c r="G26" s="58">
        <v>46057.0</v>
      </c>
      <c r="H26" s="47" t="b">
        <v>0</v>
      </c>
      <c r="I26" s="81">
        <v>46054.0</v>
      </c>
    </row>
    <row r="27" ht="22.5" customHeight="1">
      <c r="A27" s="61" t="s">
        <v>217</v>
      </c>
      <c r="B27" s="39" t="s">
        <v>218</v>
      </c>
      <c r="C27" s="35" t="s">
        <v>215</v>
      </c>
      <c r="D27" s="63">
        <v>42645.0</v>
      </c>
      <c r="E27" s="61" t="s">
        <v>221</v>
      </c>
      <c r="F27" s="119">
        <v>3.121771462E9</v>
      </c>
      <c r="G27" s="58">
        <v>46066.0</v>
      </c>
      <c r="H27" s="47" t="b">
        <v>1</v>
      </c>
      <c r="I27" s="81">
        <v>46054.0</v>
      </c>
    </row>
    <row r="28" ht="22.5" customHeight="1">
      <c r="A28" s="61" t="s">
        <v>223</v>
      </c>
      <c r="B28" s="39" t="s">
        <v>122</v>
      </c>
      <c r="C28" s="35" t="s">
        <v>123</v>
      </c>
      <c r="D28" s="146">
        <v>38348.0</v>
      </c>
      <c r="E28" s="61" t="s">
        <v>224</v>
      </c>
      <c r="F28" s="119">
        <v>3.12131186E9</v>
      </c>
      <c r="G28" s="58">
        <v>46054.0</v>
      </c>
      <c r="H28" s="47" t="b">
        <v>1</v>
      </c>
      <c r="I28" s="81">
        <v>46054.0</v>
      </c>
    </row>
    <row r="29" ht="22.5" customHeight="1">
      <c r="A29" s="61" t="s">
        <v>225</v>
      </c>
      <c r="B29" s="39" t="s">
        <v>228</v>
      </c>
      <c r="C29" s="35" t="s">
        <v>215</v>
      </c>
      <c r="D29" s="146">
        <v>43267.0</v>
      </c>
      <c r="E29" s="61" t="s">
        <v>229</v>
      </c>
      <c r="F29" s="119">
        <v>3.12110817E9</v>
      </c>
      <c r="G29" s="58">
        <v>46100.0</v>
      </c>
      <c r="H29" s="47" t="b">
        <v>1</v>
      </c>
      <c r="I29" s="81">
        <v>46082.0</v>
      </c>
    </row>
    <row r="30" ht="22.5" customHeight="1">
      <c r="A30" s="61" t="s">
        <v>231</v>
      </c>
      <c r="B30" s="39" t="s">
        <v>122</v>
      </c>
      <c r="C30" s="35" t="s">
        <v>99</v>
      </c>
      <c r="D30" s="146">
        <v>35912.0</v>
      </c>
      <c r="E30" s="61" t="s">
        <v>233</v>
      </c>
      <c r="F30" s="119">
        <v>3.121904561E9</v>
      </c>
      <c r="G30" s="58">
        <v>46082.0</v>
      </c>
      <c r="H30" s="47" t="b">
        <v>1</v>
      </c>
      <c r="I30" s="81">
        <v>46082.0</v>
      </c>
    </row>
    <row r="31" ht="22.5" customHeight="1">
      <c r="A31" s="61" t="s">
        <v>235</v>
      </c>
      <c r="B31" s="39" t="s">
        <v>236</v>
      </c>
      <c r="C31" s="35" t="s">
        <v>215</v>
      </c>
      <c r="D31" s="146">
        <v>43367.0</v>
      </c>
      <c r="E31" s="61" t="s">
        <v>237</v>
      </c>
      <c r="F31" s="119">
        <v>3.121543858E9</v>
      </c>
      <c r="G31" s="58">
        <v>46125.0</v>
      </c>
      <c r="H31" s="47" t="b">
        <v>1</v>
      </c>
      <c r="I31" s="81">
        <v>46113.0</v>
      </c>
    </row>
    <row r="32" ht="22.5" customHeight="1">
      <c r="A32" s="61" t="s">
        <v>238</v>
      </c>
      <c r="B32" s="39" t="s">
        <v>239</v>
      </c>
      <c r="C32" s="35" t="s">
        <v>59</v>
      </c>
      <c r="D32" s="146">
        <v>42013.0</v>
      </c>
      <c r="E32" s="61" t="s">
        <v>240</v>
      </c>
      <c r="F32" s="119">
        <v>3.123108855E9</v>
      </c>
      <c r="G32" s="58">
        <v>46126.0</v>
      </c>
      <c r="H32" s="47" t="b">
        <v>1</v>
      </c>
      <c r="I32" s="81">
        <v>46113.0</v>
      </c>
    </row>
    <row r="33" ht="22.5" customHeight="1">
      <c r="A33" s="61" t="s">
        <v>241</v>
      </c>
      <c r="B33" s="39" t="s">
        <v>239</v>
      </c>
      <c r="C33" s="35" t="s">
        <v>59</v>
      </c>
      <c r="D33" s="146">
        <v>43285.0</v>
      </c>
      <c r="E33" s="61" t="s">
        <v>240</v>
      </c>
      <c r="F33" s="119">
        <v>3.121115084E9</v>
      </c>
      <c r="G33" s="58">
        <v>46126.0</v>
      </c>
      <c r="H33" s="47" t="b">
        <v>1</v>
      </c>
      <c r="I33" s="81">
        <v>46113.0</v>
      </c>
    </row>
    <row r="34" ht="22.5" customHeight="1">
      <c r="A34" s="61" t="s">
        <v>242</v>
      </c>
      <c r="B34" s="39" t="s">
        <v>243</v>
      </c>
      <c r="C34" s="35" t="s">
        <v>59</v>
      </c>
      <c r="D34" s="146">
        <v>40785.0</v>
      </c>
      <c r="E34" s="61" t="s">
        <v>244</v>
      </c>
      <c r="F34" s="119">
        <v>3.121834315E9</v>
      </c>
      <c r="G34" s="58">
        <v>46113.0</v>
      </c>
      <c r="H34" s="47" t="b">
        <v>1</v>
      </c>
      <c r="I34" s="81">
        <v>46113.0</v>
      </c>
    </row>
    <row r="35" ht="22.5" customHeight="1">
      <c r="A35" s="61" t="s">
        <v>245</v>
      </c>
      <c r="B35" s="39" t="s">
        <v>246</v>
      </c>
      <c r="C35" s="35" t="s">
        <v>206</v>
      </c>
      <c r="D35" s="39" t="s">
        <v>247</v>
      </c>
      <c r="E35" s="61" t="s">
        <v>248</v>
      </c>
      <c r="F35" s="119">
        <v>8.119113155E9</v>
      </c>
      <c r="G35" s="58">
        <v>46113.0</v>
      </c>
      <c r="H35" s="47" t="b">
        <v>1</v>
      </c>
      <c r="I35" s="81">
        <v>46113.0</v>
      </c>
    </row>
    <row r="36" ht="22.5" customHeight="1">
      <c r="A36" s="61" t="s">
        <v>249</v>
      </c>
      <c r="B36" s="39" t="s">
        <v>122</v>
      </c>
      <c r="C36" s="35" t="s">
        <v>99</v>
      </c>
      <c r="D36" s="146">
        <v>37820.0</v>
      </c>
      <c r="E36" s="61" t="s">
        <v>250</v>
      </c>
      <c r="F36" s="119">
        <v>3.121129586E9</v>
      </c>
      <c r="G36" s="58">
        <v>46143.0</v>
      </c>
      <c r="H36" s="47" t="b">
        <v>1</v>
      </c>
      <c r="I36" s="81">
        <v>46113.0</v>
      </c>
    </row>
    <row r="37" ht="22.5" customHeight="1">
      <c r="A37" s="152" t="s">
        <v>251</v>
      </c>
      <c r="B37" s="153"/>
      <c r="C37" s="154" t="s">
        <v>123</v>
      </c>
      <c r="D37" s="155">
        <v>33886.0</v>
      </c>
      <c r="E37" s="152" t="s">
        <v>252</v>
      </c>
      <c r="F37" s="156">
        <v>3.12110923E9</v>
      </c>
      <c r="G37" s="157">
        <v>46082.0</v>
      </c>
      <c r="H37" s="158" t="b">
        <v>1</v>
      </c>
      <c r="I37" s="159">
        <v>46143.0</v>
      </c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</row>
    <row r="38" ht="22.5" customHeight="1">
      <c r="A38" s="61" t="s">
        <v>253</v>
      </c>
      <c r="B38" s="39" t="s">
        <v>254</v>
      </c>
      <c r="C38" s="35" t="s">
        <v>206</v>
      </c>
      <c r="D38" s="146">
        <v>42432.0</v>
      </c>
      <c r="E38" s="61" t="s">
        <v>255</v>
      </c>
      <c r="F38" s="119">
        <v>3.13106871E9</v>
      </c>
      <c r="G38" s="58">
        <v>46174.0</v>
      </c>
      <c r="H38" s="47" t="b">
        <v>1</v>
      </c>
      <c r="I38" s="81">
        <v>46174.0</v>
      </c>
    </row>
    <row r="39" ht="22.5" customHeight="1">
      <c r="A39" s="61" t="s">
        <v>256</v>
      </c>
      <c r="B39" s="39" t="s">
        <v>257</v>
      </c>
      <c r="C39" s="35" t="s">
        <v>59</v>
      </c>
      <c r="D39" s="146">
        <v>42498.0</v>
      </c>
      <c r="E39" s="61" t="s">
        <v>240</v>
      </c>
      <c r="F39" s="119">
        <v>3.121094042E9</v>
      </c>
      <c r="G39" s="58">
        <v>46175.0</v>
      </c>
      <c r="H39" s="47" t="b">
        <v>1</v>
      </c>
      <c r="I39" s="81">
        <v>46174.0</v>
      </c>
    </row>
    <row r="40" ht="22.5" customHeight="1">
      <c r="A40" s="61" t="s">
        <v>259</v>
      </c>
      <c r="B40" s="39" t="s">
        <v>260</v>
      </c>
      <c r="C40" s="35" t="s">
        <v>215</v>
      </c>
      <c r="D40" s="146">
        <v>43388.0</v>
      </c>
      <c r="E40" s="61" t="s">
        <v>261</v>
      </c>
      <c r="F40" s="119">
        <v>3.121426125E9</v>
      </c>
      <c r="G40" s="58">
        <v>46174.0</v>
      </c>
      <c r="H40" s="47" t="b">
        <v>1</v>
      </c>
      <c r="I40" s="81">
        <v>46174.0</v>
      </c>
    </row>
    <row r="41" ht="22.5" customHeight="1">
      <c r="A41" s="61" t="s">
        <v>263</v>
      </c>
      <c r="B41" s="39"/>
      <c r="C41" s="35" t="s">
        <v>105</v>
      </c>
      <c r="D41" s="146"/>
      <c r="E41" s="61"/>
      <c r="F41" s="119"/>
      <c r="G41" s="58"/>
      <c r="H41" s="47" t="b">
        <v>0</v>
      </c>
      <c r="I41" s="81">
        <v>46174.0</v>
      </c>
    </row>
    <row r="42" ht="22.5" customHeight="1">
      <c r="A42" s="61" t="s">
        <v>264</v>
      </c>
      <c r="B42" s="39" t="s">
        <v>265</v>
      </c>
      <c r="C42" s="35" t="s">
        <v>69</v>
      </c>
      <c r="D42" s="146">
        <v>40540.0</v>
      </c>
      <c r="E42" s="61" t="s">
        <v>266</v>
      </c>
      <c r="F42" s="119">
        <v>3.12189051E9</v>
      </c>
      <c r="G42" s="58">
        <v>46176.0</v>
      </c>
      <c r="H42" s="47" t="b">
        <v>1</v>
      </c>
      <c r="I42" s="81">
        <v>46174.0</v>
      </c>
    </row>
    <row r="43" ht="22.5" customHeight="1">
      <c r="A43" s="61" t="s">
        <v>267</v>
      </c>
      <c r="B43" s="39" t="s">
        <v>122</v>
      </c>
      <c r="C43" s="35" t="s">
        <v>105</v>
      </c>
      <c r="D43" s="146">
        <v>34418.0</v>
      </c>
      <c r="E43" s="61" t="s">
        <v>268</v>
      </c>
      <c r="F43" s="119">
        <v>3.121945581E9</v>
      </c>
      <c r="G43" s="58">
        <v>46054.0</v>
      </c>
      <c r="H43" s="47" t="b">
        <v>0</v>
      </c>
      <c r="I43" s="81">
        <v>46204.0</v>
      </c>
    </row>
    <row r="44" ht="22.5" customHeight="1">
      <c r="A44" s="61" t="s">
        <v>269</v>
      </c>
      <c r="B44" s="39" t="s">
        <v>270</v>
      </c>
      <c r="C44" s="35" t="s">
        <v>186</v>
      </c>
      <c r="D44" s="146">
        <v>43340.0</v>
      </c>
      <c r="E44" s="61" t="s">
        <v>271</v>
      </c>
      <c r="F44" s="119">
        <v>3.121124671E9</v>
      </c>
      <c r="G44" s="58">
        <v>46235.0</v>
      </c>
      <c r="H44" s="47" t="b">
        <v>1</v>
      </c>
      <c r="I44" s="81">
        <v>46204.0</v>
      </c>
    </row>
    <row r="45" ht="22.5" customHeight="1">
      <c r="A45" s="61" t="s">
        <v>272</v>
      </c>
      <c r="B45" s="39" t="s">
        <v>273</v>
      </c>
      <c r="C45" s="35" t="s">
        <v>105</v>
      </c>
      <c r="D45" s="146">
        <v>41839.0</v>
      </c>
      <c r="E45" s="61"/>
      <c r="F45" s="119">
        <v>3.121529581E9</v>
      </c>
      <c r="G45" s="58">
        <v>46235.0</v>
      </c>
      <c r="H45" s="47" t="b">
        <v>1</v>
      </c>
      <c r="I45" s="81">
        <v>46235.0</v>
      </c>
    </row>
    <row r="46" ht="22.5" customHeight="1">
      <c r="A46" s="61" t="s">
        <v>274</v>
      </c>
      <c r="B46" s="39" t="s">
        <v>275</v>
      </c>
      <c r="C46" s="35" t="s">
        <v>215</v>
      </c>
      <c r="D46" s="146">
        <v>43230.0</v>
      </c>
      <c r="E46" s="61" t="s">
        <v>276</v>
      </c>
      <c r="F46" s="119">
        <v>3.121224263E9</v>
      </c>
      <c r="G46" s="58">
        <v>46235.0</v>
      </c>
      <c r="H46" s="47" t="b">
        <v>1</v>
      </c>
      <c r="I46" s="81">
        <v>46235.0</v>
      </c>
    </row>
    <row r="47" ht="22.5" customHeight="1">
      <c r="A47" s="61" t="s">
        <v>277</v>
      </c>
      <c r="B47" s="39" t="s">
        <v>278</v>
      </c>
      <c r="C47" s="35" t="s">
        <v>206</v>
      </c>
      <c r="D47" s="146">
        <v>42162.0</v>
      </c>
      <c r="E47" s="61" t="s">
        <v>279</v>
      </c>
      <c r="F47" s="119">
        <v>3.121882602E9</v>
      </c>
      <c r="G47" s="58">
        <v>46235.0</v>
      </c>
      <c r="H47" s="47" t="b">
        <v>1</v>
      </c>
      <c r="I47" s="81">
        <v>46235.0</v>
      </c>
    </row>
    <row r="48" ht="22.5" customHeight="1">
      <c r="A48" s="61" t="s">
        <v>280</v>
      </c>
      <c r="B48" s="39" t="s">
        <v>281</v>
      </c>
      <c r="C48" s="35" t="s">
        <v>206</v>
      </c>
      <c r="D48" s="146">
        <v>42241.0</v>
      </c>
      <c r="E48" s="61" t="s">
        <v>282</v>
      </c>
      <c r="F48" s="119"/>
      <c r="G48" s="58"/>
      <c r="H48" s="47" t="b">
        <v>0</v>
      </c>
      <c r="I48" s="81">
        <v>46235.0</v>
      </c>
    </row>
    <row r="49" ht="22.5" customHeight="1">
      <c r="A49" s="152" t="s">
        <v>283</v>
      </c>
      <c r="B49" s="153" t="s">
        <v>284</v>
      </c>
      <c r="C49" s="154" t="s">
        <v>215</v>
      </c>
      <c r="D49" s="155">
        <v>43019.0</v>
      </c>
      <c r="E49" s="152" t="s">
        <v>285</v>
      </c>
      <c r="F49" s="156">
        <v>3.121106761E9</v>
      </c>
      <c r="G49" s="157">
        <v>46235.0</v>
      </c>
      <c r="H49" s="158" t="b">
        <v>1</v>
      </c>
      <c r="I49" s="159">
        <v>46235.0</v>
      </c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</row>
    <row r="50" ht="22.5" customHeight="1">
      <c r="A50" s="61" t="s">
        <v>287</v>
      </c>
      <c r="B50" s="39" t="s">
        <v>288</v>
      </c>
      <c r="C50" s="35" t="s">
        <v>59</v>
      </c>
      <c r="D50" s="146">
        <v>41338.0</v>
      </c>
      <c r="E50" s="61" t="s">
        <v>289</v>
      </c>
      <c r="F50" s="119">
        <v>3.12132728E9</v>
      </c>
      <c r="G50" s="58">
        <v>46245.0</v>
      </c>
      <c r="H50" s="47" t="b">
        <v>1</v>
      </c>
      <c r="I50" s="81">
        <v>46235.0</v>
      </c>
    </row>
    <row r="51" ht="22.5" customHeight="1">
      <c r="A51" s="61" t="s">
        <v>2</v>
      </c>
      <c r="B51" s="39" t="s">
        <v>290</v>
      </c>
      <c r="C51" s="35" t="s">
        <v>215</v>
      </c>
      <c r="D51" s="146">
        <v>42710.0</v>
      </c>
      <c r="E51" s="61" t="s">
        <v>291</v>
      </c>
      <c r="F51" s="119">
        <v>3.121408402E9</v>
      </c>
      <c r="G51" s="58">
        <v>46258.0</v>
      </c>
      <c r="H51" s="47" t="b">
        <v>1</v>
      </c>
      <c r="I51" s="81">
        <v>46266.0</v>
      </c>
    </row>
    <row r="52" ht="22.5" customHeight="1">
      <c r="A52" s="61" t="s">
        <v>293</v>
      </c>
      <c r="B52" s="39" t="s">
        <v>294</v>
      </c>
      <c r="C52" s="35" t="s">
        <v>69</v>
      </c>
      <c r="D52" s="146">
        <v>40088.0</v>
      </c>
      <c r="E52" s="61" t="s">
        <v>295</v>
      </c>
      <c r="F52" s="119">
        <v>3.121269331E9</v>
      </c>
      <c r="G52" s="58">
        <v>46266.0</v>
      </c>
      <c r="H52" s="47" t="b">
        <v>1</v>
      </c>
      <c r="I52" s="81">
        <v>46266.0</v>
      </c>
    </row>
    <row r="53" ht="22.5" customHeight="1">
      <c r="A53" s="61" t="s">
        <v>296</v>
      </c>
      <c r="B53" s="39" t="s">
        <v>122</v>
      </c>
      <c r="C53" s="35" t="s">
        <v>99</v>
      </c>
      <c r="D53" s="146">
        <v>33889.0</v>
      </c>
      <c r="E53" s="61" t="s">
        <v>297</v>
      </c>
      <c r="F53" s="119">
        <v>3.121769066E9</v>
      </c>
      <c r="G53" s="58">
        <v>46235.0</v>
      </c>
      <c r="H53" s="47" t="b">
        <v>1</v>
      </c>
      <c r="I53" s="81">
        <v>46266.0</v>
      </c>
    </row>
    <row r="54" ht="22.5" customHeight="1">
      <c r="A54" s="61" t="s">
        <v>298</v>
      </c>
      <c r="B54" s="39" t="s">
        <v>122</v>
      </c>
      <c r="C54" s="35" t="s">
        <v>99</v>
      </c>
      <c r="D54" s="146">
        <v>39050.0</v>
      </c>
      <c r="E54" s="61" t="s">
        <v>299</v>
      </c>
      <c r="F54" s="119">
        <v>3.123194839E9</v>
      </c>
      <c r="G54" s="58">
        <v>46268.0</v>
      </c>
      <c r="H54" s="47" t="b">
        <v>0</v>
      </c>
      <c r="I54" s="81">
        <v>46266.0</v>
      </c>
    </row>
    <row r="55" ht="22.5" customHeight="1">
      <c r="A55" s="61" t="s">
        <v>300</v>
      </c>
      <c r="B55" s="39" t="s">
        <v>301</v>
      </c>
      <c r="C55" s="35" t="s">
        <v>186</v>
      </c>
      <c r="D55" s="146">
        <v>43530.0</v>
      </c>
      <c r="E55" s="61" t="s">
        <v>302</v>
      </c>
      <c r="F55" s="119">
        <v>3.126686241E9</v>
      </c>
      <c r="G55" s="58">
        <v>46266.0</v>
      </c>
      <c r="H55" s="47" t="b">
        <v>1</v>
      </c>
      <c r="I55" s="81">
        <v>46266.0</v>
      </c>
    </row>
    <row r="56" ht="22.5" customHeight="1">
      <c r="A56" s="61" t="s">
        <v>303</v>
      </c>
      <c r="B56" s="39" t="s">
        <v>122</v>
      </c>
      <c r="C56" s="35" t="s">
        <v>123</v>
      </c>
      <c r="D56" s="146">
        <v>38834.0</v>
      </c>
      <c r="E56" s="61" t="s">
        <v>304</v>
      </c>
      <c r="F56" s="119">
        <v>3.12121061E9</v>
      </c>
      <c r="G56" s="58">
        <v>46266.0</v>
      </c>
      <c r="H56" s="47" t="b">
        <v>1</v>
      </c>
      <c r="I56" s="81">
        <v>46266.0</v>
      </c>
    </row>
    <row r="57" ht="22.5" customHeight="1">
      <c r="A57" s="61" t="s">
        <v>305</v>
      </c>
      <c r="B57" s="39" t="s">
        <v>306</v>
      </c>
      <c r="C57" s="35" t="s">
        <v>105</v>
      </c>
      <c r="D57" s="146">
        <v>40104.0</v>
      </c>
      <c r="E57" s="61" t="s">
        <v>307</v>
      </c>
      <c r="F57" s="119">
        <v>3.121342847E9</v>
      </c>
      <c r="G57" s="58">
        <v>46266.0</v>
      </c>
      <c r="H57" s="47" t="b">
        <v>1</v>
      </c>
      <c r="I57" s="81">
        <v>46266.0</v>
      </c>
    </row>
    <row r="58" ht="22.5" customHeight="1">
      <c r="A58" s="61" t="s">
        <v>308</v>
      </c>
      <c r="B58" s="39" t="s">
        <v>309</v>
      </c>
      <c r="C58" s="35" t="s">
        <v>186</v>
      </c>
      <c r="D58" s="146">
        <v>43371.0</v>
      </c>
      <c r="E58" s="61" t="s">
        <v>311</v>
      </c>
      <c r="F58" s="119">
        <v>3.314419184E9</v>
      </c>
      <c r="G58" s="58">
        <v>46266.0</v>
      </c>
      <c r="H58" s="47" t="b">
        <v>1</v>
      </c>
      <c r="I58" s="81">
        <v>46266.0</v>
      </c>
    </row>
    <row r="59" ht="22.5" customHeight="1">
      <c r="A59" s="61" t="s">
        <v>312</v>
      </c>
      <c r="B59" s="39" t="s">
        <v>313</v>
      </c>
      <c r="C59" s="35" t="s">
        <v>31</v>
      </c>
      <c r="D59" s="146">
        <v>43508.0</v>
      </c>
      <c r="E59" s="61" t="s">
        <v>314</v>
      </c>
      <c r="F59" s="119">
        <v>3.121943623E9</v>
      </c>
      <c r="G59" s="58">
        <v>46266.0</v>
      </c>
      <c r="H59" s="47" t="b">
        <v>1</v>
      </c>
      <c r="I59" s="81">
        <v>46266.0</v>
      </c>
    </row>
    <row r="60" ht="22.5" customHeight="1">
      <c r="A60" s="61" t="s">
        <v>315</v>
      </c>
      <c r="B60" s="39" t="s">
        <v>316</v>
      </c>
      <c r="C60" s="35" t="s">
        <v>31</v>
      </c>
      <c r="D60" s="75">
        <v>42449.0</v>
      </c>
      <c r="E60" s="162" t="s">
        <v>318</v>
      </c>
      <c r="F60" s="41">
        <v>8.444271958E9</v>
      </c>
      <c r="G60" s="46">
        <v>45544.0</v>
      </c>
      <c r="H60" s="47" t="b">
        <v>1</v>
      </c>
      <c r="I60" s="163">
        <v>46266.0</v>
      </c>
    </row>
    <row r="61" ht="22.5" customHeight="1">
      <c r="A61" s="61" t="s">
        <v>319</v>
      </c>
      <c r="B61" s="39" t="s">
        <v>122</v>
      </c>
      <c r="C61" s="35" t="s">
        <v>123</v>
      </c>
      <c r="D61" s="146">
        <v>36965.0</v>
      </c>
      <c r="E61" s="61" t="s">
        <v>320</v>
      </c>
      <c r="F61" s="119">
        <v>3.12593586E8</v>
      </c>
      <c r="G61" s="58">
        <v>46235.0</v>
      </c>
      <c r="H61" s="47" t="b">
        <v>1</v>
      </c>
      <c r="I61" s="81">
        <v>46235.0</v>
      </c>
    </row>
    <row r="62" ht="22.5" customHeight="1">
      <c r="A62" s="61" t="s">
        <v>321</v>
      </c>
      <c r="B62" s="39" t="s">
        <v>322</v>
      </c>
      <c r="C62" s="35" t="s">
        <v>215</v>
      </c>
      <c r="D62" s="146">
        <v>43169.0</v>
      </c>
      <c r="E62" s="61" t="s">
        <v>323</v>
      </c>
      <c r="F62" s="119">
        <v>3.121095323E9</v>
      </c>
      <c r="G62" s="58">
        <v>46267.0</v>
      </c>
      <c r="H62" s="47" t="b">
        <v>1</v>
      </c>
      <c r="I62" s="163">
        <v>46266.0</v>
      </c>
    </row>
    <row r="63" ht="22.5" customHeight="1">
      <c r="A63" s="61" t="s">
        <v>324</v>
      </c>
      <c r="B63" s="39" t="s">
        <v>325</v>
      </c>
      <c r="C63" s="35" t="s">
        <v>31</v>
      </c>
      <c r="D63" s="164">
        <v>42671.0</v>
      </c>
      <c r="E63" s="61" t="s">
        <v>326</v>
      </c>
      <c r="F63" s="119">
        <v>3.121448642E9</v>
      </c>
      <c r="G63" s="58">
        <v>46267.0</v>
      </c>
      <c r="H63" s="47" t="b">
        <v>1</v>
      </c>
      <c r="I63" s="163">
        <v>46266.0</v>
      </c>
    </row>
    <row r="64" ht="22.5" customHeight="1">
      <c r="A64" s="61" t="s">
        <v>327</v>
      </c>
      <c r="B64" s="39" t="s">
        <v>328</v>
      </c>
      <c r="C64" s="35" t="s">
        <v>123</v>
      </c>
      <c r="D64" s="146">
        <v>39890.0</v>
      </c>
      <c r="E64" s="61" t="s">
        <v>329</v>
      </c>
      <c r="F64" s="119">
        <v>3.121202753E9</v>
      </c>
      <c r="G64" s="58">
        <v>46266.0</v>
      </c>
      <c r="H64" s="47" t="b">
        <v>1</v>
      </c>
      <c r="I64" s="163">
        <v>46266.0</v>
      </c>
    </row>
    <row r="65" ht="22.5" customHeight="1">
      <c r="A65" s="61" t="s">
        <v>330</v>
      </c>
      <c r="B65" s="39" t="s">
        <v>331</v>
      </c>
      <c r="C65" s="35" t="s">
        <v>206</v>
      </c>
      <c r="D65" s="146">
        <v>42271.0</v>
      </c>
      <c r="E65" s="61" t="s">
        <v>332</v>
      </c>
      <c r="G65" s="58">
        <v>46266.0</v>
      </c>
      <c r="H65" s="47" t="b">
        <v>1</v>
      </c>
      <c r="I65" s="163">
        <v>46266.0</v>
      </c>
    </row>
    <row r="66" ht="22.5" customHeight="1">
      <c r="A66" s="61" t="s">
        <v>333</v>
      </c>
      <c r="B66" s="39" t="s">
        <v>334</v>
      </c>
      <c r="C66" s="35" t="s">
        <v>99</v>
      </c>
      <c r="D66" s="146">
        <v>40608.0</v>
      </c>
      <c r="E66" s="61" t="s">
        <v>335</v>
      </c>
      <c r="F66" s="119">
        <v>3.121023878E9</v>
      </c>
      <c r="G66" s="58">
        <v>46266.0</v>
      </c>
      <c r="H66" s="47" t="b">
        <v>1</v>
      </c>
      <c r="I66" s="163">
        <v>46266.0</v>
      </c>
    </row>
    <row r="67" ht="22.5" customHeight="1">
      <c r="A67" s="61" t="s">
        <v>336</v>
      </c>
      <c r="B67" s="39" t="s">
        <v>122</v>
      </c>
      <c r="C67" s="35" t="s">
        <v>105</v>
      </c>
      <c r="D67" s="146"/>
      <c r="E67" s="61" t="s">
        <v>337</v>
      </c>
      <c r="F67" s="119">
        <v>3.121350907E9</v>
      </c>
      <c r="G67" s="58">
        <v>46268.0</v>
      </c>
      <c r="H67" s="167" t="s">
        <v>338</v>
      </c>
      <c r="I67" s="163">
        <v>46266.0</v>
      </c>
    </row>
    <row r="68" ht="22.5" customHeight="1">
      <c r="A68" s="61" t="s">
        <v>339</v>
      </c>
      <c r="B68" s="39" t="s">
        <v>340</v>
      </c>
      <c r="C68" s="35" t="s">
        <v>186</v>
      </c>
      <c r="D68" s="146">
        <v>42898.0</v>
      </c>
      <c r="E68" s="61" t="s">
        <v>341</v>
      </c>
      <c r="F68" s="119">
        <v>3.122712626E9</v>
      </c>
      <c r="G68" s="58">
        <v>46266.0</v>
      </c>
      <c r="H68" s="47" t="b">
        <v>1</v>
      </c>
      <c r="I68" s="163">
        <v>46266.0</v>
      </c>
    </row>
    <row r="69" ht="22.5" customHeight="1">
      <c r="A69" s="61" t="s">
        <v>342</v>
      </c>
      <c r="B69" s="39" t="s">
        <v>343</v>
      </c>
      <c r="C69" s="35" t="s">
        <v>31</v>
      </c>
      <c r="D69" s="146">
        <v>43416.0</v>
      </c>
      <c r="E69" s="61" t="s">
        <v>344</v>
      </c>
      <c r="F69" s="119">
        <v>3.121056128E9</v>
      </c>
      <c r="G69" s="58">
        <v>46266.0</v>
      </c>
      <c r="H69" s="47" t="b">
        <v>1</v>
      </c>
      <c r="I69" s="81">
        <v>46266.0</v>
      </c>
    </row>
    <row r="70" ht="22.5" customHeight="1">
      <c r="A70" s="61" t="s">
        <v>345</v>
      </c>
      <c r="B70" s="39" t="s">
        <v>346</v>
      </c>
      <c r="C70" s="35" t="s">
        <v>347</v>
      </c>
      <c r="D70" s="146">
        <v>42717.0</v>
      </c>
      <c r="E70" s="61" t="s">
        <v>348</v>
      </c>
      <c r="F70" s="119">
        <v>3.121320386E9</v>
      </c>
      <c r="G70" s="58">
        <v>46269.0</v>
      </c>
      <c r="H70" s="47" t="b">
        <v>1</v>
      </c>
      <c r="I70" s="81">
        <v>46266.0</v>
      </c>
    </row>
    <row r="71" ht="22.5" customHeight="1">
      <c r="A71" s="61" t="s">
        <v>349</v>
      </c>
      <c r="B71" s="39" t="s">
        <v>350</v>
      </c>
      <c r="C71" s="35" t="s">
        <v>69</v>
      </c>
      <c r="D71" s="146">
        <v>40068.0</v>
      </c>
      <c r="E71" s="61" t="s">
        <v>351</v>
      </c>
      <c r="F71" s="119">
        <v>3.121970267E9</v>
      </c>
      <c r="G71" s="58">
        <v>46266.0</v>
      </c>
      <c r="H71" s="47" t="b">
        <v>1</v>
      </c>
      <c r="I71" s="81">
        <v>46266.0</v>
      </c>
    </row>
    <row r="72" ht="22.5" customHeight="1">
      <c r="A72" s="61" t="s">
        <v>352</v>
      </c>
      <c r="B72" s="39" t="s">
        <v>353</v>
      </c>
      <c r="C72" s="35" t="s">
        <v>347</v>
      </c>
      <c r="D72" s="146">
        <v>43193.0</v>
      </c>
      <c r="E72" s="61" t="s">
        <v>354</v>
      </c>
      <c r="F72" s="119">
        <v>3.12113934E8</v>
      </c>
      <c r="G72" s="58">
        <v>46273.0</v>
      </c>
      <c r="H72" s="47" t="b">
        <v>0</v>
      </c>
      <c r="I72" s="163">
        <v>46266.0</v>
      </c>
    </row>
    <row r="73" ht="22.5" customHeight="1">
      <c r="A73" s="61" t="s">
        <v>355</v>
      </c>
      <c r="B73" s="39" t="s">
        <v>356</v>
      </c>
      <c r="C73" s="35" t="s">
        <v>206</v>
      </c>
      <c r="D73" s="146">
        <v>41290.0</v>
      </c>
      <c r="E73" s="61" t="s">
        <v>357</v>
      </c>
      <c r="F73" s="119">
        <v>3.141258334E9</v>
      </c>
      <c r="G73" s="58">
        <v>46274.0</v>
      </c>
      <c r="H73" s="47" t="b">
        <v>1</v>
      </c>
      <c r="I73" s="81">
        <v>46266.0</v>
      </c>
    </row>
    <row r="74" ht="22.5" customHeight="1">
      <c r="A74" s="61" t="s">
        <v>358</v>
      </c>
      <c r="B74" s="39" t="s">
        <v>359</v>
      </c>
      <c r="C74" s="35" t="s">
        <v>186</v>
      </c>
      <c r="D74" s="146">
        <v>43444.0</v>
      </c>
      <c r="E74" s="61" t="s">
        <v>360</v>
      </c>
      <c r="F74" s="119">
        <v>3.121091927E9</v>
      </c>
      <c r="G74" s="58">
        <v>46275.0</v>
      </c>
      <c r="H74" s="47" t="b">
        <v>1</v>
      </c>
      <c r="I74" s="81">
        <v>46266.0</v>
      </c>
    </row>
    <row r="75" ht="22.5" customHeight="1">
      <c r="A75" s="170" t="s">
        <v>361</v>
      </c>
      <c r="B75" s="171" t="s">
        <v>362</v>
      </c>
      <c r="C75" s="173" t="s">
        <v>105</v>
      </c>
      <c r="D75" s="174">
        <v>41388.0</v>
      </c>
      <c r="E75" s="175" t="s">
        <v>363</v>
      </c>
      <c r="F75" s="176">
        <v>3.122293246E9</v>
      </c>
      <c r="G75" s="177">
        <v>46245.0</v>
      </c>
      <c r="H75" s="180" t="b">
        <v>1</v>
      </c>
      <c r="I75" s="181">
        <v>46235.0</v>
      </c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</row>
    <row r="76" ht="22.5" customHeight="1">
      <c r="A76" s="61" t="s">
        <v>364</v>
      </c>
      <c r="B76" s="39" t="s">
        <v>122</v>
      </c>
      <c r="C76" s="35" t="s">
        <v>69</v>
      </c>
      <c r="D76" s="146">
        <v>33222.0</v>
      </c>
      <c r="E76" s="61" t="s">
        <v>365</v>
      </c>
      <c r="F76" s="119">
        <v>3.121324503E9</v>
      </c>
      <c r="G76" s="58">
        <v>46282.0</v>
      </c>
      <c r="H76" s="47" t="b">
        <v>0</v>
      </c>
      <c r="I76" s="81">
        <v>46266.0</v>
      </c>
    </row>
    <row r="77" ht="22.5" customHeight="1">
      <c r="A77" s="61" t="s">
        <v>366</v>
      </c>
      <c r="B77" s="39"/>
      <c r="C77" s="35" t="s">
        <v>186</v>
      </c>
      <c r="D77" s="146"/>
      <c r="E77" s="61"/>
      <c r="F77" s="119"/>
      <c r="G77" s="58">
        <v>46286.0</v>
      </c>
      <c r="H77" s="47" t="b">
        <v>0</v>
      </c>
      <c r="I77" s="81">
        <v>46266.0</v>
      </c>
    </row>
    <row r="78" ht="22.5" customHeight="1">
      <c r="A78" s="61" t="s">
        <v>367</v>
      </c>
      <c r="B78" s="39" t="s">
        <v>368</v>
      </c>
      <c r="C78" s="35" t="s">
        <v>123</v>
      </c>
      <c r="D78" s="146">
        <v>40247.0</v>
      </c>
      <c r="E78" s="61" t="s">
        <v>369</v>
      </c>
      <c r="F78" s="119">
        <v>3.121525393E9</v>
      </c>
      <c r="G78" s="58">
        <v>46286.0</v>
      </c>
      <c r="H78" s="47" t="b">
        <v>0</v>
      </c>
      <c r="I78" s="81">
        <v>46266.0</v>
      </c>
    </row>
    <row r="79" ht="22.5" customHeight="1">
      <c r="A79" s="61" t="s">
        <v>371</v>
      </c>
      <c r="B79" s="39" t="s">
        <v>372</v>
      </c>
      <c r="C79" s="35" t="s">
        <v>215</v>
      </c>
      <c r="D79" s="146">
        <v>42844.0</v>
      </c>
      <c r="E79" s="61" t="s">
        <v>373</v>
      </c>
      <c r="F79" s="119">
        <v>3.121965991E9</v>
      </c>
      <c r="G79" s="58">
        <v>46288.0</v>
      </c>
      <c r="H79" s="47" t="b">
        <v>0</v>
      </c>
      <c r="I79" s="81">
        <v>46266.0</v>
      </c>
    </row>
    <row r="80" ht="22.5" customHeight="1">
      <c r="A80" s="61" t="s">
        <v>374</v>
      </c>
      <c r="B80" s="39"/>
      <c r="C80" s="35" t="s">
        <v>347</v>
      </c>
      <c r="D80" s="146"/>
      <c r="E80" s="61"/>
      <c r="F80" s="119"/>
      <c r="G80" s="58">
        <v>46297.0</v>
      </c>
      <c r="H80" s="47" t="b">
        <v>0</v>
      </c>
      <c r="I80" s="81">
        <v>46296.0</v>
      </c>
    </row>
    <row r="81" ht="22.5" customHeight="1">
      <c r="A81" s="61"/>
      <c r="B81" s="39"/>
      <c r="C81" s="184"/>
      <c r="D81" s="146"/>
      <c r="E81" s="61"/>
      <c r="F81" s="119"/>
      <c r="G81" s="58"/>
      <c r="H81" s="47" t="b">
        <v>0</v>
      </c>
      <c r="I81" s="186"/>
    </row>
    <row r="82" ht="22.5" customHeight="1">
      <c r="A82" s="61"/>
      <c r="B82" s="39"/>
      <c r="C82" s="184"/>
      <c r="D82" s="146"/>
      <c r="E82" s="61"/>
      <c r="F82" s="119"/>
      <c r="G82" s="58"/>
      <c r="H82" s="47" t="b">
        <v>0</v>
      </c>
      <c r="I82" s="186"/>
    </row>
    <row r="83" ht="22.5" customHeight="1">
      <c r="A83" s="61"/>
      <c r="B83" s="39"/>
      <c r="C83" s="184"/>
      <c r="D83" s="146"/>
      <c r="E83" s="61"/>
      <c r="F83" s="119"/>
      <c r="G83" s="58"/>
      <c r="H83" s="47" t="b">
        <v>0</v>
      </c>
      <c r="I83" s="186"/>
    </row>
    <row r="84" ht="22.5" customHeight="1">
      <c r="A84" s="61"/>
      <c r="B84" s="39"/>
      <c r="C84" s="184"/>
      <c r="D84" s="146"/>
      <c r="E84" s="61"/>
      <c r="F84" s="119"/>
      <c r="G84" s="58"/>
      <c r="H84" s="47" t="b">
        <v>0</v>
      </c>
      <c r="I84" s="186"/>
    </row>
    <row r="85" ht="22.5" customHeight="1">
      <c r="A85" s="61"/>
      <c r="B85" s="39"/>
      <c r="C85" s="184"/>
      <c r="D85" s="146"/>
      <c r="E85" s="61"/>
      <c r="F85" s="119"/>
      <c r="G85" s="58"/>
      <c r="H85" s="47" t="b">
        <v>0</v>
      </c>
      <c r="I85" s="186"/>
    </row>
    <row r="86" ht="22.5" customHeight="1">
      <c r="A86" s="61"/>
      <c r="B86" s="39"/>
      <c r="C86" s="184"/>
      <c r="D86" s="146"/>
      <c r="E86" s="61"/>
      <c r="F86" s="119"/>
      <c r="G86" s="58"/>
      <c r="H86" s="47" t="b">
        <v>0</v>
      </c>
      <c r="I86" s="186"/>
    </row>
    <row r="87" ht="22.5" customHeight="1">
      <c r="A87" s="61"/>
      <c r="B87" s="39"/>
      <c r="C87" s="184"/>
      <c r="D87" s="146"/>
      <c r="E87" s="61"/>
      <c r="F87" s="119"/>
      <c r="G87" s="58"/>
      <c r="H87" s="47" t="b">
        <v>0</v>
      </c>
      <c r="I87" s="186"/>
    </row>
    <row r="88" ht="22.5" customHeight="1">
      <c r="A88" s="61"/>
      <c r="B88" s="39"/>
      <c r="C88" s="184"/>
      <c r="D88" s="146"/>
      <c r="E88" s="61"/>
      <c r="F88" s="119"/>
      <c r="G88" s="58"/>
      <c r="H88" s="47" t="b">
        <v>0</v>
      </c>
      <c r="I88" s="186"/>
    </row>
  </sheetData>
  <conditionalFormatting sqref="A2">
    <cfRule type="containsBlanks" dxfId="7" priority="1">
      <formula>LEN(TRIM(A2))=0</formula>
    </cfRule>
  </conditionalFormatting>
  <dataValidations>
    <dataValidation type="custom" allowBlank="1" showDropDown="1" sqref="G2:G88">
      <formula1>OR(NOT(ISERROR(DATEVALUE(G2))), AND(ISNUMBER(G2), LEFT(CELL("format", G2))="D"))</formula1>
    </dataValidation>
    <dataValidation type="list" allowBlank="1" sqref="C75">
      <formula1>"KIDS 1,KIDS 2,KIDS 3,SABATINO,ADULTS 1,ADULTS 2,MATUTINO,5 DIAS KIDS,JR 1,JR 2"</formula1>
    </dataValidation>
    <dataValidation allowBlank="1" showDropDown="1" sqref="A2:A88"/>
    <dataValidation type="list" allowBlank="1" sqref="C2:C88">
      <formula1>"KIDS 1,KIDS 2,KIDS 3,SABATINO,ADULTS 1,ADULTS 2,MATUTINO,5 DIAS KIDS,JR 1,JR 2,1 DIA KIDS"</formula1>
    </dataValidation>
  </dataValidations>
  <hyperlinks>
    <hyperlink r:id="rId1" ref="E9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0.78"/>
    <col customWidth="1" min="2" max="2" width="17.0"/>
    <col customWidth="1" min="3" max="3" width="27.67"/>
    <col customWidth="1" hidden="1" min="4" max="6" width="13.67"/>
    <col customWidth="1" hidden="1" min="7" max="7" width="14.78"/>
    <col customWidth="1" hidden="1" min="8" max="8" width="15.67"/>
    <col customWidth="1" hidden="1" min="9" max="9" width="16.0"/>
    <col customWidth="1" hidden="1" min="10" max="10" width="19.44"/>
    <col customWidth="1" hidden="1" min="11" max="11" width="13.44"/>
    <col customWidth="1" hidden="1" min="12" max="12" width="13.33"/>
    <col customWidth="1" hidden="1" min="13" max="13" width="13.11"/>
    <col customWidth="1" hidden="1" min="14" max="14" width="13.44"/>
    <col customWidth="1" hidden="1" min="15" max="16" width="14.89"/>
    <col customWidth="1" hidden="1" min="17" max="17" width="13.44"/>
    <col customWidth="1" hidden="1" min="18" max="19" width="14.89"/>
    <col customWidth="1" hidden="1" min="20" max="20" width="13.44"/>
    <col customWidth="1" hidden="1" min="21" max="22" width="14.89"/>
    <col customWidth="1" hidden="1" min="23" max="23" width="13.44"/>
    <col customWidth="1" hidden="1" min="24" max="24" width="16.0"/>
    <col customWidth="1" hidden="1" min="25" max="25" width="13.44"/>
    <col customWidth="1" hidden="1" min="26" max="26" width="13.33"/>
    <col customWidth="1" min="27" max="27" width="15.22"/>
    <col customWidth="1" min="28" max="28" width="12.78"/>
    <col customWidth="1" min="29" max="29" width="14.56"/>
    <col customWidth="1" min="30" max="30" width="15.22"/>
    <col customWidth="1" min="31" max="31" width="11.78"/>
    <col customWidth="1" min="32" max="32" width="14.56"/>
    <col customWidth="1" min="33" max="34" width="11.78"/>
    <col customWidth="1" min="35" max="35" width="14.56"/>
    <col customWidth="1" min="36" max="37" width="11.78"/>
    <col customWidth="1" min="38" max="38" width="14.56"/>
    <col customWidth="1" min="39" max="39" width="18.11"/>
    <col customWidth="1" min="40" max="40" width="12.11"/>
  </cols>
  <sheetData>
    <row r="1" ht="22.5" customHeight="1">
      <c r="A1" s="30" t="s">
        <v>27</v>
      </c>
      <c r="B1" s="38" t="s">
        <v>15</v>
      </c>
      <c r="C1" s="38" t="s">
        <v>34</v>
      </c>
      <c r="D1" s="43" t="s">
        <v>36</v>
      </c>
      <c r="E1" s="49" t="s">
        <v>39</v>
      </c>
      <c r="F1" s="38" t="s">
        <v>44</v>
      </c>
      <c r="G1" s="38" t="s">
        <v>45</v>
      </c>
      <c r="H1" s="38" t="s">
        <v>46</v>
      </c>
      <c r="I1" s="49" t="s">
        <v>47</v>
      </c>
      <c r="J1" s="49" t="s">
        <v>48</v>
      </c>
      <c r="K1" s="49" t="s">
        <v>41</v>
      </c>
      <c r="L1" s="59" t="s">
        <v>53</v>
      </c>
      <c r="M1" s="60" t="s">
        <v>54</v>
      </c>
      <c r="N1" s="49" t="s">
        <v>55</v>
      </c>
      <c r="O1" s="59" t="s">
        <v>58</v>
      </c>
      <c r="P1" s="49" t="s">
        <v>60</v>
      </c>
      <c r="Q1" s="49" t="s">
        <v>62</v>
      </c>
      <c r="R1" s="49" t="s">
        <v>63</v>
      </c>
      <c r="S1" s="49" t="s">
        <v>64</v>
      </c>
      <c r="T1" s="49" t="s">
        <v>66</v>
      </c>
      <c r="U1" s="49" t="s">
        <v>68</v>
      </c>
      <c r="V1" s="49" t="s">
        <v>70</v>
      </c>
      <c r="W1" s="49" t="s">
        <v>72</v>
      </c>
      <c r="X1" s="71" t="s">
        <v>73</v>
      </c>
      <c r="Y1" s="71" t="s">
        <v>74</v>
      </c>
      <c r="Z1" s="73" t="s">
        <v>75</v>
      </c>
      <c r="AA1" s="71" t="s">
        <v>76</v>
      </c>
      <c r="AB1" s="74" t="s">
        <v>77</v>
      </c>
      <c r="AC1" s="73" t="s">
        <v>80</v>
      </c>
      <c r="AD1" s="71" t="s">
        <v>3</v>
      </c>
      <c r="AE1" s="71" t="s">
        <v>83</v>
      </c>
      <c r="AF1" s="73" t="s">
        <v>85</v>
      </c>
      <c r="AG1" s="71" t="s">
        <v>86</v>
      </c>
      <c r="AH1" s="71" t="s">
        <v>87</v>
      </c>
      <c r="AI1" s="73" t="s">
        <v>88</v>
      </c>
      <c r="AJ1" s="71" t="s">
        <v>89</v>
      </c>
      <c r="AK1" s="71" t="s">
        <v>90</v>
      </c>
      <c r="AL1" s="73" t="s">
        <v>93</v>
      </c>
      <c r="AM1" s="77" t="s">
        <v>94</v>
      </c>
      <c r="AN1" s="77" t="s">
        <v>96</v>
      </c>
      <c r="AO1" s="78" t="s">
        <v>97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</row>
    <row r="2" ht="22.5" customHeight="1">
      <c r="A2" s="82" t="str">
        <f>'BASE DE DATOSS'!A2</f>
        <v>AMEYALI MARTÍNEZ I. MORALES</v>
      </c>
      <c r="B2" s="83" t="str">
        <f>'BASE DE DATOSS'!C2</f>
        <v>KIDS 3</v>
      </c>
      <c r="C2" s="84" t="s">
        <v>102</v>
      </c>
      <c r="D2" s="85">
        <v>46037.0</v>
      </c>
      <c r="E2" s="86">
        <v>950.0</v>
      </c>
      <c r="F2" s="87">
        <v>46058.0</v>
      </c>
      <c r="G2" s="93">
        <f>IF(OR(ISBLANK($B2),ISBLANK($F2)),"",IFERROR(IF($F2&lt;=DATE('ESTADO CONTABLE'!$B$2,2,5),VLOOKUP($B2,COSTOS!$A$2:$B1014,2,FALSE)-150,VLOOKUP($B2,COSTOS!$A$2:$B1014,2,FALSE)),"No encontrado o error"))</f>
        <v>800</v>
      </c>
      <c r="H2" s="95" t="s">
        <v>112</v>
      </c>
      <c r="I2" s="85">
        <v>46086.0</v>
      </c>
      <c r="J2" s="101">
        <f>IF(OR(ISBLANK($B2),ISBLANK($I2)),"",IFERROR(IF($I2&lt;=DATE('ESTADO CONTABLE'!$B$2,3,5),VLOOKUP($B2,COSTOS!$A$2:$B1014,2,FALSE)-150,VLOOKUP($B2,COSTOS!$A$2:$B1014,2,FALSE)),"No encontrado o error"))</f>
        <v>800</v>
      </c>
      <c r="K2" s="106" t="s">
        <v>128</v>
      </c>
      <c r="L2" s="107">
        <v>46140.0</v>
      </c>
      <c r="M2" s="86">
        <f>IF(OR(ISBLANK($B2),ISBLANK($L2)),"",IFERROR(IF($L2&lt;=DATE('ESTADO CONTABLE'!$B$2,4,5),VLOOKUP($B2,COSTOS!$A$2:$B1014,2,FALSE)-150,VLOOKUP($B2,COSTOS!$A$2:$B1014,2,FALSE)),"No encontrado o error"))</f>
        <v>950</v>
      </c>
      <c r="N2" s="106" t="s">
        <v>128</v>
      </c>
      <c r="O2" s="85">
        <v>46147.0</v>
      </c>
      <c r="P2" s="113">
        <f>IF(OR(ISBLANK($B2),ISBLANK($O2)),"",IFERROR(IF($O2&lt;=DATE('ESTADO CONTABLE'!$B$2,5,5),VLOOKUP($B2,COSTOS!$A$2:$B1014,2,FALSE)-150,VLOOKUP($B2,COSTOS!$A$2:$B1014,2,FALSE)),"No encontrado o error"))</f>
        <v>800</v>
      </c>
      <c r="Q2" s="106" t="s">
        <v>128</v>
      </c>
      <c r="R2" s="85">
        <v>46203.0</v>
      </c>
      <c r="S2" s="86">
        <v>950.0</v>
      </c>
      <c r="T2" s="106" t="s">
        <v>137</v>
      </c>
      <c r="U2" s="85">
        <v>46234.0</v>
      </c>
      <c r="V2" s="86">
        <v>800.0</v>
      </c>
      <c r="W2" s="106" t="s">
        <v>128</v>
      </c>
      <c r="X2" s="114">
        <v>46251.0</v>
      </c>
      <c r="Y2" s="116">
        <f>IF(OR(ISBLANK($B2),ISBLANK($X2)),"",IFERROR(IF($X2&lt;=DATE('ESTADO CONTABLE'!$B$2,8,5),VLOOKUP($B2,COSTOS!$A$2:$B1014,2,FALSE)-150,VLOOKUP($B2,COSTOS!$A$2:$B1014,2,FALSE)),"No encontrado o error"))</f>
        <v>950</v>
      </c>
      <c r="Z2" s="117" t="s">
        <v>137</v>
      </c>
      <c r="AA2" s="114">
        <v>46270.0</v>
      </c>
      <c r="AB2" s="118">
        <v>700.0</v>
      </c>
      <c r="AC2" s="120" t="s">
        <v>128</v>
      </c>
      <c r="AD2" s="114"/>
      <c r="AE2" s="116" t="str">
        <f>IF(OR(ISBLANK($B2),ISBLANK($AD2)),"",IFERROR(IF($AD2&lt;=DATE('ESTADO CONTABLE'!$B$2,10,5),VLOOKUP($B2,COSTOS!$A$2:$B1014,2,FALSE)-150,VLOOKUP($B2,COSTOS!$A$2:$B1014,2,FALSE)),"No encontrado o error"))</f>
        <v/>
      </c>
      <c r="AF2" s="122"/>
      <c r="AG2" s="114"/>
      <c r="AH2" s="116" t="str">
        <f>IF(OR(ISBLANK($B2),ISBLANK($AG2)),"",IFERROR(IF($AG2&lt;=DATE('ESTADO CONTABLE'!$B$2,11,5),VLOOKUP($B2,COSTOS!$A$2:$B1014,2,FALSE)-150,VLOOKUP($B2,COSTOS!$A$2:$B1014,2,FALSE)),"No encontrado o error"))</f>
        <v/>
      </c>
      <c r="AI2" s="122"/>
      <c r="AJ2" s="114"/>
      <c r="AK2" s="116" t="str">
        <f>IF(OR(ISBLANK($B2),ISBLANK($AJ2)),"",IFERROR(IF($AJ2&lt;=DATE('ESTADO CONTABLE'!$B$2,12,5),VLOOKUP($B2,COSTOS!$A$2:$B1014,2,FALSE)-150,VLOOKUP($B2,COSTOS!$A$2:$B1014,2,FALSE)),"No encontrado o error"))</f>
        <v/>
      </c>
      <c r="AL2" s="122"/>
      <c r="AM2" s="127" t="s">
        <v>161</v>
      </c>
      <c r="AN2" s="130">
        <f>SUM(E:E)</f>
        <v>22400</v>
      </c>
      <c r="AO2" s="133">
        <f t="shared" ref="AO2:AO23" si="1">AN2/1.16</f>
        <v>19310.34483</v>
      </c>
      <c r="AP2" s="134"/>
      <c r="AQ2" s="134"/>
      <c r="AR2" s="134"/>
      <c r="AS2" s="134"/>
      <c r="AT2" s="134"/>
      <c r="AU2" s="134"/>
      <c r="AV2" s="136">
        <v>0.0406</v>
      </c>
      <c r="AW2" s="134"/>
      <c r="AX2" s="134"/>
      <c r="AY2" s="134"/>
    </row>
    <row r="3" ht="22.5" customHeight="1">
      <c r="A3" s="82" t="str">
        <f>'BASE DE DATOSS'!A3</f>
        <v>ANA PAULA GUTIERREZ MENESES</v>
      </c>
      <c r="B3" s="83" t="str">
        <f>'BASE DE DATOSS'!C3</f>
        <v>KIDS 3</v>
      </c>
      <c r="C3" s="84" t="s">
        <v>175</v>
      </c>
      <c r="D3" s="85">
        <v>46035.0</v>
      </c>
      <c r="E3" s="86">
        <f>IF(OR(ISBLANK($B3),ISBLANK($D3)),"",IFERROR(IF($D3&lt;=DATE('ESTADO CONTABLE'!$B$2,1,5),VLOOKUP($B3,COSTOS!$A$2:$B1014,2,FALSE)-150,VLOOKUP($B3,COSTOS!$A$2:$B1014,2,FALSE)),"No encontrado o error"))</f>
        <v>950</v>
      </c>
      <c r="F3" s="87">
        <v>46055.0</v>
      </c>
      <c r="G3" s="93">
        <f>IF(OR(ISBLANK($B3),ISBLANK($F3)),"",IFERROR(IF($F3&lt;=DATE('ESTADO CONTABLE'!$B$2,2,5),VLOOKUP($B3,COSTOS!$A$2:$B1014,2,FALSE)-150,VLOOKUP($B3,COSTOS!$A$2:$B1014,2,FALSE)),"No encontrado o error"))</f>
        <v>800</v>
      </c>
      <c r="H3" s="95" t="s">
        <v>112</v>
      </c>
      <c r="I3" s="85">
        <v>46084.0</v>
      </c>
      <c r="J3" s="101">
        <f>IF(OR(ISBLANK($B3),ISBLANK($I3)),"",IFERROR(IF($I3&lt;=DATE('ESTADO CONTABLE'!$B$2,3,5),VLOOKUP($B3,COSTOS!$A$2:$B1014,2,FALSE)-150,VLOOKUP($B3,COSTOS!$A$2:$B1014,2,FALSE)),"No encontrado o error"))</f>
        <v>800</v>
      </c>
      <c r="K3" s="106" t="s">
        <v>128</v>
      </c>
      <c r="L3" s="85">
        <v>46117.0</v>
      </c>
      <c r="M3" s="86">
        <f>IF(OR(ISBLANK($B3),ISBLANK($L3)),"",IFERROR(IF($L3&lt;=DATE('ESTADO CONTABLE'!$B$2,4,5),VLOOKUP($B3,COSTOS!$A$2:$B1014,2,FALSE)-150,VLOOKUP($B3,COSTOS!$A$2:$B1014,2,FALSE)),"No encontrado o error"))</f>
        <v>800</v>
      </c>
      <c r="N3" s="106" t="s">
        <v>128</v>
      </c>
      <c r="O3" s="85">
        <v>46146.0</v>
      </c>
      <c r="P3" s="113">
        <f>IF(OR(ISBLANK($B3),ISBLANK($O3)),"",IFERROR(IF($O3&lt;=DATE('ESTADO CONTABLE'!$B$2,5,5),VLOOKUP($B3,COSTOS!$A$2:$B1014,2,FALSE)-150,VLOOKUP($B3,COSTOS!$A$2:$B1014,2,FALSE)),"No encontrado o error"))</f>
        <v>800</v>
      </c>
      <c r="Q3" s="106" t="s">
        <v>128</v>
      </c>
      <c r="R3" s="85">
        <v>46178.0</v>
      </c>
      <c r="S3" s="113">
        <f>IF(OR(ISBLANK($B3),ISBLANK($R3)),"",IFERROR(IF($R3&lt;=DATE('ESTADO CONTABLE'!$B$2,6,5),VLOOKUP($B3,COSTOS!$A$2:$B1014,2,FALSE)-150,VLOOKUP($B3,COSTOS!$A$2:$B1014,2,FALSE)),"No encontrado o error"))</f>
        <v>800</v>
      </c>
      <c r="T3" s="106" t="s">
        <v>128</v>
      </c>
      <c r="U3" s="85">
        <v>46208.0</v>
      </c>
      <c r="V3" s="113">
        <f>IF(OR(ISBLANK($B3),ISBLANK($U3)),"",IFERROR(IF($U3&lt;=DATE('ESTADO CONTABLE'!$B$2,7,5),VLOOKUP($B3,COSTOS!$A$2:$B1014,2,FALSE)-150,VLOOKUP($B3,COSTOS!$A$2:$B1014,2,FALSE)),"No encontrado o error"))</f>
        <v>800</v>
      </c>
      <c r="W3" s="106" t="s">
        <v>128</v>
      </c>
      <c r="X3" s="114">
        <v>46238.0</v>
      </c>
      <c r="Y3" s="116">
        <f>IF(OR(ISBLANK($B3),ISBLANK($X3)),"",IFERROR(IF($X3&lt;=DATE('ESTADO CONTABLE'!$B$2,8,5),VLOOKUP($B3,COSTOS!$A$2:$B1014,2,FALSE)-150,VLOOKUP($B3,COSTOS!$A$2:$B1014,2,FALSE)),"No encontrado o error"))</f>
        <v>800</v>
      </c>
      <c r="Z3" s="117" t="s">
        <v>128</v>
      </c>
      <c r="AA3" s="114">
        <v>46267.0</v>
      </c>
      <c r="AB3" s="118">
        <f>IF(OR(ISBLANK($B3),ISBLANK($AA3)),"",IFERROR(IF($AA3&lt;=DATE('ESTADO CONTABLE'!$B$2,9,5),VLOOKUP($B3,COSTOS!$A$2:$B1014,2,FALSE)-150,VLOOKUP($B3,COSTOS!$A$2:$B1014,2,FALSE)),"No encontrado o error"))</f>
        <v>800</v>
      </c>
      <c r="AC3" s="120" t="s">
        <v>128</v>
      </c>
      <c r="AD3" s="114">
        <v>46300.0</v>
      </c>
      <c r="AE3" s="116">
        <f>IF(OR(ISBLANK($B3),ISBLANK($AD3)),"",IFERROR(IF($AD3&lt;=DATE('ESTADO CONTABLE'!$B$2,10,5),VLOOKUP($B3,COSTOS!$A$2:$B1014,2,FALSE)-150,VLOOKUP($B3,COSTOS!$A$2:$B1014,2,FALSE)),"No encontrado o error"))</f>
        <v>800</v>
      </c>
      <c r="AF3" s="120" t="s">
        <v>128</v>
      </c>
      <c r="AG3" s="114"/>
      <c r="AH3" s="116" t="str">
        <f>IF(OR(ISBLANK($B3),ISBLANK($AG3)),"",IFERROR(IF($AG3&lt;=DATE('ESTADO CONTABLE'!$B$2,11,5),VLOOKUP($B3,COSTOS!$A$2:$B1014,2,FALSE)-150,VLOOKUP($B3,COSTOS!$A$2:$B1014,2,FALSE)),"No encontrado o error"))</f>
        <v/>
      </c>
      <c r="AI3" s="122"/>
      <c r="AJ3" s="114"/>
      <c r="AK3" s="116" t="str">
        <f>IF(OR(ISBLANK($B3),ISBLANK($AJ3)),"",IFERROR(IF($AJ3&lt;=DATE('ESTADO CONTABLE'!$B$2,12,5),VLOOKUP($B3,COSTOS!$A$2:$B1014,2,FALSE)-150,VLOOKUP($B3,COSTOS!$A$2:$B1014,2,FALSE)),"No encontrado o error"))</f>
        <v/>
      </c>
      <c r="AL3" s="122"/>
      <c r="AM3" s="127" t="s">
        <v>47</v>
      </c>
      <c r="AN3" s="130">
        <f>SUM(J:J)</f>
        <v>27380</v>
      </c>
      <c r="AO3" s="133">
        <f t="shared" si="1"/>
        <v>23603.44828</v>
      </c>
      <c r="AP3" s="134"/>
      <c r="AQ3" s="134"/>
      <c r="AR3" s="134"/>
      <c r="AS3" s="134"/>
      <c r="AT3" s="134"/>
      <c r="AU3" s="134"/>
      <c r="AV3" s="134"/>
      <c r="AW3" s="134"/>
      <c r="AX3" s="134"/>
      <c r="AY3" s="134"/>
    </row>
    <row r="4" ht="22.5" customHeight="1">
      <c r="A4" s="82" t="str">
        <f>'BASE DE DATOSS'!A4</f>
        <v>ANA VICTORIA REVUELTA LARA</v>
      </c>
      <c r="B4" s="83" t="str">
        <f>'BASE DE DATOSS'!C4</f>
        <v>JR 2</v>
      </c>
      <c r="C4" s="84" t="s">
        <v>226</v>
      </c>
      <c r="D4" s="85">
        <v>46038.0</v>
      </c>
      <c r="E4" s="86">
        <f>IF(OR(ISBLANK($B4),ISBLANK($D4)),"",IFERROR(IF($D4&lt;=DATE('ESTADO CONTABLE'!$B$2,1,5),VLOOKUP($B4,COSTOS!$A$2:$B1014,2,FALSE)-150,VLOOKUP($B4,COSTOS!$A$2:$B1014,2,FALSE)),"No encontrado o error"))</f>
        <v>950</v>
      </c>
      <c r="F4" s="87">
        <v>46058.0</v>
      </c>
      <c r="G4" s="93">
        <f>IF(OR(ISBLANK($B4),ISBLANK($F4)),"",IFERROR(IF($F4&lt;=DATE('ESTADO CONTABLE'!$B$2,2,5),VLOOKUP($B4,COSTOS!$A$2:$B1014,2,FALSE)-150,VLOOKUP($B4,COSTOS!$A$2:$B1014,2,FALSE)),"No encontrado o error"))</f>
        <v>800</v>
      </c>
      <c r="H4" s="95" t="s">
        <v>112</v>
      </c>
      <c r="I4" s="85">
        <v>46096.0</v>
      </c>
      <c r="J4" s="101">
        <f>IF(OR(ISBLANK($B4),ISBLANK($I4)),"",IFERROR(IF($I4&lt;=DATE('ESTADO CONTABLE'!$B$2,3,5),VLOOKUP($B4,COSTOS!$A$2:$B1014,2,FALSE)-150,VLOOKUP($B4,COSTOS!$A$2:$B1014,2,FALSE)),"No encontrado o error"))</f>
        <v>950</v>
      </c>
      <c r="K4" s="106" t="s">
        <v>128</v>
      </c>
      <c r="L4" s="85">
        <v>46128.0</v>
      </c>
      <c r="M4" s="86">
        <f>IF(OR(ISBLANK($B4),ISBLANK($L4)),"",IFERROR(IF($L4&lt;=DATE('ESTADO CONTABLE'!$B$2,4,5),VLOOKUP($B4,COSTOS!$A$2:$B1014,2,FALSE)-150,VLOOKUP($B4,COSTOS!$A$2:$B1014,2,FALSE)),"No encontrado o error"))</f>
        <v>950</v>
      </c>
      <c r="N4" s="106" t="s">
        <v>128</v>
      </c>
      <c r="O4" s="85">
        <v>46147.0</v>
      </c>
      <c r="P4" s="113">
        <f>IF(OR(ISBLANK($B4),ISBLANK($O4)),"",IFERROR(IF($O4&lt;=DATE('ESTADO CONTABLE'!$B$2,5,5),VLOOKUP($B4,COSTOS!$A$2:$B1014,2,FALSE)-150,VLOOKUP($B4,COSTOS!$A$2:$B1014,2,FALSE)),"No encontrado o error"))</f>
        <v>800</v>
      </c>
      <c r="Q4" s="106" t="s">
        <v>137</v>
      </c>
      <c r="R4" s="85">
        <v>46188.0</v>
      </c>
      <c r="S4" s="113">
        <f>IF(OR(ISBLANK($B4),ISBLANK($R4)),"",IFERROR(IF($R4&lt;=DATE('ESTADO CONTABLE'!$B$2,6,5),VLOOKUP($B4,COSTOS!$A$2:$B1014,2,FALSE)-150,VLOOKUP($B4,COSTOS!$A$2:$B1014,2,FALSE)),"No encontrado o error"))</f>
        <v>950</v>
      </c>
      <c r="T4" s="106" t="s">
        <v>128</v>
      </c>
      <c r="U4" s="85">
        <v>46219.0</v>
      </c>
      <c r="V4" s="113">
        <f>IF(OR(ISBLANK($B4),ISBLANK($U4)),"",IFERROR(IF($U4&lt;=DATE('ESTADO CONTABLE'!$B$2,7,5),VLOOKUP($B4,COSTOS!$A$2:$B1014,2,FALSE)-150,VLOOKUP($B4,COSTOS!$A$2:$B1014,2,FALSE)),"No encontrado o error"))</f>
        <v>950</v>
      </c>
      <c r="W4" s="106" t="s">
        <v>128</v>
      </c>
      <c r="X4" s="148">
        <v>46239.0</v>
      </c>
      <c r="Y4" s="116">
        <f>IF(OR(ISBLANK($B4),ISBLANK($X4)),"",IFERROR(IF($X4&lt;=DATE('ESTADO CONTABLE'!$B$2,8,5),VLOOKUP($B4,COSTOS!$A$2:$B1014,2,FALSE)-150,VLOOKUP($B4,COSTOS!$A$2:$B1014,2,FALSE)),"No encontrado o error"))</f>
        <v>800</v>
      </c>
      <c r="Z4" s="149" t="s">
        <v>128</v>
      </c>
      <c r="AA4" s="148">
        <v>46281.0</v>
      </c>
      <c r="AB4" s="118">
        <f>IF(OR(ISBLANK($B4),ISBLANK($AA4)),"",IFERROR(IF($AA4&lt;=DATE('ESTADO CONTABLE'!$B$2,9,5),VLOOKUP($B4,COSTOS!$A$2:$B1014,2,FALSE)-150,VLOOKUP($B4,COSTOS!$A$2:$B1014,2,FALSE)),"No encontrado o error"))</f>
        <v>950</v>
      </c>
      <c r="AC4" s="150" t="s">
        <v>128</v>
      </c>
      <c r="AD4" s="148">
        <v>46310.0</v>
      </c>
      <c r="AE4" s="116">
        <f>IF(OR(ISBLANK($B4),ISBLANK($AD4)),"",IFERROR(IF($AD4&lt;=DATE('ESTADO CONTABLE'!$B$2,10,5),VLOOKUP($B4,COSTOS!$A$2:$B1014,2,FALSE)-150,VLOOKUP($B4,COSTOS!$A$2:$B1014,2,FALSE)),"No encontrado o error"))</f>
        <v>950</v>
      </c>
      <c r="AF4" s="150" t="s">
        <v>128</v>
      </c>
      <c r="AG4" s="148"/>
      <c r="AH4" s="116" t="str">
        <f>IF(OR(ISBLANK($B4),ISBLANK($AG4)),"",IFERROR(IF($AG4&lt;=DATE('ESTADO CONTABLE'!$B$2,11,5),VLOOKUP($B4,COSTOS!$A$2:$B1014,2,FALSE)-150,VLOOKUP($B4,COSTOS!$A$2:$B1014,2,FALSE)),"No encontrado o error"))</f>
        <v/>
      </c>
      <c r="AI4" s="151"/>
      <c r="AJ4" s="148"/>
      <c r="AK4" s="116" t="str">
        <f>IF(OR(ISBLANK($B4),ISBLANK($AJ4)),"",IFERROR(IF($AJ4&lt;=DATE('ESTADO CONTABLE'!$B$2,12,5),VLOOKUP($B4,COSTOS!$A$2:$B1014,2,FALSE)-150,VLOOKUP($B4,COSTOS!$A$2:$B1014,2,FALSE)),"No encontrado o error"))</f>
        <v/>
      </c>
      <c r="AL4" s="151"/>
      <c r="AM4" s="127" t="s">
        <v>53</v>
      </c>
      <c r="AN4" s="130">
        <f>SUM(M:M)</f>
        <v>33220</v>
      </c>
      <c r="AO4" s="133">
        <f t="shared" si="1"/>
        <v>28637.93103</v>
      </c>
      <c r="AP4" s="134"/>
      <c r="AQ4" s="134"/>
      <c r="AR4" s="134"/>
      <c r="AS4" s="134"/>
      <c r="AT4" s="134"/>
      <c r="AU4" s="134"/>
      <c r="AV4" s="134"/>
      <c r="AW4" s="134"/>
      <c r="AX4" s="134"/>
      <c r="AY4" s="134"/>
    </row>
    <row r="5" ht="22.5" customHeight="1">
      <c r="A5" s="82" t="str">
        <f>'BASE DE DATOSS'!A5</f>
        <v>ATENAS KORHEIMI FIGEROA FIGUEROA</v>
      </c>
      <c r="B5" s="83" t="str">
        <f>'BASE DE DATOSS'!C5</f>
        <v>ADULTS 2</v>
      </c>
      <c r="C5" s="84" t="s">
        <v>258</v>
      </c>
      <c r="D5" s="85">
        <v>46036.0</v>
      </c>
      <c r="E5" s="86">
        <f>IF(OR(ISBLANK($B5),ISBLANK($D5)),"",IFERROR(IF($D5&lt;=DATE('ESTADO CONTABLE'!$B$2,1,5),VLOOKUP($B5,COSTOS!$A$2:$B1014,2,FALSE)-150,VLOOKUP($B5,COSTOS!$A$2:$B1014,2,FALSE)),"No encontrado o error"))</f>
        <v>1100</v>
      </c>
      <c r="F5" s="87">
        <v>46060.0</v>
      </c>
      <c r="G5" s="93">
        <f>IF(OR(ISBLANK($B5),ISBLANK($F5)),"",IFERROR(IF($F5&lt;=DATE('ESTADO CONTABLE'!$B$2,2,5),VLOOKUP($B5,COSTOS!$A$2:$B1014,2,FALSE)-150,VLOOKUP($B5,COSTOS!$A$2:$B1014,2,FALSE)),"No encontrado o error"))</f>
        <v>1100</v>
      </c>
      <c r="H5" s="95" t="s">
        <v>262</v>
      </c>
      <c r="I5" s="85">
        <v>46083.0</v>
      </c>
      <c r="J5" s="101">
        <f>IF(OR(ISBLANK($B5),ISBLANK($I5)),"",IFERROR(IF($I5&lt;=DATE('ESTADO CONTABLE'!$B$2,3,5),VLOOKUP($B5,COSTOS!$A$2:$B1014,2,FALSE)-150,VLOOKUP($B5,COSTOS!$A$2:$B1014,2,FALSE)),"No encontrado o error"))</f>
        <v>950</v>
      </c>
      <c r="K5" s="106" t="s">
        <v>137</v>
      </c>
      <c r="L5" s="85">
        <v>46134.0</v>
      </c>
      <c r="M5" s="86">
        <f>IF(OR(ISBLANK($B5),ISBLANK($L5)),"",IFERROR(IF($L5&lt;=DATE('ESTADO CONTABLE'!$B$2,4,5),VLOOKUP($B5,COSTOS!$A$2:$B1014,2,FALSE)-150,VLOOKUP($B5,COSTOS!$A$2:$B1014,2,FALSE)),"No encontrado o error"))</f>
        <v>1100</v>
      </c>
      <c r="N5" s="106" t="s">
        <v>137</v>
      </c>
      <c r="O5" s="85">
        <v>46147.0</v>
      </c>
      <c r="P5" s="113">
        <f>IF(OR(ISBLANK($B5),ISBLANK($O5)),"",IFERROR(IF($O5&lt;=DATE('ESTADO CONTABLE'!$B$2,5,5),VLOOKUP($B5,COSTOS!$A$2:$B1014,2,FALSE)-150,VLOOKUP($B5,COSTOS!$A$2:$B1014,2,FALSE)),"No encontrado o error"))</f>
        <v>950</v>
      </c>
      <c r="Q5" s="106" t="s">
        <v>137</v>
      </c>
      <c r="R5" s="85">
        <v>46177.0</v>
      </c>
      <c r="S5" s="113">
        <f>IF(OR(ISBLANK($B5),ISBLANK($R5)),"",IFERROR(IF($R5&lt;=DATE('ESTADO CONTABLE'!$B$2,6,5),VLOOKUP($B5,COSTOS!$A$2:$B1014,2,FALSE)-150,VLOOKUP($B5,COSTOS!$A$2:$B1014,2,FALSE)),"No encontrado o error"))</f>
        <v>950</v>
      </c>
      <c r="T5" s="106" t="s">
        <v>137</v>
      </c>
      <c r="U5" s="85">
        <v>46204.0</v>
      </c>
      <c r="V5" s="113">
        <f>IF(OR(ISBLANK($B5),ISBLANK($U5)),"",IFERROR(IF($U5&lt;=DATE('ESTADO CONTABLE'!$B$2,7,5),VLOOKUP($B5,COSTOS!$A$2:$B1014,2,FALSE)-150,VLOOKUP($B5,COSTOS!$A$2:$B1014,2,FALSE)),"No encontrado o error"))</f>
        <v>950</v>
      </c>
      <c r="W5" s="106" t="s">
        <v>137</v>
      </c>
      <c r="X5" s="114">
        <v>46244.0</v>
      </c>
      <c r="Y5" s="116">
        <f>IF(OR(ISBLANK($B5),ISBLANK($X5)),"",IFERROR(IF($X5&lt;=DATE('ESTADO CONTABLE'!$B$2,8,5),VLOOKUP($B5,COSTOS!$A$2:$B1014,2,FALSE)-150,VLOOKUP($B5,COSTOS!$A$2:$B1014,2,FALSE)),"No encontrado o error"))</f>
        <v>1100</v>
      </c>
      <c r="Z5" s="117" t="s">
        <v>137</v>
      </c>
      <c r="AA5" s="114">
        <v>46269.0</v>
      </c>
      <c r="AB5" s="118">
        <f>IF(OR(ISBLANK($B5),ISBLANK($AA5)),"",IFERROR(IF($AA5&lt;=DATE('ESTADO CONTABLE'!$B$2,9,5),VLOOKUP($B5,COSTOS!$A$2:$B1014,2,FALSE)-150,VLOOKUP($B5,COSTOS!$A$2:$B1014,2,FALSE)),"No encontrado o error"))</f>
        <v>950</v>
      </c>
      <c r="AC5" s="120" t="s">
        <v>137</v>
      </c>
      <c r="AD5" s="114">
        <v>46300.0</v>
      </c>
      <c r="AE5" s="116">
        <f>IF(OR(ISBLANK($B5),ISBLANK($AD5)),"",IFERROR(IF($AD5&lt;=DATE('ESTADO CONTABLE'!$B$2,10,5),VLOOKUP($B5,COSTOS!$A$2:$B1014,2,FALSE)-150,VLOOKUP($B5,COSTOS!$A$2:$B1014,2,FALSE)),"No encontrado o error"))</f>
        <v>950</v>
      </c>
      <c r="AF5" s="120" t="s">
        <v>137</v>
      </c>
      <c r="AG5" s="114"/>
      <c r="AH5" s="116" t="str">
        <f>IF(OR(ISBLANK($B5),ISBLANK($AG5)),"",IFERROR(IF($AG5&lt;=DATE('ESTADO CONTABLE'!$B$2,11,5),VLOOKUP($B5,COSTOS!$A$2:$B1014,2,FALSE)-150,VLOOKUP($B5,COSTOS!$A$2:$B1014,2,FALSE)),"No encontrado o error"))</f>
        <v/>
      </c>
      <c r="AI5" s="122"/>
      <c r="AJ5" s="114"/>
      <c r="AK5" s="116" t="str">
        <f>IF(OR(ISBLANK($B5),ISBLANK($AJ5)),"",IFERROR(IF($AJ5&lt;=DATE('ESTADO CONTABLE'!$B$2,12,5),VLOOKUP($B5,COSTOS!$A$2:$B1014,2,FALSE)-150,VLOOKUP($B5,COSTOS!$A$2:$B1014,2,FALSE)),"No encontrado o error"))</f>
        <v/>
      </c>
      <c r="AL5" s="122"/>
      <c r="AM5" s="127" t="s">
        <v>58</v>
      </c>
      <c r="AN5" s="130">
        <f>SUM(P:P)</f>
        <v>34550</v>
      </c>
      <c r="AO5" s="133">
        <f t="shared" si="1"/>
        <v>29784.48276</v>
      </c>
      <c r="AP5" s="134"/>
      <c r="AQ5" s="134"/>
      <c r="AR5" s="134"/>
      <c r="AS5" s="134"/>
      <c r="AT5" s="134"/>
      <c r="AU5" s="134"/>
      <c r="AV5" s="134"/>
      <c r="AW5" s="134"/>
      <c r="AX5" s="134"/>
      <c r="AY5" s="134"/>
    </row>
    <row r="6" ht="22.5" customHeight="1">
      <c r="A6" s="82" t="str">
        <f>'BASE DE DATOSS'!A6</f>
        <v>CARLA VALENTINA GUZMÁN DELGADO</v>
      </c>
      <c r="B6" s="83" t="str">
        <f>'BASE DE DATOSS'!C6</f>
        <v>5 DIAS KIDS</v>
      </c>
      <c r="C6" s="84" t="s">
        <v>286</v>
      </c>
      <c r="D6" s="85">
        <v>46027.0</v>
      </c>
      <c r="E6" s="86">
        <f>IF(OR(ISBLANK($B6),ISBLANK($D6)),"",IFERROR(IF($D6&lt;=DATE('ESTADO CONTABLE'!$B$2,1,5),VLOOKUP($B6,COSTOS!$A$2:$B1014,2,FALSE)-150,VLOOKUP($B6,COSTOS!$A$2:$B1014,2,FALSE)),"No encontrado o error"))</f>
        <v>1300</v>
      </c>
      <c r="F6" s="87">
        <v>46057.0</v>
      </c>
      <c r="G6" s="93">
        <f>IF(OR(ISBLANK($B6),ISBLANK($F6)),"",IFERROR(IF($F6&lt;=DATE('ESTADO CONTABLE'!$B$2,2,5),VLOOKUP($B6,COSTOS!$A$2:$B1014,2,FALSE)-150,VLOOKUP($B6,COSTOS!$A$2:$B1014,2,FALSE)),"No encontrado o error"))</f>
        <v>1300</v>
      </c>
      <c r="H6" s="95" t="s">
        <v>262</v>
      </c>
      <c r="I6" s="85">
        <v>46086.0</v>
      </c>
      <c r="J6" s="101">
        <f>IF(OR(ISBLANK($B6),ISBLANK($I6)),"",IFERROR(IF($I6&lt;=DATE('ESTADO CONTABLE'!$B$2,3,5),VLOOKUP($B6,COSTOS!$A$2:$B1014,2,FALSE)-150,VLOOKUP($B6,COSTOS!$A$2:$B1014,2,FALSE)),"No encontrado o error"))</f>
        <v>1300</v>
      </c>
      <c r="K6" s="106" t="s">
        <v>292</v>
      </c>
      <c r="L6" s="85">
        <v>46114.0</v>
      </c>
      <c r="M6" s="86">
        <f>IF(OR(ISBLANK($B6),ISBLANK($L6)),"",IFERROR(IF($L6&lt;=DATE('ESTADO CONTABLE'!$B$2,4,5),VLOOKUP($B6,COSTOS!$A$2:$B1014,2,FALSE)-150,VLOOKUP($B6,COSTOS!$A$2:$B1014,2,FALSE)),"No encontrado o error"))</f>
        <v>1300</v>
      </c>
      <c r="N6" s="106" t="s">
        <v>128</v>
      </c>
      <c r="O6" s="85">
        <v>46147.0</v>
      </c>
      <c r="P6" s="113">
        <f>IF(OR(ISBLANK($B6),ISBLANK($O6)),"",IFERROR(IF($O6&lt;=DATE('ESTADO CONTABLE'!$B$2,5,5),VLOOKUP($B6,COSTOS!$A$2:$B1014,2,FALSE)-150,VLOOKUP($B6,COSTOS!$A$2:$B1014,2,FALSE)),"No encontrado o error"))</f>
        <v>1300</v>
      </c>
      <c r="Q6" s="106" t="s">
        <v>292</v>
      </c>
      <c r="R6" s="85">
        <v>46175.0</v>
      </c>
      <c r="S6" s="113">
        <f>IF(OR(ISBLANK($B6),ISBLANK($R6)),"",IFERROR(IF($R6&lt;=DATE('ESTADO CONTABLE'!$B$2,6,5),VLOOKUP($B6,COSTOS!$A$2:$B1014,2,FALSE)-150,VLOOKUP($B6,COSTOS!$A$2:$B1014,2,FALSE)),"No encontrado o error"))</f>
        <v>1300</v>
      </c>
      <c r="T6" s="106" t="s">
        <v>292</v>
      </c>
      <c r="U6" s="85">
        <v>46204.0</v>
      </c>
      <c r="V6" s="113">
        <f>IF(OR(ISBLANK($B6),ISBLANK($U6)),"",IFERROR(IF($U6&lt;=DATE('ESTADO CONTABLE'!$B$2,7,5),VLOOKUP($B6,COSTOS!$A$2:$B1014,2,FALSE)-150,VLOOKUP($B6,COSTOS!$A$2:$B1014,2,FALSE)),"No encontrado o error"))</f>
        <v>1300</v>
      </c>
      <c r="W6" s="106" t="s">
        <v>292</v>
      </c>
      <c r="X6" s="148">
        <v>46239.0</v>
      </c>
      <c r="Y6" s="116">
        <f>IF(OR(ISBLANK($B6),ISBLANK($X6)),"",IFERROR(IF($X6&lt;=DATE('ESTADO CONTABLE'!$B$2,8,5),VLOOKUP($B6,COSTOS!$A$2:$B1014,2,FALSE)-150,VLOOKUP($B6,COSTOS!$A$2:$B1014,2,FALSE)),"No encontrado o error"))</f>
        <v>1300</v>
      </c>
      <c r="Z6" s="149" t="s">
        <v>137</v>
      </c>
      <c r="AA6" s="148">
        <v>46268.0</v>
      </c>
      <c r="AB6" s="118">
        <f>IF(OR(ISBLANK($B6),ISBLANK($AA6)),"",IFERROR(IF($AA6&lt;=DATE('ESTADO CONTABLE'!$B$2,9,5),VLOOKUP($B6,COSTOS!$A$2:$B1014,2,FALSE)-150,VLOOKUP($B6,COSTOS!$A$2:$B1014,2,FALSE)),"No encontrado o error"))</f>
        <v>1300</v>
      </c>
      <c r="AC6" s="150" t="s">
        <v>292</v>
      </c>
      <c r="AD6" s="148">
        <v>46300.0</v>
      </c>
      <c r="AE6" s="116">
        <f>IF(OR(ISBLANK($B6),ISBLANK($AD6)),"",IFERROR(IF($AD6&lt;=DATE('ESTADO CONTABLE'!$B$2,10,5),VLOOKUP($B6,COSTOS!$A$2:$B1014,2,FALSE)-150,VLOOKUP($B6,COSTOS!$A$2:$B1014,2,FALSE)),"No encontrado o error"))</f>
        <v>1300</v>
      </c>
      <c r="AF6" s="150" t="s">
        <v>128</v>
      </c>
      <c r="AG6" s="148"/>
      <c r="AH6" s="116" t="str">
        <f>IF(OR(ISBLANK($B6),ISBLANK($AG6)),"",IFERROR(IF($AG6&lt;=DATE('ESTADO CONTABLE'!$B$2,11,5),VLOOKUP($B6,COSTOS!$A$2:$B1014,2,FALSE)-150,VLOOKUP($B6,COSTOS!$A$2:$B1014,2,FALSE)),"No encontrado o error"))</f>
        <v/>
      </c>
      <c r="AI6" s="151"/>
      <c r="AJ6" s="148"/>
      <c r="AK6" s="116" t="str">
        <f>IF(OR(ISBLANK($B6),ISBLANK($AJ6)),"",IFERROR(IF($AJ6&lt;=DATE('ESTADO CONTABLE'!$B$2,12,5),VLOOKUP($B6,COSTOS!$A$2:$B1014,2,FALSE)-150,VLOOKUP($B6,COSTOS!$A$2:$B1014,2,FALSE)),"No encontrado o error"))</f>
        <v/>
      </c>
      <c r="AL6" s="151"/>
      <c r="AM6" s="161" t="s">
        <v>310</v>
      </c>
      <c r="AN6" s="130">
        <f>SUM(S:S)</f>
        <v>38950</v>
      </c>
      <c r="AO6" s="133">
        <f t="shared" si="1"/>
        <v>33577.58621</v>
      </c>
      <c r="AP6" s="134"/>
      <c r="AQ6" s="134"/>
      <c r="AR6" s="134"/>
      <c r="AS6" s="134"/>
      <c r="AT6" s="134"/>
      <c r="AU6" s="134"/>
      <c r="AV6" s="134"/>
      <c r="AW6" s="134"/>
      <c r="AX6" s="134"/>
      <c r="AY6" s="134"/>
    </row>
    <row r="7" ht="22.5" customHeight="1">
      <c r="A7" s="82" t="str">
        <f>'BASE DE DATOSS'!A7</f>
        <v>DANIELA AGUILAR CAZORLA</v>
      </c>
      <c r="B7" s="83" t="str">
        <f>'BASE DE DATOSS'!C7</f>
        <v>ADULTS 2</v>
      </c>
      <c r="C7" s="84" t="s">
        <v>317</v>
      </c>
      <c r="D7" s="85">
        <v>46040.0</v>
      </c>
      <c r="E7" s="86">
        <f>IF(OR(ISBLANK($B7),ISBLANK($D7)),"",IFERROR(IF($D7&lt;=DATE('ESTADO CONTABLE'!$B$2,1,5),VLOOKUP($B7,COSTOS!$A$2:$B1014,2,FALSE)-150,VLOOKUP($B7,COSTOS!$A$2:$B1014,2,FALSE)),"No encontrado o error"))</f>
        <v>1100</v>
      </c>
      <c r="F7" s="87">
        <v>46078.0</v>
      </c>
      <c r="G7" s="93">
        <f>IF(OR(ISBLANK($B7),ISBLANK($F7)),"",IFERROR(IF($F7&lt;=DATE('ESTADO CONTABLE'!$B$2,2,5),VLOOKUP($B7,COSTOS!$A$2:$B1014,2,FALSE)-150,VLOOKUP($B7,COSTOS!$A$2:$B1014,2,FALSE)),"No encontrado o error"))</f>
        <v>1100</v>
      </c>
      <c r="H7" s="95" t="s">
        <v>112</v>
      </c>
      <c r="I7" s="85">
        <v>46108.0</v>
      </c>
      <c r="J7" s="101">
        <f>IF(OR(ISBLANK($B7),ISBLANK($I7)),"",IFERROR(IF($I7&lt;=DATE('ESTADO CONTABLE'!$B$2,3,5),VLOOKUP($B7,COSTOS!$A$2:$B1014,2,FALSE)-150,VLOOKUP($B7,COSTOS!$A$2:$B1014,2,FALSE)),"No encontrado o error"))</f>
        <v>1100</v>
      </c>
      <c r="K7" s="106" t="s">
        <v>128</v>
      </c>
      <c r="L7" s="85">
        <v>46127.0</v>
      </c>
      <c r="M7" s="86">
        <f>IF(OR(ISBLANK($B7),ISBLANK($L7)),"",IFERROR(IF($L7&lt;=DATE('ESTADO CONTABLE'!$B$2,4,5),VLOOKUP($B7,COSTOS!$A$2:$B1014,2,FALSE)-150,VLOOKUP($B7,COSTOS!$A$2:$B1014,2,FALSE)),"No encontrado o error"))</f>
        <v>1100</v>
      </c>
      <c r="N7" s="106" t="s">
        <v>128</v>
      </c>
      <c r="O7" s="85">
        <v>46160.0</v>
      </c>
      <c r="P7" s="113">
        <f>IF(OR(ISBLANK($B7),ISBLANK($O7)),"",IFERROR(IF($O7&lt;=DATE('ESTADO CONTABLE'!$B$2,5,5),VLOOKUP($B7,COSTOS!$A$2:$B1014,2,FALSE)-150,VLOOKUP($B7,COSTOS!$A$2:$B1014,2,FALSE)),"No encontrado o error"))</f>
        <v>1100</v>
      </c>
      <c r="Q7" s="106" t="s">
        <v>128</v>
      </c>
      <c r="R7" s="85">
        <v>46191.0</v>
      </c>
      <c r="S7" s="113">
        <f>IF(OR(ISBLANK($B7),ISBLANK($R7)),"",IFERROR(IF($R7&lt;=DATE('ESTADO CONTABLE'!$B$2,6,5),VLOOKUP($B7,COSTOS!$A$2:$B1014,2,FALSE)-150,VLOOKUP($B7,COSTOS!$A$2:$B1014,2,FALSE)),"No encontrado o error"))</f>
        <v>1100</v>
      </c>
      <c r="T7" s="106" t="s">
        <v>128</v>
      </c>
      <c r="U7" s="85">
        <v>46233.0</v>
      </c>
      <c r="V7" s="113">
        <f>IF(OR(ISBLANK($B7),ISBLANK($U7)),"",IFERROR(IF($U7&lt;=DATE('ESTADO CONTABLE'!$B$2,7,5),VLOOKUP($B7,COSTOS!$A$2:$B1014,2,FALSE)-150,VLOOKUP($B7,COSTOS!$A$2:$B1014,2,FALSE)),"No encontrado o error"))</f>
        <v>1100</v>
      </c>
      <c r="W7" s="106" t="s">
        <v>128</v>
      </c>
      <c r="X7" s="114">
        <v>46265.0</v>
      </c>
      <c r="Y7" s="116">
        <f>IF(OR(ISBLANK($B7),ISBLANK($X7)),"",IFERROR(IF($X7&lt;=DATE('ESTADO CONTABLE'!$B$2,8,5),VLOOKUP($B7,COSTOS!$A$2:$B1014,2,FALSE)-150,VLOOKUP($B7,COSTOS!$A$2:$B1014,2,FALSE)),"No encontrado o error"))</f>
        <v>1100</v>
      </c>
      <c r="Z7" s="117" t="s">
        <v>128</v>
      </c>
      <c r="AA7" s="114">
        <v>46295.0</v>
      </c>
      <c r="AB7" s="118">
        <f>IF(OR(ISBLANK($B7),ISBLANK($AA7)),"",IFERROR(IF($AA7&lt;=DATE('ESTADO CONTABLE'!$B$2,9,5),VLOOKUP($B7,COSTOS!$A$2:$B1014,2,FALSE)-150,VLOOKUP($B7,COSTOS!$A$2:$B1014,2,FALSE)),"No encontrado o error"))</f>
        <v>1100</v>
      </c>
      <c r="AC7" s="120" t="s">
        <v>128</v>
      </c>
      <c r="AD7" s="165"/>
      <c r="AE7" s="116" t="str">
        <f>IF(OR(ISBLANK($B7),ISBLANK($AD7)),"",IFERROR(IF($AD7&lt;=DATE('ESTADO CONTABLE'!$B$2,10,5),VLOOKUP($B7,COSTOS!$A$2:$B1014,2,FALSE)-150,VLOOKUP($B7,COSTOS!$A$2:$B1014,2,FALSE)),"No encontrado o error"))</f>
        <v/>
      </c>
      <c r="AF7" s="166"/>
      <c r="AG7" s="165"/>
      <c r="AH7" s="116" t="str">
        <f>IF(OR(ISBLANK($B7),ISBLANK($AG7)),"",IFERROR(IF($AG7&lt;=DATE('ESTADO CONTABLE'!$B$2,11,5),VLOOKUP($B7,COSTOS!$A$2:$B1014,2,FALSE)-150,VLOOKUP($B7,COSTOS!$A$2:$B1014,2,FALSE)),"No encontrado o error"))</f>
        <v/>
      </c>
      <c r="AI7" s="166"/>
      <c r="AJ7" s="165"/>
      <c r="AK7" s="116" t="str">
        <f>IF(OR(ISBLANK($B7),ISBLANK($AJ7)),"",IFERROR(IF($AJ7&lt;=DATE('ESTADO CONTABLE'!$B$2,12,5),VLOOKUP($B7,COSTOS!$A$2:$B1014,2,FALSE)-150,VLOOKUP($B7,COSTOS!$A$2:$B1014,2,FALSE)),"No encontrado o error"))</f>
        <v/>
      </c>
      <c r="AL7" s="166"/>
      <c r="AM7" s="127" t="s">
        <v>68</v>
      </c>
      <c r="AN7" s="130">
        <f>SUM(V2:V46)</f>
        <v>39240</v>
      </c>
      <c r="AO7" s="133">
        <f t="shared" si="1"/>
        <v>33827.58621</v>
      </c>
      <c r="AP7" s="134"/>
      <c r="AQ7" s="134"/>
      <c r="AR7" s="134"/>
      <c r="AS7" s="134"/>
      <c r="AT7" s="134"/>
      <c r="AU7" s="134"/>
      <c r="AV7" s="134"/>
      <c r="AW7" s="134"/>
      <c r="AX7" s="134"/>
      <c r="AY7" s="134"/>
    </row>
    <row r="8" ht="22.5" customHeight="1">
      <c r="A8" s="82" t="str">
        <f>'BASE DE DATOSS'!A8</f>
        <v>DARIANA RODRIGUEZ SANCHEZ</v>
      </c>
      <c r="B8" s="83" t="str">
        <f>'BASE DE DATOSS'!C8</f>
        <v>MATUTINO</v>
      </c>
      <c r="C8" s="84" t="s">
        <v>286</v>
      </c>
      <c r="D8" s="85">
        <v>46036.0</v>
      </c>
      <c r="E8" s="86">
        <f>IF(OR(ISBLANK($B8),ISBLANK($D8)),"",IFERROR(IF($D8&lt;=DATE('ESTADO CONTABLE'!$B$2,1,5),VLOOKUP($B8,COSTOS!$A$2:$B1014,2,FALSE)-150,VLOOKUP($B8,COSTOS!$A$2:$B1014,2,FALSE)),"No encontrado o error"))</f>
        <v>1100</v>
      </c>
      <c r="F8" s="87">
        <v>46058.0</v>
      </c>
      <c r="G8" s="93">
        <f>IF(OR(ISBLANK($B8),ISBLANK($F8)),"",IFERROR(IF($F8&lt;=DATE('ESTADO CONTABLE'!$B$2,2,5),VLOOKUP($B8,COSTOS!$A$2:$B1014,2,FALSE)-150,VLOOKUP($B8,COSTOS!$A$2:$B1014,2,FALSE)),"No encontrado o error"))</f>
        <v>950</v>
      </c>
      <c r="H8" s="95" t="s">
        <v>112</v>
      </c>
      <c r="I8" s="85">
        <v>46087.0</v>
      </c>
      <c r="J8" s="101">
        <v>780.0</v>
      </c>
      <c r="K8" s="106" t="s">
        <v>137</v>
      </c>
      <c r="L8" s="85">
        <v>46117.0</v>
      </c>
      <c r="M8" s="86">
        <f>IF(OR(ISBLANK($B8),ISBLANK($L8)),"",IFERROR(IF($L8&lt;=DATE('ESTADO CONTABLE'!$B$2,4,5),VLOOKUP($B8,COSTOS!$A$2:$B1014,2,FALSE)-150,VLOOKUP($B8,COSTOS!$A$2:$B1014,2,FALSE)),"No encontrado o error"))</f>
        <v>950</v>
      </c>
      <c r="N8" s="106" t="s">
        <v>128</v>
      </c>
      <c r="O8" s="85">
        <v>46147.0</v>
      </c>
      <c r="P8" s="113">
        <f>IF(OR(ISBLANK($B8),ISBLANK($O8)),"",IFERROR(IF($O8&lt;=DATE('ESTADO CONTABLE'!$B$2,5,5),VLOOKUP($B8,COSTOS!$A$2:$B1014,2,FALSE)-150,VLOOKUP($B8,COSTOS!$A$2:$B1014,2,FALSE)),"No encontrado o error"))</f>
        <v>950</v>
      </c>
      <c r="Q8" s="106" t="s">
        <v>128</v>
      </c>
      <c r="R8" s="85"/>
      <c r="S8" s="113" t="str">
        <f>IF(OR(ISBLANK($B8),ISBLANK($R8)),"",IFERROR(IF($R8&lt;=DATE('ESTADO CONTABLE'!$B$2,6,5),VLOOKUP($B8,COSTOS!$A$2:$B1014,2,FALSE)-150,VLOOKUP($B8,COSTOS!$A$2:$B1014,2,FALSE)),"No encontrado o error"))</f>
        <v/>
      </c>
      <c r="T8" s="106"/>
      <c r="U8" s="85"/>
      <c r="V8" s="113" t="str">
        <f>IF(OR(ISBLANK($B8),ISBLANK($U8)),"",IFERROR(IF($U8&lt;=DATE('ESTADO CONTABLE'!$B$2,7,5),VLOOKUP($B8,COSTOS!$A$2:$B1014,2,FALSE)-150,VLOOKUP($B8,COSTOS!$A$2:$B1014,2,FALSE)),"No encontrado o error"))</f>
        <v/>
      </c>
      <c r="W8" s="168"/>
      <c r="X8" s="169">
        <v>46239.0</v>
      </c>
      <c r="Y8" s="116">
        <f>IF(OR(ISBLANK($B8),ISBLANK($X8)),"",IFERROR(IF($X8&lt;=DATE('ESTADO CONTABLE'!$B$2,8,5),VLOOKUP($B8,COSTOS!$A$2:$B1014,2,FALSE)-150,VLOOKUP($B8,COSTOS!$A$2:$B1014,2,FALSE)),"No encontrado o error"))</f>
        <v>950</v>
      </c>
      <c r="Z8" s="172" t="s">
        <v>128</v>
      </c>
      <c r="AA8" s="169">
        <v>46270.0</v>
      </c>
      <c r="AB8" s="118">
        <f>IF(OR(ISBLANK($B8),ISBLANK($AA8)),"",IFERROR(IF($AA8&lt;=DATE('ESTADO CONTABLE'!$B$2,9,5),VLOOKUP($B8,COSTOS!$A$2:$B1014,2,FALSE)-150,VLOOKUP($B8,COSTOS!$A$2:$B1014,2,FALSE)),"No encontrado o error"))</f>
        <v>950</v>
      </c>
      <c r="AC8" s="172" t="s">
        <v>128</v>
      </c>
      <c r="AD8" s="169">
        <v>46300.0</v>
      </c>
      <c r="AE8" s="178">
        <v>950.0</v>
      </c>
      <c r="AF8" s="179" t="s">
        <v>128</v>
      </c>
      <c r="AG8" s="169"/>
      <c r="AH8" s="116" t="str">
        <f>IF(OR(ISBLANK($B8),ISBLANK($AG8)),"",IFERROR(IF($AG8&lt;=DATE('ESTADO CONTABLE'!$B$2,11,5),VLOOKUP($B8,COSTOS!$A$2:$B1014,2,FALSE)-150,VLOOKUP($B8,COSTOS!$A$2:$B1014,2,FALSE)),"No encontrado o error"))</f>
        <v/>
      </c>
      <c r="AI8" s="179"/>
      <c r="AJ8" s="169"/>
      <c r="AK8" s="116" t="str">
        <f>IF(OR(ISBLANK($B8),ISBLANK($AJ8)),"",IFERROR(IF($AJ8&lt;=DATE('ESTADO CONTABLE'!$B$2,12,5),VLOOKUP($B8,COSTOS!$A$2:$B1014,2,FALSE)-150,VLOOKUP($B8,COSTOS!$A$2:$B1014,2,FALSE)),"No encontrado o error"))</f>
        <v/>
      </c>
      <c r="AL8" s="179"/>
      <c r="AM8" s="127" t="s">
        <v>73</v>
      </c>
      <c r="AN8" s="130">
        <f>SUM(Y:Y)</f>
        <v>48050</v>
      </c>
      <c r="AO8" s="133">
        <f t="shared" si="1"/>
        <v>41422.41379</v>
      </c>
      <c r="AP8" s="134"/>
      <c r="AQ8" s="134"/>
      <c r="AR8" s="134"/>
      <c r="AS8" s="134"/>
      <c r="AT8" s="134"/>
      <c r="AU8" s="134"/>
      <c r="AV8" s="134"/>
      <c r="AW8" s="134"/>
      <c r="AX8" s="134"/>
      <c r="AY8" s="134"/>
    </row>
    <row r="9" ht="22.5" customHeight="1">
      <c r="A9" s="82" t="str">
        <f>'BASE DE DATOSS'!A9</f>
        <v>MIA ISABELLA CHAVEZ ARELLANO</v>
      </c>
      <c r="B9" s="83" t="str">
        <f>'BASE DE DATOSS'!C9</f>
        <v>SABATINO</v>
      </c>
      <c r="C9" s="84" t="s">
        <v>370</v>
      </c>
      <c r="D9" s="85">
        <v>46023.0</v>
      </c>
      <c r="E9" s="86">
        <f>IF(OR(ISBLANK($B9),ISBLANK($D9)),"",IFERROR(IF($D9&lt;=DATE('ESTADO CONTABLE'!$B$2,1,5),VLOOKUP($B9,COSTOS!$A$2:$B1014,2,FALSE)-150,VLOOKUP($B9,COSTOS!$A$2:$B1014,2,FALSE)),"No encontrado o error"))</f>
        <v>550</v>
      </c>
      <c r="F9" s="183">
        <v>46054.0</v>
      </c>
      <c r="G9" s="93">
        <f>IF(OR(ISBLANK($B9),ISBLANK($F9)),"",IFERROR(IF($F9&lt;=DATE('ESTADO CONTABLE'!$B$2,2,5),VLOOKUP($B9,COSTOS!$A$2:$B1014,2,FALSE)-150,VLOOKUP($B9,COSTOS!$A$2:$B1014,2,FALSE)),"No encontrado o error"))</f>
        <v>550</v>
      </c>
      <c r="H9" s="95" t="s">
        <v>112</v>
      </c>
      <c r="I9" s="85">
        <v>46084.0</v>
      </c>
      <c r="J9" s="101">
        <f>IF(OR(ISBLANK($B9),ISBLANK($I9)),"",IFERROR(IF($I9&lt;=DATE('ESTADO CONTABLE'!$B$2,3,5),VLOOKUP($B9,COSTOS!$A$2:$B1014,2,FALSE)-150,VLOOKUP($B9,COSTOS!$A$2:$B1014,2,FALSE)),"No encontrado o error"))</f>
        <v>550</v>
      </c>
      <c r="K9" s="106" t="s">
        <v>128</v>
      </c>
      <c r="L9" s="185">
        <v>46116.0</v>
      </c>
      <c r="M9" s="86">
        <f>IF(OR(ISBLANK($B9),ISBLANK($L9)),"",IFERROR(IF($L9&lt;=DATE('ESTADO CONTABLE'!$B$2,4,5),VLOOKUP($B9,COSTOS!$A$2:$B1014,2,FALSE)-150,VLOOKUP($B9,COSTOS!$A$2:$B1014,2,FALSE)),"No encontrado o error"))</f>
        <v>550</v>
      </c>
      <c r="N9" s="106" t="s">
        <v>128</v>
      </c>
      <c r="O9" s="185">
        <v>46148.0</v>
      </c>
      <c r="P9" s="113">
        <f>IF(OR(ISBLANK($B9),ISBLANK($O9)),"",IFERROR(IF($O9&lt;=DATE('ESTADO CONTABLE'!$B$2,5,5),VLOOKUP($B9,COSTOS!$A$2:$B1014,2,FALSE)-150,VLOOKUP($B9,COSTOS!$A$2:$B1014,2,FALSE)),"No encontrado o error"))</f>
        <v>700</v>
      </c>
      <c r="Q9" s="106" t="s">
        <v>128</v>
      </c>
      <c r="R9" s="185">
        <v>46176.0</v>
      </c>
      <c r="S9" s="113">
        <f>IF(OR(ISBLANK($B9),ISBLANK($R9)),"",IFERROR(IF($R9&lt;=DATE('ESTADO CONTABLE'!$B$2,6,5),VLOOKUP($B9,COSTOS!$A$2:$B1014,2,FALSE)-150,VLOOKUP($B9,COSTOS!$A$2:$B1014,2,FALSE)),"No encontrado o error"))</f>
        <v>550</v>
      </c>
      <c r="T9" s="106" t="s">
        <v>128</v>
      </c>
      <c r="U9" s="185">
        <v>46204.0</v>
      </c>
      <c r="V9" s="86">
        <v>1100.0</v>
      </c>
      <c r="W9" s="106" t="s">
        <v>128</v>
      </c>
      <c r="X9" s="114">
        <v>46208.0</v>
      </c>
      <c r="Y9" s="178">
        <v>550.0</v>
      </c>
      <c r="Z9" s="117" t="s">
        <v>128</v>
      </c>
      <c r="AA9" s="114">
        <v>46266.0</v>
      </c>
      <c r="AB9" s="118">
        <f>IF(OR(ISBLANK($B9),ISBLANK($AA9)),"",IFERROR(IF($AA9&lt;=DATE('ESTADO CONTABLE'!$B$2,9,5),VLOOKUP($B9,COSTOS!$A$2:$B1014,2,FALSE)-150,VLOOKUP($B9,COSTOS!$A$2:$B1014,2,FALSE)),"No encontrado o error"))</f>
        <v>550</v>
      </c>
      <c r="AC9" s="120" t="s">
        <v>128</v>
      </c>
      <c r="AD9" s="114">
        <v>46298.0</v>
      </c>
      <c r="AE9" s="178">
        <f>IF(OR(ISBLANK($B9),ISBLANK($AD9)),"",IFERROR(IF($AD9&lt;=DATE('ESTADO CONTABLE'!$B$2,10,5),VLOOKUP($B9,COSTOS!$A$2:$B1014,2,FALSE)-150,VLOOKUP($B9,COSTOS!$A$2:$B1014,2,FALSE)),"No encontrado o error"))</f>
        <v>550</v>
      </c>
      <c r="AF9" s="120" t="s">
        <v>128</v>
      </c>
      <c r="AG9" s="114"/>
      <c r="AH9" s="178" t="str">
        <f>IF(OR(ISBLANK($B9),ISBLANK($AG9)),"",IFERROR(IF($AG9&lt;=DATE('ESTADO CONTABLE'!$B$2,11,5),VLOOKUP($B9,COSTOS!$A$2:$B1014,2,FALSE)-150,VLOOKUP($B9,COSTOS!$A$2:$B1014,2,FALSE)),"No encontrado o error"))</f>
        <v/>
      </c>
      <c r="AI9" s="122"/>
      <c r="AJ9" s="114"/>
      <c r="AK9" s="178" t="str">
        <f>IF(OR(ISBLANK($B9),ISBLANK($AJ9)),"",IFERROR(IF($AJ9&lt;=DATE('ESTADO CONTABLE'!$B$2,12,5),VLOOKUP($B9,COSTOS!$A$2:$B1014,2,FALSE)-150,VLOOKUP($B9,COSTOS!$A$2:$B1014,2,FALSE)),"No encontrado o error"))</f>
        <v/>
      </c>
      <c r="AL9" s="122"/>
      <c r="AM9" s="127" t="s">
        <v>76</v>
      </c>
      <c r="AN9" s="130"/>
      <c r="AO9" s="133">
        <f t="shared" si="1"/>
        <v>0</v>
      </c>
      <c r="AP9" s="134"/>
      <c r="AQ9" s="134"/>
      <c r="AR9" s="134"/>
      <c r="AS9" s="134"/>
      <c r="AT9" s="134"/>
      <c r="AU9" s="134"/>
      <c r="AV9" s="134"/>
      <c r="AW9" s="134"/>
      <c r="AX9" s="134"/>
      <c r="AY9" s="134"/>
    </row>
    <row r="10" ht="22.5" customHeight="1">
      <c r="A10" s="82" t="str">
        <f>'BASE DE DATOSS'!A10</f>
        <v>OXANA VILLALOBOS</v>
      </c>
      <c r="B10" s="83" t="str">
        <f>'BASE DE DATOSS'!C10</f>
        <v>ADULTS 1</v>
      </c>
      <c r="C10" s="84" t="s">
        <v>317</v>
      </c>
      <c r="D10" s="85">
        <v>46052.0</v>
      </c>
      <c r="E10" s="86">
        <f>IF(OR(ISBLANK($B10),ISBLANK($D10)),"",IFERROR(IF($D10&lt;=DATE('ESTADO CONTABLE'!$B$2,1,5),VLOOKUP($B10,COSTOS!$A$2:$B1014,2,FALSE)-150,VLOOKUP($B10,COSTOS!$A$2:$B1014,2,FALSE)),"No encontrado o error"))</f>
        <v>1300</v>
      </c>
      <c r="F10" s="87">
        <v>46078.0</v>
      </c>
      <c r="G10" s="93">
        <f>IF(OR(ISBLANK($B10),ISBLANK($F10)),"",IFERROR(IF($F10&lt;=DATE('ESTADO CONTABLE'!$B$2,2,5),VLOOKUP($B10,COSTOS!$A$2:$B1014,2,FALSE)-150,VLOOKUP($B10,COSTOS!$A$2:$B1014,2,FALSE)),"No encontrado o error"))</f>
        <v>1300</v>
      </c>
      <c r="H10" s="95" t="s">
        <v>375</v>
      </c>
      <c r="I10" s="85">
        <v>46108.0</v>
      </c>
      <c r="J10" s="101">
        <f>IF(OR(ISBLANK($B10),ISBLANK($I10)),"",IFERROR(IF($I10&lt;=DATE('ESTADO CONTABLE'!$B$2,3,5),VLOOKUP($B10,COSTOS!$A$2:$B1014,2,FALSE)-150,VLOOKUP($B10,COSTOS!$A$2:$B1014,2,FALSE)),"No encontrado o error"))</f>
        <v>1300</v>
      </c>
      <c r="K10" s="106" t="s">
        <v>292</v>
      </c>
      <c r="L10" s="85">
        <v>46142.0</v>
      </c>
      <c r="M10" s="86">
        <f>IF(OR(ISBLANK($B10),ISBLANK($L10)),"",IFERROR(IF($L10&lt;=DATE('ESTADO CONTABLE'!$B$2,4,5),VLOOKUP($B10,COSTOS!$A$2:$B1014,2,FALSE)-150,VLOOKUP($B10,COSTOS!$A$2:$B1014,2,FALSE)),"No encontrado o error"))</f>
        <v>1300</v>
      </c>
      <c r="N10" s="106" t="s">
        <v>292</v>
      </c>
      <c r="O10" s="85">
        <v>46164.0</v>
      </c>
      <c r="P10" s="113">
        <f>IF(OR(ISBLANK($B10),ISBLANK($O10)),"",IFERROR(IF($O10&lt;=DATE('ESTADO CONTABLE'!$B$2,5,5),VLOOKUP($B10,COSTOS!$A$2:$B1014,2,FALSE)-150,VLOOKUP($B10,COSTOS!$A$2:$B1014,2,FALSE)),"No encontrado o error"))</f>
        <v>1300</v>
      </c>
      <c r="Q10" s="106" t="s">
        <v>292</v>
      </c>
      <c r="R10" s="85">
        <v>46192.0</v>
      </c>
      <c r="S10" s="113">
        <f>IF(OR(ISBLANK($B10),ISBLANK($R10)),"",IFERROR(IF($R10&lt;=DATE('ESTADO CONTABLE'!$B$2,6,5),VLOOKUP($B10,COSTOS!$A$2:$B1014,2,FALSE)-150,VLOOKUP($B10,COSTOS!$A$2:$B1014,2,FALSE)),"No encontrado o error"))</f>
        <v>1300</v>
      </c>
      <c r="T10" s="106" t="s">
        <v>292</v>
      </c>
      <c r="U10" s="85">
        <v>46223.0</v>
      </c>
      <c r="V10" s="113">
        <f>IF(OR(ISBLANK($B10),ISBLANK($U10)),"",IFERROR(IF($U10&lt;=DATE('ESTADO CONTABLE'!$B$2,7,5),VLOOKUP($B10,COSTOS!$A$2:$B1014,2,FALSE)-150,VLOOKUP($B10,COSTOS!$A$2:$B1014,2,FALSE)),"No encontrado o error"))</f>
        <v>1300</v>
      </c>
      <c r="W10" s="106" t="s">
        <v>292</v>
      </c>
      <c r="X10" s="148">
        <v>46265.0</v>
      </c>
      <c r="Y10" s="116">
        <f>IF(OR(ISBLANK($B10),ISBLANK($X10)),"",IFERROR(IF($X10&lt;=DATE('ESTADO CONTABLE'!$B$2,8,5),VLOOKUP($B10,COSTOS!$A$2:$B1014,2,FALSE)-150,VLOOKUP($B10,COSTOS!$A$2:$B1014,2,FALSE)),"No encontrado o error"))</f>
        <v>1300</v>
      </c>
      <c r="Z10" s="149" t="s">
        <v>292</v>
      </c>
      <c r="AA10" s="148">
        <v>46293.0</v>
      </c>
      <c r="AB10" s="118">
        <f>IF(OR(ISBLANK($B10),ISBLANK($AA10)),"",IFERROR(IF($AA10&lt;=DATE('ESTADO CONTABLE'!$B$2,9,5),VLOOKUP($B10,COSTOS!$A$2:$B1014,2,FALSE)-150,VLOOKUP($B10,COSTOS!$A$2:$B1014,2,FALSE)),"No encontrado o error"))</f>
        <v>1300</v>
      </c>
      <c r="AC10" s="150" t="s">
        <v>292</v>
      </c>
      <c r="AD10" s="195"/>
      <c r="AE10" s="116" t="str">
        <f>IF(OR(ISBLANK($B10),ISBLANK($AD10)),"",IFERROR(IF($AD10&lt;=DATE('ESTADO CONTABLE'!$B$2,10,5),VLOOKUP($B10,COSTOS!$A$2:$B1014,2,FALSE)-150,VLOOKUP($B10,COSTOS!$A$2:$B1014,2,FALSE)),"No encontrado o error"))</f>
        <v/>
      </c>
      <c r="AF10" s="196"/>
      <c r="AG10" s="195"/>
      <c r="AH10" s="116" t="str">
        <f>IF(OR(ISBLANK($B10),ISBLANK($AG10)),"",IFERROR(IF($AG10&lt;=DATE('ESTADO CONTABLE'!$B$2,11,5),VLOOKUP($B10,COSTOS!$A$2:$B1014,2,FALSE)-150,VLOOKUP($B10,COSTOS!$A$2:$B1014,2,FALSE)),"No encontrado o error"))</f>
        <v/>
      </c>
      <c r="AI10" s="196"/>
      <c r="AJ10" s="195"/>
      <c r="AK10" s="116" t="str">
        <f>IF(OR(ISBLANK($B10),ISBLANK($AJ10)),"",IFERROR(IF($AJ10&lt;=DATE('ESTADO CONTABLE'!$B$2,12,5),VLOOKUP($B10,COSTOS!$A$2:$B1014,2,FALSE)-150,VLOOKUP($B10,COSTOS!$A$2:$B1014,2,FALSE)),"No encontrado o error"))</f>
        <v/>
      </c>
      <c r="AL10" s="196"/>
      <c r="AM10" s="127" t="s">
        <v>3</v>
      </c>
      <c r="AN10" s="130"/>
      <c r="AO10" s="133">
        <f t="shared" si="1"/>
        <v>0</v>
      </c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</row>
    <row r="11" ht="22.5" customHeight="1">
      <c r="A11" s="82" t="str">
        <f>'BASE DE DATOSS'!A11</f>
        <v>REGINA GUADALUPE RODRIGUEZ CHAVEZ</v>
      </c>
      <c r="B11" s="83" t="str">
        <f>'BASE DE DATOSS'!C11</f>
        <v>JR 2</v>
      </c>
      <c r="C11" s="84" t="s">
        <v>226</v>
      </c>
      <c r="D11" s="85">
        <v>46028.0</v>
      </c>
      <c r="E11" s="86">
        <f>IF(OR(ISBLANK($B11),ISBLANK($D11)),"",IFERROR(IF($D11&lt;=DATE('ESTADO CONTABLE'!$B$2,1,5),VLOOKUP($B11,COSTOS!$A$2:$B1014,2,FALSE)-150,VLOOKUP($B11,COSTOS!$A$2:$B1014,2,FALSE)),"No encontrado o error"))</f>
        <v>950</v>
      </c>
      <c r="F11" s="87">
        <v>46058.0</v>
      </c>
      <c r="G11" s="93">
        <f>IF(OR(ISBLANK($B11),ISBLANK($F11)),"",IFERROR(IF($F11&lt;=DATE('ESTADO CONTABLE'!$B$2,2,5),VLOOKUP($B11,COSTOS!$A$2:$B1014,2,FALSE)-150,VLOOKUP($B11,COSTOS!$A$2:$B1014,2,FALSE)),"No encontrado o error"))</f>
        <v>800</v>
      </c>
      <c r="H11" s="95" t="s">
        <v>112</v>
      </c>
      <c r="I11" s="85">
        <v>46084.0</v>
      </c>
      <c r="J11" s="101">
        <f>IF(OR(ISBLANK($B11),ISBLANK($I11)),"",IFERROR(IF($I11&lt;=DATE('ESTADO CONTABLE'!$B$2,3,5),VLOOKUP($B11,COSTOS!$A$2:$B1014,2,FALSE)-150,VLOOKUP($B11,COSTOS!$A$2:$B1014,2,FALSE)),"No encontrado o error"))</f>
        <v>800</v>
      </c>
      <c r="K11" s="106" t="s">
        <v>137</v>
      </c>
      <c r="L11" s="85">
        <v>46117.0</v>
      </c>
      <c r="M11" s="86">
        <f>IF(OR(ISBLANK($B11),ISBLANK($L11)),"",IFERROR(IF($L11&lt;=DATE('ESTADO CONTABLE'!$B$2,4,5),VLOOKUP($B11,COSTOS!$A$2:$B1014,2,FALSE)-150,VLOOKUP($B11,COSTOS!$A$2:$B1014,2,FALSE)),"No encontrado o error"))</f>
        <v>800</v>
      </c>
      <c r="N11" s="106" t="s">
        <v>292</v>
      </c>
      <c r="O11" s="85">
        <v>46147.0</v>
      </c>
      <c r="P11" s="113">
        <f>IF(OR(ISBLANK($B11),ISBLANK($O11)),"",IFERROR(IF($O11&lt;=DATE('ESTADO CONTABLE'!$B$2,5,5),VLOOKUP($B11,COSTOS!$A$2:$B1014,2,FALSE)-150,VLOOKUP($B11,COSTOS!$A$2:$B1014,2,FALSE)),"No encontrado o error"))</f>
        <v>800</v>
      </c>
      <c r="Q11" s="106" t="s">
        <v>137</v>
      </c>
      <c r="R11" s="85">
        <v>46178.0</v>
      </c>
      <c r="S11" s="113">
        <f>IF(OR(ISBLANK($B11),ISBLANK($R11)),"",IFERROR(IF($R11&lt;=DATE('ESTADO CONTABLE'!$B$2,6,5),VLOOKUP($B11,COSTOS!$A$2:$B1014,2,FALSE)-150,VLOOKUP($B11,COSTOS!$A$2:$B1014,2,FALSE)),"No encontrado o error"))</f>
        <v>800</v>
      </c>
      <c r="T11" s="106" t="s">
        <v>137</v>
      </c>
      <c r="U11" s="85">
        <v>46205.0</v>
      </c>
      <c r="V11" s="113">
        <f>IF(OR(ISBLANK($B11),ISBLANK($U11)),"",IFERROR(IF($U11&lt;=DATE('ESTADO CONTABLE'!$B$2,7,5),VLOOKUP($B11,COSTOS!$A$2:$B1014,2,FALSE)-150,VLOOKUP($B11,COSTOS!$A$2:$B1014,2,FALSE)),"No encontrado o error"))</f>
        <v>800</v>
      </c>
      <c r="W11" s="106" t="s">
        <v>137</v>
      </c>
      <c r="X11" s="114">
        <v>46238.0</v>
      </c>
      <c r="Y11" s="116">
        <f>IF(OR(ISBLANK($B11),ISBLANK($X11)),"",IFERROR(IF($X11&lt;=DATE('ESTADO CONTABLE'!$B$2,8,5),VLOOKUP($B11,COSTOS!$A$2:$B1014,2,FALSE)-150,VLOOKUP($B11,COSTOS!$A$2:$B1014,2,FALSE)),"No encontrado o error"))</f>
        <v>800</v>
      </c>
      <c r="Z11" s="117" t="s">
        <v>128</v>
      </c>
      <c r="AA11" s="114">
        <v>46268.0</v>
      </c>
      <c r="AB11" s="118">
        <f>IF(OR(ISBLANK($B11),ISBLANK($AA11)),"",IFERROR(IF($AA11&lt;=DATE('ESTADO CONTABLE'!$B$2,9,5),VLOOKUP($B11,COSTOS!$A$2:$B1014,2,FALSE)-150,VLOOKUP($B11,COSTOS!$A$2:$B1014,2,FALSE)),"No encontrado o error"))</f>
        <v>800</v>
      </c>
      <c r="AC11" s="120" t="s">
        <v>137</v>
      </c>
      <c r="AD11" s="114">
        <v>46296.0</v>
      </c>
      <c r="AE11" s="116">
        <f>IF(OR(ISBLANK($B11),ISBLANK($AD11)),"",IFERROR(IF($AD11&lt;=DATE('ESTADO CONTABLE'!$B$2,10,5),VLOOKUP($B11,COSTOS!$A$2:$B1014,2,FALSE)-150,VLOOKUP($B11,COSTOS!$A$2:$B1014,2,FALSE)),"No encontrado o error"))</f>
        <v>800</v>
      </c>
      <c r="AF11" s="120" t="s">
        <v>137</v>
      </c>
      <c r="AG11" s="114"/>
      <c r="AH11" s="116" t="str">
        <f>IF(OR(ISBLANK($B11),ISBLANK($AG11)),"",IFERROR(IF($AG11&lt;=DATE('ESTADO CONTABLE'!$B$2,11,5),VLOOKUP($B11,COSTOS!$A$2:$B1014,2,FALSE)-150,VLOOKUP($B11,COSTOS!$A$2:$B1014,2,FALSE)),"No encontrado o error"))</f>
        <v/>
      </c>
      <c r="AI11" s="122"/>
      <c r="AJ11" s="114"/>
      <c r="AK11" s="116" t="str">
        <f>IF(OR(ISBLANK($B11),ISBLANK($AJ11)),"",IFERROR(IF($AJ11&lt;=DATE('ESTADO CONTABLE'!$B$2,12,5),VLOOKUP($B11,COSTOS!$A$2:$B1014,2,FALSE)-150,VLOOKUP($B11,COSTOS!$A$2:$B1014,2,FALSE)),"No encontrado o error"))</f>
        <v/>
      </c>
      <c r="AL11" s="122"/>
      <c r="AM11" s="197" t="s">
        <v>404</v>
      </c>
      <c r="AN11" s="198"/>
      <c r="AO11" s="133">
        <f t="shared" si="1"/>
        <v>0</v>
      </c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</row>
    <row r="12" ht="22.5" customHeight="1">
      <c r="A12" s="82" t="str">
        <f>'BASE DE DATOSS'!A12</f>
        <v>REGINA J CHAVEZ ALCARAZ</v>
      </c>
      <c r="B12" s="83" t="str">
        <f>'BASE DE DATOSS'!C12</f>
        <v>ADULTS 2</v>
      </c>
      <c r="C12" s="84" t="s">
        <v>410</v>
      </c>
      <c r="D12" s="85">
        <v>46031.0</v>
      </c>
      <c r="E12" s="86">
        <f>IF(OR(ISBLANK($A12),ISBLANK($D12)),"",IFERROR(IF($D12&lt;=DATE('ESTADO CONTABLE'!$B$2,1,5),VLOOKUP("ADULTS 1",COSTOS!$A$2:$B1014,2,FALSE)-150,VLOOKUP("ADULTS 1",COSTOS!$A$2:$B1014,2,FALSE)),"No encontrado o error"))</f>
        <v>1300</v>
      </c>
      <c r="F12" s="87">
        <v>46058.0</v>
      </c>
      <c r="G12" s="93">
        <f>IF(OR(ISBLANK($A12),ISBLANK($F12)),"",IFERROR(IF($F12&lt;=DATE('ESTADO CONTABLE'!$B$2,2,5),VLOOKUP("ADULTS 1",COSTOS!$A$2:$B1014,2,FALSE)-150,VLOOKUP("ADULTS 1",COSTOS!$A$2:$B1014,2,FALSE)),"No encontrado o error"))</f>
        <v>1150</v>
      </c>
      <c r="H12" s="95" t="s">
        <v>112</v>
      </c>
      <c r="I12" s="85">
        <v>46086.0</v>
      </c>
      <c r="J12" s="101">
        <f>IF(OR(ISBLANK($A12),ISBLANK($I12)),"",IFERROR(IF($I12&lt;=DATE('ESTADO CONTABLE'!$B$2,3,5),VLOOKUP("ADULTS 1",COSTOS!$A$2:$B1014,2,FALSE)-150,VLOOKUP("ADULTS 1",COSTOS!$A$2:$B1014,2,FALSE)),"No encontrado o error"))</f>
        <v>1150</v>
      </c>
      <c r="K12" s="106" t="s">
        <v>128</v>
      </c>
      <c r="L12" s="85">
        <v>46117.0</v>
      </c>
      <c r="M12" s="86">
        <f>IF(OR(ISBLANK($A12),ISBLANK($L12)),"",IFERROR(IF($L12&lt;=DATE('ESTADO CONTABLE'!$B$2,4,5),VLOOKUP("ADULTS 1",COSTOS!$A$2:$B1014,2,FALSE)-150,VLOOKUP("ADULTS 1",COSTOS!$A$2:$B1014,2,FALSE)),"No encontrado o error"))</f>
        <v>1150</v>
      </c>
      <c r="N12" s="106" t="s">
        <v>128</v>
      </c>
      <c r="O12" s="85">
        <v>46170.0</v>
      </c>
      <c r="P12" s="113">
        <f>IF(OR(ISBLANK($A12),ISBLANK($O12)),"",IFERROR(IF($O12&lt;=DATE('ESTADO CONTABLE'!$B$2,5,5),VLOOKUP("ADULTS 1",COSTOS!$A$2:$B1014,2,FALSE)-150,VLOOKUP("ADULTS 1",COSTOS!$A$2:$B1014,2,FALSE)),"No encontrado o error"))</f>
        <v>1300</v>
      </c>
      <c r="Q12" s="106" t="s">
        <v>137</v>
      </c>
      <c r="R12" s="85">
        <v>46191.0</v>
      </c>
      <c r="S12" s="113">
        <f>IF(OR(ISBLANK($A12),ISBLANK($R12)),"",IFERROR(IF($R12&lt;=DATE('ESTADO CONTABLE'!$B$2,6,5),VLOOKUP("ADULTS 1",COSTOS!$A$2:$B1014,2,FALSE)-150,VLOOKUP("ADULTS 1",COSTOS!$A$2:$B1014,2,FALSE)),"No encontrado o error"))</f>
        <v>1300</v>
      </c>
      <c r="T12" s="106" t="s">
        <v>128</v>
      </c>
      <c r="U12" s="85">
        <v>46207.0</v>
      </c>
      <c r="V12" s="113">
        <f>IF(OR(ISBLANK($A12),ISBLANK($U12)),"",IFERROR(IF($U12&lt;=DATE('ESTADO CONTABLE'!$B$2,7,5),VLOOKUP("ADULTS 1",COSTOS!$A$2:$B1014,2,FALSE)-150,VLOOKUP("ADULTS 1",COSTOS!$A$2:$B1014,2,FALSE)),"No encontrado o error"))</f>
        <v>1150</v>
      </c>
      <c r="W12" s="106" t="s">
        <v>128</v>
      </c>
      <c r="X12" s="148">
        <v>46253.0</v>
      </c>
      <c r="Y12" s="116">
        <f>IF(OR(ISBLANK($A12),ISBLANK($X12)),"",IFERROR(IF($X12&lt;=DATE('ESTADO CONTABLE'!$B$2,8,5),VLOOKUP("ADULTS 1",COSTOS!$A$2:$B1014,2,FALSE)-150,VLOOKUP("ADULTS 1",COSTOS!$A$2:$B1014,2,FALSE)),"No encontrado o error"))</f>
        <v>1300</v>
      </c>
      <c r="Z12" s="149" t="s">
        <v>128</v>
      </c>
      <c r="AA12" s="148">
        <v>46277.0</v>
      </c>
      <c r="AB12" s="118">
        <f>IF(OR(ISBLANK($A12),ISBLANK($AA12)),"",IFERROR(IF($AA12&lt;=DATE('ESTADO CONTABLE'!$B$2,9,5),VLOOKUP("ADULTS 1",COSTOS!$A$2:$B1014,2,FALSE)-150,VLOOKUP("ADULTS 1",COSTOS!$A$2:$B1014,2,FALSE)),"No encontrado o error"))</f>
        <v>1300</v>
      </c>
      <c r="AC12" s="150" t="s">
        <v>128</v>
      </c>
      <c r="AD12" s="148">
        <v>46298.0</v>
      </c>
      <c r="AE12" s="116">
        <f>IF(OR(ISBLANK($B12),ISBLANK($AD12)),"",IFERROR(IF($AD12&lt;=DATE('ESTADO CONTABLE'!$B$2,10,5),VLOOKUP($B12,COSTOS!$A$2:$B1014,2,FALSE)-150,VLOOKUP($B12,COSTOS!$A$2:$B1014,2,FALSE)),"No encontrado o error"))</f>
        <v>950</v>
      </c>
      <c r="AF12" s="150" t="s">
        <v>128</v>
      </c>
      <c r="AG12" s="148"/>
      <c r="AH12" s="116" t="str">
        <f>IF(OR(ISBLANK($B12),ISBLANK($AG12)),"",IFERROR(IF($AG12&lt;=DATE('ESTADO CONTABLE'!$B$2,11,5),VLOOKUP($B12,COSTOS!$A$2:$B1014,2,FALSE)-150,VLOOKUP($B12,COSTOS!$A$2:$B1014,2,FALSE)),"No encontrado o error"))</f>
        <v/>
      </c>
      <c r="AI12" s="151"/>
      <c r="AJ12" s="148"/>
      <c r="AK12" s="116" t="str">
        <f>IF(OR(ISBLANK($B12),ISBLANK($AJ12)),"",IFERROR(IF($AJ12&lt;=DATE('ESTADO CONTABLE'!$B$2,12,5),VLOOKUP($B12,COSTOS!$A$2:$B1014,2,FALSE)-150,VLOOKUP($B12,COSTOS!$A$2:$B1014,2,FALSE)),"No encontrado o error"))</f>
        <v/>
      </c>
      <c r="AL12" s="151"/>
      <c r="AM12" s="200" t="s">
        <v>423</v>
      </c>
      <c r="AN12" s="201"/>
      <c r="AO12" s="133">
        <f t="shared" si="1"/>
        <v>0</v>
      </c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</row>
    <row r="13" ht="22.5" customHeight="1">
      <c r="A13" s="82" t="str">
        <f>'BASE DE DATOSS'!A13</f>
        <v>SOFIA HERMAYONIE AVILA GUERRERO</v>
      </c>
      <c r="B13" s="83" t="str">
        <f>'BASE DE DATOSS'!C13</f>
        <v>ADULTS 1</v>
      </c>
      <c r="C13" s="84" t="s">
        <v>226</v>
      </c>
      <c r="D13" s="85">
        <v>46031.0</v>
      </c>
      <c r="E13" s="86">
        <f>IF(OR(ISBLANK($A13),ISBLANK($D13)),"",IFERROR(IF($D13&lt;=DATE('ESTADO CONTABLE'!$B$2,1,5),VLOOKUP("JR 2",COSTOS!$A$2:$B1014,2,FALSE)-150,VLOOKUP("JR 2",COSTOS!$A$2:$B1014,2,FALSE)),"No encontrado o error"))</f>
        <v>950</v>
      </c>
      <c r="F13" s="87">
        <v>46073.0</v>
      </c>
      <c r="G13" s="93">
        <f>IF(OR(ISBLANK($A13),ISBLANK($F13)),"",IFERROR(IF($F13&lt;=DATE('ESTADO CONTABLE'!$B$2,2,5),VLOOKUP("JR 2",COSTOS!$A$2:$B1014,2,FALSE)-150,VLOOKUP("JR 2",COSTOS!$A$2:$B1014,2,FALSE)),"No encontrado o error"))</f>
        <v>950</v>
      </c>
      <c r="H13" s="95" t="s">
        <v>112</v>
      </c>
      <c r="I13" s="85">
        <v>46112.0</v>
      </c>
      <c r="J13" s="101">
        <f>IF(OR(ISBLANK($A13),ISBLANK($I13)),"",IFERROR(IF($I13&lt;=DATE('ESTADO CONTABLE'!$B$2,3,5),VLOOKUP("JR 2",COSTOS!$A$2:$B1014,2,FALSE)-150,VLOOKUP("JR 2",COSTOS!$A$2:$B1014,2,FALSE)),"No encontrado o error"))</f>
        <v>950</v>
      </c>
      <c r="K13" s="106" t="s">
        <v>292</v>
      </c>
      <c r="L13" s="85">
        <v>46142.0</v>
      </c>
      <c r="M13" s="86">
        <f>IF(OR(ISBLANK($A13),ISBLANK($L13)),"",IFERROR(IF($L13&lt;=DATE('ESTADO CONTABLE'!$B$2,4,5),VLOOKUP("JR 2",COSTOS!$A$2:$B1014,2,FALSE)-150,VLOOKUP("JR 2",COSTOS!$A$2:$B1014,2,FALSE)),"No encontrado o error"))</f>
        <v>950</v>
      </c>
      <c r="N13" s="106" t="s">
        <v>292</v>
      </c>
      <c r="O13" s="85">
        <v>46171.0</v>
      </c>
      <c r="P13" s="113">
        <f>IF(OR(ISBLANK($A13),ISBLANK($O13)),"",IFERROR(IF($O13&lt;=DATE('ESTADO CONTABLE'!$B$2,5,5),VLOOKUP("JR 2",COSTOS!$A$2:$B1014,2,FALSE)-150,VLOOKUP("JR 2",COSTOS!$A$2:$B1014,2,FALSE)),"No encontrado o error"))</f>
        <v>950</v>
      </c>
      <c r="Q13" s="106" t="s">
        <v>292</v>
      </c>
      <c r="R13" s="85">
        <v>46203.0</v>
      </c>
      <c r="S13" s="113">
        <f>IF(OR(ISBLANK($A13),ISBLANK($R13)),"",IFERROR(IF($R13&lt;=DATE('ESTADO CONTABLE'!$B$2,6,5),VLOOKUP("JR 2",COSTOS!$A$2:$B1014,2,FALSE)-150,VLOOKUP("JR 2",COSTOS!$A$2:$B1014,2,FALSE)),"No encontrado o error"))</f>
        <v>950</v>
      </c>
      <c r="T13" s="106" t="s">
        <v>292</v>
      </c>
      <c r="U13" s="85">
        <v>46231.0</v>
      </c>
      <c r="V13" s="113">
        <f>IF(OR(ISBLANK($A13),ISBLANK($U13)),"",IFERROR(IF($U13&lt;=DATE('ESTADO CONTABLE'!$B$2,7,5),VLOOKUP("JR 2",COSTOS!$A$2:$B1014,2,FALSE)-150,VLOOKUP("JR 2",COSTOS!$A$2:$B1014,2,FALSE)),"No encontrado o error"))</f>
        <v>950</v>
      </c>
      <c r="W13" s="106" t="s">
        <v>292</v>
      </c>
      <c r="X13" s="114">
        <v>46265.0</v>
      </c>
      <c r="Y13" s="116">
        <f>IF(OR(ISBLANK($A13),ISBLANK($X13)),"",IFERROR(IF($X13&lt;=DATE('ESTADO CONTABLE'!$B$2,8,5),VLOOKUP("JR 2",COSTOS!$A$2:$B1014,2,FALSE)-150,VLOOKUP("JR 2",COSTOS!$A$2:$B1014,2,FALSE)),"No encontrado o error"))</f>
        <v>950</v>
      </c>
      <c r="Z13" s="117" t="s">
        <v>128</v>
      </c>
      <c r="AA13" s="114">
        <v>46295.0</v>
      </c>
      <c r="AB13" s="118">
        <f>IF(OR(ISBLANK($A13),ISBLANK($AA13)),"",IFERROR(IF($AA13&lt;=DATE('ESTADO CONTABLE'!$B$2,9,5),VLOOKUP("JR 2",COSTOS!$A$2:$B1014,2,FALSE)-150,VLOOKUP("JR 2",COSTOS!$A$2:$B1014,2,FALSE)),"No encontrado o error"))</f>
        <v>950</v>
      </c>
      <c r="AC13" s="120" t="s">
        <v>128</v>
      </c>
      <c r="AD13" s="165"/>
      <c r="AE13" s="116" t="str">
        <f>IF(OR(ISBLANK($B13),ISBLANK($AD13)),"",IFERROR(IF($AD13&lt;=DATE('ESTADO CONTABLE'!$B$2,10,5),VLOOKUP($B13,COSTOS!$A$2:$B1014,2,FALSE)-150,VLOOKUP($B13,COSTOS!$A$2:$B1014,2,FALSE)),"No encontrado o error"))</f>
        <v/>
      </c>
      <c r="AF13" s="166"/>
      <c r="AG13" s="165"/>
      <c r="AH13" s="116" t="str">
        <f>IF(OR(ISBLANK($B13),ISBLANK($AG13)),"",IFERROR(IF($AG13&lt;=DATE('ESTADO CONTABLE'!$B$2,11,5),VLOOKUP($B13,COSTOS!$A$2:$B1014,2,FALSE)-150,VLOOKUP($B13,COSTOS!$A$2:$B1014,2,FALSE)),"No encontrado o error"))</f>
        <v/>
      </c>
      <c r="AI13" s="166"/>
      <c r="AJ13" s="165"/>
      <c r="AK13" s="116" t="str">
        <f>IF(OR(ISBLANK($B13),ISBLANK($AJ13)),"",IFERROR(IF($AJ13&lt;=DATE('ESTADO CONTABLE'!$B$2,12,5),VLOOKUP($B13,COSTOS!$A$2:$B1014,2,FALSE)-150,VLOOKUP($B13,COSTOS!$A$2:$B1014,2,FALSE)),"No encontrado o error"))</f>
        <v/>
      </c>
      <c r="AL13" s="166"/>
      <c r="AM13" s="202"/>
      <c r="AN13" s="201"/>
      <c r="AO13" s="133">
        <f t="shared" si="1"/>
        <v>0</v>
      </c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</row>
    <row r="14" ht="22.5" customHeight="1">
      <c r="A14" s="82" t="str">
        <f>'BASE DE DATOSS'!A14</f>
        <v>VALENTINA GÓMEZ NEGRETE </v>
      </c>
      <c r="B14" s="83" t="str">
        <f>'BASE DE DATOSS'!C14</f>
        <v>JR 2</v>
      </c>
      <c r="C14" s="84" t="s">
        <v>226</v>
      </c>
      <c r="D14" s="85">
        <v>46028.0</v>
      </c>
      <c r="E14" s="86">
        <f>IF(OR(ISBLANK($B14),ISBLANK($D14)),"",IFERROR(IF($D14&lt;=DATE('ESTADO CONTABLE'!$B$2,1,5),VLOOKUP($B14,COSTOS!$A$2:$B1014,2,FALSE)-150,VLOOKUP($B14,COSTOS!$A$2:$B1014,2,FALSE)),"No encontrado o error"))</f>
        <v>950</v>
      </c>
      <c r="F14" s="87">
        <v>46056.0</v>
      </c>
      <c r="G14" s="93">
        <f>IF(OR(ISBLANK($B14),ISBLANK($F14)),"",IFERROR(IF($F14&lt;=DATE('ESTADO CONTABLE'!$B$2,2,5),VLOOKUP($B14,COSTOS!$A$2:$B1014,2,FALSE)-150,VLOOKUP($B14,COSTOS!$A$2:$B1014,2,FALSE)),"No encontrado o error"))</f>
        <v>800</v>
      </c>
      <c r="H14" s="95" t="s">
        <v>262</v>
      </c>
      <c r="I14" s="85">
        <v>46084.0</v>
      </c>
      <c r="J14" s="101">
        <f>IF(OR(ISBLANK($B14),ISBLANK($I14)),"",IFERROR(IF($I14&lt;=DATE('ESTADO CONTABLE'!$B$2,3,5),VLOOKUP($B14,COSTOS!$A$2:$B1014,2,FALSE)-150,VLOOKUP($B14,COSTOS!$A$2:$B1014,2,FALSE)),"No encontrado o error"))</f>
        <v>800</v>
      </c>
      <c r="K14" s="106" t="s">
        <v>137</v>
      </c>
      <c r="L14" s="85">
        <v>46115.0</v>
      </c>
      <c r="M14" s="86">
        <f>IF(OR(ISBLANK($B14),ISBLANK($L14)),"",IFERROR(IF($L14&lt;=DATE('ESTADO CONTABLE'!$B$2,4,5),VLOOKUP($B14,COSTOS!$A$2:$B1014,2,FALSE)-150,VLOOKUP($B14,COSTOS!$A$2:$B1014,2,FALSE)),"No encontrado o error"))</f>
        <v>800</v>
      </c>
      <c r="N14" s="106" t="s">
        <v>128</v>
      </c>
      <c r="O14" s="85">
        <v>46147.0</v>
      </c>
      <c r="P14" s="113">
        <f>IF(OR(ISBLANK($B14),ISBLANK($O14)),"",IFERROR(IF($O14&lt;=DATE('ESTADO CONTABLE'!$B$2,5,5),VLOOKUP($B14,COSTOS!$A$2:$B1014,2,FALSE)-150,VLOOKUP($B14,COSTOS!$A$2:$B1014,2,FALSE)),"No encontrado o error"))</f>
        <v>800</v>
      </c>
      <c r="Q14" s="106" t="s">
        <v>137</v>
      </c>
      <c r="R14" s="85">
        <v>46175.0</v>
      </c>
      <c r="S14" s="113">
        <f>IF(OR(ISBLANK($B14),ISBLANK($R14)),"",IFERROR(IF($R14&lt;=DATE('ESTADO CONTABLE'!$B$2,6,5),VLOOKUP($B14,COSTOS!$A$2:$B1014,2,FALSE)-150,VLOOKUP($B14,COSTOS!$A$2:$B1014,2,FALSE)),"No encontrado o error"))</f>
        <v>800</v>
      </c>
      <c r="T14" s="106" t="s">
        <v>137</v>
      </c>
      <c r="U14" s="85">
        <v>46205.0</v>
      </c>
      <c r="V14" s="113">
        <f>IF(OR(ISBLANK($B14),ISBLANK($U14)),"",IFERROR(IF($U14&lt;=DATE('ESTADO CONTABLE'!$B$2,7,5),VLOOKUP($B14,COSTOS!$A$2:$B1014,2,FALSE)-150,VLOOKUP($B14,COSTOS!$A$2:$B1014,2,FALSE)),"No encontrado o error"))</f>
        <v>800</v>
      </c>
      <c r="W14" s="106" t="s">
        <v>137</v>
      </c>
      <c r="X14" s="148">
        <v>46238.0</v>
      </c>
      <c r="Y14" s="116">
        <f>IF(OR(ISBLANK($B14),ISBLANK($X14)),"",IFERROR(IF($X14&lt;=DATE('ESTADO CONTABLE'!$B$2,8,5),VLOOKUP($B14,COSTOS!$A$2:$B1014,2,FALSE)-150,VLOOKUP($B14,COSTOS!$A$2:$B1014,2,FALSE)),"No encontrado o error"))</f>
        <v>800</v>
      </c>
      <c r="Z14" s="149" t="s">
        <v>128</v>
      </c>
      <c r="AA14" s="148">
        <v>46275.0</v>
      </c>
      <c r="AB14" s="118">
        <f>IF(OR(ISBLANK($B14),ISBLANK($AA14)),"",IFERROR(IF($AA14&lt;=DATE('ESTADO CONTABLE'!$B$2,9,5),VLOOKUP($B14,COSTOS!$A$2:$B1014,2,FALSE)-150,VLOOKUP($B14,COSTOS!$A$2:$B1014,2,FALSE)),"No encontrado o error"))</f>
        <v>950</v>
      </c>
      <c r="AC14" s="150" t="s">
        <v>137</v>
      </c>
      <c r="AD14" s="148">
        <v>46296.0</v>
      </c>
      <c r="AE14" s="116">
        <f>IF(OR(ISBLANK($B14),ISBLANK($AD14)),"",IFERROR(IF($AD14&lt;=DATE('ESTADO CONTABLE'!$B$2,10,5),VLOOKUP($B14,COSTOS!$A$2:$B1014,2,FALSE)-150,VLOOKUP($B14,COSTOS!$A$2:$B1014,2,FALSE)),"No encontrado o error"))</f>
        <v>800</v>
      </c>
      <c r="AF14" s="150" t="s">
        <v>137</v>
      </c>
      <c r="AG14" s="148"/>
      <c r="AH14" s="116" t="str">
        <f>IF(OR(ISBLANK($B14),ISBLANK($AG14)),"",IFERROR(IF($AG14&lt;=DATE('ESTADO CONTABLE'!$B$2,11,5),VLOOKUP($B14,COSTOS!$A$2:$B1014,2,FALSE)-150,VLOOKUP($B14,COSTOS!$A$2:$B1014,2,FALSE)),"No encontrado o error"))</f>
        <v/>
      </c>
      <c r="AI14" s="151"/>
      <c r="AJ14" s="148"/>
      <c r="AK14" s="116" t="str">
        <f>IF(OR(ISBLANK($B14),ISBLANK($AJ14)),"",IFERROR(IF($AJ14&lt;=DATE('ESTADO CONTABLE'!$B$2,12,5),VLOOKUP($B14,COSTOS!$A$2:$B1014,2,FALSE)-150,VLOOKUP($B14,COSTOS!$A$2:$B1014,2,FALSE)),"No encontrado o error"))</f>
        <v/>
      </c>
      <c r="AL14" s="151"/>
      <c r="AM14" s="161"/>
      <c r="AN14" s="130"/>
      <c r="AO14" s="133">
        <f t="shared" si="1"/>
        <v>0</v>
      </c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</row>
    <row r="15" ht="22.5" customHeight="1">
      <c r="A15" s="82" t="str">
        <f>'BASE DE DATOSS'!A15</f>
        <v>DANNA VALERIA DE LA CRUZ HEREDIA </v>
      </c>
      <c r="B15" s="83" t="str">
        <f>'BASE DE DATOSS'!C15</f>
        <v>KIDS 3</v>
      </c>
      <c r="C15" s="84" t="s">
        <v>434</v>
      </c>
      <c r="D15" s="85">
        <v>46035.0</v>
      </c>
      <c r="E15" s="86">
        <f>IF(OR(ISBLANK($B15),ISBLANK($D15)),"",IFERROR(IF($D15&lt;=DATE('ESTADO CONTABLE'!$B$2,1,5),VLOOKUP($B15,COSTOS!$A$2:$B1014,2,FALSE)-150,VLOOKUP($B15,COSTOS!$A$2:$B1014,2,FALSE)),"No encontrado o error"))</f>
        <v>950</v>
      </c>
      <c r="F15" s="87">
        <v>46058.0</v>
      </c>
      <c r="G15" s="93">
        <f>IF(OR(ISBLANK($B15),ISBLANK($F15)),"",IFERROR(IF($F15&lt;=DATE('ESTADO CONTABLE'!$B$2,2,5),VLOOKUP($B15,COSTOS!$A$2:$B1014,2,FALSE)-150,VLOOKUP($B15,COSTOS!$A$2:$B1014,2,FALSE)),"No encontrado o error"))</f>
        <v>800</v>
      </c>
      <c r="H15" s="95" t="s">
        <v>262</v>
      </c>
      <c r="I15" s="85">
        <v>46086.0</v>
      </c>
      <c r="J15" s="101">
        <f>IF(OR(ISBLANK($B15),ISBLANK($I15)),"",IFERROR(IF($I15&lt;=DATE('ESTADO CONTABLE'!$B$2,3,5),VLOOKUP($B15,COSTOS!$A$2:$B1014,2,FALSE)-150,VLOOKUP($B15,COSTOS!$A$2:$B1014,2,FALSE)),"No encontrado o error"))</f>
        <v>800</v>
      </c>
      <c r="K15" s="106" t="s">
        <v>137</v>
      </c>
      <c r="L15" s="85">
        <v>46117.0</v>
      </c>
      <c r="M15" s="86">
        <f>IF(OR(ISBLANK($B15),ISBLANK($L15)),"",IFERROR(IF($L15&lt;=DATE('ESTADO CONTABLE'!$B$2,4,5),VLOOKUP($B15,COSTOS!$A$2:$B1014,2,FALSE)-150,VLOOKUP($B15,COSTOS!$A$2:$B1014,2,FALSE)),"No encontrado o error"))</f>
        <v>800</v>
      </c>
      <c r="N15" s="106" t="s">
        <v>128</v>
      </c>
      <c r="O15" s="85">
        <v>46147.0</v>
      </c>
      <c r="P15" s="113">
        <f>IF(OR(ISBLANK($B15),ISBLANK($O15)),"",IFERROR(IF($O15&lt;=DATE('ESTADO CONTABLE'!$B$2,5,5),VLOOKUP($B15,COSTOS!$A$2:$B1014,2,FALSE)-150,VLOOKUP($B15,COSTOS!$A$2:$B1014,2,FALSE)),"No encontrado o error"))</f>
        <v>800</v>
      </c>
      <c r="Q15" s="106" t="s">
        <v>137</v>
      </c>
      <c r="R15" s="85">
        <v>46178.0</v>
      </c>
      <c r="S15" s="113">
        <f>IF(OR(ISBLANK($B15),ISBLANK($R15)),"",IFERROR(IF($R15&lt;=DATE('ESTADO CONTABLE'!$B$2,6,5),VLOOKUP($B15,COSTOS!$A$2:$B1014,2,FALSE)-150,VLOOKUP($B15,COSTOS!$A$2:$B1014,2,FALSE)),"No encontrado o error"))</f>
        <v>800</v>
      </c>
      <c r="T15" s="106" t="s">
        <v>137</v>
      </c>
      <c r="U15" s="85"/>
      <c r="V15" s="113" t="str">
        <f>IF(OR(ISBLANK($B15),ISBLANK($U15)),"",IFERROR(IF($U15&lt;=DATE('ESTADO CONTABLE'!$B$2,7,5),VLOOKUP($B15,COSTOS!$A$2:$B1014,2,FALSE)-150,VLOOKUP($B15,COSTOS!$A$2:$B1014,2,FALSE)),"No encontrado o error"))</f>
        <v/>
      </c>
      <c r="W15" s="106"/>
      <c r="X15" s="169">
        <v>46239.0</v>
      </c>
      <c r="Y15" s="116">
        <f>IF(OR(ISBLANK($B15),ISBLANK($X15)),"",IFERROR(IF($X15&lt;=DATE('ESTADO CONTABLE'!$B$2,8,5),VLOOKUP($B15,COSTOS!$A$2:$B1014,2,FALSE)-150,VLOOKUP($B15,COSTOS!$A$2:$B1014,2,FALSE)),"No encontrado o error"))</f>
        <v>800</v>
      </c>
      <c r="Z15" s="172" t="s">
        <v>128</v>
      </c>
      <c r="AA15" s="169">
        <v>46266.0</v>
      </c>
      <c r="AB15" s="118">
        <f>IF(OR(ISBLANK($B15),ISBLANK($AA15)),"",IFERROR(IF($AA15&lt;=DATE('ESTADO CONTABLE'!$B$2,9,5),VLOOKUP($B15,COSTOS!$A$2:$B1014,2,FALSE)-150,VLOOKUP($B15,COSTOS!$A$2:$B1014,2,FALSE)),"No encontrado o error"))</f>
        <v>800</v>
      </c>
      <c r="AC15" s="172" t="s">
        <v>137</v>
      </c>
      <c r="AD15" s="169">
        <v>46300.0</v>
      </c>
      <c r="AE15" s="116">
        <f>IF(OR(ISBLANK($B15),ISBLANK($AD15)),"",IFERROR(IF($AD15&lt;=DATE('ESTADO CONTABLE'!$B$2,10,5),VLOOKUP($B15,COSTOS!$A$2:$B1014,2,FALSE)-150,VLOOKUP($B15,COSTOS!$A$2:$B1014,2,FALSE)),"No encontrado o error"))</f>
        <v>800</v>
      </c>
      <c r="AF15" s="172" t="s">
        <v>137</v>
      </c>
      <c r="AG15" s="169"/>
      <c r="AH15" s="116" t="str">
        <f>IF(OR(ISBLANK($B15),ISBLANK($AG15)),"",IFERROR(IF($AG15&lt;=DATE('ESTADO CONTABLE'!$B$2,11,5),VLOOKUP($B15,COSTOS!$A$2:$B1014,2,FALSE)-150,VLOOKUP($B15,COSTOS!$A$2:$B1014,2,FALSE)),"No encontrado o error"))</f>
        <v/>
      </c>
      <c r="AI15" s="179"/>
      <c r="AJ15" s="169"/>
      <c r="AK15" s="116" t="str">
        <f>IF(OR(ISBLANK($B15),ISBLANK($AJ15)),"",IFERROR(IF($AJ15&lt;=DATE('ESTADO CONTABLE'!$B$2,12,5),VLOOKUP($B15,COSTOS!$A$2:$B1014,2,FALSE)-150,VLOOKUP($B15,COSTOS!$A$2:$B1014,2,FALSE)),"No encontrado o error"))</f>
        <v/>
      </c>
      <c r="AL15" s="179"/>
      <c r="AM15" s="202"/>
      <c r="AN15" s="201"/>
      <c r="AO15" s="133">
        <f t="shared" si="1"/>
        <v>0</v>
      </c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</row>
    <row r="16" ht="22.5" customHeight="1">
      <c r="A16" s="82" t="str">
        <f>'BASE DE DATOSS'!A16</f>
        <v>VIVIANA MONTES CÁRDENAS </v>
      </c>
      <c r="B16" s="83" t="str">
        <f>'BASE DE DATOSS'!C16</f>
        <v>ADULTS 1</v>
      </c>
      <c r="C16" s="84" t="s">
        <v>410</v>
      </c>
      <c r="D16" s="85">
        <v>45664.0</v>
      </c>
      <c r="E16" s="86">
        <f>IF(OR(ISBLANK($B16),ISBLANK($D16)),"",IFERROR(IF($D16&lt;=DATE('ESTADO CONTABLE'!$B$2,1,5),VLOOKUP($B16,COSTOS!$A$2:$B1014,2,FALSE)-150,VLOOKUP($B16,COSTOS!$A$2:$B1014,2,FALSE)),"No encontrado o error"))</f>
        <v>1150</v>
      </c>
      <c r="F16" s="87">
        <v>46057.0</v>
      </c>
      <c r="G16" s="93">
        <f>IF(OR(ISBLANK($B16),ISBLANK($F16)),"",IFERROR(IF($F16&lt;=DATE('ESTADO CONTABLE'!$B$2,2,5),VLOOKUP($B16,COSTOS!$A$2:$B1014,2,FALSE)-150,VLOOKUP($B16,COSTOS!$A$2:$B1014,2,FALSE)),"No encontrado o error"))</f>
        <v>1150</v>
      </c>
      <c r="H16" s="95" t="s">
        <v>112</v>
      </c>
      <c r="I16" s="85">
        <v>46086.0</v>
      </c>
      <c r="J16" s="101">
        <f>IF(OR(ISBLANK($B16),ISBLANK($I16)),"",IFERROR(IF($I16&lt;=DATE('ESTADO CONTABLE'!$B$2,3,5),VLOOKUP($B16,COSTOS!$A$2:$B1014,2,FALSE)-150,VLOOKUP($B16,COSTOS!$A$2:$B1014,2,FALSE)),"No encontrado o error"))</f>
        <v>1150</v>
      </c>
      <c r="K16" s="106" t="s">
        <v>292</v>
      </c>
      <c r="L16" s="85">
        <v>46123.0</v>
      </c>
      <c r="M16" s="86">
        <f>IF(OR(ISBLANK($B16),ISBLANK($L16)),"",IFERROR(IF($L16&lt;=DATE('ESTADO CONTABLE'!$B$2,4,5),VLOOKUP($B16,COSTOS!$A$2:$B1014,2,FALSE)-150,VLOOKUP($B16,COSTOS!$A$2:$B1014,2,FALSE)),"No encontrado o error"))</f>
        <v>1300</v>
      </c>
      <c r="N16" s="106" t="s">
        <v>292</v>
      </c>
      <c r="O16" s="85">
        <v>46146.0</v>
      </c>
      <c r="P16" s="113">
        <f>IF(OR(ISBLANK($B16),ISBLANK($O16)),"",IFERROR(IF($O16&lt;=DATE('ESTADO CONTABLE'!$B$2,5,5),VLOOKUP($B16,COSTOS!$A$2:$B1014,2,FALSE)-150,VLOOKUP($B16,COSTOS!$A$2:$B1014,2,FALSE)),"No encontrado o error"))</f>
        <v>1150</v>
      </c>
      <c r="Q16" s="106" t="s">
        <v>292</v>
      </c>
      <c r="R16" s="85">
        <v>46178.0</v>
      </c>
      <c r="S16" s="113">
        <f>IF(OR(ISBLANK($B16),ISBLANK($R16)),"",IFERROR(IF($R16&lt;=DATE('ESTADO CONTABLE'!$B$2,6,5),VLOOKUP($B16,COSTOS!$A$2:$B1014,2,FALSE)-150,VLOOKUP($B16,COSTOS!$A$2:$B1014,2,FALSE)),"No encontrado o error"))</f>
        <v>1150</v>
      </c>
      <c r="T16" s="106" t="s">
        <v>292</v>
      </c>
      <c r="U16" s="85">
        <v>46209.0</v>
      </c>
      <c r="V16" s="113">
        <f>IF(OR(ISBLANK($B16),ISBLANK($U16)),"",IFERROR(IF($U16&lt;=DATE('ESTADO CONTABLE'!$B$2,7,5),VLOOKUP($B16,COSTOS!$A$2:$B1014,2,FALSE)-150,VLOOKUP($B16,COSTOS!$A$2:$B1014,2,FALSE)),"No encontrado o error"))</f>
        <v>1300</v>
      </c>
      <c r="W16" s="106" t="s">
        <v>292</v>
      </c>
      <c r="X16" s="148">
        <v>46244.0</v>
      </c>
      <c r="Y16" s="116">
        <f>IF(OR(ISBLANK($B16),ISBLANK($X16)),"",IFERROR(IF($X16&lt;=DATE('ESTADO CONTABLE'!$B$2,8,5),VLOOKUP($B16,COSTOS!$A$2:$B1014,2,FALSE)-150,VLOOKUP($B16,COSTOS!$A$2:$B1014,2,FALSE)),"No encontrado o error"))</f>
        <v>1300</v>
      </c>
      <c r="Z16" s="149" t="s">
        <v>292</v>
      </c>
      <c r="AA16" s="203"/>
      <c r="AB16" s="118"/>
      <c r="AC16" s="204"/>
      <c r="AD16" s="148">
        <v>46307.0</v>
      </c>
      <c r="AE16" s="116">
        <f>IF(OR(ISBLANK($B16),ISBLANK($AD16)),"",IFERROR(IF($AD16&lt;=DATE('ESTADO CONTABLE'!$B$2,10,5),VLOOKUP($B16,COSTOS!$A$2:$B1014,2,FALSE)-150,VLOOKUP($B16,COSTOS!$A$2:$B1014,2,FALSE)),"No encontrado o error"))</f>
        <v>1300</v>
      </c>
      <c r="AF16" s="150" t="s">
        <v>292</v>
      </c>
      <c r="AG16" s="148"/>
      <c r="AH16" s="116" t="str">
        <f>IF(OR(ISBLANK($B16),ISBLANK($AG16)),"",IFERROR(IF($AG16&lt;=DATE('ESTADO CONTABLE'!$B$2,11,5),VLOOKUP($B16,COSTOS!$A$2:$B1014,2,FALSE)-150,VLOOKUP($B16,COSTOS!$A$2:$B1014,2,FALSE)),"No encontrado o error"))</f>
        <v/>
      </c>
      <c r="AI16" s="151"/>
      <c r="AJ16" s="148"/>
      <c r="AK16" s="116" t="str">
        <f>IF(OR(ISBLANK($B16),ISBLANK($AJ16)),"",IFERROR(IF($AJ16&lt;=DATE('ESTADO CONTABLE'!$B$2,12,5),VLOOKUP($B16,COSTOS!$A$2:$B1014,2,FALSE)-150,VLOOKUP($B16,COSTOS!$A$2:$B1014,2,FALSE)),"No encontrado o error"))</f>
        <v/>
      </c>
      <c r="AL16" s="151"/>
      <c r="AM16" s="127"/>
      <c r="AN16" s="130"/>
      <c r="AO16" s="133">
        <f t="shared" si="1"/>
        <v>0</v>
      </c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</row>
    <row r="17" ht="22.5" customHeight="1">
      <c r="A17" s="82" t="str">
        <f>'BASE DE DATOSS'!A17</f>
        <v>GRETA ATENEA ALMANZA RAMOS</v>
      </c>
      <c r="B17" s="83" t="str">
        <f>'BASE DE DATOSS'!C17</f>
        <v>KIDS 3</v>
      </c>
      <c r="C17" s="84" t="s">
        <v>435</v>
      </c>
      <c r="D17" s="85">
        <v>46029.0</v>
      </c>
      <c r="E17" s="86">
        <f>IF(OR(ISBLANK($B17),ISBLANK($D17)),"",IFERROR(IF($D17&lt;=DATE('ESTADO CONTABLE'!$B$2,1,5),VLOOKUP($B17,COSTOS!$A$2:$B1014,2,FALSE)-150,VLOOKUP($B17,COSTOS!$A$2:$B1014,2,FALSE)),"No encontrado o error"))</f>
        <v>950</v>
      </c>
      <c r="F17" s="183">
        <v>46054.0</v>
      </c>
      <c r="G17" s="93">
        <f>IF(OR(ISBLANK($B17),ISBLANK($F17)),"",IFERROR(IF($F17&lt;=DATE('ESTADO CONTABLE'!$B$2,2,5),VLOOKUP($B17,COSTOS!$A$2:$B1014,2,FALSE)-150,VLOOKUP($B17,COSTOS!$A$2:$B1014,2,FALSE)),"No encontrado o error"))</f>
        <v>800</v>
      </c>
      <c r="H17" s="95" t="s">
        <v>112</v>
      </c>
      <c r="I17" s="85">
        <v>46084.0</v>
      </c>
      <c r="J17" s="101">
        <f>IF(OR(ISBLANK($B17),ISBLANK($I17)),"",IFERROR(IF($I17&lt;=DATE('ESTADO CONTABLE'!$B$2,3,5),VLOOKUP($B17,COSTOS!$A$2:$B1014,2,FALSE)-150,VLOOKUP($B17,COSTOS!$A$2:$B1014,2,FALSE)),"No encontrado o error"))</f>
        <v>800</v>
      </c>
      <c r="K17" s="106" t="s">
        <v>128</v>
      </c>
      <c r="L17" s="85">
        <v>46114.0</v>
      </c>
      <c r="M17" s="86">
        <f>IF(OR(ISBLANK($B17),ISBLANK($L17)),"",IFERROR(IF($L17&lt;=DATE('ESTADO CONTABLE'!$B$2,4,5),VLOOKUP($B17,COSTOS!$A$2:$B1014,2,FALSE)-150,VLOOKUP($B17,COSTOS!$A$2:$B1014,2,FALSE)),"No encontrado o error"))</f>
        <v>800</v>
      </c>
      <c r="N17" s="106" t="s">
        <v>128</v>
      </c>
      <c r="O17" s="85">
        <v>46143.0</v>
      </c>
      <c r="P17" s="113">
        <f>IF(OR(ISBLANK($B17),ISBLANK($O17)),"",IFERROR(IF($O17&lt;=DATE('ESTADO CONTABLE'!$B$2,5,5),VLOOKUP($B17,COSTOS!$A$2:$B1014,2,FALSE)-150,VLOOKUP($B17,COSTOS!$A$2:$B1014,2,FALSE)),"No encontrado o error"))</f>
        <v>800</v>
      </c>
      <c r="Q17" s="106" t="s">
        <v>137</v>
      </c>
      <c r="R17" s="85">
        <v>46175.0</v>
      </c>
      <c r="S17" s="113">
        <f>IF(OR(ISBLANK($B17),ISBLANK($R17)),"",IFERROR(IF($R17&lt;=DATE('ESTADO CONTABLE'!$B$2,6,5),VLOOKUP($B17,COSTOS!$A$2:$B1014,2,FALSE)-150,VLOOKUP($B17,COSTOS!$A$2:$B1014,2,FALSE)),"No encontrado o error"))</f>
        <v>800</v>
      </c>
      <c r="T17" s="106" t="s">
        <v>137</v>
      </c>
      <c r="U17" s="85">
        <v>46204.0</v>
      </c>
      <c r="V17" s="113">
        <f>IF(OR(ISBLANK($B17),ISBLANK($U17)),"",IFERROR(IF($U17&lt;=DATE('ESTADO CONTABLE'!$B$2,7,5),VLOOKUP($B17,COSTOS!$A$2:$B1014,2,FALSE)-150,VLOOKUP($B17,COSTOS!$A$2:$B1014,2,FALSE)),"No encontrado o error"))</f>
        <v>800</v>
      </c>
      <c r="W17" s="106" t="s">
        <v>128</v>
      </c>
      <c r="X17" s="114">
        <v>46239.0</v>
      </c>
      <c r="Y17" s="116">
        <f>IF(OR(ISBLANK($B17),ISBLANK($X17)),"",IFERROR(IF($X17&lt;=DATE('ESTADO CONTABLE'!$B$2,8,5),VLOOKUP($B17,COSTOS!$A$2:$B1014,2,FALSE)-150,VLOOKUP($B17,COSTOS!$A$2:$B1014,2,FALSE)),"No encontrado o error"))</f>
        <v>800</v>
      </c>
      <c r="Z17" s="117" t="s">
        <v>128</v>
      </c>
      <c r="AA17" s="114">
        <v>46266.0</v>
      </c>
      <c r="AB17" s="118">
        <f>IF(OR(ISBLANK($B17),ISBLANK($AA17)),"",IFERROR(IF($AA17&lt;=DATE('ESTADO CONTABLE'!$B$2,9,5),VLOOKUP($B17,COSTOS!$A$2:$B1014,2,FALSE)-150,VLOOKUP($B17,COSTOS!$A$2:$B1014,2,FALSE)),"No encontrado o error"))</f>
        <v>800</v>
      </c>
      <c r="AC17" s="120" t="s">
        <v>128</v>
      </c>
      <c r="AD17" s="114"/>
      <c r="AE17" s="178"/>
      <c r="AF17" s="120"/>
      <c r="AG17" s="114"/>
      <c r="AH17" s="116" t="str">
        <f>IF(OR(ISBLANK($B17),ISBLANK($AG17)),"",IFERROR(IF($AG17&lt;=DATE('ESTADO CONTABLE'!$B$2,11,5),VLOOKUP($B17,COSTOS!$A$2:$B1014,2,FALSE)-150,VLOOKUP($B17,COSTOS!$A$2:$B1014,2,FALSE)),"No encontrado o error"))</f>
        <v/>
      </c>
      <c r="AI17" s="122"/>
      <c r="AJ17" s="114"/>
      <c r="AK17" s="116" t="str">
        <f>IF(OR(ISBLANK($B17),ISBLANK($AJ17)),"",IFERROR(IF($AJ17&lt;=DATE('ESTADO CONTABLE'!$B$2,12,5),VLOOKUP($B17,COSTOS!$A$2:$B1014,2,FALSE)-150,VLOOKUP($B17,COSTOS!$A$2:$B1014,2,FALSE)),"No encontrado o error"))</f>
        <v/>
      </c>
      <c r="AL17" s="122"/>
      <c r="AM17" s="202"/>
      <c r="AN17" s="201"/>
      <c r="AO17" s="133">
        <f t="shared" si="1"/>
        <v>0</v>
      </c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</row>
    <row r="18" ht="22.5" customHeight="1">
      <c r="A18" s="82" t="str">
        <f>'BASE DE DATOSS'!A18</f>
        <v>ARMIDA GABRIELA DE LA CRUZ ALCALA</v>
      </c>
      <c r="B18" s="83" t="str">
        <f>'BASE DE DATOSS'!C18</f>
        <v>SABATINO</v>
      </c>
      <c r="C18" s="84" t="s">
        <v>226</v>
      </c>
      <c r="D18" s="85">
        <v>46032.0</v>
      </c>
      <c r="E18" s="86">
        <f>IF(OR(ISBLANK($B18),ISBLANK($D18)),"",IFERROR(IF($D18&lt;=DATE('ESTADO CONTABLE'!$B$2,1,5),VLOOKUP($B18,COSTOS!$A$2:$B1014,2,FALSE)-150,VLOOKUP($B18,COSTOS!$A$2:$B1014,2,FALSE)),"No encontrado o error"))</f>
        <v>700</v>
      </c>
      <c r="F18" s="87">
        <v>46060.0</v>
      </c>
      <c r="G18" s="93">
        <f>IF(OR(ISBLANK($B18),ISBLANK($F18)),"",IFERROR(IF($F18&lt;=DATE('ESTADO CONTABLE'!$B$2,2,5),VLOOKUP($B18,COSTOS!$A$2:$B1014,2,FALSE)-150,VLOOKUP($B18,COSTOS!$A$2:$B1014,2,FALSE)),"No encontrado o error"))</f>
        <v>700</v>
      </c>
      <c r="H18" s="95" t="s">
        <v>262</v>
      </c>
      <c r="I18" s="85">
        <v>46082.0</v>
      </c>
      <c r="J18" s="101">
        <f>IF(OR(ISBLANK($B18),ISBLANK($I18)),"",IFERROR(IF($I18&lt;=DATE('ESTADO CONTABLE'!$B$2,3,5),VLOOKUP($B18,COSTOS!$A$2:$B1014,2,FALSE)-150,VLOOKUP($B18,COSTOS!$A$2:$B1014,2,FALSE)),"No encontrado o error"))</f>
        <v>550</v>
      </c>
      <c r="K18" s="106" t="s">
        <v>137</v>
      </c>
      <c r="L18" s="85">
        <v>46116.0</v>
      </c>
      <c r="M18" s="86">
        <f>IF(OR(ISBLANK($B18),ISBLANK($L18)),"",IFERROR(IF($L18&lt;=DATE('ESTADO CONTABLE'!$B$2,4,5),VLOOKUP($B18,COSTOS!$A$2:$B1014,2,FALSE)-150,VLOOKUP($B18,COSTOS!$A$2:$B1014,2,FALSE)),"No encontrado o error"))</f>
        <v>550</v>
      </c>
      <c r="N18" s="106" t="s">
        <v>137</v>
      </c>
      <c r="O18" s="85">
        <v>46151.0</v>
      </c>
      <c r="P18" s="113">
        <f>IF(OR(ISBLANK($B18),ISBLANK($O18)),"",IFERROR(IF($O18&lt;=DATE('ESTADO CONTABLE'!$B$2,5,5),VLOOKUP($B18,COSTOS!$A$2:$B1014,2,FALSE)-150,VLOOKUP($B18,COSTOS!$A$2:$B1014,2,FALSE)),"No encontrado o error"))</f>
        <v>700</v>
      </c>
      <c r="Q18" s="106" t="s">
        <v>137</v>
      </c>
      <c r="R18" s="85">
        <v>46174.0</v>
      </c>
      <c r="S18" s="113">
        <f>IF(OR(ISBLANK($B18),ISBLANK($R18)),"",IFERROR(IF($R18&lt;=DATE('ESTADO CONTABLE'!$B$2,6,5),VLOOKUP($B18,COSTOS!$A$2:$B1014,2,FALSE)-150,VLOOKUP($B18,COSTOS!$A$2:$B1014,2,FALSE)),"No encontrado o error"))</f>
        <v>550</v>
      </c>
      <c r="T18" s="106" t="s">
        <v>128</v>
      </c>
      <c r="U18" s="85">
        <v>46211.0</v>
      </c>
      <c r="V18" s="86">
        <v>550.0</v>
      </c>
      <c r="W18" s="106" t="s">
        <v>128</v>
      </c>
      <c r="X18" s="114">
        <v>46249.0</v>
      </c>
      <c r="Y18" s="116">
        <f>IF(OR(ISBLANK($B18),ISBLANK($X18)),"",IFERROR(IF($X18&lt;=DATE('ESTADO CONTABLE'!$B$2,8,5),VLOOKUP($B18,COSTOS!$A$2:$B1014,2,FALSE)-150,VLOOKUP($B18,COSTOS!$A$2:$B1014,2,FALSE)),"No encontrado o error"))</f>
        <v>700</v>
      </c>
      <c r="Z18" s="117" t="s">
        <v>137</v>
      </c>
      <c r="AA18" s="114">
        <v>46270.0</v>
      </c>
      <c r="AB18" s="118">
        <f>IF(OR(ISBLANK($B18),ISBLANK($AA18)),"",IFERROR(IF($AA18&lt;=DATE('ESTADO CONTABLE'!$B$2,9,5),VLOOKUP($B18,COSTOS!$A$2:$B1014,2,FALSE)-150,VLOOKUP($B18,COSTOS!$A$2:$B1014,2,FALSE)),"No encontrado o error"))</f>
        <v>550</v>
      </c>
      <c r="AC18" s="120" t="s">
        <v>137</v>
      </c>
      <c r="AD18" s="114">
        <v>46300.0</v>
      </c>
      <c r="AE18" s="116">
        <f>IF(OR(ISBLANK($B18),ISBLANK($AD18)),"",IFERROR(IF($AD18&lt;=DATE('ESTADO CONTABLE'!$B$2,10,5),VLOOKUP($B18,COSTOS!$A$2:$B1014,2,FALSE)-150,VLOOKUP($B18,COSTOS!$A$2:$B1014,2,FALSE)),"No encontrado o error"))</f>
        <v>550</v>
      </c>
      <c r="AF18" s="120" t="s">
        <v>137</v>
      </c>
      <c r="AG18" s="114"/>
      <c r="AH18" s="116" t="str">
        <f>IF(OR(ISBLANK($B18),ISBLANK($AG18)),"",IFERROR(IF($AG18&lt;=DATE('ESTADO CONTABLE'!$B$2,11,5),VLOOKUP($B18,COSTOS!$A$2:$B1014,2,FALSE)-150,VLOOKUP($B18,COSTOS!$A$2:$B1014,2,FALSE)),"No encontrado o error"))</f>
        <v/>
      </c>
      <c r="AI18" s="122"/>
      <c r="AJ18" s="114"/>
      <c r="AK18" s="116" t="str">
        <f>IF(OR(ISBLANK($B18),ISBLANK($AJ18)),"",IFERROR(IF($AJ18&lt;=DATE('ESTADO CONTABLE'!$B$2,12,5),VLOOKUP($B18,COSTOS!$A$2:$B1014,2,FALSE)-150,VLOOKUP($B18,COSTOS!$A$2:$B1014,2,FALSE)),"No encontrado o error"))</f>
        <v/>
      </c>
      <c r="AL18" s="122"/>
      <c r="AM18" s="202"/>
      <c r="AN18" s="201"/>
      <c r="AO18" s="133">
        <f t="shared" si="1"/>
        <v>0</v>
      </c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</row>
    <row r="19" ht="22.5" hidden="1" customHeight="1">
      <c r="A19" s="205" t="s">
        <v>436</v>
      </c>
      <c r="B19" s="206" t="s">
        <v>215</v>
      </c>
      <c r="C19" s="84" t="s">
        <v>286</v>
      </c>
      <c r="D19" s="85">
        <v>46036.0</v>
      </c>
      <c r="E19" s="86">
        <v>1100.0</v>
      </c>
      <c r="F19" s="87">
        <v>46057.0</v>
      </c>
      <c r="G19" s="93">
        <v>950.0</v>
      </c>
      <c r="H19" s="95" t="s">
        <v>112</v>
      </c>
      <c r="I19" s="85">
        <v>46086.0</v>
      </c>
      <c r="J19" s="101">
        <v>950.0</v>
      </c>
      <c r="K19" s="106" t="s">
        <v>128</v>
      </c>
      <c r="L19" s="85">
        <v>46125.0</v>
      </c>
      <c r="M19" s="86">
        <v>950.0</v>
      </c>
      <c r="N19" s="106" t="s">
        <v>128</v>
      </c>
      <c r="O19" s="85">
        <v>46143.0</v>
      </c>
      <c r="P19" s="86">
        <v>950.0</v>
      </c>
      <c r="Q19" s="106" t="s">
        <v>137</v>
      </c>
      <c r="R19" s="85">
        <v>46176.0</v>
      </c>
      <c r="S19" s="86">
        <v>950.0</v>
      </c>
      <c r="T19" s="106" t="s">
        <v>128</v>
      </c>
      <c r="U19" s="85">
        <v>46204.0</v>
      </c>
      <c r="V19" s="86">
        <v>950.0</v>
      </c>
      <c r="W19" s="106" t="s">
        <v>128</v>
      </c>
      <c r="X19" s="148">
        <v>46239.0</v>
      </c>
      <c r="Y19" s="178">
        <v>950.0</v>
      </c>
      <c r="Z19" s="149" t="s">
        <v>128</v>
      </c>
      <c r="AA19" s="148">
        <v>46267.0</v>
      </c>
      <c r="AB19" s="207">
        <v>950.0</v>
      </c>
      <c r="AC19" s="150" t="s">
        <v>137</v>
      </c>
      <c r="AD19" s="148"/>
      <c r="AE19" s="116" t="str">
        <f>IF(OR(ISBLANK($B19),ISBLANK($AD19)),"",IFERROR(IF($AD19&lt;=DATE('ESTADO CONTABLE'!$B$2,10,5),VLOOKUP($B19,COSTOS!$A$2:$B1014,2,FALSE)-150,VLOOKUP($B19,COSTOS!$A$2:$B1014,2,FALSE)),"No encontrado o error"))</f>
        <v/>
      </c>
      <c r="AF19" s="151"/>
      <c r="AG19" s="148"/>
      <c r="AH19" s="116" t="str">
        <f>IF(OR(ISBLANK($B19),ISBLANK($AG19)),"",IFERROR(IF($AG19&lt;=DATE('ESTADO CONTABLE'!$B$2,11,5),VLOOKUP($B19,COSTOS!$A$2:$B1014,2,FALSE)-150,VLOOKUP($B19,COSTOS!$A$2:$B1014,2,FALSE)),"No encontrado o error"))</f>
        <v/>
      </c>
      <c r="AI19" s="151"/>
      <c r="AJ19" s="148"/>
      <c r="AK19" s="116" t="str">
        <f>IF(OR(ISBLANK($B19),ISBLANK($AJ19)),"",IFERROR(IF($AJ19&lt;=DATE('ESTADO CONTABLE'!$B$2,12,5),VLOOKUP($B19,COSTOS!$A$2:$B1014,2,FALSE)-150,VLOOKUP($B19,COSTOS!$A$2:$B1014,2,FALSE)),"No encontrado o error"))</f>
        <v/>
      </c>
      <c r="AL19" s="151"/>
      <c r="AM19" s="161"/>
      <c r="AN19" s="130"/>
      <c r="AO19" s="133">
        <f t="shared" si="1"/>
        <v>0</v>
      </c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</row>
    <row r="20" ht="22.5" customHeight="1">
      <c r="A20" s="82" t="str">
        <f>'BASE DE DATOSS'!A19</f>
        <v>NADIA MIREYA MORENO CARRILLO </v>
      </c>
      <c r="B20" s="83" t="str">
        <f>'BASE DE DATOSS'!C19</f>
        <v>ADULTS 2</v>
      </c>
      <c r="C20" s="84" t="s">
        <v>258</v>
      </c>
      <c r="D20" s="85">
        <v>46027.0</v>
      </c>
      <c r="E20" s="86">
        <f>IF(OR(ISBLANK($B20),ISBLANK($D20)),"",IFERROR(IF($D20&lt;=DATE('ESTADO CONTABLE'!$B$2,1,5),VLOOKUP($B20,COSTOS!$A$2:$B1014,2,FALSE)-150,VLOOKUP($B20,COSTOS!$A$2:$B1014,2,FALSE)),"No encontrado o error"))</f>
        <v>950</v>
      </c>
      <c r="F20" s="87">
        <v>46058.0</v>
      </c>
      <c r="G20" s="93">
        <f>IF(OR(ISBLANK($B20),ISBLANK($F20)),"",IFERROR(IF($F20&lt;=DATE('ESTADO CONTABLE'!$B$2,2,5),VLOOKUP($B20,COSTOS!$A$2:$B1014,2,FALSE)-150,VLOOKUP($B20,COSTOS!$A$2:$B1014,2,FALSE)),"No encontrado o error"))</f>
        <v>950</v>
      </c>
      <c r="H20" s="95" t="s">
        <v>112</v>
      </c>
      <c r="I20" s="85">
        <v>46084.0</v>
      </c>
      <c r="J20" s="101">
        <f>IF(OR(ISBLANK($B20),ISBLANK($I20)),"",IFERROR(IF($I20&lt;=DATE('ESTADO CONTABLE'!$B$2,3,5),VLOOKUP($B20,COSTOS!$A$2:$B1014,2,FALSE)-150,VLOOKUP($B20,COSTOS!$A$2:$B1014,2,FALSE)),"No encontrado o error"))</f>
        <v>950</v>
      </c>
      <c r="K20" s="106" t="s">
        <v>128</v>
      </c>
      <c r="L20" s="85">
        <v>46128.0</v>
      </c>
      <c r="M20" s="86">
        <f>IF(OR(ISBLANK($B20),ISBLANK($L20)),"",IFERROR(IF($L20&lt;=DATE('ESTADO CONTABLE'!$B$2,4,5),VLOOKUP($B20,COSTOS!$A$2:$B1014,2,FALSE)-150,VLOOKUP($B20,COSTOS!$A$2:$B1014,2,FALSE)),"No encontrado o error"))</f>
        <v>1100</v>
      </c>
      <c r="N20" s="106" t="s">
        <v>128</v>
      </c>
      <c r="O20" s="85">
        <v>46147.0</v>
      </c>
      <c r="P20" s="86">
        <v>550.0</v>
      </c>
      <c r="Q20" s="106" t="s">
        <v>128</v>
      </c>
      <c r="R20" s="85">
        <v>46178.0</v>
      </c>
      <c r="S20" s="113">
        <f>IF(OR(ISBLANK($B20),ISBLANK($R20)),"",IFERROR(IF($R20&lt;=DATE('ESTADO CONTABLE'!$B$2,6,5),VLOOKUP($B20,COSTOS!$A$2:$B1014,2,FALSE)-150,VLOOKUP($B20,COSTOS!$A$2:$B1014,2,FALSE)),"No encontrado o error"))</f>
        <v>950</v>
      </c>
      <c r="T20" s="106" t="s">
        <v>128</v>
      </c>
      <c r="U20" s="85">
        <v>46208.0</v>
      </c>
      <c r="V20" s="113">
        <f>IF(OR(ISBLANK($B20),ISBLANK($U20)),"",IFERROR(IF($U20&lt;=DATE('ESTADO CONTABLE'!$B$2,7,5),VLOOKUP($B20,COSTOS!$A$2:$B1014,2,FALSE)-150,VLOOKUP($B20,COSTOS!$A$2:$B1014,2,FALSE)),"No encontrado o error"))</f>
        <v>950</v>
      </c>
      <c r="W20" s="106" t="s">
        <v>128</v>
      </c>
      <c r="X20" s="114">
        <v>46239.0</v>
      </c>
      <c r="Y20" s="116">
        <f>IF(OR(ISBLANK($B20),ISBLANK($X20)),"",IFERROR(IF($X20&lt;=DATE('ESTADO CONTABLE'!$B$2,8,5),VLOOKUP($B20,COSTOS!$A$2:$B1014,2,FALSE)-150,VLOOKUP($B20,COSTOS!$A$2:$B1014,2,FALSE)),"No encontrado o error"))</f>
        <v>950</v>
      </c>
      <c r="Z20" s="117" t="s">
        <v>128</v>
      </c>
      <c r="AA20" s="114">
        <v>46270.0</v>
      </c>
      <c r="AB20" s="118">
        <f>IF(OR(ISBLANK($B20),ISBLANK($AA20)),"",IFERROR(IF($AA20&lt;=DATE('ESTADO CONTABLE'!$B$2,9,5),VLOOKUP($B20,COSTOS!$A$2:$B1014,2,FALSE)-150,VLOOKUP($B20,COSTOS!$A$2:$B1014,2,FALSE)),"No encontrado o error"))</f>
        <v>950</v>
      </c>
      <c r="AC20" s="120" t="s">
        <v>128</v>
      </c>
      <c r="AD20" s="114">
        <v>46300.0</v>
      </c>
      <c r="AE20" s="116">
        <f>IF(OR(ISBLANK($B20),ISBLANK($AD20)),"",IFERROR(IF($AD20&lt;=DATE('ESTADO CONTABLE'!$B$2,10,5),VLOOKUP($B20,COSTOS!$A$2:$B1014,2,FALSE)-150,VLOOKUP($B20,COSTOS!$A$2:$B1014,2,FALSE)),"No encontrado o error"))</f>
        <v>950</v>
      </c>
      <c r="AF20" s="120" t="s">
        <v>128</v>
      </c>
      <c r="AG20" s="114"/>
      <c r="AH20" s="116" t="str">
        <f>IF(OR(ISBLANK($B20),ISBLANK($AG20)),"",IFERROR(IF($AG20&lt;=DATE('ESTADO CONTABLE'!$B$2,11,5),VLOOKUP($B20,COSTOS!$A$2:$B1014,2,FALSE)-150,VLOOKUP($B20,COSTOS!$A$2:$B1014,2,FALSE)),"No encontrado o error"))</f>
        <v/>
      </c>
      <c r="AI20" s="122"/>
      <c r="AJ20" s="114"/>
      <c r="AK20" s="116" t="str">
        <f>IF(OR(ISBLANK($B20),ISBLANK($AJ20)),"",IFERROR(IF($AJ20&lt;=DATE('ESTADO CONTABLE'!$B$2,12,5),VLOOKUP($B20,COSTOS!$A$2:$B1014,2,FALSE)-150,VLOOKUP($B20,COSTOS!$A$2:$B1014,2,FALSE)),"No encontrado o error"))</f>
        <v/>
      </c>
      <c r="AL20" s="122"/>
      <c r="AM20" s="202"/>
      <c r="AN20" s="201"/>
      <c r="AO20" s="133">
        <f t="shared" si="1"/>
        <v>0</v>
      </c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</row>
    <row r="21" ht="22.5" customHeight="1">
      <c r="A21" s="82" t="str">
        <f>'BASE DE DATOSS'!A20</f>
        <v>ARIADNA KATINA MORENO ROSENDO </v>
      </c>
      <c r="B21" s="83" t="str">
        <f>'BASE DE DATOSS'!C20</f>
        <v>KIDS 2</v>
      </c>
      <c r="C21" s="84" t="s">
        <v>453</v>
      </c>
      <c r="D21" s="85">
        <v>46028.0</v>
      </c>
      <c r="E21" s="86">
        <f>IF(OR(ISBLANK($B21),ISBLANK($D21)),"",IFERROR(IF($D21&lt;=DATE('ESTADO CONTABLE'!$B$2,1,5),VLOOKUP($B21,COSTOS!$A$2:$B1014,2,FALSE)-150,VLOOKUP($B21,COSTOS!$A$2:$B1014,2,FALSE)),"No encontrado o error"))</f>
        <v>950</v>
      </c>
      <c r="F21" s="87">
        <v>46057.0</v>
      </c>
      <c r="G21" s="93">
        <f>IF(OR(ISBLANK($B21),ISBLANK($F21)),"",IFERROR(IF($F21&lt;=DATE('ESTADO CONTABLE'!$B$2,2,5),VLOOKUP($B21,COSTOS!$A$2:$B1014,2,FALSE)-150,VLOOKUP($B21,COSTOS!$A$2:$B1014,2,FALSE)),"No encontrado o error"))</f>
        <v>800</v>
      </c>
      <c r="H21" s="95" t="s">
        <v>262</v>
      </c>
      <c r="I21" s="85">
        <v>46084.0</v>
      </c>
      <c r="J21" s="101">
        <f>IF(OR(ISBLANK($B21),ISBLANK($I21)),"",IFERROR(IF($I21&lt;=DATE('ESTADO CONTABLE'!$B$2,3,5),VLOOKUP($B21,COSTOS!$A$2:$B1014,2,FALSE)-150,VLOOKUP($B21,COSTOS!$A$2:$B1014,2,FALSE)),"No encontrado o error"))</f>
        <v>800</v>
      </c>
      <c r="K21" s="106" t="s">
        <v>128</v>
      </c>
      <c r="L21" s="85">
        <v>46114.0</v>
      </c>
      <c r="M21" s="86">
        <f>IF(OR(ISBLANK($B21),ISBLANK($L21)),"",IFERROR(IF($L21&lt;=DATE('ESTADO CONTABLE'!$B$2,4,5),VLOOKUP($B21,COSTOS!$A$2:$B1014,2,FALSE)-150,VLOOKUP($B21,COSTOS!$A$2:$B1014,2,FALSE)),"No encontrado o error"))</f>
        <v>800</v>
      </c>
      <c r="N21" s="106" t="s">
        <v>128</v>
      </c>
      <c r="O21" s="85">
        <v>46146.0</v>
      </c>
      <c r="P21" s="113">
        <f>IF(OR(ISBLANK($B21),ISBLANK($O21)),"",IFERROR(IF($O21&lt;=DATE('ESTADO CONTABLE'!$B$2,5,5),VLOOKUP($B21,COSTOS!$A$2:$B1014,2,FALSE)-150,VLOOKUP($B21,COSTOS!$A$2:$B1014,2,FALSE)),"No encontrado o error"))</f>
        <v>800</v>
      </c>
      <c r="Q21" s="106" t="s">
        <v>128</v>
      </c>
      <c r="R21" s="85">
        <v>46178.0</v>
      </c>
      <c r="S21" s="113">
        <f>IF(OR(ISBLANK($B21),ISBLANK($R21)),"",IFERROR(IF($R21&lt;=DATE('ESTADO CONTABLE'!$B$2,6,5),VLOOKUP($B21,COSTOS!$A$2:$B1014,2,FALSE)-150,VLOOKUP($B21,COSTOS!$A$2:$B1014,2,FALSE)),"No encontrado o error"))</f>
        <v>800</v>
      </c>
      <c r="T21" s="106" t="s">
        <v>137</v>
      </c>
      <c r="U21" s="85">
        <v>46204.0</v>
      </c>
      <c r="V21" s="113">
        <f>IF(OR(ISBLANK($B21),ISBLANK($U21)),"",IFERROR(IF($U21&lt;=DATE('ESTADO CONTABLE'!$B$2,7,5),VLOOKUP($B21,COSTOS!$A$2:$B1014,2,FALSE)-150,VLOOKUP($B21,COSTOS!$A$2:$B1014,2,FALSE)),"No encontrado o error"))</f>
        <v>800</v>
      </c>
      <c r="W21" s="106" t="s">
        <v>128</v>
      </c>
      <c r="X21" s="148">
        <v>46237.0</v>
      </c>
      <c r="Y21" s="116">
        <f>IF(OR(ISBLANK($B21),ISBLANK($X21)),"",IFERROR(IF($X21&lt;=DATE('ESTADO CONTABLE'!$B$2,8,5),VLOOKUP($B21,COSTOS!$A$2:$B1014,2,FALSE)-150,VLOOKUP($B21,COSTOS!$A$2:$B1014,2,FALSE)),"No encontrado o error"))</f>
        <v>800</v>
      </c>
      <c r="Z21" s="149" t="s">
        <v>128</v>
      </c>
      <c r="AA21" s="148">
        <v>46268.0</v>
      </c>
      <c r="AB21" s="118">
        <f>IF(OR(ISBLANK($B21),ISBLANK($AA21)),"",IFERROR(IF($AA21&lt;=DATE('ESTADO CONTABLE'!$B$2,9,5),VLOOKUP($B21,COSTOS!$A$2:$B1014,2,FALSE)-150,VLOOKUP($B21,COSTOS!$A$2:$B1014,2,FALSE)),"No encontrado o error"))</f>
        <v>800</v>
      </c>
      <c r="AC21" s="150" t="s">
        <v>137</v>
      </c>
      <c r="AD21" s="148">
        <v>46300.0</v>
      </c>
      <c r="AE21" s="116">
        <f>IF(OR(ISBLANK($B21),ISBLANK($AD21)),"",IFERROR(IF($AD21&lt;=DATE('ESTADO CONTABLE'!$B$2,10,5),VLOOKUP($B21,COSTOS!$A$2:$B1014,2,FALSE)-150,VLOOKUP($B21,COSTOS!$A$2:$B1014,2,FALSE)),"No encontrado o error"))</f>
        <v>800</v>
      </c>
      <c r="AF21" s="150" t="s">
        <v>137</v>
      </c>
      <c r="AG21" s="148"/>
      <c r="AH21" s="116" t="str">
        <f>IF(OR(ISBLANK($B21),ISBLANK($AG21)),"",IFERROR(IF($AG21&lt;=DATE('ESTADO CONTABLE'!$B$2,11,5),VLOOKUP($B21,COSTOS!$A$2:$B1014,2,FALSE)-150,VLOOKUP($B21,COSTOS!$A$2:$B1014,2,FALSE)),"No encontrado o error"))</f>
        <v/>
      </c>
      <c r="AI21" s="151"/>
      <c r="AJ21" s="148"/>
      <c r="AK21" s="116" t="str">
        <f>IF(OR(ISBLANK($B21),ISBLANK($AJ21)),"",IFERROR(IF($AJ21&lt;=DATE('ESTADO CONTABLE'!$B$2,12,5),VLOOKUP($B21,COSTOS!$A$2:$B1014,2,FALSE)-150,VLOOKUP($B21,COSTOS!$A$2:$B1014,2,FALSE)),"No encontrado o error"))</f>
        <v/>
      </c>
      <c r="AL21" s="151"/>
      <c r="AM21" s="202"/>
      <c r="AN21" s="201"/>
      <c r="AO21" s="133">
        <f t="shared" si="1"/>
        <v>0</v>
      </c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</row>
    <row r="22" ht="22.5" customHeight="1">
      <c r="A22" s="82" t="str">
        <f>'BASE DE DATOSS'!A21</f>
        <v>ANIELA SIBEL ORDOÑEZ RAMÍREZ </v>
      </c>
      <c r="B22" s="83" t="str">
        <f>'BASE DE DATOSS'!C21</f>
        <v>ADULTS 2</v>
      </c>
      <c r="C22" s="84" t="s">
        <v>454</v>
      </c>
      <c r="D22" s="85">
        <v>46031.0</v>
      </c>
      <c r="E22" s="86">
        <f>IF(OR(ISBLANK($B22),ISBLANK($D22)),"",IFERROR(IF($D22&lt;=DATE('ESTADO CONTABLE'!$B$2,1,5),VLOOKUP($B22,COSTOS!$A$2:$B1014,2,FALSE)-150,VLOOKUP($B22,COSTOS!$A$2:$B1014,2,FALSE)),"No encontrado o error"))</f>
        <v>1100</v>
      </c>
      <c r="F22" s="87">
        <v>46056.0</v>
      </c>
      <c r="G22" s="93">
        <f>IF(OR(ISBLANK($B22),ISBLANK($F22)),"",IFERROR(IF($F22&lt;=DATE('ESTADO CONTABLE'!$B$2,2,5),VLOOKUP($B22,COSTOS!$A$2:$B1014,2,FALSE)-150,VLOOKUP($B22,COSTOS!$A$2:$B1014,2,FALSE)),"No encontrado o error"))</f>
        <v>950</v>
      </c>
      <c r="H22" s="95" t="s">
        <v>112</v>
      </c>
      <c r="I22" s="85">
        <v>46084.0</v>
      </c>
      <c r="J22" s="101">
        <f>IF(OR(ISBLANK($B22),ISBLANK($I22)),"",IFERROR(IF($I22&lt;=DATE('ESTADO CONTABLE'!$B$2,3,5),VLOOKUP($B22,COSTOS!$A$2:$B1014,2,FALSE)-150,VLOOKUP($B22,COSTOS!$A$2:$B1014,2,FALSE)),"No encontrado o error"))</f>
        <v>950</v>
      </c>
      <c r="K22" s="106" t="s">
        <v>128</v>
      </c>
      <c r="L22" s="85">
        <v>46115.0</v>
      </c>
      <c r="M22" s="86">
        <f>IF(OR(ISBLANK($B22),ISBLANK($L22)),"",IFERROR(IF($L22&lt;=DATE('ESTADO CONTABLE'!$B$2,4,5),VLOOKUP($B22,COSTOS!$A$2:$B1014,2,FALSE)-150,VLOOKUP($B22,COSTOS!$A$2:$B1014,2,FALSE)),"No encontrado o error"))</f>
        <v>950</v>
      </c>
      <c r="N22" s="106" t="s">
        <v>128</v>
      </c>
      <c r="O22" s="85">
        <v>46146.0</v>
      </c>
      <c r="P22" s="113">
        <f>IF(OR(ISBLANK($B22),ISBLANK($O22)),"",IFERROR(IF($O22&lt;=DATE('ESTADO CONTABLE'!$B$2,5,5),VLOOKUP($B22,COSTOS!$A$2:$B1014,2,FALSE)-150,VLOOKUP($B22,COSTOS!$A$2:$B1014,2,FALSE)),"No encontrado o error"))</f>
        <v>950</v>
      </c>
      <c r="Q22" s="106" t="s">
        <v>128</v>
      </c>
      <c r="R22" s="85">
        <v>46175.0</v>
      </c>
      <c r="S22" s="113">
        <f>IF(OR(ISBLANK($B22),ISBLANK($R22)),"",IFERROR(IF($R22&lt;=DATE('ESTADO CONTABLE'!$B$2,6,5),VLOOKUP($B22,COSTOS!$A$2:$B1014,2,FALSE)-150,VLOOKUP($B22,COSTOS!$A$2:$B1014,2,FALSE)),"No encontrado o error"))</f>
        <v>950</v>
      </c>
      <c r="T22" s="106" t="s">
        <v>128</v>
      </c>
      <c r="U22" s="85">
        <v>46206.0</v>
      </c>
      <c r="V22" s="113">
        <f>IF(OR(ISBLANK($B22),ISBLANK($U22)),"",IFERROR(IF($U22&lt;=DATE('ESTADO CONTABLE'!$B$2,7,5),VLOOKUP($B22,COSTOS!$A$2:$B1014,2,FALSE)-150,VLOOKUP($B22,COSTOS!$A$2:$B1014,2,FALSE)),"No encontrado o error"))</f>
        <v>950</v>
      </c>
      <c r="W22" s="106" t="s">
        <v>128</v>
      </c>
      <c r="X22" s="114">
        <v>46239.0</v>
      </c>
      <c r="Y22" s="116">
        <f>IF(OR(ISBLANK($B22),ISBLANK($X22)),"",IFERROR(IF($X22&lt;=DATE('ESTADO CONTABLE'!$B$2,8,5),VLOOKUP($B22,COSTOS!$A$2:$B1014,2,FALSE)-150,VLOOKUP($B22,COSTOS!$A$2:$B1014,2,FALSE)),"No encontrado o error"))</f>
        <v>950</v>
      </c>
      <c r="Z22" s="117" t="s">
        <v>128</v>
      </c>
      <c r="AA22" s="114">
        <v>46266.0</v>
      </c>
      <c r="AB22" s="118">
        <f>IF(OR(ISBLANK($B22),ISBLANK($AA22)),"",IFERROR(IF($AA22&lt;=DATE('ESTADO CONTABLE'!$B$2,9,5),VLOOKUP($B22,COSTOS!$A$2:$B1014,2,FALSE)-150,VLOOKUP($B22,COSTOS!$A$2:$B1014,2,FALSE)),"No encontrado o error"))</f>
        <v>950</v>
      </c>
      <c r="AC22" s="120" t="s">
        <v>137</v>
      </c>
      <c r="AD22" s="114">
        <v>46297.0</v>
      </c>
      <c r="AE22" s="116">
        <f>IF(OR(ISBLANK($B22),ISBLANK($AD22)),"",IFERROR(IF($AD22&lt;=DATE('ESTADO CONTABLE'!$B$2,10,5),VLOOKUP($B22,COSTOS!$A$2:$B1014,2,FALSE)-150,VLOOKUP($B22,COSTOS!$A$2:$B1014,2,FALSE)),"No encontrado o error"))</f>
        <v>950</v>
      </c>
      <c r="AF22" s="120" t="s">
        <v>128</v>
      </c>
      <c r="AG22" s="114"/>
      <c r="AH22" s="116" t="str">
        <f>IF(OR(ISBLANK($B22),ISBLANK($AG22)),"",IFERROR(IF($AG22&lt;=DATE('ESTADO CONTABLE'!$B$2,11,5),VLOOKUP($B22,COSTOS!$A$2:$B1014,2,FALSE)-150,VLOOKUP($B22,COSTOS!$A$2:$B1014,2,FALSE)),"No encontrado o error"))</f>
        <v/>
      </c>
      <c r="AI22" s="122"/>
      <c r="AJ22" s="114"/>
      <c r="AK22" s="116" t="str">
        <f>IF(OR(ISBLANK($B22),ISBLANK($AJ22)),"",IFERROR(IF($AJ22&lt;=DATE('ESTADO CONTABLE'!$B$2,12,5),VLOOKUP($B22,COSTOS!$A$2:$B1014,2,FALSE)-150,VLOOKUP($B22,COSTOS!$A$2:$B1014,2,FALSE)),"No encontrado o error"))</f>
        <v/>
      </c>
      <c r="AL22" s="122"/>
      <c r="AM22" s="202"/>
      <c r="AN22" s="201"/>
      <c r="AO22" s="133">
        <f t="shared" si="1"/>
        <v>0</v>
      </c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</row>
    <row r="23" ht="22.5" customHeight="1">
      <c r="A23" s="82" t="str">
        <f>'BASE DE DATOSS'!A22</f>
        <v>DENYS GUALINO PERALTA </v>
      </c>
      <c r="B23" s="83" t="str">
        <f>'BASE DE DATOSS'!C22</f>
        <v>ADULTS 2</v>
      </c>
      <c r="C23" s="84" t="s">
        <v>454</v>
      </c>
      <c r="D23" s="85">
        <v>46032.0</v>
      </c>
      <c r="E23" s="86">
        <f>IF(OR(ISBLANK($B23),ISBLANK($D23)),"",IFERROR(IF($D23&lt;=DATE('ESTADO CONTABLE'!$B$2,1,5),VLOOKUP($B23,COSTOS!$A$2:$B1014,2,FALSE)-150,VLOOKUP($B23,COSTOS!$A$2:$B1014,2,FALSE)),"No encontrado o error"))</f>
        <v>1100</v>
      </c>
      <c r="F23" s="183">
        <v>46054.0</v>
      </c>
      <c r="G23" s="93">
        <f>IF(OR(ISBLANK($B23),ISBLANK($F23)),"",IFERROR(IF($F23&lt;=DATE('ESTADO CONTABLE'!$B$2,2,5),VLOOKUP($B23,COSTOS!$A$2:$B1014,2,FALSE)-150,VLOOKUP($B23,COSTOS!$A$2:$B1014,2,FALSE)),"No encontrado o error"))</f>
        <v>950</v>
      </c>
      <c r="H23" s="95" t="s">
        <v>262</v>
      </c>
      <c r="I23" s="85">
        <v>46084.0</v>
      </c>
      <c r="J23" s="101">
        <f>IF(OR(ISBLANK($B23),ISBLANK($I23)),"",IFERROR(IF($I23&lt;=DATE('ESTADO CONTABLE'!$B$2,3,5),VLOOKUP($B23,COSTOS!$A$2:$B1014,2,FALSE)-150,VLOOKUP($B23,COSTOS!$A$2:$B1014,2,FALSE)),"No encontrado o error"))</f>
        <v>950</v>
      </c>
      <c r="K23" s="106" t="s">
        <v>128</v>
      </c>
      <c r="L23" s="85">
        <v>46114.0</v>
      </c>
      <c r="M23" s="86">
        <f>IF(OR(ISBLANK($B23),ISBLANK($L23)),"",IFERROR(IF($L23&lt;=DATE('ESTADO CONTABLE'!$B$2,4,5),VLOOKUP($B23,COSTOS!$A$2:$B1014,2,FALSE)-150,VLOOKUP($B23,COSTOS!$A$2:$B1014,2,FALSE)),"No encontrado o error"))</f>
        <v>950</v>
      </c>
      <c r="N23" s="106" t="s">
        <v>128</v>
      </c>
      <c r="O23" s="85">
        <v>46146.0</v>
      </c>
      <c r="P23" s="113">
        <f>IF(OR(ISBLANK($B23),ISBLANK($O23)),"",IFERROR(IF($O23&lt;=DATE('ESTADO CONTABLE'!$B$2,5,5),VLOOKUP($B23,COSTOS!$A$2:$B1014,2,FALSE)-150,VLOOKUP($B23,COSTOS!$A$2:$B1014,2,FALSE)),"No encontrado o error"))</f>
        <v>950</v>
      </c>
      <c r="Q23" s="106" t="s">
        <v>128</v>
      </c>
      <c r="R23" s="85">
        <v>46174.0</v>
      </c>
      <c r="S23" s="113">
        <f>IF(OR(ISBLANK($B23),ISBLANK($R23)),"",IFERROR(IF($R23&lt;=DATE('ESTADO CONTABLE'!$B$2,6,5),VLOOKUP($B23,COSTOS!$A$2:$B1014,2,FALSE)-150,VLOOKUP($B23,COSTOS!$A$2:$B1014,2,FALSE)),"No encontrado o error"))</f>
        <v>950</v>
      </c>
      <c r="T23" s="106" t="s">
        <v>128</v>
      </c>
      <c r="U23" s="85">
        <v>46204.0</v>
      </c>
      <c r="V23" s="113">
        <f>IF(OR(ISBLANK($B23),ISBLANK($U23)),"",IFERROR(IF($U23&lt;=DATE('ESTADO CONTABLE'!$B$2,7,5),VLOOKUP($B23,COSTOS!$A$2:$B1014,2,FALSE)-150,VLOOKUP($B23,COSTOS!$A$2:$B1014,2,FALSE)),"No encontrado o error"))</f>
        <v>950</v>
      </c>
      <c r="W23" s="106" t="s">
        <v>128</v>
      </c>
      <c r="X23" s="148">
        <v>46235.0</v>
      </c>
      <c r="Y23" s="116">
        <f>IF(OR(ISBLANK($B23),ISBLANK($X23)),"",IFERROR(IF($X23&lt;=DATE('ESTADO CONTABLE'!$B$2,8,5),VLOOKUP($B23,COSTOS!$A$2:$B1014,2,FALSE)-150,VLOOKUP($B23,COSTOS!$A$2:$B1014,2,FALSE)),"No encontrado o error"))</f>
        <v>950</v>
      </c>
      <c r="Z23" s="149" t="s">
        <v>128</v>
      </c>
      <c r="AA23" s="148">
        <v>46266.0</v>
      </c>
      <c r="AB23" s="118">
        <f>IF(OR(ISBLANK($B23),ISBLANK($AA23)),"",IFERROR(IF($AA23&lt;=DATE('ESTADO CONTABLE'!$B$2,9,5),VLOOKUP($B23,COSTOS!$A$2:$B1014,2,FALSE)-150,VLOOKUP($B23,COSTOS!$A$2:$B1014,2,FALSE)),"No encontrado o error"))</f>
        <v>950</v>
      </c>
      <c r="AC23" s="150" t="s">
        <v>128</v>
      </c>
      <c r="AD23" s="148">
        <v>46297.0</v>
      </c>
      <c r="AE23" s="116">
        <f>IF(OR(ISBLANK($B23),ISBLANK($AD23)),"",IFERROR(IF($AD23&lt;=DATE('ESTADO CONTABLE'!$B$2,10,5),VLOOKUP($B23,COSTOS!$A$2:$B1014,2,FALSE)-150,VLOOKUP($B23,COSTOS!$A$2:$B1014,2,FALSE)),"No encontrado o error"))</f>
        <v>950</v>
      </c>
      <c r="AF23" s="150" t="s">
        <v>128</v>
      </c>
      <c r="AG23" s="148"/>
      <c r="AH23" s="116" t="str">
        <f>IF(OR(ISBLANK($B23),ISBLANK($AG23)),"",IFERROR(IF($AG23&lt;=DATE('ESTADO CONTABLE'!$B$2,11,5),VLOOKUP($B23,COSTOS!$A$2:$B1014,2,FALSE)-150,VLOOKUP($B23,COSTOS!$A$2:$B1014,2,FALSE)),"No encontrado o error"))</f>
        <v/>
      </c>
      <c r="AI23" s="151"/>
      <c r="AJ23" s="148"/>
      <c r="AK23" s="116" t="str">
        <f>IF(OR(ISBLANK($B23),ISBLANK($AJ23)),"",IFERROR(IF($AJ23&lt;=DATE('ESTADO CONTABLE'!$B$2,12,5),VLOOKUP($B23,COSTOS!$A$2:$B1014,2,FALSE)-150,VLOOKUP($B23,COSTOS!$A$2:$B1014,2,FALSE)),"No encontrado o error"))</f>
        <v/>
      </c>
      <c r="AL23" s="151"/>
      <c r="AM23" s="202"/>
      <c r="AN23" s="201"/>
      <c r="AO23" s="133">
        <f t="shared" si="1"/>
        <v>0</v>
      </c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</row>
    <row r="24" ht="22.5" customHeight="1">
      <c r="A24" s="82" t="str">
        <f>'BASE DE DATOSS'!A23</f>
        <v>MARÍA SOFIA CÁRDENAS MENDOZA</v>
      </c>
      <c r="B24" s="83" t="str">
        <f>'BASE DE DATOSS'!C23</f>
        <v>JR 2</v>
      </c>
      <c r="C24" s="84" t="s">
        <v>370</v>
      </c>
      <c r="D24" s="208" t="s">
        <v>122</v>
      </c>
      <c r="E24" s="208" t="s">
        <v>122</v>
      </c>
      <c r="F24" s="183">
        <v>46054.0</v>
      </c>
      <c r="G24" s="209">
        <f>IF(OR(ISBLANK($B24),ISBLANK($F24)),"",IFERROR(IF($F24&lt;=DATE('ESTADO CONTABLE'!$B$2,2,5),VLOOKUP($B24,COSTOS!$A$2:$B1014,2,FALSE)-150,VLOOKUP($B24,COSTOS!$A$2:$B1014,2,FALSE)),"No encontrado o error"))</f>
        <v>800</v>
      </c>
      <c r="H24" s="210" t="s">
        <v>469</v>
      </c>
      <c r="I24" s="85">
        <v>46084.0</v>
      </c>
      <c r="J24" s="101">
        <f>IF(OR(ISBLANK($B24),ISBLANK($I24)),"",IFERROR(IF($I24&lt;=DATE('ESTADO CONTABLE'!$B$2,3,5),VLOOKUP($B24,COSTOS!$A$2:$B1014,2,FALSE)-150,VLOOKUP($B24,COSTOS!$A$2:$B1014,2,FALSE)),"No encontrado o error"))</f>
        <v>800</v>
      </c>
      <c r="K24" s="106" t="s">
        <v>128</v>
      </c>
      <c r="L24" s="185">
        <v>46140.0</v>
      </c>
      <c r="M24" s="86">
        <f>IF(OR(ISBLANK($B24),ISBLANK($L24)),"",IFERROR(IF($L24&lt;=DATE('ESTADO CONTABLE'!$B$2,4,5),VLOOKUP($B24,COSTOS!$A$2:$B1014,2,FALSE)-150,VLOOKUP($B24,COSTOS!$A$2:$B1014,2,FALSE)),"No encontrado o error"))</f>
        <v>950</v>
      </c>
      <c r="N24" s="106" t="s">
        <v>137</v>
      </c>
      <c r="O24" s="185">
        <v>46147.0</v>
      </c>
      <c r="P24" s="113">
        <f>IF(OR(ISBLANK($B24),ISBLANK($O24)),"",IFERROR(IF($O24&lt;=DATE('ESTADO CONTABLE'!$B$2,5,5),VLOOKUP($B24,COSTOS!$A$2:$B1014,2,FALSE)-150,VLOOKUP($B24,COSTOS!$A$2:$B1014,2,FALSE)),"No encontrado o error"))</f>
        <v>800</v>
      </c>
      <c r="Q24" s="106" t="s">
        <v>128</v>
      </c>
      <c r="R24" s="185">
        <v>46174.0</v>
      </c>
      <c r="S24" s="113">
        <f>IF(OR(ISBLANK($B24),ISBLANK($R24)),"",IFERROR(IF($R24&lt;=DATE('ESTADO CONTABLE'!$B$2,6,5),VLOOKUP($B24,COSTOS!$A$2:$B1014,2,FALSE)-150,VLOOKUP($B24,COSTOS!$A$2:$B1014,2,FALSE)),"No encontrado o error"))</f>
        <v>800</v>
      </c>
      <c r="T24" s="106" t="s">
        <v>128</v>
      </c>
      <c r="U24" s="185">
        <v>46211.0</v>
      </c>
      <c r="V24" s="86">
        <v>800.0</v>
      </c>
      <c r="W24" s="106" t="s">
        <v>128</v>
      </c>
      <c r="X24" s="114">
        <v>46235.0</v>
      </c>
      <c r="Y24" s="116">
        <f>IF(OR(ISBLANK($B24),ISBLANK($X24)),"",IFERROR(IF($X24&lt;=DATE('ESTADO CONTABLE'!$B$2,8,5),VLOOKUP($B24,COSTOS!$A$2:$B1014,2,FALSE)-150,VLOOKUP($B24,COSTOS!$A$2:$B1014,2,FALSE)),"No encontrado o error"))</f>
        <v>800</v>
      </c>
      <c r="Z24" s="117" t="s">
        <v>128</v>
      </c>
      <c r="AA24" s="114">
        <v>46275.0</v>
      </c>
      <c r="AB24" s="118">
        <f>IF(OR(ISBLANK($B24),ISBLANK($AA24)),"",IFERROR(IF($AA24&lt;=DATE('ESTADO CONTABLE'!$B$2,9,5),VLOOKUP($B24,COSTOS!$A$2:$B1014,2,FALSE)-150,VLOOKUP($B24,COSTOS!$A$2:$B1014,2,FALSE)),"No encontrado o error"))</f>
        <v>950</v>
      </c>
      <c r="AC24" s="120" t="s">
        <v>137</v>
      </c>
      <c r="AD24" s="114">
        <v>46301.0</v>
      </c>
      <c r="AE24" s="116">
        <f>IF(OR(ISBLANK($B24),ISBLANK($AD24)),"",IFERROR(IF($AD24&lt;=DATE('ESTADO CONTABLE'!$B$2,10,5),VLOOKUP($B24,COSTOS!$A$2:$B1014,2,FALSE)-150,VLOOKUP($B24,COSTOS!$A$2:$B1014,2,FALSE)),"No encontrado o error"))</f>
        <v>950</v>
      </c>
      <c r="AF24" s="120" t="s">
        <v>128</v>
      </c>
      <c r="AG24" s="114"/>
      <c r="AH24" s="116" t="str">
        <f>IF(OR(ISBLANK($B24),ISBLANK($AG24)),"",IFERROR(IF($AG24&lt;=DATE('ESTADO CONTABLE'!$B$2,11,5),VLOOKUP($B24,COSTOS!$A$2:$B1014,2,FALSE)-150,VLOOKUP($B24,COSTOS!$A$2:$B1014,2,FALSE)),"No encontrado o error"))</f>
        <v/>
      </c>
      <c r="AI24" s="122"/>
      <c r="AJ24" s="114"/>
      <c r="AK24" s="116" t="str">
        <f>IF(OR(ISBLANK($B24),ISBLANK($AJ24)),"",IFERROR(IF($AJ24&lt;=DATE('ESTADO CONTABLE'!$B$2,12,5),VLOOKUP($B24,COSTOS!$A$2:$B1014,2,FALSE)-150,VLOOKUP($B24,COSTOS!$A$2:$B1014,2,FALSE)),"No encontrado o error"))</f>
        <v/>
      </c>
      <c r="AL24" s="122"/>
      <c r="AM24" s="202"/>
      <c r="AN24" s="201"/>
      <c r="AO24" s="211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</row>
    <row r="25" ht="22.5" customHeight="1">
      <c r="A25" s="82" t="str">
        <f>'BASE DE DATOSS'!A24</f>
        <v>MARTHA IVONNE CRUZ TORRES</v>
      </c>
      <c r="B25" s="83" t="str">
        <f>'BASE DE DATOSS'!C24</f>
        <v>JR 1</v>
      </c>
      <c r="C25" s="84" t="s">
        <v>370</v>
      </c>
      <c r="D25" s="212"/>
      <c r="E25" s="213"/>
      <c r="F25" s="183">
        <v>46054.0</v>
      </c>
      <c r="G25" s="209">
        <f>IF(OR(ISBLANK($B25),ISBLANK($F25)),"",IFERROR(IF($F25&lt;=DATE('ESTADO CONTABLE'!$B$2,2,5),VLOOKUP($B25,COSTOS!$A$2:$B1014,2,FALSE)-150,VLOOKUP($B25,COSTOS!$A$2:$B1014,2,FALSE)),"No encontrado o error"))</f>
        <v>950</v>
      </c>
      <c r="H25" s="210" t="s">
        <v>112</v>
      </c>
      <c r="I25" s="85">
        <v>46083.0</v>
      </c>
      <c r="J25" s="101">
        <f>IF(OR(ISBLANK($B25),ISBLANK($I25)),"",IFERROR(IF($I25&lt;=DATE('ESTADO CONTABLE'!$B$2,3,5),VLOOKUP($B25,COSTOS!$A$2:$B1014,2,FALSE)-150,VLOOKUP($B25,COSTOS!$A$2:$B1014,2,FALSE)),"No encontrado o error"))</f>
        <v>950</v>
      </c>
      <c r="K25" s="106" t="s">
        <v>137</v>
      </c>
      <c r="L25" s="185">
        <v>46133.0</v>
      </c>
      <c r="M25" s="86">
        <f>IF(OR(ISBLANK($B25),ISBLANK($L25)),"",IFERROR(IF($L25&lt;=DATE('ESTADO CONTABLE'!$B$2,4,5),VLOOKUP($B25,COSTOS!$A$2:$B1014,2,FALSE)-150,VLOOKUP($B25,COSTOS!$A$2:$B1014,2,FALSE)),"No encontrado o error"))</f>
        <v>1100</v>
      </c>
      <c r="N25" s="106" t="s">
        <v>137</v>
      </c>
      <c r="O25" s="185">
        <v>46147.0</v>
      </c>
      <c r="P25" s="113">
        <f>IF(OR(ISBLANK($B25),ISBLANK($O25)),"",IFERROR(IF($O25&lt;=DATE('ESTADO CONTABLE'!$B$2,5,5),VLOOKUP($B25,COSTOS!$A$2:$B1014,2,FALSE)-150,VLOOKUP($B25,COSTOS!$A$2:$B1014,2,FALSE)),"No encontrado o error"))</f>
        <v>950</v>
      </c>
      <c r="Q25" s="106" t="s">
        <v>128</v>
      </c>
      <c r="R25" s="185">
        <v>46174.0</v>
      </c>
      <c r="S25" s="86">
        <v>950.0</v>
      </c>
      <c r="T25" s="106" t="s">
        <v>137</v>
      </c>
      <c r="U25" s="185">
        <v>46206.0</v>
      </c>
      <c r="V25" s="113">
        <f>IF(OR(ISBLANK($B25),ISBLANK($U25)),"",IFERROR(IF($U25&lt;=DATE('ESTADO CONTABLE'!$B$2,7,5),VLOOKUP($B25,COSTOS!$A$2:$B1014,2,FALSE)-150,VLOOKUP($B25,COSTOS!$A$2:$B1014,2,FALSE)),"No encontrado o error"))</f>
        <v>950</v>
      </c>
      <c r="W25" s="106" t="s">
        <v>137</v>
      </c>
      <c r="X25" s="114">
        <v>46239.0</v>
      </c>
      <c r="Y25" s="116">
        <f>IF(OR(ISBLANK($B25),ISBLANK($X25)),"",IFERROR(IF($X25&lt;=DATE('ESTADO CONTABLE'!$B$2,8,5),VLOOKUP($B25,COSTOS!$A$2:$B1014,2,FALSE)-150,VLOOKUP($B25,COSTOS!$A$2:$B1014,2,FALSE)),"No encontrado o error"))</f>
        <v>950</v>
      </c>
      <c r="Z25" s="117" t="s">
        <v>128</v>
      </c>
      <c r="AA25" s="114">
        <v>46269.0</v>
      </c>
      <c r="AB25" s="118">
        <f>IF(OR(ISBLANK($B25),ISBLANK($AA25)),"",IFERROR(IF($AA25&lt;=DATE('ESTADO CONTABLE'!$B$2,9,5),VLOOKUP($B25,COSTOS!$A$2:$B1014,2,FALSE)-150,VLOOKUP($B25,COSTOS!$A$2:$B1014,2,FALSE)),"No encontrado o error"))</f>
        <v>950</v>
      </c>
      <c r="AC25" s="120" t="s">
        <v>137</v>
      </c>
      <c r="AD25" s="114">
        <v>46293.0</v>
      </c>
      <c r="AE25" s="116">
        <f>IF(OR(ISBLANK($B25),ISBLANK($AD25)),"",IFERROR(IF($AD25&lt;=DATE('ESTADO CONTABLE'!$B$2,10,5),VLOOKUP($B25,COSTOS!$A$2:$B1014,2,FALSE)-150,VLOOKUP($B25,COSTOS!$A$2:$B1014,2,FALSE)),"No encontrado o error"))</f>
        <v>950</v>
      </c>
      <c r="AF25" s="120" t="s">
        <v>137</v>
      </c>
      <c r="AG25" s="114"/>
      <c r="AH25" s="116" t="str">
        <f>IF(OR(ISBLANK($B25),ISBLANK($AG25)),"",IFERROR(IF($AG25&lt;=DATE('ESTADO CONTABLE'!$B$2,11,5),VLOOKUP($B25,COSTOS!$A$2:$B1014,2,FALSE)-150,VLOOKUP($B25,COSTOS!$A$2:$B1014,2,FALSE)),"No encontrado o error"))</f>
        <v/>
      </c>
      <c r="AI25" s="122"/>
      <c r="AJ25" s="114"/>
      <c r="AK25" s="116" t="str">
        <f>IF(OR(ISBLANK($B25),ISBLANK($AJ25)),"",IFERROR(IF($AJ25&lt;=DATE('ESTADO CONTABLE'!$B$2,12,5),VLOOKUP($B25,COSTOS!$A$2:$B1014,2,FALSE)-150,VLOOKUP($B25,COSTOS!$A$2:$B1014,2,FALSE)),"No encontrado o error"))</f>
        <v/>
      </c>
      <c r="AL25" s="122"/>
      <c r="AM25" s="202"/>
      <c r="AN25" s="201"/>
      <c r="AO25" s="211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</row>
    <row r="26" ht="22.5" customHeight="1">
      <c r="A26" s="82" t="str">
        <f>'BASE DE DATOSS'!A25</f>
        <v>GABRIELA GUADALUPE CRUZ TORRES</v>
      </c>
      <c r="B26" s="83" t="str">
        <f>'BASE DE DATOSS'!C25</f>
        <v>JR 1</v>
      </c>
      <c r="C26" s="84" t="s">
        <v>370</v>
      </c>
      <c r="D26" s="212"/>
      <c r="E26" s="213"/>
      <c r="F26" s="183">
        <v>46054.0</v>
      </c>
      <c r="G26" s="209">
        <f>IF(OR(ISBLANK($B26),ISBLANK($F26)),"",IFERROR(IF($F26&lt;=DATE('ESTADO CONTABLE'!$B$2,2,5),VLOOKUP($B26,COSTOS!$A$2:$B1014,2,FALSE)-150,VLOOKUP($B26,COSTOS!$A$2:$B1014,2,FALSE)),"No encontrado o error"))</f>
        <v>950</v>
      </c>
      <c r="H26" s="210" t="s">
        <v>112</v>
      </c>
      <c r="I26" s="85">
        <v>46083.0</v>
      </c>
      <c r="J26" s="101">
        <f>IF(OR(ISBLANK($B26),ISBLANK($I26)),"",IFERROR(IF($I26&lt;=DATE('ESTADO CONTABLE'!$B$2,3,5),VLOOKUP($B26,COSTOS!$A$2:$B1014,2,FALSE)-150,VLOOKUP($B26,COSTOS!$A$2:$B1014,2,FALSE)),"No encontrado o error"))</f>
        <v>950</v>
      </c>
      <c r="K26" s="106" t="s">
        <v>137</v>
      </c>
      <c r="L26" s="185">
        <v>46133.0</v>
      </c>
      <c r="M26" s="86">
        <f>IF(OR(ISBLANK($B26),ISBLANK($L26)),"",IFERROR(IF($L26&lt;=DATE('ESTADO CONTABLE'!$B$2,4,5),VLOOKUP($B26,COSTOS!$A$2:$B1014,2,FALSE)-150,VLOOKUP($B26,COSTOS!$A$2:$B1014,2,FALSE)),"No encontrado o error"))</f>
        <v>1100</v>
      </c>
      <c r="N26" s="106" t="s">
        <v>137</v>
      </c>
      <c r="O26" s="185">
        <v>46147.0</v>
      </c>
      <c r="P26" s="113">
        <f>IF(OR(ISBLANK($B26),ISBLANK($O26)),"",IFERROR(IF($O26&lt;=DATE('ESTADO CONTABLE'!$B$2,5,5),VLOOKUP($B26,COSTOS!$A$2:$B1014,2,FALSE)-150,VLOOKUP($B26,COSTOS!$A$2:$B1014,2,FALSE)),"No encontrado o error"))</f>
        <v>950</v>
      </c>
      <c r="Q26" s="106" t="s">
        <v>128</v>
      </c>
      <c r="R26" s="185">
        <v>46174.0</v>
      </c>
      <c r="S26" s="86">
        <v>950.0</v>
      </c>
      <c r="T26" s="106" t="s">
        <v>137</v>
      </c>
      <c r="U26" s="185">
        <v>46206.0</v>
      </c>
      <c r="V26" s="113">
        <f>IF(OR(ISBLANK($B26),ISBLANK($U26)),"",IFERROR(IF($U26&lt;=DATE('ESTADO CONTABLE'!$B$2,7,5),VLOOKUP($B26,COSTOS!$A$2:$B1014,2,FALSE)-150,VLOOKUP($B26,COSTOS!$A$2:$B1014,2,FALSE)),"No encontrado o error"))</f>
        <v>950</v>
      </c>
      <c r="W26" s="106" t="s">
        <v>137</v>
      </c>
      <c r="X26" s="148">
        <v>46239.0</v>
      </c>
      <c r="Y26" s="116">
        <f>IF(OR(ISBLANK($B26),ISBLANK($X26)),"",IFERROR(IF($X26&lt;=DATE('ESTADO CONTABLE'!$B$2,8,5),VLOOKUP($B26,COSTOS!$A$2:$B1014,2,FALSE)-150,VLOOKUP($B26,COSTOS!$A$2:$B1014,2,FALSE)),"No encontrado o error"))</f>
        <v>950</v>
      </c>
      <c r="Z26" s="149" t="s">
        <v>128</v>
      </c>
      <c r="AA26" s="148">
        <v>46269.0</v>
      </c>
      <c r="AB26" s="118">
        <f>IF(OR(ISBLANK($B26),ISBLANK($AA26)),"",IFERROR(IF($AA26&lt;=DATE('ESTADO CONTABLE'!$B$2,9,5),VLOOKUP($B26,COSTOS!$A$2:$B1014,2,FALSE)-150,VLOOKUP($B26,COSTOS!$A$2:$B1014,2,FALSE)),"No encontrado o error"))</f>
        <v>950</v>
      </c>
      <c r="AC26" s="150" t="s">
        <v>137</v>
      </c>
      <c r="AD26" s="148">
        <v>46293.0</v>
      </c>
      <c r="AE26" s="116">
        <f>IF(OR(ISBLANK($B26),ISBLANK($AD26)),"",IFERROR(IF($AD26&lt;=DATE('ESTADO CONTABLE'!$B$2,10,5),VLOOKUP($B26,COSTOS!$A$2:$B1014,2,FALSE)-150,VLOOKUP($B26,COSTOS!$A$2:$B1014,2,FALSE)),"No encontrado o error"))</f>
        <v>950</v>
      </c>
      <c r="AF26" s="150" t="s">
        <v>137</v>
      </c>
      <c r="AG26" s="148"/>
      <c r="AH26" s="116" t="str">
        <f>IF(OR(ISBLANK($B26),ISBLANK($AG26)),"",IFERROR(IF($AG26&lt;=DATE('ESTADO CONTABLE'!$B$2,11,5),VLOOKUP($B26,COSTOS!$A$2:$B1014,2,FALSE)-150,VLOOKUP($B26,COSTOS!$A$2:$B1014,2,FALSE)),"No encontrado o error"))</f>
        <v/>
      </c>
      <c r="AI26" s="151"/>
      <c r="AJ26" s="148"/>
      <c r="AK26" s="116" t="str">
        <f>IF(OR(ISBLANK($B26),ISBLANK($AJ26)),"",IFERROR(IF($AJ26&lt;=DATE('ESTADO CONTABLE'!$B$2,12,5),VLOOKUP($B26,COSTOS!$A$2:$B1014,2,FALSE)-150,VLOOKUP($B26,COSTOS!$A$2:$B1014,2,FALSE)),"No encontrado o error"))</f>
        <v/>
      </c>
      <c r="AL26" s="151"/>
      <c r="AM26" s="202"/>
      <c r="AN26" s="201"/>
      <c r="AO26" s="211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</row>
    <row r="27" ht="22.5" customHeight="1">
      <c r="A27" s="82" t="str">
        <f>'BASE DE DATOSS'!A26</f>
        <v>IVANNA ESPINOZA JACINTO</v>
      </c>
      <c r="B27" s="83" t="str">
        <f>'BASE DE DATOSS'!C26</f>
        <v>KIDS 1</v>
      </c>
      <c r="C27" s="84" t="s">
        <v>370</v>
      </c>
      <c r="D27" s="212"/>
      <c r="E27" s="213"/>
      <c r="F27" s="183">
        <v>46058.0</v>
      </c>
      <c r="G27" s="209">
        <f>IF(OR(ISBLANK($B27),ISBLANK($F27)),"",IFERROR(IF($F27&lt;=DATE('ESTADO CONTABLE'!$B$2,2,5),VLOOKUP($B27,COSTOS!$A$2:$B1014,2,FALSE)-150,VLOOKUP($B27,COSTOS!$A$2:$B1014,2,FALSE)),"No encontrado o error"))</f>
        <v>950</v>
      </c>
      <c r="H27" s="210" t="s">
        <v>262</v>
      </c>
      <c r="I27" s="85">
        <v>46083.0</v>
      </c>
      <c r="J27" s="101">
        <f>IF(OR(ISBLANK($B27),ISBLANK($I27)),"",IFERROR(IF($I27&lt;=DATE('ESTADO CONTABLE'!$B$2,3,5),VLOOKUP($B27,COSTOS!$A$2:$B1014,2,FALSE)-150,VLOOKUP($B27,COSTOS!$A$2:$B1014,2,FALSE)),"No encontrado o error"))</f>
        <v>950</v>
      </c>
      <c r="K27" s="106" t="s">
        <v>137</v>
      </c>
      <c r="L27" s="185">
        <v>46115.0</v>
      </c>
      <c r="M27" s="86">
        <f>IF(OR(ISBLANK($B27),ISBLANK($L27)),"",IFERROR(IF($L27&lt;=DATE('ESTADO CONTABLE'!$B$2,4,5),VLOOKUP($B27,COSTOS!$A$2:$B1014,2,FALSE)-150,VLOOKUP($B27,COSTOS!$A$2:$B1014,2,FALSE)),"No encontrado o error"))</f>
        <v>950</v>
      </c>
      <c r="N27" s="106" t="s">
        <v>128</v>
      </c>
      <c r="O27" s="185">
        <v>46148.0</v>
      </c>
      <c r="P27" s="113">
        <f>IF(OR(ISBLANK($B27),ISBLANK($O27)),"",IFERROR(IF($O27&lt;=DATE('ESTADO CONTABLE'!$B$2,5,5),VLOOKUP($B27,COSTOS!$A$2:$B1014,2,FALSE)-150,VLOOKUP($B27,COSTOS!$A$2:$B1014,2,FALSE)),"No encontrado o error"))</f>
        <v>1100</v>
      </c>
      <c r="Q27" s="106" t="s">
        <v>137</v>
      </c>
      <c r="R27" s="185">
        <v>46174.0</v>
      </c>
      <c r="S27" s="113">
        <f>IF(OR(ISBLANK($B27),ISBLANK($R27)),"",IFERROR(IF($R27&lt;=DATE('ESTADO CONTABLE'!$B$2,6,5),VLOOKUP($B27,COSTOS!$A$2:$B1014,2,FALSE)-150,VLOOKUP($B27,COSTOS!$A$2:$B1014,2,FALSE)),"No encontrado o error"))</f>
        <v>950</v>
      </c>
      <c r="T27" s="106" t="s">
        <v>128</v>
      </c>
      <c r="U27" s="185">
        <v>46208.0</v>
      </c>
      <c r="V27" s="113">
        <f>IF(OR(ISBLANK($B27),ISBLANK($U27)),"",IFERROR(IF($U27&lt;=DATE('ESTADO CONTABLE'!$B$2,7,5),VLOOKUP($B27,COSTOS!$A$2:$B1014,2,FALSE)-150,VLOOKUP($B27,COSTOS!$A$2:$B1014,2,FALSE)),"No encontrado o error"))</f>
        <v>950</v>
      </c>
      <c r="W27" s="106" t="s">
        <v>128</v>
      </c>
      <c r="X27" s="114">
        <v>46238.0</v>
      </c>
      <c r="Y27" s="116">
        <f>IF(OR(ISBLANK($B27),ISBLANK($X27)),"",IFERROR(IF($X27&lt;=DATE('ESTADO CONTABLE'!$B$2,8,5),VLOOKUP($B27,COSTOS!$A$2:$B1014,2,FALSE)-150,VLOOKUP($B27,COSTOS!$A$2:$B1014,2,FALSE)),"No encontrado o error"))</f>
        <v>950</v>
      </c>
      <c r="Z27" s="117" t="s">
        <v>128</v>
      </c>
      <c r="AA27" s="114">
        <v>46267.0</v>
      </c>
      <c r="AB27" s="118">
        <f>IF(OR(ISBLANK($B27),ISBLANK($AA27)),"",IFERROR(IF($AA27&lt;=DATE('ESTADO CONTABLE'!$B$2,9,5),VLOOKUP($B27,COSTOS!$A$2:$B1014,2,FALSE)-150,VLOOKUP($B27,COSTOS!$A$2:$B1014,2,FALSE)),"No encontrado o error"))</f>
        <v>950</v>
      </c>
      <c r="AC27" s="120" t="s">
        <v>128</v>
      </c>
      <c r="AD27" s="114">
        <v>46297.0</v>
      </c>
      <c r="AE27" s="116">
        <f>IF(OR(ISBLANK($B27),ISBLANK($AD27)),"",IFERROR(IF($AD27&lt;=DATE('ESTADO CONTABLE'!$B$2,10,5),VLOOKUP($B27,COSTOS!$A$2:$B1014,2,FALSE)-150,VLOOKUP($B27,COSTOS!$A$2:$B1014,2,FALSE)),"No encontrado o error"))</f>
        <v>950</v>
      </c>
      <c r="AF27" s="120" t="s">
        <v>128</v>
      </c>
      <c r="AG27" s="114"/>
      <c r="AH27" s="116" t="str">
        <f>IF(OR(ISBLANK($B27),ISBLANK($AG27)),"",IFERROR(IF($AG27&lt;=DATE('ESTADO CONTABLE'!$B$2,11,5),VLOOKUP($B27,COSTOS!$A$2:$B1014,2,FALSE)-150,VLOOKUP($B27,COSTOS!$A$2:$B1014,2,FALSE)),"No encontrado o error"))</f>
        <v/>
      </c>
      <c r="AI27" s="122"/>
      <c r="AJ27" s="114"/>
      <c r="AK27" s="116" t="str">
        <f>IF(OR(ISBLANK($B27),ISBLANK($AJ27)),"",IFERROR(IF($AJ27&lt;=DATE('ESTADO CONTABLE'!$B$2,12,5),VLOOKUP($B27,COSTOS!$A$2:$B1014,2,FALSE)-150,VLOOKUP($B27,COSTOS!$A$2:$B1014,2,FALSE)),"No encontrado o error"))</f>
        <v/>
      </c>
      <c r="AL27" s="122"/>
      <c r="AM27" s="202"/>
      <c r="AN27" s="201"/>
      <c r="AO27" s="211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</row>
    <row r="28" ht="22.5" customHeight="1">
      <c r="A28" s="82" t="str">
        <f>'BASE DE DATOSS'!A27</f>
        <v>ISABELA ESTEFANIA CASTILLO LLAMAS</v>
      </c>
      <c r="B28" s="83" t="str">
        <f>'BASE DE DATOSS'!C27</f>
        <v>KIDS 1</v>
      </c>
      <c r="C28" s="84" t="s">
        <v>370</v>
      </c>
      <c r="D28" s="212"/>
      <c r="E28" s="213"/>
      <c r="F28" s="183">
        <v>46066.0</v>
      </c>
      <c r="G28" s="248">
        <v>550.0</v>
      </c>
      <c r="H28" s="210" t="s">
        <v>262</v>
      </c>
      <c r="I28" s="85">
        <v>46082.0</v>
      </c>
      <c r="J28" s="101">
        <f>IF(OR(ISBLANK($B28),ISBLANK($I28)),"",IFERROR(IF($I28&lt;=DATE('ESTADO CONTABLE'!$B$2,3,5),VLOOKUP($B28,COSTOS!$A$2:$B1014,2,FALSE)-150,VLOOKUP($B28,COSTOS!$A$2:$B1014,2,FALSE)),"No encontrado o error"))</f>
        <v>950</v>
      </c>
      <c r="K28" s="106" t="s">
        <v>128</v>
      </c>
      <c r="L28" s="185">
        <v>46114.0</v>
      </c>
      <c r="M28" s="86">
        <f>IF(OR(ISBLANK($B28),ISBLANK($L28)),"",IFERROR(IF($L28&lt;=DATE('ESTADO CONTABLE'!$B$2,4,5),VLOOKUP($B28,COSTOS!$A$2:$B1014,2,FALSE)-150,VLOOKUP($B28,COSTOS!$A$2:$B1014,2,FALSE)),"No encontrado o error"))</f>
        <v>950</v>
      </c>
      <c r="N28" s="106" t="s">
        <v>128</v>
      </c>
      <c r="O28" s="185">
        <v>46143.0</v>
      </c>
      <c r="P28" s="113">
        <f>IF(OR(ISBLANK($B28),ISBLANK($O28)),"",IFERROR(IF($O28&lt;=DATE('ESTADO CONTABLE'!$B$2,5,5),VLOOKUP($B28,COSTOS!$A$2:$B1014,2,FALSE)-150,VLOOKUP($B28,COSTOS!$A$2:$B1014,2,FALSE)),"No encontrado o error"))</f>
        <v>950</v>
      </c>
      <c r="Q28" s="106" t="s">
        <v>128</v>
      </c>
      <c r="R28" s="185">
        <v>46174.0</v>
      </c>
      <c r="S28" s="113">
        <f>IF(OR(ISBLANK($B28),ISBLANK($R28)),"",IFERROR(IF($R28&lt;=DATE('ESTADO CONTABLE'!$B$2,6,5),VLOOKUP($B28,COSTOS!$A$2:$B1014,2,FALSE)-150,VLOOKUP($B28,COSTOS!$A$2:$B1014,2,FALSE)),"No encontrado o error"))</f>
        <v>950</v>
      </c>
      <c r="T28" s="106" t="s">
        <v>292</v>
      </c>
      <c r="U28" s="185">
        <v>46204.0</v>
      </c>
      <c r="V28" s="113">
        <f>IF(OR(ISBLANK($B28),ISBLANK($U28)),"",IFERROR(IF($U28&lt;=DATE('ESTADO CONTABLE'!$B$2,7,5),VLOOKUP($B28,COSTOS!$A$2:$B1014,2,FALSE)-150,VLOOKUP($B28,COSTOS!$A$2:$B1014,2,FALSE)),"No encontrado o error"))</f>
        <v>950</v>
      </c>
      <c r="W28" s="106" t="s">
        <v>128</v>
      </c>
      <c r="X28" s="148">
        <v>46237.0</v>
      </c>
      <c r="Y28" s="116">
        <f>IF(OR(ISBLANK($B28),ISBLANK($X28)),"",IFERROR(IF($X28&lt;=DATE('ESTADO CONTABLE'!$B$2,8,5),VLOOKUP($B28,COSTOS!$A$2:$B1014,2,FALSE)-150,VLOOKUP($B28,COSTOS!$A$2:$B1014,2,FALSE)),"No encontrado o error"))</f>
        <v>950</v>
      </c>
      <c r="Z28" s="149" t="s">
        <v>128</v>
      </c>
      <c r="AA28" s="148">
        <v>46270.0</v>
      </c>
      <c r="AB28" s="118">
        <f>IF(OR(ISBLANK($B28),ISBLANK($AA28)),"",IFERROR(IF($AA28&lt;=DATE('ESTADO CONTABLE'!$B$2,9,5),VLOOKUP($B28,COSTOS!$A$2:$B1014,2,FALSE)-150,VLOOKUP($B28,COSTOS!$A$2:$B1014,2,FALSE)),"No encontrado o error"))</f>
        <v>950</v>
      </c>
      <c r="AC28" s="150" t="s">
        <v>128</v>
      </c>
      <c r="AD28" s="148">
        <v>46298.0</v>
      </c>
      <c r="AE28" s="116">
        <f>IF(OR(ISBLANK($B28),ISBLANK($AD28)),"",IFERROR(IF($AD28&lt;=DATE('ESTADO CONTABLE'!$B$2,10,5),VLOOKUP($B28,COSTOS!$A$2:$B1014,2,FALSE)-150,VLOOKUP($B28,COSTOS!$A$2:$B1014,2,FALSE)),"No encontrado o error"))</f>
        <v>950</v>
      </c>
      <c r="AF28" s="150" t="s">
        <v>128</v>
      </c>
      <c r="AG28" s="148"/>
      <c r="AH28" s="116" t="str">
        <f>IF(OR(ISBLANK($B28),ISBLANK($AG28)),"",IFERROR(IF($AG28&lt;=DATE('ESTADO CONTABLE'!$B$2,11,5),VLOOKUP($B28,COSTOS!$A$2:$B1014,2,FALSE)-150,VLOOKUP($B28,COSTOS!$A$2:$B1014,2,FALSE)),"No encontrado o error"))</f>
        <v/>
      </c>
      <c r="AI28" s="151"/>
      <c r="AJ28" s="148"/>
      <c r="AK28" s="116" t="str">
        <f>IF(OR(ISBLANK($B28),ISBLANK($AJ28)),"",IFERROR(IF($AJ28&lt;=DATE('ESTADO CONTABLE'!$B$2,12,5),VLOOKUP($B28,COSTOS!$A$2:$B1014,2,FALSE)-150,VLOOKUP($B28,COSTOS!$A$2:$B1014,2,FALSE)),"No encontrado o error"))</f>
        <v/>
      </c>
      <c r="AL28" s="151"/>
      <c r="AM28" s="202"/>
      <c r="AN28" s="201"/>
      <c r="AO28" s="211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</row>
    <row r="29" ht="22.5" customHeight="1">
      <c r="A29" s="82" t="str">
        <f>'BASE DE DATOSS'!A28</f>
        <v>DIANA MARISOL OCHOA CORONA </v>
      </c>
      <c r="B29" s="83" t="str">
        <f>'BASE DE DATOSS'!C28</f>
        <v>ADULTS 1</v>
      </c>
      <c r="C29" s="84" t="s">
        <v>370</v>
      </c>
      <c r="D29" s="249"/>
      <c r="E29" s="250"/>
      <c r="F29" s="251">
        <v>46070.0</v>
      </c>
      <c r="G29" s="248">
        <v>380.0</v>
      </c>
      <c r="H29" s="252" t="s">
        <v>262</v>
      </c>
      <c r="I29" s="85">
        <v>46085.0</v>
      </c>
      <c r="J29" s="101">
        <f>IF(OR(ISBLANK($B29),ISBLANK($I29)),"",IFERROR(IF($I29&lt;=DATE('ESTADO CONTABLE'!$B$2,3,5),VLOOKUP($B29,COSTOS!$A$2:$B1014,2,FALSE)-150,VLOOKUP($B29,COSTOS!$A$2:$B1014,2,FALSE)),"No encontrado o error"))</f>
        <v>1150</v>
      </c>
      <c r="K29" s="253" t="s">
        <v>137</v>
      </c>
      <c r="L29" s="188">
        <v>46116.0</v>
      </c>
      <c r="M29" s="86">
        <v>1150.0</v>
      </c>
      <c r="N29" s="253" t="s">
        <v>137</v>
      </c>
      <c r="O29" s="185">
        <v>46146.0</v>
      </c>
      <c r="P29" s="113">
        <f>IF(OR(ISBLANK($B29),ISBLANK($O29)),"",IFERROR(IF($O29&lt;=DATE('ESTADO CONTABLE'!$B$2,5,5),VLOOKUP($B29,COSTOS!$A$2:$B1014,2,FALSE)-150,VLOOKUP($B29,COSTOS!$A$2:$B1014,2,FALSE)),"No encontrado o error"))</f>
        <v>1150</v>
      </c>
      <c r="Q29" s="253" t="s">
        <v>137</v>
      </c>
      <c r="R29" s="185">
        <v>46178.0</v>
      </c>
      <c r="S29" s="113">
        <f>IF(OR(ISBLANK($B29),ISBLANK($R29)),"",IFERROR(IF($R29&lt;=DATE('ESTADO CONTABLE'!$B$2,6,5),VLOOKUP($B29,COSTOS!$A$2:$B1014,2,FALSE)-150,VLOOKUP($B29,COSTOS!$A$2:$B1014,2,FALSE)),"No encontrado o error"))</f>
        <v>1150</v>
      </c>
      <c r="T29" s="253" t="s">
        <v>137</v>
      </c>
      <c r="U29" s="185">
        <v>46206.0</v>
      </c>
      <c r="V29" s="113">
        <f>IF(OR(ISBLANK($B29),ISBLANK($U29)),"",IFERROR(IF($U29&lt;=DATE('ESTADO CONTABLE'!$B$2,7,5),VLOOKUP($B29,COSTOS!$A$2:$B1014,2,FALSE)-150,VLOOKUP($B29,COSTOS!$A$2:$B1014,2,FALSE)),"No encontrado o error"))</f>
        <v>1150</v>
      </c>
      <c r="W29" s="253" t="s">
        <v>137</v>
      </c>
      <c r="X29" s="114">
        <v>46239.0</v>
      </c>
      <c r="Y29" s="116">
        <f>IF(OR(ISBLANK($B29),ISBLANK($X29)),"",IFERROR(IF($X29&lt;=DATE('ESTADO CONTABLE'!$B$2,8,5),VLOOKUP($B29,COSTOS!$A$2:$B1014,2,FALSE)-150,VLOOKUP($B29,COSTOS!$A$2:$B1014,2,FALSE)),"No encontrado o error"))</f>
        <v>1150</v>
      </c>
      <c r="Z29" s="117" t="s">
        <v>137</v>
      </c>
      <c r="AA29" s="114">
        <v>46269.0</v>
      </c>
      <c r="AB29" s="118">
        <f>IF(OR(ISBLANK($B29),ISBLANK($AA29)),"",IFERROR(IF($AA29&lt;=DATE('ESTADO CONTABLE'!$B$2,9,5),VLOOKUP($B29,COSTOS!$A$2:$B1014,2,FALSE)-150,VLOOKUP($B29,COSTOS!$A$2:$B1014,2,FALSE)),"No encontrado o error"))</f>
        <v>1150</v>
      </c>
      <c r="AC29" s="120" t="s">
        <v>137</v>
      </c>
      <c r="AD29" s="114">
        <v>46304.0</v>
      </c>
      <c r="AE29" s="116">
        <f>IF(OR(ISBLANK($B29),ISBLANK($AD29)),"",IFERROR(IF($AD29&lt;=DATE('ESTADO CONTABLE'!$B$2,10,5),VLOOKUP($B29,COSTOS!$A$2:$B1014,2,FALSE)-150,VLOOKUP($B29,COSTOS!$A$2:$B1014,2,FALSE)),"No encontrado o error"))</f>
        <v>1300</v>
      </c>
      <c r="AF29" s="120" t="s">
        <v>137</v>
      </c>
      <c r="AG29" s="114"/>
      <c r="AH29" s="116" t="str">
        <f>IF(OR(ISBLANK($B29),ISBLANK($AG29)),"",IFERROR(IF($AG29&lt;=DATE('ESTADO CONTABLE'!$B$2,11,5),VLOOKUP($B29,COSTOS!$A$2:$B1014,2,FALSE)-150,VLOOKUP($B29,COSTOS!$A$2:$B1014,2,FALSE)),"No encontrado o error"))</f>
        <v/>
      </c>
      <c r="AI29" s="122"/>
      <c r="AJ29" s="114"/>
      <c r="AK29" s="116" t="str">
        <f>IF(OR(ISBLANK($B29),ISBLANK($AJ29)),"",IFERROR(IF($AJ29&lt;=DATE('ESTADO CONTABLE'!$B$2,12,5),VLOOKUP($B29,COSTOS!$A$2:$B1014,2,FALSE)-150,VLOOKUP($B29,COSTOS!$A$2:$B1014,2,FALSE)),"No encontrado o error"))</f>
        <v/>
      </c>
      <c r="AL29" s="122"/>
      <c r="AM29" s="254"/>
      <c r="AN29" s="255"/>
      <c r="AO29" s="256"/>
    </row>
    <row r="30" ht="22.5" customHeight="1">
      <c r="A30" s="82" t="str">
        <f>'BASE DE DATOSS'!A29</f>
        <v>EVA REGINA FUENTES VEGA</v>
      </c>
      <c r="B30" s="83" t="str">
        <f>'BASE DE DATOSS'!C29</f>
        <v>KIDS 1</v>
      </c>
      <c r="C30" s="84" t="s">
        <v>497</v>
      </c>
      <c r="D30" s="249"/>
      <c r="E30" s="250"/>
      <c r="F30" s="251"/>
      <c r="G30" s="209" t="str">
        <f>IF(OR(ISBLANK($B30),ISBLANK($F30)),"",IFERROR(IF($F30&lt;=DATE('ESTADO CONTABLE'!$B$2,2,5),VLOOKUP($B30,COSTOS!$A$2:$B1014,2,FALSE)-150,VLOOKUP($B30,COSTOS!$A$2:$B1014,2,FALSE)),"No encontrado o error"))</f>
        <v/>
      </c>
      <c r="H30" s="257"/>
      <c r="I30" s="85">
        <v>46099.0</v>
      </c>
      <c r="J30" s="101">
        <v>550.0</v>
      </c>
      <c r="K30" s="190" t="s">
        <v>137</v>
      </c>
      <c r="L30" s="188">
        <v>46117.0</v>
      </c>
      <c r="M30" s="86">
        <f>IF(OR(ISBLANK($B30),ISBLANK($L30)),"",IFERROR(IF($L30&lt;=DATE('ESTADO CONTABLE'!$B$2,4,5),VLOOKUP($B30,COSTOS!$A$2:$B1014,2,FALSE)-150,VLOOKUP($B30,COSTOS!$A$2:$B1014,2,FALSE)),"No encontrado o error"))</f>
        <v>950</v>
      </c>
      <c r="N30" s="190" t="s">
        <v>137</v>
      </c>
      <c r="O30" s="185">
        <v>46150.0</v>
      </c>
      <c r="P30" s="113">
        <f>IF(OR(ISBLANK($B30),ISBLANK($O30)),"",IFERROR(IF($O30&lt;=DATE('ESTADO CONTABLE'!$B$2,5,5),VLOOKUP($B30,COSTOS!$A$2:$B1014,2,FALSE)-150,VLOOKUP($B30,COSTOS!$A$2:$B1014,2,FALSE)),"No encontrado o error"))</f>
        <v>1100</v>
      </c>
      <c r="Q30" s="190" t="s">
        <v>128</v>
      </c>
      <c r="R30" s="185">
        <v>46188.0</v>
      </c>
      <c r="S30" s="113">
        <f>IF(OR(ISBLANK($B30),ISBLANK($R30)),"",IFERROR(IF($R30&lt;=DATE('ESTADO CONTABLE'!$B$2,6,5),VLOOKUP($B30,COSTOS!$A$2:$B1014,2,FALSE)-150,VLOOKUP($B30,COSTOS!$A$2:$B1014,2,FALSE)),"No encontrado o error"))</f>
        <v>1100</v>
      </c>
      <c r="T30" s="190" t="s">
        <v>137</v>
      </c>
      <c r="U30" s="185">
        <v>46213.0</v>
      </c>
      <c r="V30" s="113">
        <f>IF(OR(ISBLANK($B30),ISBLANK($U30)),"",IFERROR(IF($U30&lt;=DATE('ESTADO CONTABLE'!$B$2,7,5),VLOOKUP($B30,COSTOS!$A$2:$B1014,2,FALSE)-150,VLOOKUP($B30,COSTOS!$A$2:$B1014,2,FALSE)),"No encontrado o error"))</f>
        <v>1100</v>
      </c>
      <c r="W30" s="190" t="s">
        <v>128</v>
      </c>
      <c r="X30" s="148">
        <v>46239.0</v>
      </c>
      <c r="Y30" s="116">
        <f>IF(OR(ISBLANK($B30),ISBLANK($X30)),"",IFERROR(IF($X30&lt;=DATE('ESTADO CONTABLE'!$B$2,8,5),VLOOKUP($B30,COSTOS!$A$2:$B1014,2,FALSE)-150,VLOOKUP($B30,COSTOS!$A$2:$B1014,2,FALSE)),"No encontrado o error"))</f>
        <v>950</v>
      </c>
      <c r="Z30" s="258" t="s">
        <v>128</v>
      </c>
      <c r="AA30" s="148">
        <v>46269.0</v>
      </c>
      <c r="AB30" s="118">
        <f>IF(OR(ISBLANK($B30),ISBLANK($AA30)),"",IFERROR(IF($AA30&lt;=DATE('ESTADO CONTABLE'!$B$2,9,5),VLOOKUP($B30,COSTOS!$A$2:$B1014,2,FALSE)-150,VLOOKUP($B30,COSTOS!$A$2:$B1014,2,FALSE)),"No encontrado o error"))</f>
        <v>950</v>
      </c>
      <c r="AC30" s="259" t="s">
        <v>128</v>
      </c>
      <c r="AD30" s="148">
        <v>46309.0</v>
      </c>
      <c r="AE30" s="260">
        <v>1100.0</v>
      </c>
      <c r="AF30" s="261" t="s">
        <v>128</v>
      </c>
      <c r="AG30" s="148"/>
      <c r="AH30" s="116" t="str">
        <f>IF(OR(ISBLANK($B30),ISBLANK($AG30)),"",IFERROR(IF($AG30&lt;=DATE('ESTADO CONTABLE'!$B$2,11,5),VLOOKUP($B30,COSTOS!$A$2:$B1014,2,FALSE)-150,VLOOKUP($B30,COSTOS!$A$2:$B1014,2,FALSE)),"No encontrado o error"))</f>
        <v/>
      </c>
      <c r="AI30" s="261"/>
      <c r="AJ30" s="148"/>
      <c r="AK30" s="116" t="str">
        <f>IF(OR(ISBLANK($B30),ISBLANK($AJ30)),"",IFERROR(IF($AJ30&lt;=DATE('ESTADO CONTABLE'!$B$2,12,5),VLOOKUP($B30,COSTOS!$A$2:$B1014,2,FALSE)-150,VLOOKUP($B30,COSTOS!$A$2:$B1014,2,FALSE)),"No encontrado o error"))</f>
        <v/>
      </c>
      <c r="AL30" s="261"/>
      <c r="AM30" s="254"/>
      <c r="AN30" s="255"/>
      <c r="AO30" s="256"/>
    </row>
    <row r="31" ht="22.5" customHeight="1">
      <c r="A31" s="82" t="str">
        <f>'BASE DE DATOSS'!A30</f>
        <v>JESSICA FERNANDEZ GUTIERREZ</v>
      </c>
      <c r="B31" s="83" t="str">
        <f>'BASE DE DATOSS'!C30</f>
        <v>MATUTINO</v>
      </c>
      <c r="C31" s="84" t="s">
        <v>497</v>
      </c>
      <c r="D31" s="249"/>
      <c r="E31" s="250"/>
      <c r="F31" s="251"/>
      <c r="G31" s="262"/>
      <c r="H31" s="257"/>
      <c r="I31" s="85">
        <v>46084.0</v>
      </c>
      <c r="J31" s="101">
        <f>IF(OR(ISBLANK($B31),ISBLANK($I31)),"",IFERROR(IF($I31&lt;=DATE('ESTADO CONTABLE'!$B$2,3,5),VLOOKUP($B31,COSTOS!$A$2:$B1014,2,FALSE)-150,VLOOKUP($B31,COSTOS!$A$2:$B1014,2,FALSE)),"No encontrado o error"))</f>
        <v>950</v>
      </c>
      <c r="K31" s="190" t="s">
        <v>292</v>
      </c>
      <c r="L31" s="188">
        <v>46114.0</v>
      </c>
      <c r="M31" s="86">
        <f>IF(OR(ISBLANK($B31),ISBLANK($L31)),"",IFERROR(IF($L31&lt;=DATE('ESTADO CONTABLE'!$B$2,4,5),VLOOKUP($B31,COSTOS!$A$2:$B1014,2,FALSE)-150,VLOOKUP($B31,COSTOS!$A$2:$B1014,2,FALSE)),"No encontrado o error"))</f>
        <v>950</v>
      </c>
      <c r="N31" s="190" t="s">
        <v>128</v>
      </c>
      <c r="O31" s="185">
        <v>46143.0</v>
      </c>
      <c r="P31" s="113">
        <f>IF(OR(ISBLANK($B31),ISBLANK($O31)),"",IFERROR(IF($O31&lt;=DATE('ESTADO CONTABLE'!$B$2,5,5),VLOOKUP($B31,COSTOS!$A$2:$B1014,2,FALSE)-150,VLOOKUP($B31,COSTOS!$A$2:$B1014,2,FALSE)),"No encontrado o error"))</f>
        <v>950</v>
      </c>
      <c r="Q31" s="190" t="s">
        <v>128</v>
      </c>
      <c r="R31" s="185">
        <v>46174.0</v>
      </c>
      <c r="S31" s="113">
        <f>IF(OR(ISBLANK($B31),ISBLANK($R31)),"",IFERROR(IF($R31&lt;=DATE('ESTADO CONTABLE'!$B$2,6,5),VLOOKUP($B31,COSTOS!$A$2:$B1014,2,FALSE)-150,VLOOKUP($B31,COSTOS!$A$2:$B1014,2,FALSE)),"No encontrado o error"))</f>
        <v>950</v>
      </c>
      <c r="T31" s="190" t="s">
        <v>137</v>
      </c>
      <c r="U31" s="185">
        <v>46204.0</v>
      </c>
      <c r="V31" s="113">
        <f>IF(OR(ISBLANK($B31),ISBLANK($U31)),"",IFERROR(IF($U31&lt;=DATE('ESTADO CONTABLE'!$B$2,7,5),VLOOKUP($B31,COSTOS!$A$2:$B1014,2,FALSE)-150,VLOOKUP($B31,COSTOS!$A$2:$B1014,2,FALSE)),"No encontrado o error"))</f>
        <v>950</v>
      </c>
      <c r="W31" s="190" t="s">
        <v>137</v>
      </c>
      <c r="X31" s="114">
        <v>46235.0</v>
      </c>
      <c r="Y31" s="116">
        <f>IF(OR(ISBLANK($B31),ISBLANK($X31)),"",IFERROR(IF($X31&lt;=DATE('ESTADO CONTABLE'!$B$2,8,5),VLOOKUP($B31,COSTOS!$A$2:$B1014,2,FALSE)-150,VLOOKUP($B31,COSTOS!$A$2:$B1014,2,FALSE)),"No encontrado o error"))</f>
        <v>950</v>
      </c>
      <c r="Z31" s="117" t="s">
        <v>292</v>
      </c>
      <c r="AA31" s="114">
        <v>46266.0</v>
      </c>
      <c r="AB31" s="118">
        <f>IF(OR(ISBLANK($B31),ISBLANK($AA31)),"",IFERROR(IF($AA31&lt;=DATE('ESTADO CONTABLE'!$B$2,9,5),VLOOKUP($B31,COSTOS!$A$2:$B1014,2,FALSE)-150,VLOOKUP($B31,COSTOS!$A$2:$B1014,2,FALSE)),"No encontrado o error"))</f>
        <v>950</v>
      </c>
      <c r="AC31" s="120" t="s">
        <v>128</v>
      </c>
      <c r="AD31" s="114">
        <v>46298.0</v>
      </c>
      <c r="AE31" s="116">
        <f>IF(OR(ISBLANK($B31),ISBLANK($AD31)),"",IFERROR(IF($AD31&lt;=DATE('ESTADO CONTABLE'!$B$2,10,5),VLOOKUP($B31,COSTOS!$A$2:$B1014,2,FALSE)-150,VLOOKUP($B31,COSTOS!$A$2:$B1014,2,FALSE)),"No encontrado o error"))</f>
        <v>950</v>
      </c>
      <c r="AF31" s="120" t="s">
        <v>292</v>
      </c>
      <c r="AG31" s="114"/>
      <c r="AH31" s="116" t="str">
        <f>IF(OR(ISBLANK($B31),ISBLANK($AG31)),"",IFERROR(IF($AG31&lt;=DATE('ESTADO CONTABLE'!$B$2,11,5),VLOOKUP($B31,COSTOS!$A$2:$B1014,2,FALSE)-150,VLOOKUP($B31,COSTOS!$A$2:$B1014,2,FALSE)),"No encontrado o error"))</f>
        <v/>
      </c>
      <c r="AI31" s="122"/>
      <c r="AJ31" s="114"/>
      <c r="AK31" s="116" t="str">
        <f>IF(OR(ISBLANK($B31),ISBLANK($AJ31)),"",IFERROR(IF($AJ31&lt;=DATE('ESTADO CONTABLE'!$B$2,12,5),VLOOKUP($B31,COSTOS!$A$2:$B1014,2,FALSE)-150,VLOOKUP($B31,COSTOS!$A$2:$B1014,2,FALSE)),"No encontrado o error"))</f>
        <v/>
      </c>
      <c r="AL31" s="122"/>
      <c r="AM31" s="254"/>
      <c r="AN31" s="255"/>
      <c r="AO31" s="256"/>
    </row>
    <row r="32" ht="22.5" customHeight="1">
      <c r="A32" s="82" t="str">
        <f>'BASE DE DATOSS'!A31</f>
        <v>CINTHIA MICHELLE CAZARES GUTIERREZ</v>
      </c>
      <c r="B32" s="83" t="str">
        <f>'BASE DE DATOSS'!C31</f>
        <v>KIDS 1</v>
      </c>
      <c r="C32" s="263" t="s">
        <v>497</v>
      </c>
      <c r="D32" s="249"/>
      <c r="E32" s="250"/>
      <c r="F32" s="251"/>
      <c r="G32" s="262"/>
      <c r="H32" s="257"/>
      <c r="I32" s="249"/>
      <c r="J32" s="193" t="str">
        <f>IF(OR(ISBLANK($B32),ISBLANK($I32)),"",IFERROR(IF($I32&lt;=DATE('ESTADO CONTABLE'!$B$2,3,5),VLOOKUP($B32,COSTOS!$A$2:$B1014,2,FALSE)-150,VLOOKUP($B32,COSTOS!$A$2:$B1014,2,FALSE)),"No encontrado o error"))</f>
        <v/>
      </c>
      <c r="K32" s="264"/>
      <c r="L32" s="188">
        <v>46125.0</v>
      </c>
      <c r="M32" s="86">
        <v>740.0</v>
      </c>
      <c r="N32" s="190" t="s">
        <v>137</v>
      </c>
      <c r="O32" s="185">
        <v>46147.0</v>
      </c>
      <c r="P32" s="113">
        <f>IF(OR(ISBLANK($B32),ISBLANK($O32)),"",IFERROR(IF($O32&lt;=DATE('ESTADO CONTABLE'!$B$2,5,5),VLOOKUP($B32,COSTOS!$A$2:$B1014,2,FALSE)-150,VLOOKUP($B32,COSTOS!$A$2:$B1014,2,FALSE)),"No encontrado o error"))</f>
        <v>950</v>
      </c>
      <c r="Q32" s="190" t="s">
        <v>128</v>
      </c>
      <c r="R32" s="185">
        <v>46188.0</v>
      </c>
      <c r="S32" s="113">
        <f>IF(OR(ISBLANK($B32),ISBLANK($R32)),"",IFERROR(IF($R32&lt;=DATE('ESTADO CONTABLE'!$B$2,6,5),VLOOKUP($B32,COSTOS!$A$2:$B1014,2,FALSE)-150,VLOOKUP($B32,COSTOS!$A$2:$B1014,2,FALSE)),"No encontrado o error"))</f>
        <v>1100</v>
      </c>
      <c r="T32" s="190" t="s">
        <v>128</v>
      </c>
      <c r="U32" s="185">
        <v>46220.0</v>
      </c>
      <c r="V32" s="113">
        <f>IF(OR(ISBLANK($B32),ISBLANK($U32)),"",IFERROR(IF($U32&lt;=DATE('ESTADO CONTABLE'!$B$2,7,5),VLOOKUP($B32,COSTOS!$A$2:$B1014,2,FALSE)-150,VLOOKUP($B32,COSTOS!$A$2:$B1014,2,FALSE)),"No encontrado o error"))</f>
        <v>1100</v>
      </c>
      <c r="W32" s="190" t="s">
        <v>128</v>
      </c>
      <c r="X32" s="114">
        <v>46246.0</v>
      </c>
      <c r="Y32" s="116">
        <f>IF(OR(ISBLANK($B32),ISBLANK($X32)),"",IFERROR(IF($X32&lt;=DATE('ESTADO CONTABLE'!$B$2,8,5),VLOOKUP($B32,COSTOS!$A$2:$B1014,2,FALSE)-150,VLOOKUP($B32,COSTOS!$A$2:$B1014,2,FALSE)),"No encontrado o error"))</f>
        <v>1100</v>
      </c>
      <c r="Z32" s="117" t="s">
        <v>128</v>
      </c>
      <c r="AA32" s="114">
        <v>46279.0</v>
      </c>
      <c r="AB32" s="118">
        <f>IF(OR(ISBLANK($B32),ISBLANK($AA32)),"",IFERROR(IF($AA32&lt;=DATE('ESTADO CONTABLE'!$B$2,9,5),VLOOKUP($B32,COSTOS!$A$2:$B1014,2,FALSE)-150,VLOOKUP($B32,COSTOS!$A$2:$B1014,2,FALSE)),"No encontrado o error"))</f>
        <v>1100</v>
      </c>
      <c r="AC32" s="120" t="s">
        <v>128</v>
      </c>
      <c r="AD32" s="114">
        <v>46307.0</v>
      </c>
      <c r="AE32" s="116">
        <f>IF(OR(ISBLANK($B32),ISBLANK($AD32)),"",IFERROR(IF($AD32&lt;=DATE('ESTADO CONTABLE'!$B$2,10,5),VLOOKUP($B32,COSTOS!$A$2:$B1014,2,FALSE)-150,VLOOKUP($B32,COSTOS!$A$2:$B1014,2,FALSE)),"No encontrado o error"))</f>
        <v>1100</v>
      </c>
      <c r="AF32" s="120" t="s">
        <v>128</v>
      </c>
      <c r="AG32" s="114"/>
      <c r="AH32" s="116" t="str">
        <f>IF(OR(ISBLANK($B32),ISBLANK($AG32)),"",IFERROR(IF($AG32&lt;=DATE('ESTADO CONTABLE'!$B$2,11,5),VLOOKUP($B32,COSTOS!$A$2:$B1014,2,FALSE)-150,VLOOKUP($B32,COSTOS!$A$2:$B1014,2,FALSE)),"No encontrado o error"))</f>
        <v/>
      </c>
      <c r="AI32" s="122"/>
      <c r="AJ32" s="114"/>
      <c r="AK32" s="116" t="str">
        <f>IF(OR(ISBLANK($B32),ISBLANK($AJ32)),"",IFERROR(IF($AJ32&lt;=DATE('ESTADO CONTABLE'!$B$2,12,5),VLOOKUP($B32,COSTOS!$A$2:$B1014,2,FALSE)-150,VLOOKUP($B32,COSTOS!$A$2:$B1014,2,FALSE)),"No encontrado o error"))</f>
        <v/>
      </c>
      <c r="AL32" s="122"/>
      <c r="AM32" s="254"/>
      <c r="AN32" s="255"/>
      <c r="AO32" s="256"/>
    </row>
    <row r="33" ht="22.5" customHeight="1">
      <c r="A33" s="82" t="str">
        <f>'BASE DE DATOSS'!A32</f>
        <v>ALLISON AMEZCUA LUNA</v>
      </c>
      <c r="B33" s="83" t="str">
        <f>'BASE DE DATOSS'!C32</f>
        <v>JR 2</v>
      </c>
      <c r="C33" s="263" t="s">
        <v>497</v>
      </c>
      <c r="D33" s="249"/>
      <c r="E33" s="250"/>
      <c r="F33" s="251"/>
      <c r="G33" s="262"/>
      <c r="H33" s="257"/>
      <c r="I33" s="249"/>
      <c r="J33" s="193" t="str">
        <f>IF(OR(ISBLANK($B33),ISBLANK($I33)),"",IFERROR(IF($I33&lt;=DATE('ESTADO CONTABLE'!$B$2,3,5),VLOOKUP($B33,COSTOS!$A$2:$B1014,2,FALSE)-150,VLOOKUP($B33,COSTOS!$A$2:$B1014,2,FALSE)),"No encontrado o error"))</f>
        <v/>
      </c>
      <c r="K33" s="264"/>
      <c r="L33" s="188">
        <v>46126.0</v>
      </c>
      <c r="M33" s="86">
        <v>712.5</v>
      </c>
      <c r="N33" s="190" t="s">
        <v>128</v>
      </c>
      <c r="O33" s="185">
        <v>46147.0</v>
      </c>
      <c r="P33" s="113">
        <f>IF(OR(ISBLANK($B33),ISBLANK($O33)),"",IFERROR(IF($O33&lt;=DATE('ESTADO CONTABLE'!$B$2,5,5),VLOOKUP($B33,COSTOS!$A$2:$B1014,2,FALSE)-150,VLOOKUP($B33,COSTOS!$A$2:$B1014,2,FALSE)),"No encontrado o error"))</f>
        <v>800</v>
      </c>
      <c r="Q33" s="190" t="s">
        <v>137</v>
      </c>
      <c r="R33" s="185">
        <v>46177.0</v>
      </c>
      <c r="S33" s="113">
        <f>IF(OR(ISBLANK($B33),ISBLANK($R33)),"",IFERROR(IF($R33&lt;=DATE('ESTADO CONTABLE'!$B$2,6,5),VLOOKUP($B33,COSTOS!$A$2:$B1014,2,FALSE)-150,VLOOKUP($B33,COSTOS!$A$2:$B1014,2,FALSE)),"No encontrado o error"))</f>
        <v>800</v>
      </c>
      <c r="T33" s="190" t="s">
        <v>128</v>
      </c>
      <c r="U33" s="185">
        <v>46204.0</v>
      </c>
      <c r="V33" s="113">
        <f>IF(OR(ISBLANK($B33),ISBLANK($U33)),"",IFERROR(IF($U33&lt;=DATE('ESTADO CONTABLE'!$B$2,7,5),VLOOKUP($B33,COSTOS!$A$2:$B1014,2,FALSE)-150,VLOOKUP($B33,COSTOS!$A$2:$B1014,2,FALSE)),"No encontrado o error"))</f>
        <v>800</v>
      </c>
      <c r="W33" s="190" t="s">
        <v>128</v>
      </c>
      <c r="X33" s="148">
        <v>46239.0</v>
      </c>
      <c r="Y33" s="116">
        <f>IF(OR(ISBLANK($B33),ISBLANK($X33)),"",IFERROR(IF($X33&lt;=DATE('ESTADO CONTABLE'!$B$2,8,5),VLOOKUP($B33,COSTOS!$A$2:$B1014,2,FALSE)-150,VLOOKUP($B33,COSTOS!$A$2:$B1014,2,FALSE)),"No encontrado o error"))</f>
        <v>800</v>
      </c>
      <c r="Z33" s="258" t="s">
        <v>128</v>
      </c>
      <c r="AA33" s="148">
        <v>46266.0</v>
      </c>
      <c r="AB33" s="118">
        <f>IF(OR(ISBLANK($B33),ISBLANK($AA33)),"",IFERROR(IF($AA33&lt;=DATE('ESTADO CONTABLE'!$B$2,9,5),VLOOKUP($B33,COSTOS!$A$2:$B1014,2,FALSE)-150,VLOOKUP($B33,COSTOS!$A$2:$B1014,2,FALSE)),"No encontrado o error"))</f>
        <v>800</v>
      </c>
      <c r="AC33" s="259" t="s">
        <v>128</v>
      </c>
      <c r="AD33" s="265">
        <v>46308.0</v>
      </c>
      <c r="AE33" s="116">
        <f>SUMIFS('ABONOS MENSUALIDADES'!$F$5:$F$500,'ABONOS MENSUALIDADES'!$C$5:$C$500,$A33,'ABONOS MENSUALIDADES'!$D$5:$D$500,DATE(2026,10,1))</f>
        <v>950</v>
      </c>
      <c r="AF33" s="261" t="s">
        <v>498</v>
      </c>
      <c r="AG33" s="148"/>
      <c r="AH33" s="116" t="str">
        <f>IF(OR(ISBLANK($B33),ISBLANK($AG33)),"",IFERROR(IF($AG33&lt;=DATE('ESTADO CONTABLE'!$B$2,11,5),VLOOKUP($B33,COSTOS!$A$2:$B1014,2,FALSE)-150,VLOOKUP($B33,COSTOS!$A$2:$B1014,2,FALSE)),"No encontrado o error"))</f>
        <v/>
      </c>
      <c r="AI33" s="261"/>
      <c r="AJ33" s="148"/>
      <c r="AK33" s="116" t="str">
        <f>IF(OR(ISBLANK($B33),ISBLANK($AJ33)),"",IFERROR(IF($AJ33&lt;=DATE('ESTADO CONTABLE'!$B$2,12,5),VLOOKUP($B33,COSTOS!$A$2:$B1014,2,FALSE)-150,VLOOKUP($B33,COSTOS!$A$2:$B1014,2,FALSE)),"No encontrado o error"))</f>
        <v/>
      </c>
      <c r="AL33" s="261"/>
      <c r="AM33" s="254"/>
      <c r="AN33" s="255"/>
      <c r="AO33" s="256"/>
    </row>
    <row r="34" ht="22.5" customHeight="1">
      <c r="A34" s="82" t="str">
        <f>'BASE DE DATOSS'!A33</f>
        <v>RENATA AMEZCUA LUNA</v>
      </c>
      <c r="B34" s="83" t="str">
        <f>'BASE DE DATOSS'!C33</f>
        <v>JR 2</v>
      </c>
      <c r="C34" s="263" t="s">
        <v>497</v>
      </c>
      <c r="D34" s="249"/>
      <c r="E34" s="250"/>
      <c r="F34" s="251"/>
      <c r="G34" s="262"/>
      <c r="H34" s="257"/>
      <c r="I34" s="249"/>
      <c r="J34" s="193" t="str">
        <f>IF(OR(ISBLANK($B34),ISBLANK($I34)),"",IFERROR(IF($I34&lt;=DATE('ESTADO CONTABLE'!$B$2,3,5),VLOOKUP($B34,COSTOS!$A$2:$B1014,2,FALSE)-150,VLOOKUP($B34,COSTOS!$A$2:$B1014,2,FALSE)),"No encontrado o error"))</f>
        <v/>
      </c>
      <c r="K34" s="264"/>
      <c r="L34" s="188">
        <v>46126.0</v>
      </c>
      <c r="M34" s="86">
        <v>712.5</v>
      </c>
      <c r="N34" s="190" t="s">
        <v>128</v>
      </c>
      <c r="O34" s="185">
        <v>46147.0</v>
      </c>
      <c r="P34" s="113">
        <f>IF(OR(ISBLANK($B34),ISBLANK($O34)),"",IFERROR(IF($O34&lt;=DATE('ESTADO CONTABLE'!$B$2,5,5),VLOOKUP($B34,COSTOS!$A$2:$B1014,2,FALSE)-150,VLOOKUP($B34,COSTOS!$A$2:$B1014,2,FALSE)),"No encontrado o error"))</f>
        <v>800</v>
      </c>
      <c r="Q34" s="190" t="s">
        <v>137</v>
      </c>
      <c r="R34" s="185">
        <v>46177.0</v>
      </c>
      <c r="S34" s="113">
        <f>IF(OR(ISBLANK($B34),ISBLANK($R34)),"",IFERROR(IF($R34&lt;=DATE('ESTADO CONTABLE'!$B$2,6,5),VLOOKUP($B34,COSTOS!$A$2:$B1014,2,FALSE)-150,VLOOKUP($B34,COSTOS!$A$2:$B1014,2,FALSE)),"No encontrado o error"))</f>
        <v>800</v>
      </c>
      <c r="T34" s="190" t="s">
        <v>128</v>
      </c>
      <c r="U34" s="185">
        <v>46204.0</v>
      </c>
      <c r="V34" s="113">
        <f>IF(OR(ISBLANK($B34),ISBLANK($U34)),"",IFERROR(IF($U34&lt;=DATE('ESTADO CONTABLE'!$B$2,7,5),VLOOKUP($B34,COSTOS!$A$2:$B1014,2,FALSE)-150,VLOOKUP($B34,COSTOS!$A$2:$B1014,2,FALSE)),"No encontrado o error"))</f>
        <v>800</v>
      </c>
      <c r="W34" s="190" t="s">
        <v>128</v>
      </c>
      <c r="X34" s="114">
        <v>46239.0</v>
      </c>
      <c r="Y34" s="116">
        <f>IF(OR(ISBLANK($B34),ISBLANK($X34)),"",IFERROR(IF($X34&lt;=DATE('ESTADO CONTABLE'!$B$2,8,5),VLOOKUP($B34,COSTOS!$A$2:$B1014,2,FALSE)-150,VLOOKUP($B34,COSTOS!$A$2:$B1014,2,FALSE)),"No encontrado o error"))</f>
        <v>800</v>
      </c>
      <c r="Z34" s="117" t="s">
        <v>128</v>
      </c>
      <c r="AA34" s="114">
        <v>46266.0</v>
      </c>
      <c r="AB34" s="118">
        <f>IF(OR(ISBLANK($B34),ISBLANK($AA34)),"",IFERROR(IF($AA34&lt;=DATE('ESTADO CONTABLE'!$B$2,9,5),VLOOKUP($B34,COSTOS!$A$2:$B1014,2,FALSE)-150,VLOOKUP($B34,COSTOS!$A$2:$B1014,2,FALSE)),"No encontrado o error"))</f>
        <v>800</v>
      </c>
      <c r="AC34" s="120" t="s">
        <v>128</v>
      </c>
      <c r="AD34" s="114">
        <v>46308.0</v>
      </c>
      <c r="AE34" s="116">
        <f>SUMIFS('ABONOS MENSUALIDADES'!$F$5:$F$500,'ABONOS MENSUALIDADES'!$C$5:$C$500,$A34,'ABONOS MENSUALIDADES'!$D$5:$D$500,DATE(2026,10,1))</f>
        <v>950</v>
      </c>
      <c r="AF34" s="122" t="s">
        <v>498</v>
      </c>
      <c r="AG34" s="114"/>
      <c r="AH34" s="116" t="str">
        <f>IF(OR(ISBLANK($B34),ISBLANK($AG34)),"",IFERROR(IF($AG34&lt;=DATE('ESTADO CONTABLE'!$B$2,11,5),VLOOKUP($B34,COSTOS!$A$2:$B1014,2,FALSE)-150,VLOOKUP($B34,COSTOS!$A$2:$B1014,2,FALSE)),"No encontrado o error"))</f>
        <v/>
      </c>
      <c r="AI34" s="122"/>
      <c r="AJ34" s="114"/>
      <c r="AK34" s="116" t="str">
        <f>IF(OR(ISBLANK($B34),ISBLANK($AJ34)),"",IFERROR(IF($AJ34&lt;=DATE('ESTADO CONTABLE'!$B$2,12,5),VLOOKUP($B34,COSTOS!$A$2:$B1014,2,FALSE)-150,VLOOKUP($B34,COSTOS!$A$2:$B1014,2,FALSE)),"No encontrado o error"))</f>
        <v/>
      </c>
      <c r="AL34" s="122"/>
      <c r="AM34" s="254"/>
      <c r="AN34" s="255"/>
      <c r="AO34" s="256"/>
    </row>
    <row r="35" ht="22.5" customHeight="1">
      <c r="A35" s="82" t="str">
        <f>'BASE DE DATOSS'!A34</f>
        <v>IRIS SAORI LOZANO PADILLA</v>
      </c>
      <c r="B35" s="83" t="str">
        <f>'BASE DE DATOSS'!C34</f>
        <v>JR 2</v>
      </c>
      <c r="C35" s="263" t="s">
        <v>497</v>
      </c>
      <c r="D35" s="249"/>
      <c r="E35" s="250"/>
      <c r="F35" s="251"/>
      <c r="G35" s="262"/>
      <c r="H35" s="257"/>
      <c r="I35" s="249"/>
      <c r="J35" s="193" t="str">
        <f>IF(OR(ISBLANK($B35),ISBLANK($I35)),"",IFERROR(IF($I35&lt;=DATE('ESTADO CONTABLE'!$B$2,3,5),VLOOKUP($B35,COSTOS!$A$2:$B1014,2,FALSE)-150,VLOOKUP($B35,COSTOS!$A$2:$B1014,2,FALSE)),"No encontrado o error"))</f>
        <v/>
      </c>
      <c r="K35" s="264"/>
      <c r="L35" s="188">
        <v>46126.0</v>
      </c>
      <c r="M35" s="86">
        <v>715.0</v>
      </c>
      <c r="N35" s="190" t="s">
        <v>137</v>
      </c>
      <c r="O35" s="185">
        <v>46143.0</v>
      </c>
      <c r="P35" s="113">
        <f>IF(OR(ISBLANK($B35),ISBLANK($O35)),"",IFERROR(IF($O35&lt;=DATE('ESTADO CONTABLE'!$B$2,5,5),VLOOKUP($B35,COSTOS!$A$2:$B1014,2,FALSE)-150,VLOOKUP($B35,COSTOS!$A$2:$B1014,2,FALSE)),"No encontrado o error"))</f>
        <v>800</v>
      </c>
      <c r="Q35" s="190" t="s">
        <v>137</v>
      </c>
      <c r="R35" s="185">
        <v>46175.0</v>
      </c>
      <c r="S35" s="113">
        <f>IF(OR(ISBLANK($B35),ISBLANK($R35)),"",IFERROR(IF($R35&lt;=DATE('ESTADO CONTABLE'!$B$2,6,5),VLOOKUP($B35,COSTOS!$A$2:$B1014,2,FALSE)-150,VLOOKUP($B35,COSTOS!$A$2:$B1014,2,FALSE)),"No encontrado o error"))</f>
        <v>800</v>
      </c>
      <c r="T35" s="190" t="s">
        <v>137</v>
      </c>
      <c r="U35" s="185">
        <v>46209.0</v>
      </c>
      <c r="V35" s="113">
        <f>IF(OR(ISBLANK($B35),ISBLANK($U35)),"",IFERROR(IF($U35&lt;=DATE('ESTADO CONTABLE'!$B$2,7,5),VLOOKUP($B35,COSTOS!$A$2:$B1014,2,FALSE)-150,VLOOKUP($B35,COSTOS!$A$2:$B1014,2,FALSE)),"No encontrado o error"))</f>
        <v>950</v>
      </c>
      <c r="W35" s="190" t="s">
        <v>137</v>
      </c>
      <c r="X35" s="148">
        <v>46239.0</v>
      </c>
      <c r="Y35" s="116">
        <f>IF(OR(ISBLANK($B35),ISBLANK($X35)),"",IFERROR(IF($X35&lt;=DATE('ESTADO CONTABLE'!$B$2,8,5),VLOOKUP($B35,COSTOS!$A$2:$B1014,2,FALSE)-150,VLOOKUP($B35,COSTOS!$A$2:$B1014,2,FALSE)),"No encontrado o error"))</f>
        <v>800</v>
      </c>
      <c r="Z35" s="258" t="s">
        <v>128</v>
      </c>
      <c r="AA35" s="148">
        <v>46266.0</v>
      </c>
      <c r="AB35" s="118">
        <f>IF(OR(ISBLANK($B35),ISBLANK($AA35)),"",IFERROR(IF($AA35&lt;=DATE('ESTADO CONTABLE'!$B$2,9,5),VLOOKUP($B35,COSTOS!$A$2:$B1014,2,FALSE)-150,VLOOKUP($B35,COSTOS!$A$2:$B1014,2,FALSE)),"No encontrado o error"))</f>
        <v>800</v>
      </c>
      <c r="AC35" s="259" t="s">
        <v>137</v>
      </c>
      <c r="AD35" s="148">
        <v>46296.0</v>
      </c>
      <c r="AE35" s="116">
        <f>IF(OR(ISBLANK($B35),ISBLANK($AD35)),"",IFERROR(IF($AD35&lt;=DATE('ESTADO CONTABLE'!$B$2,10,5),VLOOKUP($B35,COSTOS!$A$2:$B1014,2,FALSE)-150,VLOOKUP($B35,COSTOS!$A$2:$B1014,2,FALSE)),"No encontrado o error"))</f>
        <v>800</v>
      </c>
      <c r="AF35" s="259" t="s">
        <v>137</v>
      </c>
      <c r="AG35" s="148"/>
      <c r="AH35" s="116" t="str">
        <f>IF(OR(ISBLANK($B35),ISBLANK($AG35)),"",IFERROR(IF($AG35&lt;=DATE('ESTADO CONTABLE'!$B$2,11,5),VLOOKUP($B35,COSTOS!$A$2:$B1014,2,FALSE)-150,VLOOKUP($B35,COSTOS!$A$2:$B1014,2,FALSE)),"No encontrado o error"))</f>
        <v/>
      </c>
      <c r="AI35" s="261"/>
      <c r="AJ35" s="148"/>
      <c r="AK35" s="116" t="str">
        <f>IF(OR(ISBLANK($B35),ISBLANK($AJ35)),"",IFERROR(IF($AJ35&lt;=DATE('ESTADO CONTABLE'!$B$2,12,5),VLOOKUP($B35,COSTOS!$A$2:$B1014,2,FALSE)-150,VLOOKUP($B35,COSTOS!$A$2:$B1014,2,FALSE)),"No encontrado o error"))</f>
        <v/>
      </c>
      <c r="AL35" s="261"/>
      <c r="AM35" s="254"/>
      <c r="AN35" s="255"/>
      <c r="AO35" s="256"/>
    </row>
    <row r="36" ht="22.5" customHeight="1">
      <c r="A36" s="82" t="str">
        <f>'BASE DE DATOSS'!A35</f>
        <v>IRKA VICTORIA GARCIA NAVARRO</v>
      </c>
      <c r="B36" s="83" t="str">
        <f>'BASE DE DATOSS'!C35</f>
        <v>JR 1</v>
      </c>
      <c r="C36" s="263" t="s">
        <v>497</v>
      </c>
      <c r="D36" s="249"/>
      <c r="E36" s="250"/>
      <c r="F36" s="251"/>
      <c r="G36" s="262"/>
      <c r="H36" s="257"/>
      <c r="I36" s="249"/>
      <c r="J36" s="193" t="str">
        <f>IF(OR(ISBLANK($B36),ISBLANK($I36)),"",IFERROR(IF($I36&lt;=DATE('ESTADO CONTABLE'!$B$2,3,5),VLOOKUP($B36,COSTOS!$A$2:$B1014,2,FALSE)-150,VLOOKUP($B36,COSTOS!$A$2:$B1014,2,FALSE)),"No encontrado o error"))</f>
        <v/>
      </c>
      <c r="K36" s="264"/>
      <c r="L36" s="188">
        <v>46127.0</v>
      </c>
      <c r="M36" s="86">
        <v>650.0</v>
      </c>
      <c r="N36" s="190" t="s">
        <v>128</v>
      </c>
      <c r="O36" s="185">
        <v>46143.0</v>
      </c>
      <c r="P36" s="113">
        <f>IF(OR(ISBLANK($B36),ISBLANK($O36)),"",IFERROR(IF($O36&lt;=DATE('ESTADO CONTABLE'!$B$2,5,5),VLOOKUP($B36,COSTOS!$A$2:$B1014,2,FALSE)-150,VLOOKUP($B36,COSTOS!$A$2:$B1014,2,FALSE)),"No encontrado o error"))</f>
        <v>950</v>
      </c>
      <c r="Q36" s="190" t="s">
        <v>137</v>
      </c>
      <c r="R36" s="185">
        <v>46174.0</v>
      </c>
      <c r="S36" s="113">
        <f>IF(OR(ISBLANK($B36),ISBLANK($R36)),"",IFERROR(IF($R36&lt;=DATE('ESTADO CONTABLE'!$B$2,6,5),VLOOKUP($B36,COSTOS!$A$2:$B1014,2,FALSE)-150,VLOOKUP($B36,COSTOS!$A$2:$B1014,2,FALSE)),"No encontrado o error"))</f>
        <v>950</v>
      </c>
      <c r="T36" s="190" t="s">
        <v>137</v>
      </c>
      <c r="U36" s="185">
        <v>46206.0</v>
      </c>
      <c r="V36" s="113">
        <f>IF(OR(ISBLANK($B36),ISBLANK($U36)),"",IFERROR(IF($U36&lt;=DATE('ESTADO CONTABLE'!$B$2,7,5),VLOOKUP($B36,COSTOS!$A$2:$B1014,2,FALSE)-150,VLOOKUP($B36,COSTOS!$A$2:$B1014,2,FALSE)),"No encontrado o error"))</f>
        <v>950</v>
      </c>
      <c r="W36" s="190" t="s">
        <v>137</v>
      </c>
      <c r="X36" s="114">
        <v>46235.0</v>
      </c>
      <c r="Y36" s="116">
        <f>IF(OR(ISBLANK($B36),ISBLANK($X36)),"",IFERROR(IF($X36&lt;=DATE('ESTADO CONTABLE'!$B$2,8,5),VLOOKUP($B36,COSTOS!$A$2:$B1014,2,FALSE)-150,VLOOKUP($B36,COSTOS!$A$2:$B1014,2,FALSE)),"No encontrado o error"))</f>
        <v>950</v>
      </c>
      <c r="Z36" s="117" t="s">
        <v>292</v>
      </c>
      <c r="AA36" s="114">
        <v>46262.0</v>
      </c>
      <c r="AB36" s="118">
        <f>IF(OR(ISBLANK($B36),ISBLANK($AA36)),"",IFERROR(IF($AA36&lt;=DATE('ESTADO CONTABLE'!$B$2,9,5),VLOOKUP($B36,COSTOS!$A$2:$B1014,2,FALSE)-150,VLOOKUP($B36,COSTOS!$A$2:$B1014,2,FALSE)),"No encontrado o error"))</f>
        <v>950</v>
      </c>
      <c r="AC36" s="120" t="s">
        <v>292</v>
      </c>
      <c r="AD36" s="114">
        <v>46297.0</v>
      </c>
      <c r="AE36" s="116">
        <f>IF(OR(ISBLANK($B36),ISBLANK($AD36)),"",IFERROR(IF($AD36&lt;=DATE('ESTADO CONTABLE'!$B$2,10,5),VLOOKUP($B36,COSTOS!$A$2:$B1014,2,FALSE)-150,VLOOKUP($B36,COSTOS!$A$2:$B1014,2,FALSE)),"No encontrado o error"))</f>
        <v>950</v>
      </c>
      <c r="AF36" s="120" t="s">
        <v>292</v>
      </c>
      <c r="AG36" s="114"/>
      <c r="AH36" s="116" t="str">
        <f>IF(OR(ISBLANK($B36),ISBLANK($AG36)),"",IFERROR(IF($AG36&lt;=DATE('ESTADO CONTABLE'!$B$2,11,5),VLOOKUP($B36,COSTOS!$A$2:$B1014,2,FALSE)-150,VLOOKUP($B36,COSTOS!$A$2:$B1014,2,FALSE)),"No encontrado o error"))</f>
        <v/>
      </c>
      <c r="AI36" s="122"/>
      <c r="AJ36" s="114"/>
      <c r="AK36" s="116" t="str">
        <f>IF(OR(ISBLANK($B36),ISBLANK($AJ36)),"",IFERROR(IF($AJ36&lt;=DATE('ESTADO CONTABLE'!$B$2,12,5),VLOOKUP($B36,COSTOS!$A$2:$B1014,2,FALSE)-150,VLOOKUP($B36,COSTOS!$A$2:$B1014,2,FALSE)),"No encontrado o error"))</f>
        <v/>
      </c>
      <c r="AL36" s="122"/>
      <c r="AM36" s="254"/>
      <c r="AN36" s="255"/>
      <c r="AO36" s="256"/>
    </row>
    <row r="37" ht="22.5" customHeight="1">
      <c r="A37" s="82" t="str">
        <f>'BASE DE DATOSS'!A36</f>
        <v>BRENDA YUDITH CASTELL MARTINEZ</v>
      </c>
      <c r="B37" s="83" t="str">
        <f>'BASE DE DATOSS'!C36</f>
        <v>MATUTINO</v>
      </c>
      <c r="C37" s="266" t="s">
        <v>499</v>
      </c>
      <c r="D37" s="249"/>
      <c r="E37" s="250"/>
      <c r="F37" s="251"/>
      <c r="G37" s="262"/>
      <c r="H37" s="257"/>
      <c r="I37" s="249"/>
      <c r="J37" s="193" t="str">
        <f>IF(OR(ISBLANK($B37),ISBLANK($I37)),"",IFERROR(IF($I37&lt;=DATE('ESTADO CONTABLE'!$B$2,3,5),VLOOKUP($B37,COSTOS!$A$2:$B1014,2,FALSE)-150,VLOOKUP($B37,COSTOS!$A$2:$B1014,2,FALSE)),"No encontrado o error"))</f>
        <v/>
      </c>
      <c r="K37" s="264"/>
      <c r="L37" s="188">
        <v>46128.0</v>
      </c>
      <c r="M37" s="86">
        <v>690.0</v>
      </c>
      <c r="N37" s="190" t="s">
        <v>137</v>
      </c>
      <c r="O37" s="185">
        <v>46147.0</v>
      </c>
      <c r="P37" s="113">
        <f>IF(OR(ISBLANK($B37),ISBLANK($O37)),"",IFERROR(IF($O37&lt;=DATE('ESTADO CONTABLE'!$B$2,5,5),VLOOKUP($B37,COSTOS!$A$2:$B1014,2,FALSE)-150,VLOOKUP($B37,COSTOS!$A$2:$B1014,2,FALSE)),"No encontrado o error"))</f>
        <v>950</v>
      </c>
      <c r="Q37" s="190" t="s">
        <v>137</v>
      </c>
      <c r="R37" s="185">
        <v>46174.0</v>
      </c>
      <c r="S37" s="113">
        <f>IF(OR(ISBLANK($B37),ISBLANK($R37)),"",IFERROR(IF($R37&lt;=DATE('ESTADO CONTABLE'!$B$2,6,5),VLOOKUP($B37,COSTOS!$A$2:$B1014,2,FALSE)-150,VLOOKUP($B37,COSTOS!$A$2:$B1014,2,FALSE)),"No encontrado o error"))</f>
        <v>950</v>
      </c>
      <c r="T37" s="190" t="s">
        <v>137</v>
      </c>
      <c r="U37" s="185">
        <v>46204.0</v>
      </c>
      <c r="V37" s="113">
        <f>IF(OR(ISBLANK($B37),ISBLANK($U37)),"",IFERROR(IF($U37&lt;=DATE('ESTADO CONTABLE'!$B$2,7,5),VLOOKUP($B37,COSTOS!$A$2:$B1014,2,FALSE)-150,VLOOKUP($B37,COSTOS!$A$2:$B1014,2,FALSE)),"No encontrado o error"))</f>
        <v>950</v>
      </c>
      <c r="W37" s="190" t="s">
        <v>137</v>
      </c>
      <c r="X37" s="148">
        <v>46235.0</v>
      </c>
      <c r="Y37" s="116">
        <f>IF(OR(ISBLANK($B37),ISBLANK($X37)),"",IFERROR(IF($X37&lt;=DATE('ESTADO CONTABLE'!$B$2,8,5),VLOOKUP($B37,COSTOS!$A$2:$B1014,2,FALSE)-150,VLOOKUP($B37,COSTOS!$A$2:$B1014,2,FALSE)),"No encontrado o error"))</f>
        <v>950</v>
      </c>
      <c r="Z37" s="258" t="s">
        <v>137</v>
      </c>
      <c r="AA37" s="148">
        <v>46261.0</v>
      </c>
      <c r="AB37" s="118">
        <f>IF(OR(ISBLANK($B37),ISBLANK($AA37)),"",IFERROR(IF($AA37&lt;=DATE('ESTADO CONTABLE'!$B$2,9,5),VLOOKUP($B37,COSTOS!$A$2:$B1014,2,FALSE)-150,VLOOKUP($B37,COSTOS!$A$2:$B1014,2,FALSE)),"No encontrado o error"))</f>
        <v>950</v>
      </c>
      <c r="AC37" s="259" t="s">
        <v>137</v>
      </c>
      <c r="AD37" s="148">
        <v>46296.0</v>
      </c>
      <c r="AE37" s="116">
        <f>IF(OR(ISBLANK($B37),ISBLANK($AD37)),"",IFERROR(IF($AD37&lt;=DATE('ESTADO CONTABLE'!$B$2,10,5),VLOOKUP($B37,COSTOS!$A$2:$B1014,2,FALSE)-150,VLOOKUP($B37,COSTOS!$A$2:$B1014,2,FALSE)),"No encontrado o error"))</f>
        <v>950</v>
      </c>
      <c r="AF37" s="259" t="s">
        <v>137</v>
      </c>
      <c r="AG37" s="148"/>
      <c r="AH37" s="116" t="str">
        <f>IF(OR(ISBLANK($B37),ISBLANK($AG37)),"",IFERROR(IF($AG37&lt;=DATE('ESTADO CONTABLE'!$B$2,11,5),VLOOKUP($B37,COSTOS!$A$2:$B1014,2,FALSE)-150,VLOOKUP($B37,COSTOS!$A$2:$B1014,2,FALSE)),"No encontrado o error"))</f>
        <v/>
      </c>
      <c r="AI37" s="261"/>
      <c r="AJ37" s="148"/>
      <c r="AK37" s="116" t="str">
        <f>IF(OR(ISBLANK($B37),ISBLANK($AJ37)),"",IFERROR(IF($AJ37&lt;=DATE('ESTADO CONTABLE'!$B$2,12,5),VLOOKUP($B37,COSTOS!$A$2:$B1014,2,FALSE)-150,VLOOKUP($B37,COSTOS!$A$2:$B1014,2,FALSE)),"No encontrado o error"))</f>
        <v/>
      </c>
      <c r="AL37" s="261"/>
      <c r="AM37" s="254"/>
      <c r="AN37" s="255"/>
      <c r="AO37" s="256"/>
    </row>
    <row r="38" ht="22.5" customHeight="1">
      <c r="A38" s="82" t="str">
        <f>'BASE DE DATOSS'!A37</f>
        <v>AMERICA ALVAREZ SEPULVEDA</v>
      </c>
      <c r="B38" s="83" t="str">
        <f>'BASE DE DATOSS'!C37</f>
        <v>ADULTS 1</v>
      </c>
      <c r="C38" s="266" t="s">
        <v>499</v>
      </c>
      <c r="D38" s="249"/>
      <c r="E38" s="250"/>
      <c r="F38" s="251"/>
      <c r="G38" s="262"/>
      <c r="H38" s="257"/>
      <c r="I38" s="249"/>
      <c r="J38" s="193" t="str">
        <f>IF(OR(ISBLANK($B38),ISBLANK($I38)),"",IFERROR(IF($I38&lt;=DATE('ESTADO CONTABLE'!$B$2,3,5),VLOOKUP($B38,COSTOS!$A$2:$B1014,2,FALSE)-150,VLOOKUP($B38,COSTOS!$A$2:$B1014,2,FALSE)),"No encontrado o error"))</f>
        <v/>
      </c>
      <c r="K38" s="264"/>
      <c r="L38" s="249"/>
      <c r="M38" s="86" t="str">
        <f>IF(OR(ISBLANK($B38),ISBLANK($L38)),"",IFERROR(IF($L38&lt;=DATE('ESTADO CONTABLE'!$B$2,4,5),VLOOKUP($B38,COSTOS!$A$2:$B1014,2,FALSE)-150,VLOOKUP($B38,COSTOS!$A$2:$B1014,2,FALSE)),"No encontrado o error"))</f>
        <v/>
      </c>
      <c r="N38" s="264"/>
      <c r="O38" s="185">
        <v>46143.0</v>
      </c>
      <c r="P38" s="113">
        <f>IF(OR(ISBLANK($B38),ISBLANK($O38)),"",IFERROR(IF($O38&lt;=DATE('ESTADO CONTABLE'!$B$2,5,5),VLOOKUP($B38,COSTOS!$A$2:$B1014,2,FALSE)-150,VLOOKUP($B38,COSTOS!$A$2:$B1014,2,FALSE)),"No encontrado o error"))</f>
        <v>1150</v>
      </c>
      <c r="Q38" s="190" t="s">
        <v>128</v>
      </c>
      <c r="R38" s="185">
        <v>46177.0</v>
      </c>
      <c r="S38" s="113">
        <f>IF(OR(ISBLANK($B38),ISBLANK($R38)),"",IFERROR(IF($R38&lt;=DATE('ESTADO CONTABLE'!$B$2,6,5),VLOOKUP($B38,COSTOS!$A$2:$B1014,2,FALSE)-150,VLOOKUP($B38,COSTOS!$A$2:$B1014,2,FALSE)),"No encontrado o error"))</f>
        <v>1150</v>
      </c>
      <c r="T38" s="190" t="s">
        <v>128</v>
      </c>
      <c r="U38" s="185">
        <v>46208.0</v>
      </c>
      <c r="V38" s="86">
        <v>1150.0</v>
      </c>
      <c r="W38" s="190" t="s">
        <v>128</v>
      </c>
      <c r="X38" s="114">
        <v>46238.0</v>
      </c>
      <c r="Y38" s="178">
        <v>550.0</v>
      </c>
      <c r="Z38" s="117" t="s">
        <v>128</v>
      </c>
      <c r="AA38" s="114"/>
      <c r="AB38" s="118" t="str">
        <f>IF(OR(ISBLANK($B38),ISBLANK($AA38)),"",IFERROR(IF($AA38&lt;=DATE('ESTADO CONTABLE'!$B$2,9,5),VLOOKUP($B38,COSTOS!$A$2:$B1014,2,FALSE)-150,VLOOKUP($B38,COSTOS!$A$2:$B1014,2,FALSE)),"No encontrado o error"))</f>
        <v/>
      </c>
      <c r="AC38" s="122"/>
      <c r="AD38" s="114"/>
      <c r="AE38" s="178" t="str">
        <f>IF(OR(ISBLANK($B38),ISBLANK($AD38)),"",IFERROR(IF($AD38&lt;=DATE('ESTADO CONTABLE'!$B$2,10,5),VLOOKUP($B38,COSTOS!$A$2:$B1014,2,FALSE)-150,VLOOKUP($B38,COSTOS!$A$2:$B1014,2,FALSE)),"No encontrado o error"))</f>
        <v/>
      </c>
      <c r="AF38" s="122"/>
      <c r="AG38" s="114"/>
      <c r="AH38" s="178" t="str">
        <f>IF(OR(ISBLANK($B38),ISBLANK($AG38)),"",IFERROR(IF($AG38&lt;=DATE('ESTADO CONTABLE'!$B$2,11,5),VLOOKUP($B38,COSTOS!$A$2:$B1014,2,FALSE)-150,VLOOKUP($B38,COSTOS!$A$2:$B1014,2,FALSE)),"No encontrado o error"))</f>
        <v/>
      </c>
      <c r="AI38" s="122"/>
      <c r="AJ38" s="114"/>
      <c r="AK38" s="178" t="str">
        <f>IF(OR(ISBLANK($B38),ISBLANK($AJ38)),"",IFERROR(IF($AJ38&lt;=DATE('ESTADO CONTABLE'!$B$2,12,5),VLOOKUP($B38,COSTOS!$A$2:$B1014,2,FALSE)-150,VLOOKUP($B38,COSTOS!$A$2:$B1014,2,FALSE)),"No encontrado o error"))</f>
        <v/>
      </c>
      <c r="AL38" s="122"/>
      <c r="AM38" s="254"/>
      <c r="AN38" s="255"/>
      <c r="AO38" s="256"/>
    </row>
    <row r="39" ht="22.5" customHeight="1">
      <c r="A39" s="82" t="str">
        <f>'BASE DE DATOSS'!A38</f>
        <v>MAIA VICTORIA OCHOA COBIAN</v>
      </c>
      <c r="B39" s="83" t="str">
        <f>'BASE DE DATOSS'!C38</f>
        <v>JR 1</v>
      </c>
      <c r="C39" s="263" t="s">
        <v>500</v>
      </c>
      <c r="D39" s="249"/>
      <c r="E39" s="250"/>
      <c r="F39" s="251"/>
      <c r="G39" s="262"/>
      <c r="H39" s="257"/>
      <c r="I39" s="249"/>
      <c r="J39" s="193" t="str">
        <f>IF(OR(ISBLANK($B39),ISBLANK($I39)),"",IFERROR(IF($I39&lt;=DATE('ESTADO CONTABLE'!$B$2,3,5),VLOOKUP($B39,COSTOS!$A$2:$B1014,2,FALSE)-150,VLOOKUP($B39,COSTOS!$A$2:$B1014,2,FALSE)),"No encontrado o error"))</f>
        <v/>
      </c>
      <c r="K39" s="264"/>
      <c r="L39" s="249"/>
      <c r="M39" s="189"/>
      <c r="N39" s="264"/>
      <c r="O39" s="249"/>
      <c r="P39" s="113" t="str">
        <f>IF(OR(ISBLANK($B39),ISBLANK($O39)),"",IFERROR(IF($O39&lt;=DATE('ESTADO CONTABLE'!$B$2,5,5),VLOOKUP($B39,COSTOS!$A$2:$B1014,2,FALSE)-150,VLOOKUP($B39,COSTOS!$A$2:$B1014,2,FALSE)),"No encontrado o error"))</f>
        <v/>
      </c>
      <c r="Q39" s="264"/>
      <c r="R39" s="185">
        <v>46174.0</v>
      </c>
      <c r="S39" s="86">
        <v>1500.0</v>
      </c>
      <c r="T39" s="190" t="s">
        <v>137</v>
      </c>
      <c r="U39" s="185">
        <v>46205.0</v>
      </c>
      <c r="V39" s="113">
        <f>IF(OR(ISBLANK($B39),ISBLANK($U39)),"",IFERROR(IF($U39&lt;=DATE('ESTADO CONTABLE'!$B$2,7,5),VLOOKUP($B39,COSTOS!$A$2:$B1014,2,FALSE)-150,VLOOKUP($B39,COSTOS!$A$2:$B1014,2,FALSE)),"No encontrado o error"))</f>
        <v>950</v>
      </c>
      <c r="W39" s="190" t="s">
        <v>137</v>
      </c>
      <c r="X39" s="148">
        <v>46238.0</v>
      </c>
      <c r="Y39" s="116">
        <f>IF(OR(ISBLANK($B39),ISBLANK($X39)),"",IFERROR(IF($X39&lt;=DATE('ESTADO CONTABLE'!$B$2,8,5),VLOOKUP($B39,COSTOS!$A$2:$B1014,2,FALSE)-150,VLOOKUP($B39,COSTOS!$A$2:$B1014,2,FALSE)),"No encontrado o error"))</f>
        <v>950</v>
      </c>
      <c r="Z39" s="258" t="s">
        <v>137</v>
      </c>
      <c r="AA39" s="148">
        <v>46269.0</v>
      </c>
      <c r="AB39" s="118">
        <f>IF(OR(ISBLANK($B39),ISBLANK($AA39)),"",IFERROR(IF($AA39&lt;=DATE('ESTADO CONTABLE'!$B$2,9,5),VLOOKUP($B39,COSTOS!$A$2:$B1014,2,FALSE)-150,VLOOKUP($B39,COSTOS!$A$2:$B1014,2,FALSE)),"No encontrado o error"))</f>
        <v>950</v>
      </c>
      <c r="AC39" s="259" t="s">
        <v>137</v>
      </c>
      <c r="AD39" s="148">
        <v>46300.0</v>
      </c>
      <c r="AE39" s="116">
        <f>IF(OR(ISBLANK($B39),ISBLANK($AD39)),"",IFERROR(IF($AD39&lt;=DATE('ESTADO CONTABLE'!$B$2,10,5),VLOOKUP($B39,COSTOS!$A$2:$B1014,2,FALSE)-150,VLOOKUP($B39,COSTOS!$A$2:$B1014,2,FALSE)),"No encontrado o error"))</f>
        <v>950</v>
      </c>
      <c r="AF39" s="259" t="s">
        <v>137</v>
      </c>
      <c r="AG39" s="148"/>
      <c r="AH39" s="116" t="str">
        <f>IF(OR(ISBLANK($B39),ISBLANK($AG39)),"",IFERROR(IF($AG39&lt;=DATE('ESTADO CONTABLE'!$B$2,11,5),VLOOKUP($B39,COSTOS!$A$2:$B1014,2,FALSE)-150,VLOOKUP($B39,COSTOS!$A$2:$B1014,2,FALSE)),"No encontrado o error"))</f>
        <v/>
      </c>
      <c r="AI39" s="261"/>
      <c r="AJ39" s="148"/>
      <c r="AK39" s="116" t="str">
        <f>IF(OR(ISBLANK($B39),ISBLANK($AJ39)),"",IFERROR(IF($AJ39&lt;=DATE('ESTADO CONTABLE'!$B$2,12,5),VLOOKUP($B39,COSTOS!$A$2:$B1014,2,FALSE)-150,VLOOKUP($B39,COSTOS!$A$2:$B1014,2,FALSE)),"No encontrado o error"))</f>
        <v/>
      </c>
      <c r="AL39" s="261"/>
      <c r="AM39" s="254"/>
      <c r="AN39" s="255"/>
      <c r="AO39" s="256"/>
    </row>
    <row r="40" ht="22.5" customHeight="1">
      <c r="A40" s="82" t="str">
        <f>'BASE DE DATOSS'!A39</f>
        <v>ISABELLA ZOE CASTAÑEDA LUNA</v>
      </c>
      <c r="B40" s="83" t="str">
        <f>'BASE DE DATOSS'!C39</f>
        <v>JR 2</v>
      </c>
      <c r="C40" s="263" t="s">
        <v>501</v>
      </c>
      <c r="D40" s="249"/>
      <c r="E40" s="250"/>
      <c r="F40" s="251"/>
      <c r="G40" s="262"/>
      <c r="H40" s="257"/>
      <c r="I40" s="249"/>
      <c r="J40" s="193" t="str">
        <f>IF(OR(ISBLANK($B40),ISBLANK($I40)),"",IFERROR(IF($I40&lt;=DATE('ESTADO CONTABLE'!$B$2,3,5),VLOOKUP($B40,COSTOS!$A$2:$B1014,2,FALSE)-150,VLOOKUP($B40,COSTOS!$A$2:$B1014,2,FALSE)),"No encontrado o error"))</f>
        <v/>
      </c>
      <c r="K40" s="264"/>
      <c r="L40" s="249"/>
      <c r="M40" s="189"/>
      <c r="N40" s="264"/>
      <c r="O40" s="249"/>
      <c r="P40" s="113" t="str">
        <f>IF(OR(ISBLANK($B40),ISBLANK($O40)),"",IFERROR(IF($O40&lt;=DATE('ESTADO CONTABLE'!$B$2,5,5),VLOOKUP($B40,COSTOS!$A$2:$B1014,2,FALSE)-150,VLOOKUP($B40,COSTOS!$A$2:$B1014,2,FALSE)),"No encontrado o error"))</f>
        <v/>
      </c>
      <c r="Q40" s="264"/>
      <c r="R40" s="185">
        <v>46175.0</v>
      </c>
      <c r="S40" s="86">
        <v>1000.0</v>
      </c>
      <c r="T40" s="190" t="s">
        <v>137</v>
      </c>
      <c r="U40" s="185">
        <v>46208.0</v>
      </c>
      <c r="V40" s="113">
        <f>IF(OR(ISBLANK($B40),ISBLANK($U40)),"",IFERROR(IF($U40&lt;=DATE('ESTADO CONTABLE'!$B$2,7,5),VLOOKUP($B40,COSTOS!$A$2:$B1014,2,FALSE)-150,VLOOKUP($B40,COSTOS!$A$2:$B1014,2,FALSE)),"No encontrado o error"))</f>
        <v>800</v>
      </c>
      <c r="W40" s="190" t="s">
        <v>137</v>
      </c>
      <c r="X40" s="114">
        <v>46245.0</v>
      </c>
      <c r="Y40" s="116">
        <f>IF(OR(ISBLANK($B40),ISBLANK($X40)),"",IFERROR(IF($X40&lt;=DATE('ESTADO CONTABLE'!$B$2,8,5),VLOOKUP($B40,COSTOS!$A$2:$B1014,2,FALSE)-150,VLOOKUP($B40,COSTOS!$A$2:$B1014,2,FALSE)),"No encontrado o error"))</f>
        <v>950</v>
      </c>
      <c r="Z40" s="117" t="s">
        <v>137</v>
      </c>
      <c r="AA40" s="114">
        <v>46275.0</v>
      </c>
      <c r="AB40" s="118">
        <f>IF(OR(ISBLANK($B40),ISBLANK($AA40)),"",IFERROR(IF($AA40&lt;=DATE('ESTADO CONTABLE'!$B$2,9,5),VLOOKUP($B40,COSTOS!$A$2:$B1014,2,FALSE)-150,VLOOKUP($B40,COSTOS!$A$2:$B1014,2,FALSE)),"No encontrado o error"))</f>
        <v>950</v>
      </c>
      <c r="AC40" s="120" t="s">
        <v>137</v>
      </c>
      <c r="AD40" s="114">
        <v>46301.0</v>
      </c>
      <c r="AE40" s="116">
        <f>IF(OR(ISBLANK($B40),ISBLANK($AD40)),"",IFERROR(IF($AD40&lt;=DATE('ESTADO CONTABLE'!$B$2,10,5),VLOOKUP($B40,COSTOS!$A$2:$B1014,2,FALSE)-150,VLOOKUP($B40,COSTOS!$A$2:$B1014,2,FALSE)),"No encontrado o error"))</f>
        <v>950</v>
      </c>
      <c r="AF40" s="120" t="s">
        <v>137</v>
      </c>
      <c r="AG40" s="114"/>
      <c r="AH40" s="116" t="str">
        <f>IF(OR(ISBLANK($B40),ISBLANK($AG40)),"",IFERROR(IF($AG40&lt;=DATE('ESTADO CONTABLE'!$B$2,11,5),VLOOKUP($B40,COSTOS!$A$2:$B1014,2,FALSE)-150,VLOOKUP($B40,COSTOS!$A$2:$B1014,2,FALSE)),"No encontrado o error"))</f>
        <v/>
      </c>
      <c r="AI40" s="122"/>
      <c r="AJ40" s="114"/>
      <c r="AK40" s="116" t="str">
        <f>IF(OR(ISBLANK($B40),ISBLANK($AJ40)),"",IFERROR(IF($AJ40&lt;=DATE('ESTADO CONTABLE'!$B$2,12,5),VLOOKUP($B40,COSTOS!$A$2:$B1014,2,FALSE)-150,VLOOKUP($B40,COSTOS!$A$2:$B1014,2,FALSE)),"No encontrado o error"))</f>
        <v/>
      </c>
      <c r="AL40" s="122"/>
      <c r="AM40" s="254"/>
      <c r="AN40" s="255"/>
      <c r="AO40" s="256"/>
    </row>
    <row r="41" ht="22.5" customHeight="1">
      <c r="A41" s="82" t="str">
        <f>'BASE DE DATOSS'!A40</f>
        <v>NOVA RAMIREZ</v>
      </c>
      <c r="B41" s="83" t="str">
        <f>'BASE DE DATOSS'!C40</f>
        <v>KIDS 1</v>
      </c>
      <c r="C41" s="263"/>
      <c r="D41" s="249"/>
      <c r="E41" s="250"/>
      <c r="F41" s="251"/>
      <c r="G41" s="262"/>
      <c r="H41" s="257"/>
      <c r="I41" s="249"/>
      <c r="J41" s="193" t="str">
        <f>IF(OR(ISBLANK($B41),ISBLANK($I41)),"",IFERROR(IF($I41&lt;=DATE('ESTADO CONTABLE'!$B$2,3,5),VLOOKUP($B41,COSTOS!$A$2:$B1014,2,FALSE)-150,VLOOKUP($B41,COSTOS!$A$2:$B1014,2,FALSE)),"No encontrado o error"))</f>
        <v/>
      </c>
      <c r="K41" s="264"/>
      <c r="L41" s="249"/>
      <c r="M41" s="189"/>
      <c r="N41" s="264"/>
      <c r="O41" s="249"/>
      <c r="P41" s="113" t="str">
        <f>IF(OR(ISBLANK($B41),ISBLANK($O41)),"",IFERROR(IF($O41&lt;=DATE('ESTADO CONTABLE'!$B$2,5,5),VLOOKUP($B41,COSTOS!$A$2:$B1014,2,FALSE)-150,VLOOKUP($B41,COSTOS!$A$2:$B1014,2,FALSE)),"No encontrado o error"))</f>
        <v/>
      </c>
      <c r="Q41" s="264"/>
      <c r="R41" s="185">
        <v>46178.0</v>
      </c>
      <c r="S41" s="113">
        <f>IF(OR(ISBLANK($B41),ISBLANK($R41)),"",IFERROR(IF($R41&lt;=DATE('ESTADO CONTABLE'!$B$2,6,5),VLOOKUP($B41,COSTOS!$A$2:$B1014,2,FALSE)-150,VLOOKUP($B41,COSTOS!$A$2:$B1014,2,FALSE)),"No encontrado o error"))</f>
        <v>950</v>
      </c>
      <c r="T41" s="190" t="s">
        <v>292</v>
      </c>
      <c r="U41" s="185">
        <v>46204.0</v>
      </c>
      <c r="V41" s="113">
        <f>IF(OR(ISBLANK($B41),ISBLANK($U41)),"",IFERROR(IF($U41&lt;=DATE('ESTADO CONTABLE'!$B$2,7,5),VLOOKUP($B41,COSTOS!$A$2:$B1014,2,FALSE)-150,VLOOKUP($B41,COSTOS!$A$2:$B1014,2,FALSE)),"No encontrado o error"))</f>
        <v>950</v>
      </c>
      <c r="W41" s="190" t="s">
        <v>292</v>
      </c>
      <c r="X41" s="148">
        <v>46235.0</v>
      </c>
      <c r="Y41" s="116">
        <f>IF(OR(ISBLANK($B41),ISBLANK($X41)),"",IFERROR(IF($X41&lt;=DATE('ESTADO CONTABLE'!$B$2,8,5),VLOOKUP($B41,COSTOS!$A$2:$B1014,2,FALSE)-150,VLOOKUP($B41,COSTOS!$A$2:$B1014,2,FALSE)),"No encontrado o error"))</f>
        <v>950</v>
      </c>
      <c r="Z41" s="258" t="s">
        <v>292</v>
      </c>
      <c r="AA41" s="148">
        <v>46262.0</v>
      </c>
      <c r="AB41" s="118">
        <f>IF(OR(ISBLANK($B41),ISBLANK($AA41)),"",IFERROR(IF($AA41&lt;=DATE('ESTADO CONTABLE'!$B$2,9,5),VLOOKUP($B41,COSTOS!$A$2:$B1014,2,FALSE)-150,VLOOKUP($B41,COSTOS!$A$2:$B1014,2,FALSE)),"No encontrado o error"))</f>
        <v>950</v>
      </c>
      <c r="AC41" s="259" t="s">
        <v>292</v>
      </c>
      <c r="AD41" s="148">
        <v>46296.0</v>
      </c>
      <c r="AE41" s="116">
        <f>IF(OR(ISBLANK($B41),ISBLANK($AD41)),"",IFERROR(IF($AD41&lt;=DATE('ESTADO CONTABLE'!$B$2,10,5),VLOOKUP($B41,COSTOS!$A$2:$B1014,2,FALSE)-150,VLOOKUP($B41,COSTOS!$A$2:$B1014,2,FALSE)),"No encontrado o error"))</f>
        <v>950</v>
      </c>
      <c r="AF41" s="259" t="s">
        <v>292</v>
      </c>
      <c r="AG41" s="148"/>
      <c r="AH41" s="116" t="str">
        <f>IF(OR(ISBLANK($B41),ISBLANK($AG41)),"",IFERROR(IF($AG41&lt;=DATE('ESTADO CONTABLE'!$B$2,11,5),VLOOKUP($B41,COSTOS!$A$2:$B1014,2,FALSE)-150,VLOOKUP($B41,COSTOS!$A$2:$B1014,2,FALSE)),"No encontrado o error"))</f>
        <v/>
      </c>
      <c r="AI41" s="261"/>
      <c r="AJ41" s="148"/>
      <c r="AK41" s="116" t="str">
        <f>IF(OR(ISBLANK($B41),ISBLANK($AJ41)),"",IFERROR(IF($AJ41&lt;=DATE('ESTADO CONTABLE'!$B$2,12,5),VLOOKUP($B41,COSTOS!$A$2:$B1014,2,FALSE)-150,VLOOKUP($B41,COSTOS!$A$2:$B1014,2,FALSE)),"No encontrado o error"))</f>
        <v/>
      </c>
      <c r="AL41" s="261"/>
      <c r="AM41" s="254"/>
      <c r="AN41" s="255"/>
      <c r="AO41" s="256"/>
    </row>
    <row r="42" ht="22.5" customHeight="1">
      <c r="A42" s="82" t="str">
        <f>'BASE DE DATOSS'!A41</f>
        <v>ANDREA FERNANDA</v>
      </c>
      <c r="B42" s="83" t="str">
        <f>'BASE DE DATOSS'!C41</f>
        <v>SABATINO</v>
      </c>
      <c r="C42" s="263"/>
      <c r="D42" s="249"/>
      <c r="E42" s="250"/>
      <c r="F42" s="251"/>
      <c r="G42" s="262"/>
      <c r="H42" s="257"/>
      <c r="I42" s="249"/>
      <c r="J42" s="193" t="str">
        <f>IF(OR(ISBLANK($B42),ISBLANK($I42)),"",IFERROR(IF($I42&lt;=DATE('ESTADO CONTABLE'!$B$2,3,5),VLOOKUP($B42,COSTOS!$A$2:$B1014,2,FALSE)-150,VLOOKUP($B42,COSTOS!$A$2:$B1014,2,FALSE)),"No encontrado o error"))</f>
        <v/>
      </c>
      <c r="K42" s="264"/>
      <c r="L42" s="249"/>
      <c r="M42" s="189"/>
      <c r="N42" s="264"/>
      <c r="O42" s="249"/>
      <c r="P42" s="113" t="str">
        <f>IF(OR(ISBLANK($B42),ISBLANK($O42)),"",IFERROR(IF($O42&lt;=DATE('ESTADO CONTABLE'!$B$2,5,5),VLOOKUP($B42,COSTOS!$A$2:$B1014,2,FALSE)-150,VLOOKUP($B42,COSTOS!$A$2:$B1014,2,FALSE)),"No encontrado o error"))</f>
        <v/>
      </c>
      <c r="Q42" s="264"/>
      <c r="R42" s="185">
        <v>46178.0</v>
      </c>
      <c r="S42" s="113">
        <f>IF(OR(ISBLANK($B42),ISBLANK($R42)),"",IFERROR(IF($R42&lt;=DATE('ESTADO CONTABLE'!$B$2,6,5),VLOOKUP($B42,COSTOS!$A$2:$B1014,2,FALSE)-150,VLOOKUP($B42,COSTOS!$A$2:$B1014,2,FALSE)),"No encontrado o error"))</f>
        <v>550</v>
      </c>
      <c r="T42" s="190" t="s">
        <v>128</v>
      </c>
      <c r="U42" s="185">
        <v>46208.0</v>
      </c>
      <c r="V42" s="113">
        <f>IF(OR(ISBLANK($B42),ISBLANK($U42)),"",IFERROR(IF($U42&lt;=DATE('ESTADO CONTABLE'!$B$2,7,5),VLOOKUP($B42,COSTOS!$A$2:$B1014,2,FALSE)-150,VLOOKUP($B42,COSTOS!$A$2:$B1014,2,FALSE)),"No encontrado o error"))</f>
        <v>550</v>
      </c>
      <c r="W42" s="190" t="s">
        <v>128</v>
      </c>
      <c r="X42" s="114">
        <v>46239.0</v>
      </c>
      <c r="Y42" s="116">
        <f>IF(OR(ISBLANK($B42),ISBLANK($X42)),"",IFERROR(IF($X42&lt;=DATE('ESTADO CONTABLE'!$B$2,8,5),VLOOKUP($B42,COSTOS!$A$2:$B1014,2,FALSE)-150,VLOOKUP($B42,COSTOS!$A$2:$B1014,2,FALSE)),"No encontrado o error"))</f>
        <v>550</v>
      </c>
      <c r="Z42" s="117" t="s">
        <v>128</v>
      </c>
      <c r="AA42" s="114"/>
      <c r="AB42" s="118" t="str">
        <f>IF(OR(ISBLANK($B42),ISBLANK($AA42)),"",IFERROR(IF($AA42&lt;=DATE('ESTADO CONTABLE'!$B$2,9,5),VLOOKUP($B42,COSTOS!$A$2:$B1014,2,FALSE)-150,VLOOKUP($B42,COSTOS!$A$2:$B1014,2,FALSE)),"No encontrado o error"))</f>
        <v/>
      </c>
      <c r="AC42" s="122"/>
      <c r="AD42" s="114">
        <v>46300.0</v>
      </c>
      <c r="AE42" s="116">
        <f>IF(OR(ISBLANK($B42),ISBLANK($AD42)),"",IFERROR(IF($AD42&lt;=DATE('ESTADO CONTABLE'!$B$2,10,5),VLOOKUP($B42,COSTOS!$A$2:$B1014,2,FALSE)-150,VLOOKUP($B42,COSTOS!$A$2:$B1014,2,FALSE)),"No encontrado o error"))</f>
        <v>550</v>
      </c>
      <c r="AF42" s="120" t="s">
        <v>128</v>
      </c>
      <c r="AG42" s="114"/>
      <c r="AH42" s="116" t="str">
        <f>IF(OR(ISBLANK($B42),ISBLANK($AG42)),"",IFERROR(IF($AG42&lt;=DATE('ESTADO CONTABLE'!$B$2,11,5),VLOOKUP($B42,COSTOS!$A$2:$B1014,2,FALSE)-150,VLOOKUP($B42,COSTOS!$A$2:$B1014,2,FALSE)),"No encontrado o error"))</f>
        <v/>
      </c>
      <c r="AI42" s="122"/>
      <c r="AJ42" s="114"/>
      <c r="AK42" s="116" t="str">
        <f>IF(OR(ISBLANK($B42),ISBLANK($AJ42)),"",IFERROR(IF($AJ42&lt;=DATE('ESTADO CONTABLE'!$B$2,12,5),VLOOKUP($B42,COSTOS!$A$2:$B1014,2,FALSE)-150,VLOOKUP($B42,COSTOS!$A$2:$B1014,2,FALSE)),"No encontrado o error"))</f>
        <v/>
      </c>
      <c r="AL42" s="122"/>
      <c r="AM42" s="254"/>
      <c r="AN42" s="255"/>
      <c r="AO42" s="256"/>
    </row>
    <row r="43" ht="22.5" customHeight="1">
      <c r="A43" s="82" t="str">
        <f>'BASE DE DATOSS'!A42</f>
        <v>DIANA VALENTINA CONTRERAS GARCIA</v>
      </c>
      <c r="B43" s="83" t="str">
        <f>'BASE DE DATOSS'!C42</f>
        <v>ADULTS 2</v>
      </c>
      <c r="C43" s="263"/>
      <c r="D43" s="249"/>
      <c r="E43" s="250"/>
      <c r="F43" s="251"/>
      <c r="G43" s="262"/>
      <c r="H43" s="257"/>
      <c r="I43" s="249"/>
      <c r="J43" s="193" t="str">
        <f>IF(OR(ISBLANK($B43),ISBLANK($I43)),"",IFERROR(IF($I43&lt;=DATE('ESTADO CONTABLE'!$B$2,3,5),VLOOKUP($B43,COSTOS!$A$2:$B1014,2,FALSE)-150,VLOOKUP($B43,COSTOS!$A$2:$B1014,2,FALSE)),"No encontrado o error"))</f>
        <v/>
      </c>
      <c r="K43" s="264"/>
      <c r="L43" s="249"/>
      <c r="M43" s="189"/>
      <c r="N43" s="264"/>
      <c r="O43" s="249"/>
      <c r="P43" s="113" t="str">
        <f>IF(OR(ISBLANK($B43),ISBLANK($O43)),"",IFERROR(IF($O43&lt;=DATE('ESTADO CONTABLE'!$B$2,5,5),VLOOKUP($B43,COSTOS!$A$2:$B1014,2,FALSE)-150,VLOOKUP($B43,COSTOS!$A$2:$B1014,2,FALSE)),"No encontrado o error"))</f>
        <v/>
      </c>
      <c r="Q43" s="264"/>
      <c r="R43" s="185">
        <v>46178.0</v>
      </c>
      <c r="S43" s="113">
        <f>IF(OR(ISBLANK($B43),ISBLANK($R43)),"",IFERROR(IF($R43&lt;=DATE('ESTADO CONTABLE'!$B$2,6,5),VLOOKUP($B43,COSTOS!$A$2:$B1014,2,FALSE)-150,VLOOKUP($B43,COSTOS!$A$2:$B1014,2,FALSE)),"No encontrado o error"))</f>
        <v>950</v>
      </c>
      <c r="T43" s="190" t="s">
        <v>137</v>
      </c>
      <c r="U43" s="185">
        <v>46209.0</v>
      </c>
      <c r="V43" s="113">
        <f>IF(OR(ISBLANK($B43),ISBLANK($U43)),"",IFERROR(IF($U43&lt;=DATE('ESTADO CONTABLE'!$B$2,7,5),VLOOKUP($B43,COSTOS!$A$2:$B1014,2,FALSE)-150,VLOOKUP($B43,COSTOS!$A$2:$B1014,2,FALSE)),"No encontrado o error"))</f>
        <v>1100</v>
      </c>
      <c r="W43" s="190" t="s">
        <v>137</v>
      </c>
      <c r="X43" s="148">
        <v>46259.0</v>
      </c>
      <c r="Y43" s="116">
        <f>IF(OR(ISBLANK($B43),ISBLANK($X43)),"",IFERROR(IF($X43&lt;=DATE('ESTADO CONTABLE'!$B$2,8,5),VLOOKUP($B43,COSTOS!$A$2:$B1014,2,FALSE)-150,VLOOKUP($B43,COSTOS!$A$2:$B1014,2,FALSE)),"No encontrado o error"))</f>
        <v>1100</v>
      </c>
      <c r="Z43" s="258" t="s">
        <v>137</v>
      </c>
      <c r="AA43" s="148">
        <v>46291.0</v>
      </c>
      <c r="AB43" s="118">
        <f>IF(OR(ISBLANK($B43),ISBLANK($AA43)),"",IFERROR(IF($AA43&lt;=DATE('ESTADO CONTABLE'!$B$2,9,5),VLOOKUP($B43,COSTOS!$A$2:$B1014,2,FALSE)-150,VLOOKUP($B43,COSTOS!$A$2:$B1014,2,FALSE)),"No encontrado o error"))</f>
        <v>1100</v>
      </c>
      <c r="AC43" s="259" t="s">
        <v>137</v>
      </c>
      <c r="AD43" s="148">
        <v>46298.0</v>
      </c>
      <c r="AE43" s="116">
        <f>IF(OR(ISBLANK($B43),ISBLANK($AD43)),"",IFERROR(IF($AD43&lt;=DATE('ESTADO CONTABLE'!$B$2,10,5),VLOOKUP($B43,COSTOS!$A$2:$B1014,2,FALSE)-150,VLOOKUP($B43,COSTOS!$A$2:$B1014,2,FALSE)),"No encontrado o error"))</f>
        <v>950</v>
      </c>
      <c r="AF43" s="259" t="s">
        <v>137</v>
      </c>
      <c r="AG43" s="148"/>
      <c r="AH43" s="116" t="str">
        <f>IF(OR(ISBLANK($B43),ISBLANK($AG43)),"",IFERROR(IF($AG43&lt;=DATE('ESTADO CONTABLE'!$B$2,11,5),VLOOKUP($B43,COSTOS!$A$2:$B1014,2,FALSE)-150,VLOOKUP($B43,COSTOS!$A$2:$B1014,2,FALSE)),"No encontrado o error"))</f>
        <v/>
      </c>
      <c r="AI43" s="261"/>
      <c r="AJ43" s="148"/>
      <c r="AK43" s="116" t="str">
        <f>IF(OR(ISBLANK($B43),ISBLANK($AJ43)),"",IFERROR(IF($AJ43&lt;=DATE('ESTADO CONTABLE'!$B$2,12,5),VLOOKUP($B43,COSTOS!$A$2:$B1014,2,FALSE)-150,VLOOKUP($B43,COSTOS!$A$2:$B1014,2,FALSE)),"No encontrado o error"))</f>
        <v/>
      </c>
      <c r="AL43" s="261"/>
      <c r="AM43" s="254"/>
      <c r="AN43" s="255"/>
      <c r="AO43" s="256"/>
    </row>
    <row r="44" ht="22.5" customHeight="1">
      <c r="A44" s="82" t="str">
        <f>'BASE DE DATOSS'!A43</f>
        <v>KARLA ELIZABETH CERNAS GARCÍA</v>
      </c>
      <c r="B44" s="83" t="str">
        <f>'BASE DE DATOSS'!C43</f>
        <v>SABATINO</v>
      </c>
      <c r="C44" s="263"/>
      <c r="D44" s="249"/>
      <c r="E44" s="250"/>
      <c r="F44" s="251"/>
      <c r="G44" s="262"/>
      <c r="H44" s="257"/>
      <c r="I44" s="249"/>
      <c r="J44" s="193" t="str">
        <f>IF(OR(ISBLANK($B44),ISBLANK($I44)),"",IFERROR(IF($I44&lt;=DATE('ESTADO CONTABLE'!$B$2,3,5),VLOOKUP($B44,COSTOS!$A$2:$B1014,2,FALSE)-150,VLOOKUP($B44,COSTOS!$A$2:$B1014,2,FALSE)),"No encontrado o error"))</f>
        <v/>
      </c>
      <c r="K44" s="264"/>
      <c r="L44" s="249"/>
      <c r="M44" s="189"/>
      <c r="N44" s="264"/>
      <c r="O44" s="249"/>
      <c r="P44" s="250"/>
      <c r="Q44" s="264"/>
      <c r="R44" s="212"/>
      <c r="S44" s="250"/>
      <c r="T44" s="264"/>
      <c r="U44" s="185">
        <v>46206.0</v>
      </c>
      <c r="V44" s="113">
        <f>IF(OR(ISBLANK($B44),ISBLANK($U44)),"",IFERROR(IF($U44&lt;=DATE('ESTADO CONTABLE'!$B$2,7,5),VLOOKUP($B44,COSTOS!$A$2:$B1014,2,FALSE)-150,VLOOKUP($B44,COSTOS!$A$2:$B1014,2,FALSE)),"No encontrado o error"))</f>
        <v>550</v>
      </c>
      <c r="W44" s="190" t="s">
        <v>128</v>
      </c>
      <c r="X44" s="114">
        <v>46239.0</v>
      </c>
      <c r="Y44" s="116">
        <f>IF(OR(ISBLANK($B44),ISBLANK($X44)),"",IFERROR(IF($X44&lt;=DATE('ESTADO CONTABLE'!$B$2,8,5),VLOOKUP($B44,COSTOS!$A$2:$B1014,2,FALSE)-150,VLOOKUP($B44,COSTOS!$A$2:$B1014,2,FALSE)),"No encontrado o error"))</f>
        <v>550</v>
      </c>
      <c r="Z44" s="117" t="s">
        <v>128</v>
      </c>
      <c r="AA44" s="114">
        <v>46268.0</v>
      </c>
      <c r="AB44" s="118">
        <f>IF(OR(ISBLANK($B44),ISBLANK($AA44)),"",IFERROR(IF($AA44&lt;=DATE('ESTADO CONTABLE'!$B$2,9,5),VLOOKUP($B44,COSTOS!$A$2:$B1014,2,FALSE)-150,VLOOKUP($B44,COSTOS!$A$2:$B1014,2,FALSE)),"No encontrado o error"))</f>
        <v>550</v>
      </c>
      <c r="AC44" s="120" t="s">
        <v>128</v>
      </c>
      <c r="AD44" s="114">
        <v>46298.0</v>
      </c>
      <c r="AE44" s="116">
        <f>IF(OR(ISBLANK($B44),ISBLANK($AD44)),"",IFERROR(IF($AD44&lt;=DATE('ESTADO CONTABLE'!$B$2,10,5),VLOOKUP($B44,COSTOS!$A$2:$B1014,2,FALSE)-150,VLOOKUP($B44,COSTOS!$A$2:$B1014,2,FALSE)),"No encontrado o error"))</f>
        <v>550</v>
      </c>
      <c r="AF44" s="120" t="s">
        <v>128</v>
      </c>
      <c r="AG44" s="114"/>
      <c r="AH44" s="116" t="str">
        <f>IF(OR(ISBLANK($B44),ISBLANK($AG44)),"",IFERROR(IF($AG44&lt;=DATE('ESTADO CONTABLE'!$B$2,11,5),VLOOKUP($B44,COSTOS!$A$2:$B1014,2,FALSE)-150,VLOOKUP($B44,COSTOS!$A$2:$B1014,2,FALSE)),"No encontrado o error"))</f>
        <v/>
      </c>
      <c r="AI44" s="122"/>
      <c r="AJ44" s="114"/>
      <c r="AK44" s="116" t="str">
        <f>IF(OR(ISBLANK($B44),ISBLANK($AJ44)),"",IFERROR(IF($AJ44&lt;=DATE('ESTADO CONTABLE'!$B$2,12,5),VLOOKUP($B44,COSTOS!$A$2:$B1014,2,FALSE)-150,VLOOKUP($B44,COSTOS!$A$2:$B1014,2,FALSE)),"No encontrado o error"))</f>
        <v/>
      </c>
      <c r="AL44" s="122"/>
      <c r="AM44" s="254"/>
      <c r="AN44" s="255"/>
      <c r="AO44" s="256"/>
    </row>
    <row r="45" ht="22.5" customHeight="1">
      <c r="A45" s="82" t="str">
        <f>'BASE DE DATOSS'!A44</f>
        <v>XIMENA SARAHI MONTES CRUZ</v>
      </c>
      <c r="B45" s="83" t="str">
        <f>'BASE DE DATOSS'!C44</f>
        <v>KIDS 2</v>
      </c>
      <c r="C45" s="263" t="s">
        <v>501</v>
      </c>
      <c r="D45" s="249"/>
      <c r="E45" s="250"/>
      <c r="F45" s="251"/>
      <c r="G45" s="262"/>
      <c r="H45" s="257"/>
      <c r="I45" s="249"/>
      <c r="J45" s="193" t="str">
        <f>IF(OR(ISBLANK($B45),ISBLANK($I45)),"",IFERROR(IF($I45&lt;=DATE('ESTADO CONTABLE'!$B$2,3,5),VLOOKUP($B45,COSTOS!$A$2:$B1014,2,FALSE)-150,VLOOKUP($B45,COSTOS!$A$2:$B1014,2,FALSE)),"No encontrado o error"))</f>
        <v/>
      </c>
      <c r="K45" s="264"/>
      <c r="L45" s="249"/>
      <c r="M45" s="189"/>
      <c r="N45" s="264"/>
      <c r="O45" s="249"/>
      <c r="P45" s="250"/>
      <c r="Q45" s="264"/>
      <c r="R45" s="249"/>
      <c r="S45" s="250"/>
      <c r="T45" s="264"/>
      <c r="U45" s="188">
        <v>46220.0</v>
      </c>
      <c r="V45" s="86">
        <v>590.0</v>
      </c>
      <c r="W45" s="190" t="s">
        <v>128</v>
      </c>
      <c r="X45" s="148">
        <v>46239.0</v>
      </c>
      <c r="Y45" s="116">
        <f>IF(OR(ISBLANK($B45),ISBLANK($X45)),"",IFERROR(IF($X45&lt;=DATE('ESTADO CONTABLE'!$B$2,8,5),VLOOKUP($B45,COSTOS!$A$2:$B1014,2,FALSE)-150,VLOOKUP($B45,COSTOS!$A$2:$B1014,2,FALSE)),"No encontrado o error"))</f>
        <v>800</v>
      </c>
      <c r="Z45" s="117" t="s">
        <v>128</v>
      </c>
      <c r="AA45" s="148">
        <v>46268.0</v>
      </c>
      <c r="AB45" s="118">
        <f>IF(OR(ISBLANK($B45),ISBLANK($AA45)),"",IFERROR(IF($AA45&lt;=DATE('ESTADO CONTABLE'!$B$2,9,5),VLOOKUP($B45,COSTOS!$A$2:$B1014,2,FALSE)-150,VLOOKUP($B45,COSTOS!$A$2:$B1014,2,FALSE)),"No encontrado o error"))</f>
        <v>800</v>
      </c>
      <c r="AC45" s="120" t="s">
        <v>128</v>
      </c>
      <c r="AD45" s="148">
        <v>46298.0</v>
      </c>
      <c r="AE45" s="116">
        <f>IF(OR(ISBLANK($B45),ISBLANK($AD45)),"",IFERROR(IF($AD45&lt;=DATE('ESTADO CONTABLE'!$B$2,10,5),VLOOKUP($B45,COSTOS!$A$2:$B1014,2,FALSE)-150,VLOOKUP($B45,COSTOS!$A$2:$B1014,2,FALSE)),"No encontrado o error"))</f>
        <v>800</v>
      </c>
      <c r="AF45" s="120" t="s">
        <v>128</v>
      </c>
      <c r="AG45" s="148"/>
      <c r="AH45" s="116" t="str">
        <f>IF(OR(ISBLANK($B45),ISBLANK($AG45)),"",IFERROR(IF($AG45&lt;=DATE('ESTADO CONTABLE'!$B$2,11,5),VLOOKUP($B45,COSTOS!$A$2:$B1014,2,FALSE)-150,VLOOKUP($B45,COSTOS!$A$2:$B1014,2,FALSE)),"No encontrado o error"))</f>
        <v/>
      </c>
      <c r="AI45" s="122"/>
      <c r="AJ45" s="148"/>
      <c r="AK45" s="116" t="str">
        <f>IF(OR(ISBLANK($B45),ISBLANK($AJ45)),"",IFERROR(IF($AJ45&lt;=DATE('ESTADO CONTABLE'!$B$2,12,5),VLOOKUP($B45,COSTOS!$A$2:$B1014,2,FALSE)-150,VLOOKUP($B45,COSTOS!$A$2:$B1014,2,FALSE)),"No encontrado o error"))</f>
        <v/>
      </c>
      <c r="AL45" s="122"/>
      <c r="AM45" s="254"/>
      <c r="AN45" s="255"/>
      <c r="AO45" s="256"/>
    </row>
    <row r="46" ht="22.5" customHeight="1">
      <c r="A46" s="82" t="str">
        <f>'BASE DE DATOSS'!A45</f>
        <v>CAROLINA MAGANA REBOLLEDO</v>
      </c>
      <c r="B46" s="83" t="str">
        <f>'BASE DE DATOSS'!C45</f>
        <v>SABATINO</v>
      </c>
      <c r="C46" s="263" t="s">
        <v>226</v>
      </c>
      <c r="D46" s="249"/>
      <c r="E46" s="250"/>
      <c r="F46" s="251"/>
      <c r="G46" s="262"/>
      <c r="H46" s="257"/>
      <c r="I46" s="249"/>
      <c r="J46" s="193" t="str">
        <f>IF(OR(ISBLANK($B46),ISBLANK($I46)),"",IFERROR(IF($I46&lt;=DATE('ESTADO CONTABLE'!$B$2,3,5),VLOOKUP($B46,COSTOS!$A$2:$B1014,2,FALSE)-150,VLOOKUP($B46,COSTOS!$A$2:$B1014,2,FALSE)),"No encontrado o error"))</f>
        <v/>
      </c>
      <c r="K46" s="264"/>
      <c r="L46" s="249"/>
      <c r="M46" s="189"/>
      <c r="N46" s="264"/>
      <c r="O46" s="249"/>
      <c r="P46" s="250"/>
      <c r="Q46" s="264"/>
      <c r="R46" s="249"/>
      <c r="S46" s="250"/>
      <c r="T46" s="264"/>
      <c r="U46" s="249"/>
      <c r="V46" s="250"/>
      <c r="W46" s="264"/>
      <c r="X46" s="148">
        <v>46235.0</v>
      </c>
      <c r="Y46" s="116">
        <f>IF(OR(ISBLANK($B46),ISBLANK($X46)),"",IFERROR(IF($X46&lt;=DATE('ESTADO CONTABLE'!$B$2,8,5),VLOOKUP($B46,COSTOS!$A$2:$B1014,2,FALSE)-150,VLOOKUP($B46,COSTOS!$A$2:$B1014,2,FALSE)),"No encontrado o error"))</f>
        <v>550</v>
      </c>
      <c r="Z46" s="329" t="s">
        <v>292</v>
      </c>
      <c r="AA46" s="148">
        <v>46270.0</v>
      </c>
      <c r="AB46" s="118">
        <f>IF(OR(ISBLANK($B46),ISBLANK($AA46)),"",IFERROR(IF($AA46&lt;=DATE('ESTADO CONTABLE'!$B$2,9,5),VLOOKUP($B46,COSTOS!$A$2:$B1014,2,FALSE)-150,VLOOKUP($B46,COSTOS!$A$2:$B1014,2,FALSE)),"No encontrado o error"))</f>
        <v>550</v>
      </c>
      <c r="AC46" s="329" t="s">
        <v>292</v>
      </c>
      <c r="AD46" s="148">
        <v>46300.0</v>
      </c>
      <c r="AE46" s="116">
        <f>IF(OR(ISBLANK($B46),ISBLANK($AD46)),"",IFERROR(IF($AD46&lt;=DATE('ESTADO CONTABLE'!$B$2,10,5),VLOOKUP($B46,COSTOS!$A$2:$B1014,2,FALSE)-150,VLOOKUP($B46,COSTOS!$A$2:$B1014,2,FALSE)),"No encontrado o error"))</f>
        <v>550</v>
      </c>
      <c r="AF46" s="329" t="s">
        <v>137</v>
      </c>
      <c r="AG46" s="148"/>
      <c r="AH46" s="116" t="str">
        <f>IF(OR(ISBLANK($B46),ISBLANK($AG46)),"",IFERROR(IF($AG46&lt;=DATE('ESTADO CONTABLE'!$B$2,11,5),VLOOKUP($B46,COSTOS!$A$2:$B1014,2,FALSE)-150,VLOOKUP($B46,COSTOS!$A$2:$B1014,2,FALSE)),"No encontrado o error"))</f>
        <v/>
      </c>
      <c r="AI46" s="331"/>
      <c r="AJ46" s="148"/>
      <c r="AK46" s="116" t="str">
        <f>IF(OR(ISBLANK($B46),ISBLANK($AJ46)),"",IFERROR(IF($AJ46&lt;=DATE('ESTADO CONTABLE'!$B$2,12,5),VLOOKUP($B46,COSTOS!$A$2:$B1014,2,FALSE)-150,VLOOKUP($B46,COSTOS!$A$2:$B1014,2,FALSE)),"No encontrado o error"))</f>
        <v/>
      </c>
      <c r="AL46" s="331"/>
      <c r="AM46" s="254"/>
      <c r="AN46" s="255"/>
      <c r="AO46" s="256"/>
    </row>
    <row r="47" ht="22.5" customHeight="1">
      <c r="A47" s="82" t="str">
        <f>'BASE DE DATOSS'!A46</f>
        <v>LUCIANA ANGEL MACIAS</v>
      </c>
      <c r="B47" s="83" t="str">
        <f>'BASE DE DATOSS'!C46</f>
        <v>KIDS 1</v>
      </c>
      <c r="C47" s="263" t="s">
        <v>226</v>
      </c>
      <c r="D47" s="249"/>
      <c r="E47" s="250"/>
      <c r="F47" s="251"/>
      <c r="G47" s="262"/>
      <c r="H47" s="257"/>
      <c r="I47" s="249"/>
      <c r="J47" s="193" t="str">
        <f>IF(OR(ISBLANK($B47),ISBLANK($I47)),"",IFERROR(IF($I47&lt;=DATE('ESTADO CONTABLE'!$B$2,3,5),VLOOKUP($B47,COSTOS!$A$2:$B1014,2,FALSE)-150,VLOOKUP($B47,COSTOS!$A$2:$B1014,2,FALSE)),"No encontrado o error"))</f>
        <v/>
      </c>
      <c r="K47" s="264"/>
      <c r="L47" s="249"/>
      <c r="M47" s="189"/>
      <c r="N47" s="264"/>
      <c r="O47" s="249"/>
      <c r="P47" s="250"/>
      <c r="Q47" s="264"/>
      <c r="R47" s="249"/>
      <c r="S47" s="250"/>
      <c r="T47" s="264"/>
      <c r="U47" s="249"/>
      <c r="V47" s="250"/>
      <c r="W47" s="264"/>
      <c r="X47" s="148">
        <v>46238.0</v>
      </c>
      <c r="Y47" s="116">
        <f>IF(OR(ISBLANK($B47),ISBLANK($X47)),"",IFERROR(IF($X47&lt;=DATE('ESTADO CONTABLE'!$B$2,8,5),VLOOKUP($B47,COSTOS!$A$2:$B1014,2,FALSE)-150,VLOOKUP($B47,COSTOS!$A$2:$B1014,2,FALSE)),"No encontrado o error"))</f>
        <v>950</v>
      </c>
      <c r="Z47" s="329" t="s">
        <v>137</v>
      </c>
      <c r="AA47" s="148">
        <v>46267.0</v>
      </c>
      <c r="AB47" s="118">
        <f>IF(OR(ISBLANK($B47),ISBLANK($AA47)),"",IFERROR(IF($AA47&lt;=DATE('ESTADO CONTABLE'!$B$2,9,5),VLOOKUP($B47,COSTOS!$A$2:$B1014,2,FALSE)-150,VLOOKUP($B47,COSTOS!$A$2:$B1014,2,FALSE)),"No encontrado o error"))</f>
        <v>950</v>
      </c>
      <c r="AC47" s="329" t="s">
        <v>137</v>
      </c>
      <c r="AD47" s="148">
        <v>46304.0</v>
      </c>
      <c r="AE47" s="116">
        <f>IF(OR(ISBLANK($B47),ISBLANK($AD47)),"",IFERROR(IF($AD47&lt;=DATE('ESTADO CONTABLE'!$B$2,10,5),VLOOKUP($B47,COSTOS!$A$2:$B1014,2,FALSE)-150,VLOOKUP($B47,COSTOS!$A$2:$B1014,2,FALSE)),"No encontrado o error"))</f>
        <v>1100</v>
      </c>
      <c r="AF47" s="329" t="s">
        <v>137</v>
      </c>
      <c r="AG47" s="148"/>
      <c r="AH47" s="116" t="str">
        <f>IF(OR(ISBLANK($B47),ISBLANK($AG47)),"",IFERROR(IF($AG47&lt;=DATE('ESTADO CONTABLE'!$B$2,11,5),VLOOKUP($B47,COSTOS!$A$2:$B1014,2,FALSE)-150,VLOOKUP($B47,COSTOS!$A$2:$B1014,2,FALSE)),"No encontrado o error"))</f>
        <v/>
      </c>
      <c r="AI47" s="331"/>
      <c r="AJ47" s="148"/>
      <c r="AK47" s="116" t="str">
        <f>IF(OR(ISBLANK($B47),ISBLANK($AJ47)),"",IFERROR(IF($AJ47&lt;=DATE('ESTADO CONTABLE'!$B$2,12,5),VLOOKUP($B47,COSTOS!$A$2:$B1014,2,FALSE)-150,VLOOKUP($B47,COSTOS!$A$2:$B1014,2,FALSE)),"No encontrado o error"))</f>
        <v/>
      </c>
      <c r="AL47" s="331"/>
      <c r="AM47" s="254"/>
      <c r="AN47" s="255"/>
      <c r="AO47" s="256"/>
    </row>
    <row r="48" ht="22.5" customHeight="1">
      <c r="A48" s="82" t="str">
        <f>'BASE DE DATOSS'!A47</f>
        <v>AITANA PADILLA VARGAS</v>
      </c>
      <c r="B48" s="83" t="str">
        <f>'BASE DE DATOSS'!C47</f>
        <v>JR 1</v>
      </c>
      <c r="C48" s="263" t="s">
        <v>226</v>
      </c>
      <c r="D48" s="249"/>
      <c r="E48" s="250"/>
      <c r="F48" s="251"/>
      <c r="G48" s="262"/>
      <c r="H48" s="257"/>
      <c r="I48" s="249"/>
      <c r="J48" s="193" t="str">
        <f>IF(OR(ISBLANK($B48),ISBLANK($I48)),"",IFERROR(IF($I48&lt;=DATE('ESTADO CONTABLE'!$B$2,3,5),VLOOKUP($B48,COSTOS!$A$2:$B1014,2,FALSE)-150,VLOOKUP($B48,COSTOS!$A$2:$B1014,2,FALSE)),"No encontrado o error"))</f>
        <v/>
      </c>
      <c r="K48" s="264"/>
      <c r="L48" s="249"/>
      <c r="M48" s="189"/>
      <c r="N48" s="264"/>
      <c r="O48" s="249"/>
      <c r="P48" s="250"/>
      <c r="Q48" s="264"/>
      <c r="R48" s="249"/>
      <c r="S48" s="250"/>
      <c r="T48" s="264"/>
      <c r="U48" s="249"/>
      <c r="V48" s="250"/>
      <c r="W48" s="264"/>
      <c r="X48" s="148">
        <v>46238.0</v>
      </c>
      <c r="Y48" s="116">
        <f>IF(OR(ISBLANK($B48),ISBLANK($X48)),"",IFERROR(IF($X48&lt;=DATE('ESTADO CONTABLE'!$B$2,8,5),VLOOKUP($B48,COSTOS!$A$2:$B1014,2,FALSE)-150,VLOOKUP($B48,COSTOS!$A$2:$B1014,2,FALSE)),"No encontrado o error"))</f>
        <v>950</v>
      </c>
      <c r="Z48" s="329" t="s">
        <v>128</v>
      </c>
      <c r="AA48" s="148">
        <v>46269.0</v>
      </c>
      <c r="AB48" s="118">
        <f>IF(OR(ISBLANK($B48),ISBLANK($AA48)),"",IFERROR(IF($AA48&lt;=DATE('ESTADO CONTABLE'!$B$2,9,5),VLOOKUP($B48,COSTOS!$A$2:$B1014,2,FALSE)-150,VLOOKUP($B48,COSTOS!$A$2:$B1014,2,FALSE)),"No encontrado o error"))</f>
        <v>950</v>
      </c>
      <c r="AC48" s="329" t="s">
        <v>128</v>
      </c>
      <c r="AD48" s="148">
        <v>46300.0</v>
      </c>
      <c r="AE48" s="116">
        <f>IF(OR(ISBLANK($B48),ISBLANK($AD48)),"",IFERROR(IF($AD48&lt;=DATE('ESTADO CONTABLE'!$B$2,10,5),VLOOKUP($B48,COSTOS!$A$2:$B1014,2,FALSE)-150,VLOOKUP($B48,COSTOS!$A$2:$B1014,2,FALSE)),"No encontrado o error"))</f>
        <v>950</v>
      </c>
      <c r="AF48" s="329" t="s">
        <v>128</v>
      </c>
      <c r="AG48" s="148"/>
      <c r="AH48" s="116" t="str">
        <f>IF(OR(ISBLANK($B48),ISBLANK($AG48)),"",IFERROR(IF($AG48&lt;=DATE('ESTADO CONTABLE'!$B$2,11,5),VLOOKUP($B48,COSTOS!$A$2:$B1014,2,FALSE)-150,VLOOKUP($B48,COSTOS!$A$2:$B1014,2,FALSE)),"No encontrado o error"))</f>
        <v/>
      </c>
      <c r="AI48" s="331"/>
      <c r="AJ48" s="148"/>
      <c r="AK48" s="116" t="str">
        <f>IF(OR(ISBLANK($B48),ISBLANK($AJ48)),"",IFERROR(IF($AJ48&lt;=DATE('ESTADO CONTABLE'!$B$2,12,5),VLOOKUP($B48,COSTOS!$A$2:$B1014,2,FALSE)-150,VLOOKUP($B48,COSTOS!$A$2:$B1014,2,FALSE)),"No encontrado o error"))</f>
        <v/>
      </c>
      <c r="AL48" s="331"/>
      <c r="AM48" s="254"/>
      <c r="AN48" s="255"/>
      <c r="AO48" s="256"/>
    </row>
    <row r="49" ht="22.5" hidden="1" customHeight="1">
      <c r="A49" s="205" t="s">
        <v>581</v>
      </c>
      <c r="B49" s="206" t="s">
        <v>69</v>
      </c>
      <c r="C49" s="263"/>
      <c r="D49" s="249"/>
      <c r="E49" s="250"/>
      <c r="F49" s="251"/>
      <c r="G49" s="262"/>
      <c r="H49" s="257"/>
      <c r="I49" s="249"/>
      <c r="J49" s="193" t="str">
        <f>IF(OR(ISBLANK($B49),ISBLANK($I49)),"",IFERROR(IF($I49&lt;=DATE('ESTADO CONTABLE'!$B$2,3,5),VLOOKUP($B49,COSTOS!$A$2:$B1014,2,FALSE)-150,VLOOKUP($B49,COSTOS!$A$2:$B1014,2,FALSE)),"No encontrado o error"))</f>
        <v/>
      </c>
      <c r="K49" s="264"/>
      <c r="L49" s="249"/>
      <c r="M49" s="189"/>
      <c r="N49" s="264"/>
      <c r="O49" s="249"/>
      <c r="P49" s="250"/>
      <c r="Q49" s="264"/>
      <c r="R49" s="249"/>
      <c r="S49" s="250"/>
      <c r="T49" s="264"/>
      <c r="U49" s="249"/>
      <c r="V49" s="250"/>
      <c r="W49" s="264"/>
      <c r="X49" s="148">
        <v>46239.0</v>
      </c>
      <c r="Y49" s="116">
        <f>IF(OR(ISBLANK($B49),ISBLANK($X49)),"",IFERROR(IF($X49&lt;=DATE('ESTADO CONTABLE'!$B$2,8,5),VLOOKUP($B49,COSTOS!$A$2:$B1014,2,FALSE)-150,VLOOKUP($B49,COSTOS!$A$2:$B1014,2,FALSE)),"No encontrado o error"))</f>
        <v>950</v>
      </c>
      <c r="Z49" s="329" t="s">
        <v>128</v>
      </c>
      <c r="AA49" s="148"/>
      <c r="AB49" s="118" t="str">
        <f>IF(OR(ISBLANK($B49),ISBLANK($AA49)),"",IFERROR(IF($AA49&lt;=DATE('ESTADO CONTABLE'!$B$2,9,5),VLOOKUP($B49,COSTOS!$A$2:$B1014,2,FALSE)-150,VLOOKUP($B49,COSTOS!$A$2:$B1014,2,FALSE)),"No encontrado o error"))</f>
        <v/>
      </c>
      <c r="AC49" s="331"/>
      <c r="AD49" s="148"/>
      <c r="AE49" s="116" t="str">
        <f>IF(OR(ISBLANK($B49),ISBLANK($AD49)),"",IFERROR(IF($AD49&lt;=DATE('ESTADO CONTABLE'!$B$2,10,5),VLOOKUP($B49,COSTOS!$A$2:$B1014,2,FALSE)-150,VLOOKUP($B49,COSTOS!$A$2:$B1014,2,FALSE)),"No encontrado o error"))</f>
        <v/>
      </c>
      <c r="AF49" s="331"/>
      <c r="AG49" s="148"/>
      <c r="AH49" s="116" t="str">
        <f>IF(OR(ISBLANK($B49),ISBLANK($AG49)),"",IFERROR(IF($AG49&lt;=DATE('ESTADO CONTABLE'!$B$2,11,5),VLOOKUP($B49,COSTOS!$A$2:$B1014,2,FALSE)-150,VLOOKUP($B49,COSTOS!$A$2:$B1014,2,FALSE)),"No encontrado o error"))</f>
        <v/>
      </c>
      <c r="AI49" s="331"/>
      <c r="AJ49" s="148"/>
      <c r="AK49" s="116" t="str">
        <f>IF(OR(ISBLANK($B49),ISBLANK($AJ49)),"",IFERROR(IF($AJ49&lt;=DATE('ESTADO CONTABLE'!$B$2,12,5),VLOOKUP($B49,COSTOS!$A$2:$B1014,2,FALSE)-150,VLOOKUP($B49,COSTOS!$A$2:$B1014,2,FALSE)),"No encontrado o error"))</f>
        <v/>
      </c>
      <c r="AL49" s="331"/>
      <c r="AM49" s="254"/>
      <c r="AN49" s="255"/>
      <c r="AO49" s="256"/>
    </row>
    <row r="50" ht="22.5" customHeight="1">
      <c r="A50" s="82" t="str">
        <f>'BASE DE DATOSS'!A48</f>
        <v>Sophie Dannae Estrada Solorzano </v>
      </c>
      <c r="B50" s="83" t="str">
        <f>'BASE DE DATOSS'!C48</f>
        <v>JR 1</v>
      </c>
      <c r="C50" s="263" t="s">
        <v>226</v>
      </c>
      <c r="D50" s="249"/>
      <c r="E50" s="250"/>
      <c r="F50" s="251"/>
      <c r="G50" s="262"/>
      <c r="H50" s="257"/>
      <c r="I50" s="249"/>
      <c r="J50" s="193" t="str">
        <f>IF(OR(ISBLANK($B50),ISBLANK($I50)),"",IFERROR(IF($I50&lt;=DATE('ESTADO CONTABLE'!$B$2,3,5),VLOOKUP($B50,COSTOS!$A$2:$B1014,2,FALSE)-150,VLOOKUP($B50,COSTOS!$A$2:$B1014,2,FALSE)),"No encontrado o error"))</f>
        <v/>
      </c>
      <c r="K50" s="264"/>
      <c r="L50" s="249"/>
      <c r="M50" s="189"/>
      <c r="N50" s="264"/>
      <c r="O50" s="249"/>
      <c r="P50" s="250"/>
      <c r="Q50" s="264"/>
      <c r="R50" s="249"/>
      <c r="S50" s="250"/>
      <c r="T50" s="264"/>
      <c r="U50" s="249"/>
      <c r="V50" s="250"/>
      <c r="W50" s="264"/>
      <c r="X50" s="148">
        <v>46244.0</v>
      </c>
      <c r="Y50" s="116">
        <f>IF(OR(ISBLANK($B50),ISBLANK($X50)),"",IFERROR(IF($X50&lt;=DATE('ESTADO CONTABLE'!$B$2,8,5),VLOOKUP($B50,COSTOS!$A$2:$B1014,2,FALSE)-150,VLOOKUP($B50,COSTOS!$A$2:$B1014,2,FALSE)),"No encontrado o error"))</f>
        <v>1100</v>
      </c>
      <c r="Z50" s="329" t="s">
        <v>128</v>
      </c>
      <c r="AA50" s="148">
        <v>46265.0</v>
      </c>
      <c r="AB50" s="118">
        <f>IF(OR(ISBLANK($B50),ISBLANK($AA50)),"",IFERROR(IF($AA50&lt;=DATE('ESTADO CONTABLE'!$B$2,9,5),VLOOKUP($B50,COSTOS!$A$2:$B1014,2,FALSE)-150,VLOOKUP($B50,COSTOS!$A$2:$B1014,2,FALSE)),"No encontrado o error"))</f>
        <v>950</v>
      </c>
      <c r="AC50" s="329" t="s">
        <v>128</v>
      </c>
      <c r="AD50" s="148">
        <v>46300.0</v>
      </c>
      <c r="AE50" s="116">
        <f>IF(OR(ISBLANK($B50),ISBLANK($AD50)),"",IFERROR(IF($AD50&lt;=DATE('ESTADO CONTABLE'!$B$2,10,5),VLOOKUP($B50,COSTOS!$A$2:$B1014,2,FALSE)-150,VLOOKUP($B50,COSTOS!$A$2:$B1014,2,FALSE)),"No encontrado o error"))</f>
        <v>950</v>
      </c>
      <c r="AF50" s="329" t="s">
        <v>128</v>
      </c>
      <c r="AG50" s="148"/>
      <c r="AH50" s="116" t="str">
        <f>IF(OR(ISBLANK($B50),ISBLANK($AG50)),"",IFERROR(IF($AG50&lt;=DATE('ESTADO CONTABLE'!$B$2,11,5),VLOOKUP($B50,COSTOS!$A$2:$B1014,2,FALSE)-150,VLOOKUP($B50,COSTOS!$A$2:$B1014,2,FALSE)),"No encontrado o error"))</f>
        <v/>
      </c>
      <c r="AI50" s="331"/>
      <c r="AJ50" s="148"/>
      <c r="AK50" s="116" t="str">
        <f>IF(OR(ISBLANK($B50),ISBLANK($AJ50)),"",IFERROR(IF($AJ50&lt;=DATE('ESTADO CONTABLE'!$B$2,12,5),VLOOKUP($B50,COSTOS!$A$2:$B1014,2,FALSE)-150,VLOOKUP($B50,COSTOS!$A$2:$B1014,2,FALSE)),"No encontrado o error"))</f>
        <v/>
      </c>
      <c r="AL50" s="331"/>
      <c r="AM50" s="254"/>
      <c r="AN50" s="255"/>
      <c r="AO50" s="256"/>
    </row>
    <row r="51" ht="22.5" customHeight="1">
      <c r="A51" s="82" t="str">
        <f>'BASE DE DATOSS'!A49</f>
        <v>ITZIA AQUETZALLI CERVANTES OLIVO</v>
      </c>
      <c r="B51" s="83" t="str">
        <f>'BASE DE DATOSS'!C49</f>
        <v>KIDS 1</v>
      </c>
      <c r="C51" s="263" t="s">
        <v>226</v>
      </c>
      <c r="D51" s="249"/>
      <c r="E51" s="250"/>
      <c r="F51" s="251"/>
      <c r="G51" s="262"/>
      <c r="H51" s="257"/>
      <c r="I51" s="249"/>
      <c r="J51" s="193" t="str">
        <f>IF(OR(ISBLANK($B51),ISBLANK($I51)),"",IFERROR(IF($I51&lt;=DATE('ESTADO CONTABLE'!$B$2,3,5),VLOOKUP($B51,COSTOS!$A$2:$B1014,2,FALSE)-150,VLOOKUP($B51,COSTOS!$A$2:$B1014,2,FALSE)),"No encontrado o error"))</f>
        <v/>
      </c>
      <c r="K51" s="264"/>
      <c r="L51" s="249"/>
      <c r="M51" s="189"/>
      <c r="N51" s="264"/>
      <c r="O51" s="249"/>
      <c r="P51" s="250"/>
      <c r="Q51" s="264"/>
      <c r="R51" s="249"/>
      <c r="S51" s="250"/>
      <c r="T51" s="264"/>
      <c r="U51" s="249"/>
      <c r="V51" s="250"/>
      <c r="W51" s="264"/>
      <c r="X51" s="367">
        <v>46244.0</v>
      </c>
      <c r="Y51" s="116">
        <f>IF(OR(ISBLANK($B51),ISBLANK($X51)),"",IFERROR(IF($X51&lt;=DATE('ESTADO CONTABLE'!$B$2,8,5),VLOOKUP($B51,COSTOS!$A$2:$B1014,2,FALSE)-150,VLOOKUP($B51,COSTOS!$A$2:$B1014,2,FALSE)),"No encontrado o error"))</f>
        <v>1100</v>
      </c>
      <c r="Z51" s="329" t="s">
        <v>292</v>
      </c>
      <c r="AA51" s="367"/>
      <c r="AB51" s="118" t="str">
        <f>IF(OR(ISBLANK($B51),ISBLANK($AA51)),"",IFERROR(IF($AA51&lt;=DATE('ESTADO CONTABLE'!$B$2,9,5),VLOOKUP($B51,COSTOS!$A$2:$B1014,2,FALSE)-150,VLOOKUP($B51,COSTOS!$A$2:$B1014,2,FALSE)),"No encontrado o error"))</f>
        <v/>
      </c>
      <c r="AC51" s="331"/>
      <c r="AD51" s="367">
        <v>46286.0</v>
      </c>
      <c r="AE51" s="116">
        <f>IF(OR(ISBLANK($B51),ISBLANK($AD51)),"",IFERROR(IF($AD51&lt;=DATE('ESTADO CONTABLE'!$B$2,10,5),VLOOKUP($B51,COSTOS!$A$2:$B1014,2,FALSE)-150,VLOOKUP($B51,COSTOS!$A$2:$B1014,2,FALSE)),"No encontrado o error"))</f>
        <v>950</v>
      </c>
      <c r="AF51" s="329" t="s">
        <v>128</v>
      </c>
      <c r="AG51" s="367"/>
      <c r="AH51" s="116" t="str">
        <f>IF(OR(ISBLANK($B51),ISBLANK($AG51)),"",IFERROR(IF($AG51&lt;=DATE('ESTADO CONTABLE'!$B$2,11,5),VLOOKUP($B51,COSTOS!$A$2:$B1014,2,FALSE)-150,VLOOKUP($B51,COSTOS!$A$2:$B1014,2,FALSE)),"No encontrado o error"))</f>
        <v/>
      </c>
      <c r="AI51" s="331"/>
      <c r="AJ51" s="367"/>
      <c r="AK51" s="116" t="str">
        <f>IF(OR(ISBLANK($B51),ISBLANK($AJ51)),"",IFERROR(IF($AJ51&lt;=DATE('ESTADO CONTABLE'!$B$2,12,5),VLOOKUP($B51,COSTOS!$A$2:$B1014,2,FALSE)-150,VLOOKUP($B51,COSTOS!$A$2:$B1014,2,FALSE)),"No encontrado o error"))</f>
        <v/>
      </c>
      <c r="AL51" s="331"/>
      <c r="AM51" s="254"/>
      <c r="AN51" s="255"/>
      <c r="AO51" s="256"/>
    </row>
    <row r="52" ht="22.5" customHeight="1">
      <c r="A52" s="82" t="str">
        <f>'BASE DE DATOSS'!A50</f>
        <v>MARIA JOSE MORENO OLIVERA</v>
      </c>
      <c r="B52" s="83" t="str">
        <f>'BASE DE DATOSS'!C50</f>
        <v>JR 2</v>
      </c>
      <c r="C52" s="263" t="s">
        <v>226</v>
      </c>
      <c r="D52" s="249"/>
      <c r="E52" s="250"/>
      <c r="F52" s="251"/>
      <c r="G52" s="262"/>
      <c r="H52" s="257"/>
      <c r="I52" s="249"/>
      <c r="J52" s="193" t="str">
        <f>IF(OR(ISBLANK($B52),ISBLANK($I52)),"",IFERROR(IF($I52&lt;=DATE('ESTADO CONTABLE'!$B$2,3,5),VLOOKUP($B52,COSTOS!$A$2:$B1014,2,FALSE)-150,VLOOKUP($B52,COSTOS!$A$2:$B1014,2,FALSE)),"No encontrado o error"))</f>
        <v/>
      </c>
      <c r="K52" s="264"/>
      <c r="L52" s="249"/>
      <c r="M52" s="189"/>
      <c r="N52" s="264"/>
      <c r="O52" s="249"/>
      <c r="P52" s="250"/>
      <c r="Q52" s="264"/>
      <c r="R52" s="249"/>
      <c r="S52" s="250"/>
      <c r="T52" s="264"/>
      <c r="U52" s="249"/>
      <c r="V52" s="250"/>
      <c r="W52" s="264"/>
      <c r="X52" s="367">
        <v>46239.0</v>
      </c>
      <c r="Y52" s="116">
        <f>IF(OR(ISBLANK($B52),ISBLANK($X52)),"",IFERROR(IF($X52&lt;=DATE('ESTADO CONTABLE'!$B$2,8,5),VLOOKUP($B52,COSTOS!$A$2:$B1014,2,FALSE)-150,VLOOKUP($B52,COSTOS!$A$2:$B1014,2,FALSE)),"No encontrado o error"))</f>
        <v>800</v>
      </c>
      <c r="Z52" s="329" t="s">
        <v>137</v>
      </c>
      <c r="AA52" s="367">
        <v>46265.0</v>
      </c>
      <c r="AB52" s="118">
        <f>IF(OR(ISBLANK($B52),ISBLANK($AA52)),"",IFERROR(IF($AA52&lt;=DATE('ESTADO CONTABLE'!$B$2,9,5),VLOOKUP($B52,COSTOS!$A$2:$B1014,2,FALSE)-150,VLOOKUP($B52,COSTOS!$A$2:$B1014,2,FALSE)),"No encontrado o error"))</f>
        <v>800</v>
      </c>
      <c r="AC52" s="329" t="s">
        <v>128</v>
      </c>
      <c r="AD52" s="367">
        <v>46300.0</v>
      </c>
      <c r="AE52" s="116">
        <f>IF(OR(ISBLANK($B52),ISBLANK($AD52)),"",IFERROR(IF($AD52&lt;=DATE('ESTADO CONTABLE'!$B$2,10,5),VLOOKUP($B52,COSTOS!$A$2:$B1014,2,FALSE)-150,VLOOKUP($B52,COSTOS!$A$2:$B1014,2,FALSE)),"No encontrado o error"))</f>
        <v>800</v>
      </c>
      <c r="AF52" s="329" t="s">
        <v>128</v>
      </c>
      <c r="AG52" s="367"/>
      <c r="AH52" s="116" t="str">
        <f>IF(OR(ISBLANK($B52),ISBLANK($AG52)),"",IFERROR(IF($AG52&lt;=DATE('ESTADO CONTABLE'!$B$2,11,5),VLOOKUP($B52,COSTOS!$A$2:$B1014,2,FALSE)-150,VLOOKUP($B52,COSTOS!$A$2:$B1014,2,FALSE)),"No encontrado o error"))</f>
        <v/>
      </c>
      <c r="AI52" s="331"/>
      <c r="AJ52" s="367"/>
      <c r="AK52" s="116" t="str">
        <f>IF(OR(ISBLANK($B52),ISBLANK($AJ52)),"",IFERROR(IF($AJ52&lt;=DATE('ESTADO CONTABLE'!$B$2,12,5),VLOOKUP($B52,COSTOS!$A$2:$B1014,2,FALSE)-150,VLOOKUP($B52,COSTOS!$A$2:$B1014,2,FALSE)),"No encontrado o error"))</f>
        <v/>
      </c>
      <c r="AL52" s="331"/>
      <c r="AM52" s="254"/>
      <c r="AN52" s="255"/>
      <c r="AO52" s="256"/>
    </row>
    <row r="53" ht="22.5" customHeight="1">
      <c r="A53" s="82" t="str">
        <f>'BASE DE DATOSS'!A51</f>
        <v>ANNA LUCIA GAITAN VILLALOBOS</v>
      </c>
      <c r="B53" s="83" t="str">
        <f>'BASE DE DATOSS'!C51</f>
        <v>KIDS 1</v>
      </c>
      <c r="C53" s="263" t="s">
        <v>226</v>
      </c>
      <c r="D53" s="249"/>
      <c r="E53" s="250"/>
      <c r="F53" s="251"/>
      <c r="G53" s="262"/>
      <c r="H53" s="257"/>
      <c r="I53" s="249"/>
      <c r="J53" s="193" t="str">
        <f>IF(OR(ISBLANK($B53),ISBLANK($I53)),"",IFERROR(IF($I53&lt;=DATE('ESTADO CONTABLE'!$B$2,3,5),VLOOKUP($B53,COSTOS!$A$2:$B1014,2,FALSE)-150,VLOOKUP($B53,COSTOS!$A$2:$B1014,2,FALSE)),"No encontrado o error"))</f>
        <v/>
      </c>
      <c r="K53" s="264"/>
      <c r="L53" s="249"/>
      <c r="M53" s="189"/>
      <c r="N53" s="264"/>
      <c r="O53" s="249"/>
      <c r="P53" s="250"/>
      <c r="Q53" s="264"/>
      <c r="R53" s="249"/>
      <c r="S53" s="250"/>
      <c r="T53" s="264"/>
      <c r="U53" s="249"/>
      <c r="V53" s="250"/>
      <c r="W53" s="264"/>
      <c r="X53" s="394"/>
      <c r="Y53" s="116" t="str">
        <f>IF(OR(ISBLANK($B53),ISBLANK($X53)),"",IFERROR(IF($X53&lt;=DATE('ESTADO CONTABLE'!$B$2,8,5),VLOOKUP($B53,COSTOS!$A$2:$B1014,2,FALSE)-150,VLOOKUP($B53,COSTOS!$A$2:$B1014,2,FALSE)),"No encontrado o error"))</f>
        <v/>
      </c>
      <c r="Z53" s="395"/>
      <c r="AA53" s="367">
        <v>46258.0</v>
      </c>
      <c r="AB53" s="118">
        <f>IF(OR(ISBLANK($B53),ISBLANK($AA53)),"",IFERROR(IF($AA53&lt;=DATE('ESTADO CONTABLE'!$B$2,9,5),VLOOKUP($B53,COSTOS!$A$2:$B1014,2,FALSE)-150,VLOOKUP($B53,COSTOS!$A$2:$B1014,2,FALSE)),"No encontrado o error"))</f>
        <v>950</v>
      </c>
      <c r="AC53" s="329" t="s">
        <v>137</v>
      </c>
      <c r="AD53" s="367">
        <v>46317.0</v>
      </c>
      <c r="AE53" s="178">
        <v>1100.0</v>
      </c>
      <c r="AF53" s="331" t="s">
        <v>137</v>
      </c>
      <c r="AG53" s="394"/>
      <c r="AH53" s="116" t="str">
        <f>IF(OR(ISBLANK($B53),ISBLANK($AG53)),"",IFERROR(IF($AG53&lt;=DATE('ESTADO CONTABLE'!$B$2,11,5),VLOOKUP($B53,COSTOS!$A$2:$B1014,2,FALSE)-150,VLOOKUP($B53,COSTOS!$A$2:$B1014,2,FALSE)),"No encontrado o error"))</f>
        <v/>
      </c>
      <c r="AI53" s="395"/>
      <c r="AJ53" s="394"/>
      <c r="AK53" s="116" t="str">
        <f>IF(OR(ISBLANK($B53),ISBLANK($AJ53)),"",IFERROR(IF($AJ53&lt;=DATE('ESTADO CONTABLE'!$B$2,12,5),VLOOKUP($B53,COSTOS!$A$2:$B1014,2,FALSE)-150,VLOOKUP($B53,COSTOS!$A$2:$B1014,2,FALSE)),"No encontrado o error"))</f>
        <v/>
      </c>
      <c r="AL53" s="395"/>
      <c r="AM53" s="254"/>
      <c r="AN53" s="255"/>
      <c r="AO53" s="256"/>
    </row>
    <row r="54" ht="22.5" customHeight="1">
      <c r="A54" s="82" t="str">
        <f>'BASE DE DATOSS'!A52</f>
        <v>MELANY MILAGROS NINO</v>
      </c>
      <c r="B54" s="83" t="str">
        <f>'BASE DE DATOSS'!C52</f>
        <v>ADULTS 2</v>
      </c>
      <c r="C54" s="263"/>
      <c r="D54" s="249"/>
      <c r="E54" s="250"/>
      <c r="F54" s="251"/>
      <c r="G54" s="262"/>
      <c r="H54" s="257"/>
      <c r="I54" s="249"/>
      <c r="J54" s="193" t="str">
        <f>IF(OR(ISBLANK($B54),ISBLANK($I54)),"",IFERROR(IF($I54&lt;=DATE('ESTADO CONTABLE'!$B$2,3,5),VLOOKUP($B54,COSTOS!$A$2:$B1014,2,FALSE)-150,VLOOKUP($B54,COSTOS!$A$2:$B1014,2,FALSE)),"No encontrado o error"))</f>
        <v/>
      </c>
      <c r="K54" s="264"/>
      <c r="L54" s="249"/>
      <c r="M54" s="189"/>
      <c r="N54" s="264"/>
      <c r="O54" s="249"/>
      <c r="P54" s="250"/>
      <c r="Q54" s="264"/>
      <c r="R54" s="249"/>
      <c r="S54" s="250"/>
      <c r="T54" s="264"/>
      <c r="U54" s="249"/>
      <c r="V54" s="250"/>
      <c r="W54" s="264"/>
      <c r="X54" s="394"/>
      <c r="Y54" s="116" t="str">
        <f>IF(OR(ISBLANK($B54),ISBLANK($X54)),"",IFERROR(IF($X54&lt;=DATE('ESTADO CONTABLE'!$B$2,8,5),VLOOKUP($B54,COSTOS!$A$2:$B1014,2,FALSE)-150,VLOOKUP($B54,COSTOS!$A$2:$B1014,2,FALSE)),"No encontrado o error"))</f>
        <v/>
      </c>
      <c r="Z54" s="395"/>
      <c r="AA54" s="367"/>
      <c r="AB54" s="118">
        <f>IF(SUMIFS('ABONOS MENSUALIDADES'!$F$5:$F$500,'ABONOS MENSUALIDADES'!$C$5:$C$500,$A54,'ABONOS MENSUALIDADES'!$D$5:$D$500,DATE('ESTADO CONTABLE'!$B$2,9,1))&gt;0,SUMIFS('ABONOS MENSUALIDADES'!$F$5:$F$500,'ABONOS MENSUALIDADES'!$C$5:$C$500,$A54,'ABONOS MENSUALIDADES'!$D$5:$D$500,DATE('ESTADO CONTABLE'!$B$2,9,1)),IF(OR(ISBLANK($B54),ISBLANK($AA54)),"",IFERROR(IF($AA54&lt;=DATE('ESTADO CONTABLE'!$B$2,9,5),VLOOKUP($B54,COSTOS!$A$2:$B1014,2,FALSE)-150,VLOOKUP($B54,COSTOS!$A$2:$B1014,2,FALSE)),"No encontrado o error")))</f>
        <v>950</v>
      </c>
      <c r="AC54" s="329" t="s">
        <v>137</v>
      </c>
      <c r="AD54" s="367">
        <v>46300.0</v>
      </c>
      <c r="AE54" s="116">
        <f>IF(OR(ISBLANK($B54),ISBLANK($AD54)),"",IFERROR(IF($AD54&lt;=DATE('ESTADO CONTABLE'!$B$2,10,5),VLOOKUP($B54,COSTOS!$A$2:$B1014,2,FALSE)-150,VLOOKUP($B54,COSTOS!$A$2:$B1014,2,FALSE)),"No encontrado o error"))</f>
        <v>950</v>
      </c>
      <c r="AF54" s="329" t="s">
        <v>128</v>
      </c>
      <c r="AG54" s="394"/>
      <c r="AH54" s="116" t="str">
        <f>IF(OR(ISBLANK($B54),ISBLANK($AG54)),"",IFERROR(IF($AG54&lt;=DATE('ESTADO CONTABLE'!$B$2,11,5),VLOOKUP($B54,COSTOS!$A$2:$B1014,2,FALSE)-150,VLOOKUP($B54,COSTOS!$A$2:$B1014,2,FALSE)),"No encontrado o error"))</f>
        <v/>
      </c>
      <c r="AI54" s="395"/>
      <c r="AJ54" s="394"/>
      <c r="AK54" s="116" t="str">
        <f>IF(OR(ISBLANK($B54),ISBLANK($AJ54)),"",IFERROR(IF($AJ54&lt;=DATE('ESTADO CONTABLE'!$B$2,12,5),VLOOKUP($B54,COSTOS!$A$2:$B1014,2,FALSE)-150,VLOOKUP($B54,COSTOS!$A$2:$B1014,2,FALSE)),"No encontrado o error"))</f>
        <v/>
      </c>
      <c r="AL54" s="395"/>
      <c r="AM54" s="254"/>
      <c r="AN54" s="255"/>
      <c r="AO54" s="256"/>
    </row>
    <row r="55" ht="22.5" customHeight="1">
      <c r="A55" s="82" t="str">
        <f>'BASE DE DATOSS'!A53</f>
        <v>PAOLA ARIANA CONTRERAS SUAREZ</v>
      </c>
      <c r="B55" s="83" t="str">
        <f>'BASE DE DATOSS'!C53</f>
        <v>MATUTINO</v>
      </c>
      <c r="C55" s="263"/>
      <c r="D55" s="249"/>
      <c r="E55" s="250"/>
      <c r="F55" s="251"/>
      <c r="G55" s="262"/>
      <c r="H55" s="257"/>
      <c r="I55" s="249"/>
      <c r="J55" s="193" t="str">
        <f>IF(OR(ISBLANK($B55),ISBLANK($I55)),"",IFERROR(IF($I55&lt;=DATE('ESTADO CONTABLE'!$B$2,3,5),VLOOKUP($B55,COSTOS!$A$2:$B1014,2,FALSE)-150,VLOOKUP($B55,COSTOS!$A$2:$B1014,2,FALSE)),"No encontrado o error"))</f>
        <v/>
      </c>
      <c r="K55" s="264"/>
      <c r="L55" s="249"/>
      <c r="M55" s="189"/>
      <c r="N55" s="264"/>
      <c r="O55" s="249"/>
      <c r="P55" s="250"/>
      <c r="Q55" s="264"/>
      <c r="R55" s="249"/>
      <c r="S55" s="250"/>
      <c r="T55" s="264"/>
      <c r="U55" s="249"/>
      <c r="V55" s="250"/>
      <c r="W55" s="264"/>
      <c r="X55" s="394"/>
      <c r="Y55" s="116" t="str">
        <f>IF(OR(ISBLANK($B55),ISBLANK($X55)),"",IFERROR(IF($X55&lt;=DATE('ESTADO CONTABLE'!$B$2,8,5),VLOOKUP($B55,COSTOS!$A$2:$B1014,2,FALSE)-150,VLOOKUP($B55,COSTOS!$A$2:$B1014,2,FALSE)),"No encontrado o error"))</f>
        <v/>
      </c>
      <c r="Z55" s="395"/>
      <c r="AA55" s="367">
        <v>46259.0</v>
      </c>
      <c r="AB55" s="118">
        <f>IF(OR(ISBLANK($B55),ISBLANK($AA55)),"",IFERROR(IF($AA55&lt;=DATE('ESTADO CONTABLE'!$B$2,9,5),VLOOKUP($B55,COSTOS!$A$2:$B1014,2,FALSE)-150,VLOOKUP($B55,COSTOS!$A$2:$B1014,2,FALSE)),"No encontrado o error"))</f>
        <v>950</v>
      </c>
      <c r="AC55" s="329" t="s">
        <v>128</v>
      </c>
      <c r="AD55" s="367">
        <v>46298.0</v>
      </c>
      <c r="AE55" s="116">
        <f>IF(OR(ISBLANK($B55),ISBLANK($AD55)),"",IFERROR(IF($AD55&lt;=DATE('ESTADO CONTABLE'!$B$2,10,5),VLOOKUP($B55,COSTOS!$A$2:$B1014,2,FALSE)-150,VLOOKUP($B55,COSTOS!$A$2:$B1014,2,FALSE)),"No encontrado o error"))</f>
        <v>950</v>
      </c>
      <c r="AF55" s="329" t="s">
        <v>128</v>
      </c>
      <c r="AG55" s="394"/>
      <c r="AH55" s="116" t="str">
        <f>IF(OR(ISBLANK($B55),ISBLANK($AG55)),"",IFERROR(IF($AG55&lt;=DATE('ESTADO CONTABLE'!$B$2,11,5),VLOOKUP($B55,COSTOS!$A$2:$B1014,2,FALSE)-150,VLOOKUP($B55,COSTOS!$A$2:$B1014,2,FALSE)),"No encontrado o error"))</f>
        <v/>
      </c>
      <c r="AI55" s="395"/>
      <c r="AJ55" s="394"/>
      <c r="AK55" s="116" t="str">
        <f>IF(OR(ISBLANK($B55),ISBLANK($AJ55)),"",IFERROR(IF($AJ55&lt;=DATE('ESTADO CONTABLE'!$B$2,12,5),VLOOKUP($B55,COSTOS!$A$2:$B1014,2,FALSE)-150,VLOOKUP($B55,COSTOS!$A$2:$B1014,2,FALSE)),"No encontrado o error"))</f>
        <v/>
      </c>
      <c r="AL55" s="395"/>
      <c r="AM55" s="254"/>
      <c r="AN55" s="255"/>
      <c r="AO55" s="256"/>
    </row>
    <row r="56" ht="22.5" customHeight="1">
      <c r="A56" s="82" t="str">
        <f>'BASE DE DATOSS'!A54</f>
        <v>ISABELA CASTAÑEDA BALTAZAR </v>
      </c>
      <c r="B56" s="83" t="str">
        <f>'BASE DE DATOSS'!C54</f>
        <v>MATUTINO</v>
      </c>
      <c r="C56" s="263"/>
      <c r="D56" s="249"/>
      <c r="E56" s="250"/>
      <c r="F56" s="251"/>
      <c r="G56" s="262"/>
      <c r="H56" s="257"/>
      <c r="I56" s="249"/>
      <c r="J56" s="193" t="str">
        <f>IF(OR(ISBLANK($B56),ISBLANK($I56)),"",IFERROR(IF($I56&lt;=DATE('ESTADO CONTABLE'!$B$2,3,5),VLOOKUP($B56,COSTOS!$A$2:$B1014,2,FALSE)-150,VLOOKUP($B56,COSTOS!$A$2:$B1014,2,FALSE)),"No encontrado o error"))</f>
        <v/>
      </c>
      <c r="K56" s="264"/>
      <c r="L56" s="249"/>
      <c r="M56" s="189"/>
      <c r="N56" s="264"/>
      <c r="O56" s="249"/>
      <c r="P56" s="250"/>
      <c r="Q56" s="264"/>
      <c r="R56" s="249"/>
      <c r="S56" s="250"/>
      <c r="T56" s="264"/>
      <c r="U56" s="249"/>
      <c r="V56" s="250"/>
      <c r="W56" s="264"/>
      <c r="X56" s="394"/>
      <c r="Y56" s="116" t="str">
        <f>IF(OR(ISBLANK($B56),ISBLANK($X56)),"",IFERROR(IF($X56&lt;=DATE('ESTADO CONTABLE'!$B$2,8,5),VLOOKUP($B56,COSTOS!$A$2:$B1014,2,FALSE)-150,VLOOKUP($B56,COSTOS!$A$2:$B1014,2,FALSE)),"No encontrado o error"))</f>
        <v/>
      </c>
      <c r="Z56" s="395"/>
      <c r="AA56" s="367">
        <v>46259.0</v>
      </c>
      <c r="AB56" s="118">
        <f>IF(OR(ISBLANK($B56),ISBLANK($AA56)),"",IFERROR(IF($AA56&lt;=DATE('ESTADO CONTABLE'!$B$2,9,5),VLOOKUP($B56,COSTOS!$A$2:$B1014,2,FALSE)-150,VLOOKUP($B56,COSTOS!$A$2:$B1014,2,FALSE)),"No encontrado o error"))</f>
        <v>950</v>
      </c>
      <c r="AC56" s="329" t="s">
        <v>292</v>
      </c>
      <c r="AD56" s="367">
        <v>46303.0</v>
      </c>
      <c r="AE56" s="178">
        <v>1100.0</v>
      </c>
      <c r="AF56" s="331" t="s">
        <v>292</v>
      </c>
      <c r="AG56" s="394"/>
      <c r="AH56" s="116" t="str">
        <f>IF(OR(ISBLANK($B56),ISBLANK($AG56)),"",IFERROR(IF($AG56&lt;=DATE('ESTADO CONTABLE'!$B$2,11,5),VLOOKUP($B56,COSTOS!$A$2:$B1014,2,FALSE)-150,VLOOKUP($B56,COSTOS!$A$2:$B1014,2,FALSE)),"No encontrado o error"))</f>
        <v/>
      </c>
      <c r="AI56" s="395"/>
      <c r="AJ56" s="394"/>
      <c r="AK56" s="116" t="str">
        <f>IF(OR(ISBLANK($B56),ISBLANK($AJ56)),"",IFERROR(IF($AJ56&lt;=DATE('ESTADO CONTABLE'!$B$2,12,5),VLOOKUP($B56,COSTOS!$A$2:$B1014,2,FALSE)-150,VLOOKUP($B56,COSTOS!$A$2:$B1014,2,FALSE)),"No encontrado o error"))</f>
        <v/>
      </c>
      <c r="AL56" s="395"/>
      <c r="AM56" s="254"/>
      <c r="AN56" s="255"/>
      <c r="AO56" s="256"/>
    </row>
    <row r="57" ht="22.5" customHeight="1">
      <c r="A57" s="82" t="str">
        <f>'BASE DE DATOSS'!A55</f>
        <v>REBECA ESCOBAR CEBALLOS</v>
      </c>
      <c r="B57" s="83" t="str">
        <f>'BASE DE DATOSS'!C55</f>
        <v>KIDS 2</v>
      </c>
      <c r="C57" s="263" t="s">
        <v>435</v>
      </c>
      <c r="D57" s="249"/>
      <c r="E57" s="250"/>
      <c r="F57" s="251"/>
      <c r="G57" s="262"/>
      <c r="H57" s="257"/>
      <c r="I57" s="249"/>
      <c r="J57" s="193" t="str">
        <f>IF(OR(ISBLANK($B57),ISBLANK($I57)),"",IFERROR(IF($I57&lt;=DATE('ESTADO CONTABLE'!$B$2,3,5),VLOOKUP($B57,COSTOS!$A$2:$B1014,2,FALSE)-150,VLOOKUP($B57,COSTOS!$A$2:$B1014,2,FALSE)),"No encontrado o error"))</f>
        <v/>
      </c>
      <c r="K57" s="264"/>
      <c r="L57" s="249"/>
      <c r="M57" s="189"/>
      <c r="N57" s="264"/>
      <c r="O57" s="249"/>
      <c r="P57" s="250"/>
      <c r="Q57" s="264"/>
      <c r="R57" s="249"/>
      <c r="S57" s="250"/>
      <c r="T57" s="264"/>
      <c r="U57" s="249"/>
      <c r="V57" s="250"/>
      <c r="W57" s="264"/>
      <c r="X57" s="367"/>
      <c r="Y57" s="116" t="str">
        <f>IF(OR(ISBLANK($B57),ISBLANK($X57)),"",IFERROR(IF($X57&lt;=DATE('ESTADO CONTABLE'!$B$2,8,5),VLOOKUP($B57,COSTOS!$A$2:$B1014,2,FALSE)-150,VLOOKUP($B57,COSTOS!$A$2:$B1014,2,FALSE)),"No encontrado o error"))</f>
        <v/>
      </c>
      <c r="Z57" s="329"/>
      <c r="AA57" s="367">
        <v>46261.0</v>
      </c>
      <c r="AB57" s="118">
        <f>IF(OR(ISBLANK($B57),ISBLANK($AA57)),"",IFERROR(IF($AA57&lt;=DATE('ESTADO CONTABLE'!$B$2,9,5),VLOOKUP($B57,COSTOS!$A$2:$B1014,2,FALSE)-150,VLOOKUP($B57,COSTOS!$A$2:$B1014,2,FALSE)),"No encontrado o error"))</f>
        <v>800</v>
      </c>
      <c r="AC57" s="329" t="s">
        <v>137</v>
      </c>
      <c r="AD57" s="367">
        <v>46296.0</v>
      </c>
      <c r="AE57" s="116">
        <f>IF(OR(ISBLANK($B57),ISBLANK($AD57)),"",IFERROR(IF($AD57&lt;=DATE('ESTADO CONTABLE'!$B$2,10,5),VLOOKUP($B57,COSTOS!$A$2:$B1014,2,FALSE)-150,VLOOKUP($B57,COSTOS!$A$2:$B1014,2,FALSE)),"No encontrado o error"))</f>
        <v>800</v>
      </c>
      <c r="AF57" s="329" t="s">
        <v>137</v>
      </c>
      <c r="AG57" s="367"/>
      <c r="AH57" s="116" t="str">
        <f>IF(OR(ISBLANK($B57),ISBLANK($AG57)),"",IFERROR(IF($AG57&lt;=DATE('ESTADO CONTABLE'!$B$2,11,5),VLOOKUP($B57,COSTOS!$A$2:$B1014,2,FALSE)-150,VLOOKUP($B57,COSTOS!$A$2:$B1014,2,FALSE)),"No encontrado o error"))</f>
        <v/>
      </c>
      <c r="AI57" s="331"/>
      <c r="AJ57" s="367"/>
      <c r="AK57" s="116" t="str">
        <f>IF(OR(ISBLANK($B57),ISBLANK($AJ57)),"",IFERROR(IF($AJ57&lt;=DATE('ESTADO CONTABLE'!$B$2,12,5),VLOOKUP($B57,COSTOS!$A$2:$B1014,2,FALSE)-150,VLOOKUP($B57,COSTOS!$A$2:$B1014,2,FALSE)),"No encontrado o error"))</f>
        <v/>
      </c>
      <c r="AL57" s="331"/>
      <c r="AM57" s="254"/>
      <c r="AN57" s="255"/>
      <c r="AO57" s="256"/>
    </row>
    <row r="58" ht="22.5" customHeight="1">
      <c r="A58" s="82" t="str">
        <f>'BASE DE DATOSS'!A56</f>
        <v>RUTH GABRIELA AVILA TERRONES</v>
      </c>
      <c r="B58" s="83" t="str">
        <f>'BASE DE DATOSS'!C56</f>
        <v>ADULTS 1</v>
      </c>
      <c r="C58" s="263"/>
      <c r="D58" s="249"/>
      <c r="E58" s="250"/>
      <c r="F58" s="251"/>
      <c r="G58" s="262"/>
      <c r="H58" s="257"/>
      <c r="I58" s="249"/>
      <c r="J58" s="193" t="str">
        <f>IF(OR(ISBLANK($B58),ISBLANK($I58)),"",IFERROR(IF($I58&lt;=DATE('ESTADO CONTABLE'!$B$2,3,5),VLOOKUP($B58,COSTOS!$A$2:$B1014,2,FALSE)-150,VLOOKUP($B58,COSTOS!$A$2:$B1014,2,FALSE)),"No encontrado o error"))</f>
        <v/>
      </c>
      <c r="K58" s="264"/>
      <c r="L58" s="249"/>
      <c r="M58" s="189"/>
      <c r="N58" s="264"/>
      <c r="O58" s="249"/>
      <c r="P58" s="250"/>
      <c r="Q58" s="264"/>
      <c r="R58" s="249"/>
      <c r="S58" s="250"/>
      <c r="T58" s="264"/>
      <c r="U58" s="249"/>
      <c r="V58" s="250"/>
      <c r="W58" s="264"/>
      <c r="X58" s="394"/>
      <c r="Y58" s="116" t="str">
        <f>IF(OR(ISBLANK($B58),ISBLANK($X58)),"",IFERROR(IF($X58&lt;=DATE('ESTADO CONTABLE'!$B$2,8,5),VLOOKUP($B58,COSTOS!$A$2:$B1014,2,FALSE)-150,VLOOKUP($B58,COSTOS!$A$2:$B1014,2,FALSE)),"No encontrado o error"))</f>
        <v/>
      </c>
      <c r="Z58" s="395"/>
      <c r="AA58" s="367">
        <v>46263.0</v>
      </c>
      <c r="AB58" s="118">
        <f>IF(OR(ISBLANK($B58),ISBLANK($AA58)),"",IFERROR(IF($AA58&lt;=DATE('ESTADO CONTABLE'!$B$2,9,5),VLOOKUP($B58,COSTOS!$A$2:$B1014,2,FALSE)-150,VLOOKUP($B58,COSTOS!$A$2:$B1014,2,FALSE)),"No encontrado o error"))</f>
        <v>1150</v>
      </c>
      <c r="AC58" s="329" t="s">
        <v>137</v>
      </c>
      <c r="AD58" s="367">
        <v>46298.0</v>
      </c>
      <c r="AE58" s="116">
        <f>IF(OR(ISBLANK($B58),ISBLANK($AD58)),"",IFERROR(IF($AD58&lt;=DATE('ESTADO CONTABLE'!$B$2,10,5),VLOOKUP($B58,COSTOS!$A$2:$B1014,2,FALSE)-150,VLOOKUP($B58,COSTOS!$A$2:$B1014,2,FALSE)),"No encontrado o error"))</f>
        <v>1150</v>
      </c>
      <c r="AF58" s="329" t="s">
        <v>137</v>
      </c>
      <c r="AG58" s="394"/>
      <c r="AH58" s="116" t="str">
        <f>IF(OR(ISBLANK($B58),ISBLANK($AG58)),"",IFERROR(IF($AG58&lt;=DATE('ESTADO CONTABLE'!$B$2,11,5),VLOOKUP($B58,COSTOS!$A$2:$B1014,2,FALSE)-150,VLOOKUP($B58,COSTOS!$A$2:$B1014,2,FALSE)),"No encontrado o error"))</f>
        <v/>
      </c>
      <c r="AI58" s="395"/>
      <c r="AJ58" s="394"/>
      <c r="AK58" s="116" t="str">
        <f>IF(OR(ISBLANK($B58),ISBLANK($AJ58)),"",IFERROR(IF($AJ58&lt;=DATE('ESTADO CONTABLE'!$B$2,12,5),VLOOKUP($B58,COSTOS!$A$2:$B1014,2,FALSE)-150,VLOOKUP($B58,COSTOS!$A$2:$B1014,2,FALSE)),"No encontrado o error"))</f>
        <v/>
      </c>
      <c r="AL58" s="395"/>
      <c r="AM58" s="254"/>
      <c r="AN58" s="255"/>
      <c r="AO58" s="256"/>
    </row>
    <row r="59" ht="22.5" customHeight="1">
      <c r="A59" s="82" t="str">
        <f>'BASE DE DATOSS'!A57</f>
        <v>PAOLA REGINA GARCIA CONTRERAS</v>
      </c>
      <c r="B59" s="83" t="str">
        <f>'BASE DE DATOSS'!C57</f>
        <v>SABATINO</v>
      </c>
      <c r="C59" s="263"/>
      <c r="D59" s="249"/>
      <c r="E59" s="250"/>
      <c r="F59" s="251"/>
      <c r="G59" s="262"/>
      <c r="H59" s="257"/>
      <c r="I59" s="249"/>
      <c r="J59" s="193" t="str">
        <f>IF(OR(ISBLANK($B59),ISBLANK($I59)),"",IFERROR(IF($I59&lt;=DATE('ESTADO CONTABLE'!$B$2,3,5),VLOOKUP($B59,COSTOS!$A$2:$B1014,2,FALSE)-150,VLOOKUP($B59,COSTOS!$A$2:$B1014,2,FALSE)),"No encontrado o error"))</f>
        <v/>
      </c>
      <c r="K59" s="264"/>
      <c r="L59" s="249"/>
      <c r="M59" s="189"/>
      <c r="N59" s="264"/>
      <c r="O59" s="249"/>
      <c r="P59" s="250"/>
      <c r="Q59" s="264"/>
      <c r="R59" s="249"/>
      <c r="S59" s="250"/>
      <c r="T59" s="264"/>
      <c r="U59" s="249"/>
      <c r="V59" s="250"/>
      <c r="W59" s="264"/>
      <c r="X59" s="394"/>
      <c r="Y59" s="116" t="str">
        <f>IF(OR(ISBLANK($B59),ISBLANK($X59)),"",IFERROR(IF($X59&lt;=DATE('ESTADO CONTABLE'!$B$2,8,5),VLOOKUP($B59,COSTOS!$A$2:$B1014,2,FALSE)-150,VLOOKUP($B59,COSTOS!$A$2:$B1014,2,FALSE)),"No encontrado o error"))</f>
        <v/>
      </c>
      <c r="Z59" s="395"/>
      <c r="AA59" s="367">
        <v>46266.0</v>
      </c>
      <c r="AB59" s="118">
        <f>IF(OR(ISBLANK($B59),ISBLANK($AA59)),"",IFERROR(IF($AA59&lt;=DATE('ESTADO CONTABLE'!$B$2,9,5),VLOOKUP($B59,COSTOS!$A$2:$B1014,2,FALSE)-150,VLOOKUP($B59,COSTOS!$A$2:$B1014,2,FALSE)),"No encontrado o error"))</f>
        <v>550</v>
      </c>
      <c r="AC59" s="329" t="s">
        <v>137</v>
      </c>
      <c r="AD59" s="367">
        <v>46299.0</v>
      </c>
      <c r="AE59" s="116">
        <f>IF(OR(ISBLANK($B59),ISBLANK($AD59)),"",IFERROR(IF($AD59&lt;=DATE('ESTADO CONTABLE'!$B$2,10,5),VLOOKUP($B59,COSTOS!$A$2:$B1014,2,FALSE)-150,VLOOKUP($B59,COSTOS!$A$2:$B1014,2,FALSE)),"No encontrado o error"))</f>
        <v>550</v>
      </c>
      <c r="AF59" s="329" t="s">
        <v>128</v>
      </c>
      <c r="AG59" s="394"/>
      <c r="AH59" s="116" t="str">
        <f>IF(OR(ISBLANK($B59),ISBLANK($AG59)),"",IFERROR(IF($AG59&lt;=DATE('ESTADO CONTABLE'!$B$2,11,5),VLOOKUP($B59,COSTOS!$A$2:$B1014,2,FALSE)-150,VLOOKUP($B59,COSTOS!$A$2:$B1014,2,FALSE)),"No encontrado o error"))</f>
        <v/>
      </c>
      <c r="AI59" s="395"/>
      <c r="AJ59" s="394"/>
      <c r="AK59" s="116" t="str">
        <f>IF(OR(ISBLANK($B59),ISBLANK($AJ59)),"",IFERROR(IF($AJ59&lt;=DATE('ESTADO CONTABLE'!$B$2,12,5),VLOOKUP($B59,COSTOS!$A$2:$B1014,2,FALSE)-150,VLOOKUP($B59,COSTOS!$A$2:$B1014,2,FALSE)),"No encontrado o error"))</f>
        <v/>
      </c>
      <c r="AL59" s="395"/>
      <c r="AM59" s="254"/>
      <c r="AN59" s="255"/>
      <c r="AO59" s="256"/>
    </row>
    <row r="60" ht="22.5" customHeight="1">
      <c r="A60" s="82" t="str">
        <f>'BASE DE DATOSS'!A58</f>
        <v>ISABELLA ASCENCIO DIAZ</v>
      </c>
      <c r="B60" s="83" t="str">
        <f>'BASE DE DATOSS'!C58</f>
        <v>KIDS 2</v>
      </c>
      <c r="C60" s="263" t="s">
        <v>435</v>
      </c>
      <c r="D60" s="249"/>
      <c r="E60" s="250"/>
      <c r="F60" s="251"/>
      <c r="G60" s="262"/>
      <c r="H60" s="257"/>
      <c r="I60" s="249"/>
      <c r="J60" s="193" t="str">
        <f>IF(OR(ISBLANK($B60),ISBLANK($I60)),"",IFERROR(IF($I60&lt;=DATE('ESTADO CONTABLE'!$B$2,3,5),VLOOKUP($B60,COSTOS!$A$2:$B1014,2,FALSE)-150,VLOOKUP($B60,COSTOS!$A$2:$B1014,2,FALSE)),"No encontrado o error"))</f>
        <v/>
      </c>
      <c r="K60" s="264"/>
      <c r="L60" s="249"/>
      <c r="M60" s="189"/>
      <c r="N60" s="264"/>
      <c r="O60" s="249"/>
      <c r="P60" s="250"/>
      <c r="Q60" s="264"/>
      <c r="R60" s="249"/>
      <c r="S60" s="250"/>
      <c r="T60" s="264"/>
      <c r="U60" s="249"/>
      <c r="V60" s="250"/>
      <c r="W60" s="264"/>
      <c r="X60" s="394"/>
      <c r="Y60" s="116" t="str">
        <f>IF(OR(ISBLANK($B60),ISBLANK($X60)),"",IFERROR(IF($X60&lt;=DATE('ESTADO CONTABLE'!$B$2,8,5),VLOOKUP($B60,COSTOS!$A$2:$B1014,2,FALSE)-150,VLOOKUP($B60,COSTOS!$A$2:$B1014,2,FALSE)),"No encontrado o error"))</f>
        <v/>
      </c>
      <c r="Z60" s="395"/>
      <c r="AA60" s="367">
        <v>46266.0</v>
      </c>
      <c r="AB60" s="118">
        <f>IF(OR(ISBLANK($B60),ISBLANK($AA60)),"",IFERROR(IF($AA60&lt;=DATE('ESTADO CONTABLE'!$B$2,9,5),VLOOKUP($B60,COSTOS!$A$2:$B1014,2,FALSE)-150,VLOOKUP($B60,COSTOS!$A$2:$B1014,2,FALSE)),"No encontrado o error"))</f>
        <v>800</v>
      </c>
      <c r="AC60" s="329" t="s">
        <v>137</v>
      </c>
      <c r="AD60" s="367">
        <v>46300.0</v>
      </c>
      <c r="AE60" s="178">
        <v>800.0</v>
      </c>
      <c r="AF60" s="331" t="s">
        <v>128</v>
      </c>
      <c r="AG60" s="394"/>
      <c r="AH60" s="116" t="str">
        <f>IF(OR(ISBLANK($B60),ISBLANK($AG60)),"",IFERROR(IF($AG60&lt;=DATE('ESTADO CONTABLE'!$B$2,11,5),VLOOKUP($B60,COSTOS!$A$2:$B1014,2,FALSE)-150,VLOOKUP($B60,COSTOS!$A$2:$B1014,2,FALSE)),"No encontrado o error"))</f>
        <v/>
      </c>
      <c r="AI60" s="395"/>
      <c r="AJ60" s="394"/>
      <c r="AK60" s="116" t="str">
        <f>IF(OR(ISBLANK($B60),ISBLANK($AJ60)),"",IFERROR(IF($AJ60&lt;=DATE('ESTADO CONTABLE'!$B$2,12,5),VLOOKUP($B60,COSTOS!$A$2:$B1014,2,FALSE)-150,VLOOKUP($B60,COSTOS!$A$2:$B1014,2,FALSE)),"No encontrado o error"))</f>
        <v/>
      </c>
      <c r="AL60" s="395"/>
      <c r="AM60" s="254"/>
      <c r="AN60" s="255"/>
      <c r="AO60" s="256"/>
    </row>
    <row r="61" ht="22.5" customHeight="1">
      <c r="A61" s="82" t="str">
        <f>'BASE DE DATOSS'!A59</f>
        <v>NAVABI IZEL ARREGUIN CARRILLO</v>
      </c>
      <c r="B61" s="83" t="str">
        <f>'BASE DE DATOSS'!C59</f>
        <v>KIDS 3</v>
      </c>
      <c r="C61" s="263" t="s">
        <v>435</v>
      </c>
      <c r="D61" s="249"/>
      <c r="E61" s="250"/>
      <c r="F61" s="251"/>
      <c r="G61" s="262"/>
      <c r="H61" s="257"/>
      <c r="I61" s="249"/>
      <c r="J61" s="193" t="str">
        <f>IF(OR(ISBLANK($B61),ISBLANK($I61)),"",IFERROR(IF($I61&lt;=DATE('ESTADO CONTABLE'!$B$2,3,5),VLOOKUP($B61,COSTOS!$A$2:$B1014,2,FALSE)-150,VLOOKUP($B61,COSTOS!$A$2:$B1014,2,FALSE)),"No encontrado o error"))</f>
        <v/>
      </c>
      <c r="K61" s="264"/>
      <c r="L61" s="249"/>
      <c r="M61" s="189"/>
      <c r="N61" s="264"/>
      <c r="O61" s="249"/>
      <c r="P61" s="250"/>
      <c r="Q61" s="264"/>
      <c r="R61" s="249"/>
      <c r="S61" s="250"/>
      <c r="T61" s="264"/>
      <c r="U61" s="249"/>
      <c r="V61" s="250"/>
      <c r="W61" s="264"/>
      <c r="X61" s="394"/>
      <c r="Y61" s="116" t="str">
        <f>IF(OR(ISBLANK($B61),ISBLANK($X61)),"",IFERROR(IF($X61&lt;=DATE('ESTADO CONTABLE'!$B$2,8,5),VLOOKUP($B61,COSTOS!$A$2:$B1014,2,FALSE)-150,VLOOKUP($B61,COSTOS!$A$2:$B1014,2,FALSE)),"No encontrado o error"))</f>
        <v/>
      </c>
      <c r="Z61" s="395"/>
      <c r="AA61" s="367">
        <v>46266.0</v>
      </c>
      <c r="AB61" s="118">
        <f>IF(OR(ISBLANK($B61),ISBLANK($AA61)),"",IFERROR(IF($AA61&lt;=DATE('ESTADO CONTABLE'!$B$2,9,5),VLOOKUP($B61,COSTOS!$A$2:$B1014,2,FALSE)-150,VLOOKUP($B61,COSTOS!$A$2:$B1014,2,FALSE)),"No encontrado o error"))</f>
        <v>800</v>
      </c>
      <c r="AC61" s="329" t="s">
        <v>137</v>
      </c>
      <c r="AD61" s="367">
        <v>46296.0</v>
      </c>
      <c r="AE61" s="116">
        <f>IF(OR(ISBLANK($B61),ISBLANK($AD61)),"",IFERROR(IF($AD61&lt;=DATE('ESTADO CONTABLE'!$B$2,10,5),VLOOKUP($B61,COSTOS!$A$2:$B1014,2,FALSE)-150,VLOOKUP($B61,COSTOS!$A$2:$B1014,2,FALSE)),"No encontrado o error"))</f>
        <v>800</v>
      </c>
      <c r="AF61" s="329" t="s">
        <v>137</v>
      </c>
      <c r="AG61" s="394"/>
      <c r="AH61" s="116" t="str">
        <f>IF(OR(ISBLANK($B61),ISBLANK($AG61)),"",IFERROR(IF($AG61&lt;=DATE('ESTADO CONTABLE'!$B$2,11,5),VLOOKUP($B61,COSTOS!$A$2:$B1014,2,FALSE)-150,VLOOKUP($B61,COSTOS!$A$2:$B1014,2,FALSE)),"No encontrado o error"))</f>
        <v/>
      </c>
      <c r="AI61" s="395"/>
      <c r="AJ61" s="394"/>
      <c r="AK61" s="116" t="str">
        <f>IF(OR(ISBLANK($B61),ISBLANK($AJ61)),"",IFERROR(IF($AJ61&lt;=DATE('ESTADO CONTABLE'!$B$2,12,5),VLOOKUP($B61,COSTOS!$A$2:$B1014,2,FALSE)-150,VLOOKUP($B61,COSTOS!$A$2:$B1014,2,FALSE)),"No encontrado o error"))</f>
        <v/>
      </c>
      <c r="AL61" s="395"/>
      <c r="AM61" s="254"/>
      <c r="AN61" s="255"/>
      <c r="AO61" s="256"/>
    </row>
    <row r="62" ht="22.5" customHeight="1">
      <c r="A62" s="82" t="str">
        <f>'BASE DE DATOSS'!A60</f>
        <v>ANA PAULA ARCE GARCIA</v>
      </c>
      <c r="B62" s="83" t="str">
        <f>'BASE DE DATOSS'!C60</f>
        <v>KIDS 3</v>
      </c>
      <c r="C62" s="263" t="s">
        <v>435</v>
      </c>
      <c r="D62" s="249"/>
      <c r="E62" s="250"/>
      <c r="F62" s="251"/>
      <c r="G62" s="262"/>
      <c r="H62" s="257"/>
      <c r="I62" s="249"/>
      <c r="J62" s="193" t="str">
        <f>IF(OR(ISBLANK($B62),ISBLANK($I62)),"",IFERROR(IF($I62&lt;=DATE('ESTADO CONTABLE'!$B$2,3,5),VLOOKUP($B62,COSTOS!$A$2:$B1014,2,FALSE)-150,VLOOKUP($B62,COSTOS!$A$2:$B1014,2,FALSE)),"No encontrado o error"))</f>
        <v/>
      </c>
      <c r="K62" s="264"/>
      <c r="L62" s="249"/>
      <c r="M62" s="189"/>
      <c r="N62" s="264"/>
      <c r="O62" s="249"/>
      <c r="P62" s="250"/>
      <c r="Q62" s="264"/>
      <c r="R62" s="249"/>
      <c r="S62" s="250"/>
      <c r="T62" s="264"/>
      <c r="U62" s="249"/>
      <c r="V62" s="250"/>
      <c r="W62" s="264"/>
      <c r="X62" s="394"/>
      <c r="Y62" s="116" t="str">
        <f>IF(OR(ISBLANK($B62),ISBLANK($X62)),"",IFERROR(IF($X62&lt;=DATE('ESTADO CONTABLE'!$B$2,8,5),VLOOKUP($B62,COSTOS!$A$2:$B1014,2,FALSE)-150,VLOOKUP($B62,COSTOS!$A$2:$B1014,2,FALSE)),"No encontrado o error"))</f>
        <v/>
      </c>
      <c r="Z62" s="395"/>
      <c r="AA62" s="367">
        <v>46266.0</v>
      </c>
      <c r="AB62" s="118">
        <f>IF(OR(ISBLANK($B62),ISBLANK($AA62)),"",IFERROR(IF($AA62&lt;=DATE('ESTADO CONTABLE'!$B$2,9,5),VLOOKUP($B62,COSTOS!$A$2:$B1014,2,FALSE)-150,VLOOKUP($B62,COSTOS!$A$2:$B1014,2,FALSE)),"No encontrado o error"))</f>
        <v>800</v>
      </c>
      <c r="AC62" s="329" t="s">
        <v>137</v>
      </c>
      <c r="AD62" s="367">
        <v>46300.0</v>
      </c>
      <c r="AE62" s="116">
        <f>IF(OR(ISBLANK($B62),ISBLANK($AD62)),"",IFERROR(IF($AD62&lt;=DATE('ESTADO CONTABLE'!$B$2,10,5),VLOOKUP($B62,COSTOS!$A$2:$B1014,2,FALSE)-150,VLOOKUP($B62,COSTOS!$A$2:$B1014,2,FALSE)),"No encontrado o error"))</f>
        <v>800</v>
      </c>
      <c r="AF62" s="329" t="s">
        <v>137</v>
      </c>
      <c r="AG62" s="394"/>
      <c r="AH62" s="116" t="str">
        <f>IF(OR(ISBLANK($B62),ISBLANK($AG62)),"",IFERROR(IF($AG62&lt;=DATE('ESTADO CONTABLE'!$B$2,11,5),VLOOKUP($B62,COSTOS!$A$2:$B1014,2,FALSE)-150,VLOOKUP($B62,COSTOS!$A$2:$B1014,2,FALSE)),"No encontrado o error"))</f>
        <v/>
      </c>
      <c r="AI62" s="395"/>
      <c r="AJ62" s="394"/>
      <c r="AK62" s="116" t="str">
        <f>IF(OR(ISBLANK($B62),ISBLANK($AJ62)),"",IFERROR(IF($AJ62&lt;=DATE('ESTADO CONTABLE'!$B$2,12,5),VLOOKUP($B62,COSTOS!$A$2:$B1014,2,FALSE)-150,VLOOKUP($B62,COSTOS!$A$2:$B1014,2,FALSE)),"No encontrado o error"))</f>
        <v/>
      </c>
      <c r="AL62" s="395"/>
      <c r="AM62" s="254"/>
      <c r="AN62" s="255"/>
      <c r="AO62" s="256"/>
    </row>
    <row r="63" ht="22.5" customHeight="1">
      <c r="A63" s="82" t="str">
        <f>'BASE DE DATOSS'!A61</f>
        <v>NAOMI CAMPOS GONZALES </v>
      </c>
      <c r="B63" s="83" t="str">
        <f>'BASE DE DATOSS'!C61</f>
        <v>ADULTS 1</v>
      </c>
      <c r="C63" s="263"/>
      <c r="D63" s="249"/>
      <c r="E63" s="250"/>
      <c r="F63" s="251"/>
      <c r="G63" s="262"/>
      <c r="H63" s="257"/>
      <c r="I63" s="249"/>
      <c r="J63" s="193" t="str">
        <f>IF(OR(ISBLANK($B63),ISBLANK($I63)),"",IFERROR(IF($I63&lt;=DATE('ESTADO CONTABLE'!$B$2,3,5),VLOOKUP($B63,COSTOS!$A$2:$B1014,2,FALSE)-150,VLOOKUP($B63,COSTOS!$A$2:$B1014,2,FALSE)),"No encontrado o error"))</f>
        <v/>
      </c>
      <c r="K63" s="264"/>
      <c r="L63" s="249"/>
      <c r="M63" s="189"/>
      <c r="N63" s="264"/>
      <c r="O63" s="249"/>
      <c r="P63" s="250"/>
      <c r="Q63" s="264"/>
      <c r="R63" s="249"/>
      <c r="S63" s="250"/>
      <c r="T63" s="264"/>
      <c r="U63" s="249"/>
      <c r="V63" s="250"/>
      <c r="W63" s="264"/>
      <c r="X63" s="367">
        <v>46244.0</v>
      </c>
      <c r="Y63" s="116">
        <f>IF(OR(ISBLANK($B63),ISBLANK($X63)),"",IFERROR(IF($X63&lt;=DATE('ESTADO CONTABLE'!$B$2,8,5),VLOOKUP($B63,COSTOS!$A$2:$B1014,2,FALSE)-150,VLOOKUP($B63,COSTOS!$A$2:$B1014,2,FALSE)),"No encontrado o error"))</f>
        <v>1300</v>
      </c>
      <c r="Z63" s="329" t="s">
        <v>292</v>
      </c>
      <c r="AA63" s="367">
        <v>46269.0</v>
      </c>
      <c r="AB63" s="118">
        <f>IF(OR(ISBLANK($B63),ISBLANK($AA63)),"",IFERROR(IF($AA63&lt;=DATE('ESTADO CONTABLE'!$B$2,9,5),VLOOKUP($B63,COSTOS!$A$2:$B1014,2,FALSE)-150,VLOOKUP($B63,COSTOS!$A$2:$B1014,2,FALSE)),"No encontrado o error"))</f>
        <v>1150</v>
      </c>
      <c r="AC63" s="329" t="s">
        <v>128</v>
      </c>
      <c r="AD63" s="367">
        <v>46300.0</v>
      </c>
      <c r="AE63" s="116">
        <f>IF(OR(ISBLANK($B63),ISBLANK($AD63)),"",IFERROR(IF($AD63&lt;=DATE('ESTADO CONTABLE'!$B$2,10,5),VLOOKUP($B63,COSTOS!$A$2:$B1014,2,FALSE)-150,VLOOKUP($B63,COSTOS!$A$2:$B1014,2,FALSE)),"No encontrado o error"))</f>
        <v>1150</v>
      </c>
      <c r="AF63" s="329" t="s">
        <v>137</v>
      </c>
      <c r="AG63" s="394"/>
      <c r="AH63" s="116" t="str">
        <f>IF(OR(ISBLANK($B63),ISBLANK($AG63)),"",IFERROR(IF($AG63&lt;=DATE('ESTADO CONTABLE'!$B$2,11,5),VLOOKUP($B63,COSTOS!$A$2:$B1014,2,FALSE)-150,VLOOKUP($B63,COSTOS!$A$2:$B1014,2,FALSE)),"No encontrado o error"))</f>
        <v/>
      </c>
      <c r="AI63" s="395"/>
      <c r="AJ63" s="394"/>
      <c r="AK63" s="116" t="str">
        <f>IF(OR(ISBLANK($B63),ISBLANK($AJ63)),"",IFERROR(IF($AJ63&lt;=DATE('ESTADO CONTABLE'!$B$2,12,5),VLOOKUP($B63,COSTOS!$A$2:$B1014,2,FALSE)-150,VLOOKUP($B63,COSTOS!$A$2:$B1014,2,FALSE)),"No encontrado o error"))</f>
        <v/>
      </c>
      <c r="AL63" s="395"/>
      <c r="AM63" s="254"/>
      <c r="AN63" s="255"/>
      <c r="AO63" s="256"/>
    </row>
    <row r="64" ht="22.5" customHeight="1">
      <c r="A64" s="82" t="str">
        <f>'BASE DE DATOSS'!A62</f>
        <v>EMILIA MARTINEZ MIRANDA</v>
      </c>
      <c r="B64" s="83" t="str">
        <f>'BASE DE DATOSS'!C62</f>
        <v>KIDS 1</v>
      </c>
      <c r="C64" s="263" t="s">
        <v>435</v>
      </c>
      <c r="D64" s="249"/>
      <c r="E64" s="250"/>
      <c r="F64" s="251"/>
      <c r="G64" s="262"/>
      <c r="H64" s="257"/>
      <c r="I64" s="249"/>
      <c r="J64" s="193" t="str">
        <f>IF(OR(ISBLANK($B64),ISBLANK($I64)),"",IFERROR(IF($I64&lt;=DATE('ESTADO CONTABLE'!$B$2,3,5),VLOOKUP($B64,COSTOS!$A$2:$B1014,2,FALSE)-150,VLOOKUP($B64,COSTOS!$A$2:$B1014,2,FALSE)),"No encontrado o error"))</f>
        <v/>
      </c>
      <c r="K64" s="264"/>
      <c r="L64" s="249"/>
      <c r="M64" s="189"/>
      <c r="N64" s="264"/>
      <c r="O64" s="249"/>
      <c r="P64" s="250"/>
      <c r="Q64" s="264"/>
      <c r="R64" s="249"/>
      <c r="S64" s="250"/>
      <c r="T64" s="264"/>
      <c r="U64" s="249"/>
      <c r="V64" s="250"/>
      <c r="W64" s="264"/>
      <c r="X64" s="394"/>
      <c r="Y64" s="116" t="str">
        <f>IF(OR(ISBLANK($B64),ISBLANK($X64)),"",IFERROR(IF($X64&lt;=DATE('ESTADO CONTABLE'!$B$2,8,5),VLOOKUP($B64,COSTOS!$A$2:$B1014,2,FALSE)-150,VLOOKUP($B64,COSTOS!$A$2:$B1014,2,FALSE)),"No encontrado o error"))</f>
        <v/>
      </c>
      <c r="Z64" s="395"/>
      <c r="AA64" s="367">
        <v>46267.0</v>
      </c>
      <c r="AB64" s="118">
        <f>IF(OR(ISBLANK($B64),ISBLANK($AA64)),"",IFERROR(IF($AA64&lt;=DATE('ESTADO CONTABLE'!$B$2,9,5),VLOOKUP($B64,COSTOS!$A$2:$B1014,2,FALSE)-150,VLOOKUP($B64,COSTOS!$A$2:$B1014,2,FALSE)),"No encontrado o error"))</f>
        <v>950</v>
      </c>
      <c r="AC64" s="329" t="s">
        <v>137</v>
      </c>
      <c r="AD64" s="367">
        <v>46307.0</v>
      </c>
      <c r="AE64" s="116">
        <f>IF(OR(ISBLANK($B64),ISBLANK($AD64)),"",IFERROR(IF($AD64&lt;=DATE('ESTADO CONTABLE'!$B$2,10,5),VLOOKUP($B64,COSTOS!$A$2:$B1014,2,FALSE)-150,VLOOKUP($B64,COSTOS!$A$2:$B1014,2,FALSE)),"No encontrado o error"))</f>
        <v>1100</v>
      </c>
      <c r="AF64" s="329" t="s">
        <v>137</v>
      </c>
      <c r="AG64" s="394"/>
      <c r="AH64" s="116" t="str">
        <f>IF(OR(ISBLANK($B64),ISBLANK($AG64)),"",IFERROR(IF($AG64&lt;=DATE('ESTADO CONTABLE'!$B$2,11,5),VLOOKUP($B64,COSTOS!$A$2:$B1014,2,FALSE)-150,VLOOKUP($B64,COSTOS!$A$2:$B1014,2,FALSE)),"No encontrado o error"))</f>
        <v/>
      </c>
      <c r="AI64" s="395"/>
      <c r="AJ64" s="394"/>
      <c r="AK64" s="116" t="str">
        <f>IF(OR(ISBLANK($B64),ISBLANK($AJ64)),"",IFERROR(IF($AJ64&lt;=DATE('ESTADO CONTABLE'!$B$2,12,5),VLOOKUP($B64,COSTOS!$A$2:$B1014,2,FALSE)-150,VLOOKUP($B64,COSTOS!$A$2:$B1014,2,FALSE)),"No encontrado o error"))</f>
        <v/>
      </c>
      <c r="AL64" s="395"/>
      <c r="AM64" s="254"/>
      <c r="AN64" s="255"/>
      <c r="AO64" s="256"/>
    </row>
    <row r="65" ht="22.5" customHeight="1">
      <c r="A65" s="82" t="str">
        <f>'BASE DE DATOSS'!A63</f>
        <v>CAROLINA POLANCO RAMOS</v>
      </c>
      <c r="B65" s="83" t="str">
        <f>'BASE DE DATOSS'!C63</f>
        <v>KIDS 3</v>
      </c>
      <c r="C65" s="263" t="s">
        <v>435</v>
      </c>
      <c r="D65" s="249"/>
      <c r="E65" s="250"/>
      <c r="F65" s="251"/>
      <c r="G65" s="262"/>
      <c r="H65" s="257"/>
      <c r="I65" s="249"/>
      <c r="J65" s="193" t="str">
        <f>IF(OR(ISBLANK($B65),ISBLANK($I65)),"",IFERROR(IF($I65&lt;=DATE('ESTADO CONTABLE'!$B$2,3,5),VLOOKUP($B65,COSTOS!$A$2:$B1014,2,FALSE)-150,VLOOKUP($B65,COSTOS!$A$2:$B1014,2,FALSE)),"No encontrado o error"))</f>
        <v/>
      </c>
      <c r="K65" s="264"/>
      <c r="L65" s="249"/>
      <c r="M65" s="189"/>
      <c r="N65" s="264"/>
      <c r="O65" s="249"/>
      <c r="P65" s="250"/>
      <c r="Q65" s="264"/>
      <c r="R65" s="249"/>
      <c r="S65" s="250"/>
      <c r="T65" s="264"/>
      <c r="U65" s="249"/>
      <c r="V65" s="250"/>
      <c r="W65" s="264"/>
      <c r="X65" s="394"/>
      <c r="Y65" s="116" t="str">
        <f>IF(OR(ISBLANK($B65),ISBLANK($X65)),"",IFERROR(IF($X65&lt;=DATE('ESTADO CONTABLE'!$B$2,8,5),VLOOKUP($B65,COSTOS!$A$2:$B1014,2,FALSE)-150,VLOOKUP($B65,COSTOS!$A$2:$B1014,2,FALSE)),"No encontrado o error"))</f>
        <v/>
      </c>
      <c r="Z65" s="395"/>
      <c r="AA65" s="367">
        <v>46266.0</v>
      </c>
      <c r="AB65" s="118">
        <f>IF(OR(ISBLANK($B65),ISBLANK($AA65)),"",IFERROR(IF($AA65&lt;=DATE('ESTADO CONTABLE'!$B$2,9,5),VLOOKUP($B65,COSTOS!$A$2:$B1014,2,FALSE)-150,VLOOKUP($B65,COSTOS!$A$2:$B1014,2,FALSE)),"No encontrado o error"))</f>
        <v>800</v>
      </c>
      <c r="AC65" s="329" t="s">
        <v>128</v>
      </c>
      <c r="AD65" s="367">
        <v>46309.0</v>
      </c>
      <c r="AE65" s="260">
        <v>950.0</v>
      </c>
      <c r="AF65" s="331" t="s">
        <v>128</v>
      </c>
      <c r="AG65" s="394"/>
      <c r="AH65" s="116" t="str">
        <f>IF(OR(ISBLANK($B65),ISBLANK($AG65)),"",IFERROR(IF($AG65&lt;=DATE('ESTADO CONTABLE'!$B$2,11,5),VLOOKUP($B65,COSTOS!$A$2:$B1014,2,FALSE)-150,VLOOKUP($B65,COSTOS!$A$2:$B1014,2,FALSE)),"No encontrado o error"))</f>
        <v/>
      </c>
      <c r="AI65" s="395"/>
      <c r="AJ65" s="394"/>
      <c r="AK65" s="116" t="str">
        <f>IF(OR(ISBLANK($B65),ISBLANK($AJ65)),"",IFERROR(IF($AJ65&lt;=DATE('ESTADO CONTABLE'!$B$2,12,5),VLOOKUP($B65,COSTOS!$A$2:$B1014,2,FALSE)-150,VLOOKUP($B65,COSTOS!$A$2:$B1014,2,FALSE)),"No encontrado o error"))</f>
        <v/>
      </c>
      <c r="AL65" s="395"/>
      <c r="AM65" s="254"/>
      <c r="AN65" s="255"/>
      <c r="AO65" s="256"/>
    </row>
    <row r="66" ht="22.5" customHeight="1">
      <c r="A66" s="82" t="str">
        <f>'BASE DE DATOSS'!A64</f>
        <v>LOURDES EMILIA LOBATO FERNANDEZ</v>
      </c>
      <c r="B66" s="83" t="str">
        <f>'BASE DE DATOSS'!C64</f>
        <v>ADULTS 1</v>
      </c>
      <c r="C66" s="263"/>
      <c r="D66" s="249"/>
      <c r="E66" s="250"/>
      <c r="F66" s="251"/>
      <c r="G66" s="262"/>
      <c r="H66" s="257"/>
      <c r="I66" s="249"/>
      <c r="J66" s="193" t="str">
        <f>IF(OR(ISBLANK($B66),ISBLANK($I66)),"",IFERROR(IF($I66&lt;=DATE('ESTADO CONTABLE'!$B$2,3,5),VLOOKUP($B66,COSTOS!$A$2:$B1014,2,FALSE)-150,VLOOKUP($B66,COSTOS!$A$2:$B1014,2,FALSE)),"No encontrado o error"))</f>
        <v/>
      </c>
      <c r="K66" s="264"/>
      <c r="L66" s="249"/>
      <c r="M66" s="189"/>
      <c r="N66" s="264"/>
      <c r="O66" s="249"/>
      <c r="P66" s="250"/>
      <c r="Q66" s="264"/>
      <c r="R66" s="249"/>
      <c r="S66" s="250"/>
      <c r="T66" s="264"/>
      <c r="U66" s="249"/>
      <c r="V66" s="250"/>
      <c r="W66" s="264"/>
      <c r="X66" s="394"/>
      <c r="Y66" s="116" t="str">
        <f>IF(OR(ISBLANK($B66),ISBLANK($X66)),"",IFERROR(IF($X66&lt;=DATE('ESTADO CONTABLE'!$B$2,8,5),VLOOKUP($B66,COSTOS!$A$2:$B1014,2,FALSE)-150,VLOOKUP($B66,COSTOS!$A$2:$B1014,2,FALSE)),"No encontrado o error"))</f>
        <v/>
      </c>
      <c r="Z66" s="395"/>
      <c r="AA66" s="367">
        <v>46267.0</v>
      </c>
      <c r="AB66" s="118">
        <f>IF(OR(ISBLANK($B66),ISBLANK($AA66)),"",IFERROR(IF($AA66&lt;=DATE('ESTADO CONTABLE'!$B$2,9,5),VLOOKUP($B66,COSTOS!$A$2:$B1014,2,FALSE)-150,VLOOKUP($B66,COSTOS!$A$2:$B1014,2,FALSE)),"No encontrado o error"))</f>
        <v>1150</v>
      </c>
      <c r="AC66" s="329" t="s">
        <v>137</v>
      </c>
      <c r="AD66" s="367">
        <v>46304.0</v>
      </c>
      <c r="AE66" s="116">
        <f>IF(OR(ISBLANK($B66),ISBLANK($AD66)),"",IFERROR(IF($AD66&lt;=DATE('ESTADO CONTABLE'!$B$2,10,5),VLOOKUP($B66,COSTOS!$A$2:$B1014,2,FALSE)-150,VLOOKUP($B66,COSTOS!$A$2:$B1014,2,FALSE)),"No encontrado o error"))</f>
        <v>1300</v>
      </c>
      <c r="AF66" s="329" t="s">
        <v>137</v>
      </c>
      <c r="AG66" s="394"/>
      <c r="AH66" s="116" t="str">
        <f>IF(OR(ISBLANK($B66),ISBLANK($AG66)),"",IFERROR(IF($AG66&lt;=DATE('ESTADO CONTABLE'!$B$2,11,5),VLOOKUP($B66,COSTOS!$A$2:$B1014,2,FALSE)-150,VLOOKUP($B66,COSTOS!$A$2:$B1014,2,FALSE)),"No encontrado o error"))</f>
        <v/>
      </c>
      <c r="AI66" s="395"/>
      <c r="AJ66" s="394"/>
      <c r="AK66" s="116" t="str">
        <f>IF(OR(ISBLANK($B66),ISBLANK($AJ66)),"",IFERROR(IF($AJ66&lt;=DATE('ESTADO CONTABLE'!$B$2,12,5),VLOOKUP($B66,COSTOS!$A$2:$B1014,2,FALSE)-150,VLOOKUP($B66,COSTOS!$A$2:$B1014,2,FALSE)),"No encontrado o error"))</f>
        <v/>
      </c>
      <c r="AL66" s="395"/>
      <c r="AM66" s="254"/>
      <c r="AN66" s="255"/>
      <c r="AO66" s="256"/>
    </row>
    <row r="67" ht="22.5" customHeight="1">
      <c r="A67" s="82" t="str">
        <f>'BASE DE DATOSS'!A65</f>
        <v>FERNANDA VALERIA MARIN GARCIA</v>
      </c>
      <c r="B67" s="83" t="str">
        <f>'BASE DE DATOSS'!C65</f>
        <v>JR 1</v>
      </c>
      <c r="C67" s="263" t="s">
        <v>435</v>
      </c>
      <c r="D67" s="249"/>
      <c r="E67" s="250"/>
      <c r="F67" s="251"/>
      <c r="G67" s="262"/>
      <c r="H67" s="257"/>
      <c r="I67" s="249"/>
      <c r="J67" s="193" t="str">
        <f>IF(OR(ISBLANK($B67),ISBLANK($I67)),"",IFERROR(IF($I67&lt;=DATE('ESTADO CONTABLE'!$B$2,3,5),VLOOKUP($B67,COSTOS!$A$2:$B1014,2,FALSE)-150,VLOOKUP($B67,COSTOS!$A$2:$B1014,2,FALSE)),"No encontrado o error"))</f>
        <v/>
      </c>
      <c r="K67" s="264"/>
      <c r="L67" s="249"/>
      <c r="M67" s="189"/>
      <c r="N67" s="264"/>
      <c r="O67" s="249"/>
      <c r="P67" s="250"/>
      <c r="Q67" s="264"/>
      <c r="R67" s="249"/>
      <c r="S67" s="250"/>
      <c r="T67" s="264"/>
      <c r="U67" s="249"/>
      <c r="V67" s="250"/>
      <c r="W67" s="264"/>
      <c r="X67" s="394"/>
      <c r="Y67" s="116" t="str">
        <f>IF(OR(ISBLANK($B67),ISBLANK($X67)),"",IFERROR(IF($X67&lt;=DATE('ESTADO CONTABLE'!$B$2,8,5),VLOOKUP($B67,COSTOS!$A$2:$B1014,2,FALSE)-150,VLOOKUP($B67,COSTOS!$A$2:$B1014,2,FALSE)),"No encontrado o error"))</f>
        <v/>
      </c>
      <c r="Z67" s="395"/>
      <c r="AA67" s="367">
        <v>46267.0</v>
      </c>
      <c r="AB67" s="118">
        <f>IF(OR(ISBLANK($B67),ISBLANK($AA67)),"",IFERROR(IF($AA67&lt;=DATE('ESTADO CONTABLE'!$B$2,9,5),VLOOKUP($B67,COSTOS!$A$2:$B1014,2,FALSE)-150,VLOOKUP($B67,COSTOS!$A$2:$B1014,2,FALSE)),"No encontrado o error"))</f>
        <v>950</v>
      </c>
      <c r="AC67" s="329" t="s">
        <v>137</v>
      </c>
      <c r="AD67" s="367">
        <v>46297.0</v>
      </c>
      <c r="AE67" s="116">
        <f>IF(OR(ISBLANK($B67),ISBLANK($AD67)),"",IFERROR(IF($AD67&lt;=DATE('ESTADO CONTABLE'!$B$2,10,5),VLOOKUP($B67,COSTOS!$A$2:$B1014,2,FALSE)-150,VLOOKUP($B67,COSTOS!$A$2:$B1014,2,FALSE)),"No encontrado o error"))</f>
        <v>950</v>
      </c>
      <c r="AF67" s="329" t="s">
        <v>137</v>
      </c>
      <c r="AG67" s="394"/>
      <c r="AH67" s="116" t="str">
        <f>IF(OR(ISBLANK($B67),ISBLANK($AG67)),"",IFERROR(IF($AG67&lt;=DATE('ESTADO CONTABLE'!$B$2,11,5),VLOOKUP($B67,COSTOS!$A$2:$B1014,2,FALSE)-150,VLOOKUP($B67,COSTOS!$A$2:$B1014,2,FALSE)),"No encontrado o error"))</f>
        <v/>
      </c>
      <c r="AI67" s="395"/>
      <c r="AJ67" s="394"/>
      <c r="AK67" s="116" t="str">
        <f>IF(OR(ISBLANK($B67),ISBLANK($AJ67)),"",IFERROR(IF($AJ67&lt;=DATE('ESTADO CONTABLE'!$B$2,12,5),VLOOKUP($B67,COSTOS!$A$2:$B1014,2,FALSE)-150,VLOOKUP($B67,COSTOS!$A$2:$B1014,2,FALSE)),"No encontrado o error"))</f>
        <v/>
      </c>
      <c r="AL67" s="395"/>
      <c r="AM67" s="254"/>
      <c r="AN67" s="255"/>
      <c r="AO67" s="256"/>
    </row>
    <row r="68" ht="22.5" customHeight="1">
      <c r="A68" s="82" t="str">
        <f>'BASE DE DATOSS'!A66</f>
        <v>ARELY ESTEFANIA ROJAS ROBLADA</v>
      </c>
      <c r="B68" s="83" t="str">
        <f>'BASE DE DATOSS'!C66</f>
        <v>MATUTINO</v>
      </c>
      <c r="C68" s="263"/>
      <c r="D68" s="249"/>
      <c r="E68" s="250"/>
      <c r="F68" s="251"/>
      <c r="G68" s="262"/>
      <c r="H68" s="257"/>
      <c r="I68" s="249"/>
      <c r="J68" s="193" t="str">
        <f>IF(OR(ISBLANK($B68),ISBLANK($I68)),"",IFERROR(IF($I68&lt;=DATE('ESTADO CONTABLE'!$B$2,3,5),VLOOKUP($B68,COSTOS!$A$2:$B1014,2,FALSE)-150,VLOOKUP($B68,COSTOS!$A$2:$B1014,2,FALSE)),"No encontrado o error"))</f>
        <v/>
      </c>
      <c r="K68" s="264"/>
      <c r="L68" s="249"/>
      <c r="M68" s="189"/>
      <c r="N68" s="264"/>
      <c r="O68" s="249"/>
      <c r="P68" s="250"/>
      <c r="Q68" s="264"/>
      <c r="R68" s="249"/>
      <c r="S68" s="250"/>
      <c r="T68" s="264"/>
      <c r="U68" s="249"/>
      <c r="V68" s="250"/>
      <c r="W68" s="264"/>
      <c r="X68" s="394"/>
      <c r="Y68" s="116" t="str">
        <f>IF(OR(ISBLANK($B68),ISBLANK($X68)),"",IFERROR(IF($X68&lt;=DATE('ESTADO CONTABLE'!$B$2,8,5),VLOOKUP($B68,COSTOS!$A$2:$B1014,2,FALSE)-150,VLOOKUP($B68,COSTOS!$A$2:$B1014,2,FALSE)),"No encontrado o error"))</f>
        <v/>
      </c>
      <c r="Z68" s="395"/>
      <c r="AA68" s="367">
        <v>46269.0</v>
      </c>
      <c r="AB68" s="118">
        <f>IF(OR(ISBLANK($B68),ISBLANK($AA68)),"",IFERROR(IF($AA68&lt;=DATE('ESTADO CONTABLE'!$B$2,9,5),VLOOKUP($B68,COSTOS!$A$2:$B1014,2,FALSE)-150,VLOOKUP($B68,COSTOS!$A$2:$B1014,2,FALSE)),"No encontrado o error"))</f>
        <v>950</v>
      </c>
      <c r="AC68" s="329" t="s">
        <v>128</v>
      </c>
      <c r="AD68" s="367">
        <v>46300.0</v>
      </c>
      <c r="AE68" s="116">
        <f>IF(OR(ISBLANK($B68),ISBLANK($AD68)),"",IFERROR(IF($AD68&lt;=DATE('ESTADO CONTABLE'!$B$2,10,5),VLOOKUP($B68,COSTOS!$A$2:$B1014,2,FALSE)-150,VLOOKUP($B68,COSTOS!$A$2:$B1014,2,FALSE)),"No encontrado o error"))</f>
        <v>950</v>
      </c>
      <c r="AF68" s="329" t="s">
        <v>128</v>
      </c>
      <c r="AG68" s="394"/>
      <c r="AH68" s="116" t="str">
        <f>IF(OR(ISBLANK($B68),ISBLANK($AG68)),"",IFERROR(IF($AG68&lt;=DATE('ESTADO CONTABLE'!$B$2,11,5),VLOOKUP($B68,COSTOS!$A$2:$B1014,2,FALSE)-150,VLOOKUP($B68,COSTOS!$A$2:$B1014,2,FALSE)),"No encontrado o error"))</f>
        <v/>
      </c>
      <c r="AI68" s="395"/>
      <c r="AJ68" s="394"/>
      <c r="AK68" s="116" t="str">
        <f>IF(OR(ISBLANK($B68),ISBLANK($AJ68)),"",IFERROR(IF($AJ68&lt;=DATE('ESTADO CONTABLE'!$B$2,12,5),VLOOKUP($B68,COSTOS!$A$2:$B1014,2,FALSE)-150,VLOOKUP($B68,COSTOS!$A$2:$B1014,2,FALSE)),"No encontrado o error"))</f>
        <v/>
      </c>
      <c r="AL68" s="395"/>
      <c r="AM68" s="254"/>
      <c r="AN68" s="255"/>
      <c r="AO68" s="256"/>
    </row>
    <row r="69" ht="22.5" customHeight="1">
      <c r="A69" s="82" t="str">
        <f>'BASE DE DATOSS'!A67</f>
        <v>TANIA ROMINA BENAVIDES VÁZQUEZ</v>
      </c>
      <c r="B69" s="83" t="str">
        <f>'BASE DE DATOSS'!C67</f>
        <v>SABATINO</v>
      </c>
      <c r="C69" s="263"/>
      <c r="D69" s="249"/>
      <c r="E69" s="250"/>
      <c r="F69" s="251"/>
      <c r="G69" s="262"/>
      <c r="H69" s="257"/>
      <c r="I69" s="249"/>
      <c r="J69" s="193" t="str">
        <f>IF(OR(ISBLANK($B69),ISBLANK($I69)),"",IFERROR(IF($I69&lt;=DATE('ESTADO CONTABLE'!$B$2,3,5),VLOOKUP($B69,COSTOS!$A$2:$B1014,2,FALSE)-150,VLOOKUP($B69,COSTOS!$A$2:$B1014,2,FALSE)),"No encontrado o error"))</f>
        <v/>
      </c>
      <c r="K69" s="264"/>
      <c r="L69" s="249"/>
      <c r="M69" s="189"/>
      <c r="N69" s="264"/>
      <c r="O69" s="249"/>
      <c r="P69" s="250"/>
      <c r="Q69" s="264"/>
      <c r="R69" s="249"/>
      <c r="S69" s="250"/>
      <c r="T69" s="264"/>
      <c r="U69" s="249"/>
      <c r="V69" s="250"/>
      <c r="W69" s="264"/>
      <c r="X69" s="394"/>
      <c r="Y69" s="116" t="str">
        <f>IF(OR(ISBLANK($B69),ISBLANK($X69)),"",IFERROR(IF($X69&lt;=DATE('ESTADO CONTABLE'!$B$2,8,5),VLOOKUP($B69,COSTOS!$A$2:$B1014,2,FALSE)-150,VLOOKUP($B69,COSTOS!$A$2:$B1014,2,FALSE)),"No encontrado o error"))</f>
        <v/>
      </c>
      <c r="Z69" s="395"/>
      <c r="AA69" s="367">
        <v>46268.0</v>
      </c>
      <c r="AB69" s="118">
        <f>IF(OR(ISBLANK($B69),ISBLANK($AA69)),"",IFERROR(IF($AA69&lt;=DATE('ESTADO CONTABLE'!$B$2,9,5),VLOOKUP($B69,COSTOS!$A$2:$B1014,2,FALSE)-150,VLOOKUP($B69,COSTOS!$A$2:$B1014,2,FALSE)),"No encontrado o error"))</f>
        <v>550</v>
      </c>
      <c r="AC69" s="329" t="s">
        <v>128</v>
      </c>
      <c r="AD69" s="367">
        <v>46299.0</v>
      </c>
      <c r="AE69" s="116">
        <f>IF(OR(ISBLANK($B69),ISBLANK($AD69)),"",IFERROR(IF($AD69&lt;=DATE('ESTADO CONTABLE'!$B$2,10,5),VLOOKUP($B69,COSTOS!$A$2:$B1014,2,FALSE)-150,VLOOKUP($B69,COSTOS!$A$2:$B1014,2,FALSE)),"No encontrado o error"))</f>
        <v>550</v>
      </c>
      <c r="AF69" s="329" t="s">
        <v>128</v>
      </c>
      <c r="AG69" s="394"/>
      <c r="AH69" s="116" t="str">
        <f>IF(OR(ISBLANK($B69),ISBLANK($AG69)),"",IFERROR(IF($AG69&lt;=DATE('ESTADO CONTABLE'!$B$2,11,5),VLOOKUP($B69,COSTOS!$A$2:$B1014,2,FALSE)-150,VLOOKUP($B69,COSTOS!$A$2:$B1014,2,FALSE)),"No encontrado o error"))</f>
        <v/>
      </c>
      <c r="AI69" s="395"/>
      <c r="AJ69" s="394"/>
      <c r="AK69" s="116" t="str">
        <f>IF(OR(ISBLANK($B69),ISBLANK($AJ69)),"",IFERROR(IF($AJ69&lt;=DATE('ESTADO CONTABLE'!$B$2,12,5),VLOOKUP($B69,COSTOS!$A$2:$B1014,2,FALSE)-150,VLOOKUP($B69,COSTOS!$A$2:$B1014,2,FALSE)),"No encontrado o error"))</f>
        <v/>
      </c>
      <c r="AL69" s="395"/>
      <c r="AM69" s="254"/>
      <c r="AN69" s="255"/>
      <c r="AO69" s="256"/>
    </row>
    <row r="70" ht="22.5" customHeight="1">
      <c r="A70" s="82" t="str">
        <f>'BASE DE DATOSS'!A68</f>
        <v>RENATA VICTORIA AMARAL VENEGAS</v>
      </c>
      <c r="B70" s="83" t="str">
        <f>'BASE DE DATOSS'!C68</f>
        <v>KIDS 2</v>
      </c>
      <c r="C70" s="263" t="s">
        <v>435</v>
      </c>
      <c r="D70" s="249"/>
      <c r="E70" s="250"/>
      <c r="F70" s="251"/>
      <c r="G70" s="262"/>
      <c r="H70" s="257"/>
      <c r="I70" s="249"/>
      <c r="J70" s="193" t="str">
        <f>IF(OR(ISBLANK($B70),ISBLANK($I70)),"",IFERROR(IF($I70&lt;=DATE('ESTADO CONTABLE'!$B$2,3,5),VLOOKUP($B70,COSTOS!$A$2:$B1014,2,FALSE)-150,VLOOKUP($B70,COSTOS!$A$2:$B1014,2,FALSE)),"No encontrado o error"))</f>
        <v/>
      </c>
      <c r="K70" s="264"/>
      <c r="L70" s="249"/>
      <c r="M70" s="189"/>
      <c r="N70" s="264"/>
      <c r="O70" s="249"/>
      <c r="P70" s="250"/>
      <c r="Q70" s="264"/>
      <c r="R70" s="249"/>
      <c r="S70" s="250"/>
      <c r="T70" s="264"/>
      <c r="U70" s="249"/>
      <c r="V70" s="250"/>
      <c r="W70" s="264"/>
      <c r="X70" s="394"/>
      <c r="Y70" s="116" t="str">
        <f>IF(OR(ISBLANK($B70),ISBLANK($X70)),"",IFERROR(IF($X70&lt;=DATE('ESTADO CONTABLE'!$B$2,8,5),VLOOKUP($B70,COSTOS!$A$2:$B1014,2,FALSE)-150,VLOOKUP($B70,COSTOS!$A$2:$B1014,2,FALSE)),"No encontrado o error"))</f>
        <v/>
      </c>
      <c r="Z70" s="395"/>
      <c r="AA70" s="367">
        <v>46268.0</v>
      </c>
      <c r="AB70" s="118">
        <f>IF(OR(ISBLANK($B70),ISBLANK($AA70)),"",IFERROR(IF($AA70&lt;=DATE('ESTADO CONTABLE'!$B$2,9,5),VLOOKUP($B70,COSTOS!$A$2:$B1014,2,FALSE)-150,VLOOKUP($B70,COSTOS!$A$2:$B1014,2,FALSE)),"No encontrado o error"))</f>
        <v>800</v>
      </c>
      <c r="AC70" s="329" t="s">
        <v>137</v>
      </c>
      <c r="AD70" s="367">
        <v>46301.0</v>
      </c>
      <c r="AE70" s="116">
        <f>IF(OR(ISBLANK($B70),ISBLANK($AD70)),"",IFERROR(IF($AD70&lt;=DATE('ESTADO CONTABLE'!$B$2,10,5),VLOOKUP($B70,COSTOS!$A$2:$B1014,2,FALSE)-150,VLOOKUP($B70,COSTOS!$A$2:$B1014,2,FALSE)),"No encontrado o error"))</f>
        <v>950</v>
      </c>
      <c r="AF70" s="329" t="s">
        <v>137</v>
      </c>
      <c r="AG70" s="394"/>
      <c r="AH70" s="116" t="str">
        <f>IF(OR(ISBLANK($B70),ISBLANK($AG70)),"",IFERROR(IF($AG70&lt;=DATE('ESTADO CONTABLE'!$B$2,11,5),VLOOKUP($B70,COSTOS!$A$2:$B1014,2,FALSE)-150,VLOOKUP($B70,COSTOS!$A$2:$B1014,2,FALSE)),"No encontrado o error"))</f>
        <v/>
      </c>
      <c r="AI70" s="395"/>
      <c r="AJ70" s="394"/>
      <c r="AK70" s="116" t="str">
        <f>IF(OR(ISBLANK($B70),ISBLANK($AJ70)),"",IFERROR(IF($AJ70&lt;=DATE('ESTADO CONTABLE'!$B$2,12,5),VLOOKUP($B70,COSTOS!$A$2:$B1014,2,FALSE)-150,VLOOKUP($B70,COSTOS!$A$2:$B1014,2,FALSE)),"No encontrado o error"))</f>
        <v/>
      </c>
      <c r="AL70" s="395"/>
      <c r="AM70" s="254"/>
      <c r="AN70" s="255"/>
      <c r="AO70" s="256"/>
    </row>
    <row r="71" ht="22.5" customHeight="1">
      <c r="A71" s="82" t="str">
        <f>'BASE DE DATOSS'!A69</f>
        <v>DANIELA LIZETH DÍAZ VEGA </v>
      </c>
      <c r="B71" s="83" t="str">
        <f>'BASE DE DATOSS'!C69</f>
        <v>KIDS 3</v>
      </c>
      <c r="C71" s="263" t="s">
        <v>435</v>
      </c>
      <c r="D71" s="249"/>
      <c r="E71" s="250"/>
      <c r="F71" s="251"/>
      <c r="G71" s="262"/>
      <c r="H71" s="257"/>
      <c r="I71" s="249"/>
      <c r="J71" s="193" t="str">
        <f>IF(OR(ISBLANK($B71),ISBLANK($I71)),"",IFERROR(IF($I71&lt;=DATE('ESTADO CONTABLE'!$B$2,3,5),VLOOKUP($B71,COSTOS!$A$2:$B1014,2,FALSE)-150,VLOOKUP($B71,COSTOS!$A$2:$B1014,2,FALSE)),"No encontrado o error"))</f>
        <v/>
      </c>
      <c r="K71" s="264"/>
      <c r="L71" s="249"/>
      <c r="M71" s="189"/>
      <c r="N71" s="264"/>
      <c r="O71" s="249"/>
      <c r="P71" s="250"/>
      <c r="Q71" s="264"/>
      <c r="R71" s="249"/>
      <c r="S71" s="250"/>
      <c r="T71" s="264"/>
      <c r="U71" s="249"/>
      <c r="V71" s="250"/>
      <c r="W71" s="264"/>
      <c r="X71" s="394"/>
      <c r="Y71" s="116" t="str">
        <f>IF(OR(ISBLANK($B71),ISBLANK($X71)),"",IFERROR(IF($X71&lt;=DATE('ESTADO CONTABLE'!$B$2,8,5),VLOOKUP($B71,COSTOS!$A$2:$B1014,2,FALSE)-150,VLOOKUP($B71,COSTOS!$A$2:$B1014,2,FALSE)),"No encontrado o error"))</f>
        <v/>
      </c>
      <c r="Z71" s="395"/>
      <c r="AA71" s="367">
        <v>46268.0</v>
      </c>
      <c r="AB71" s="118">
        <f>IF(OR(ISBLANK($B71),ISBLANK($AA71)),"",IFERROR(IF($AA71&lt;=DATE('ESTADO CONTABLE'!$B$2,9,5),VLOOKUP($B71,COSTOS!$A$2:$B1014,2,FALSE)-150,VLOOKUP($B71,COSTOS!$A$2:$B1014,2,FALSE)),"No encontrado o error"))</f>
        <v>800</v>
      </c>
      <c r="AC71" s="329" t="s">
        <v>128</v>
      </c>
      <c r="AD71" s="367">
        <v>46300.0</v>
      </c>
      <c r="AE71" s="116">
        <f>IF(OR(ISBLANK($B71),ISBLANK($AD71)),"",IFERROR(IF($AD71&lt;=DATE('ESTADO CONTABLE'!$B$2,10,5),VLOOKUP($B71,COSTOS!$A$2:$B1014,2,FALSE)-150,VLOOKUP($B71,COSTOS!$A$2:$B1014,2,FALSE)),"No encontrado o error"))</f>
        <v>800</v>
      </c>
      <c r="AF71" s="329" t="s">
        <v>292</v>
      </c>
      <c r="AG71" s="394"/>
      <c r="AH71" s="116" t="str">
        <f>IF(OR(ISBLANK($B71),ISBLANK($AG71)),"",IFERROR(IF($AG71&lt;=DATE('ESTADO CONTABLE'!$B$2,11,5),VLOOKUP($B71,COSTOS!$A$2:$B1014,2,FALSE)-150,VLOOKUP($B71,COSTOS!$A$2:$B1014,2,FALSE)),"No encontrado o error"))</f>
        <v/>
      </c>
      <c r="AI71" s="395"/>
      <c r="AJ71" s="394"/>
      <c r="AK71" s="116" t="str">
        <f>IF(OR(ISBLANK($B71),ISBLANK($AJ71)),"",IFERROR(IF($AJ71&lt;=DATE('ESTADO CONTABLE'!$B$2,12,5),VLOOKUP($B71,COSTOS!$A$2:$B1014,2,FALSE)-150,VLOOKUP($B71,COSTOS!$A$2:$B1014,2,FALSE)),"No encontrado o error"))</f>
        <v/>
      </c>
      <c r="AL71" s="395"/>
      <c r="AM71" s="254"/>
      <c r="AN71" s="255"/>
      <c r="AO71" s="256"/>
    </row>
    <row r="72" ht="22.5" hidden="1" customHeight="1">
      <c r="A72" s="82" t="str">
        <f t="shared" ref="A72:B72" si="2">#REF!</f>
        <v>#REF!</v>
      </c>
      <c r="B72" s="83" t="str">
        <f t="shared" si="2"/>
        <v>#REF!</v>
      </c>
      <c r="C72" s="263"/>
      <c r="D72" s="249"/>
      <c r="E72" s="250"/>
      <c r="F72" s="251"/>
      <c r="G72" s="262"/>
      <c r="H72" s="257"/>
      <c r="I72" s="249"/>
      <c r="J72" s="193" t="str">
        <f>IF(OR(ISBLANK($B72),ISBLANK($I72)),"",IFERROR(IF($I72&lt;=DATE('ESTADO CONTABLE'!$B$2,3,5),VLOOKUP($B72,COSTOS!$A$2:$B1014,2,FALSE)-150,VLOOKUP($B72,COSTOS!$A$2:$B1014,2,FALSE)),"No encontrado o error"))</f>
        <v/>
      </c>
      <c r="K72" s="264"/>
      <c r="L72" s="249"/>
      <c r="M72" s="189"/>
      <c r="N72" s="264"/>
      <c r="O72" s="249"/>
      <c r="P72" s="250"/>
      <c r="Q72" s="264"/>
      <c r="R72" s="249"/>
      <c r="S72" s="250"/>
      <c r="T72" s="264"/>
      <c r="U72" s="249"/>
      <c r="V72" s="250"/>
      <c r="W72" s="264"/>
      <c r="X72" s="394"/>
      <c r="Y72" s="116" t="str">
        <f>IF(OR(ISBLANK($B72),ISBLANK($X72)),"",IFERROR(IF($X72&lt;=DATE('ESTADO CONTABLE'!$B$2,8,5),VLOOKUP($B72,COSTOS!$A$2:$B1014,2,FALSE)-150,VLOOKUP($B72,COSTOS!$A$2:$B1014,2,FALSE)),"No encontrado o error"))</f>
        <v/>
      </c>
      <c r="Z72" s="395"/>
      <c r="AA72" s="367">
        <v>46269.0</v>
      </c>
      <c r="AB72" s="118" t="str">
        <f>IF(OR(ISBLANK($B72),ISBLANK($AA72)),"",IFERROR(IF($AA72&lt;=DATE('ESTADO CONTABLE'!$B$2,9,5),VLOOKUP($B72,COSTOS!$A$2:$B1014,2,FALSE)-150,VLOOKUP($B72,COSTOS!$A$2:$B1014,2,FALSE)),"No encontrado o error"))</f>
        <v>No encontrado o error</v>
      </c>
      <c r="AC72" s="329" t="s">
        <v>128</v>
      </c>
      <c r="AD72" s="394"/>
      <c r="AE72" s="116" t="str">
        <f>IF(OR(ISBLANK($B72),ISBLANK($AD72)),"",IFERROR(IF($AD72&lt;=DATE('ESTADO CONTABLE'!$B$2,10,5),VLOOKUP($B72,COSTOS!$A$2:$B1014,2,FALSE)-150,VLOOKUP($B72,COSTOS!$A$2:$B1014,2,FALSE)),"No encontrado o error"))</f>
        <v/>
      </c>
      <c r="AF72" s="395"/>
      <c r="AG72" s="394"/>
      <c r="AH72" s="116" t="str">
        <f>IF(OR(ISBLANK($B72),ISBLANK($AG72)),"",IFERROR(IF($AG72&lt;=DATE('ESTADO CONTABLE'!$B$2,11,5),VLOOKUP($B72,COSTOS!$A$2:$B1014,2,FALSE)-150,VLOOKUP($B72,COSTOS!$A$2:$B1014,2,FALSE)),"No encontrado o error"))</f>
        <v/>
      </c>
      <c r="AI72" s="395"/>
      <c r="AJ72" s="394"/>
      <c r="AK72" s="116" t="str">
        <f>IF(OR(ISBLANK($B72),ISBLANK($AJ72)),"",IFERROR(IF($AJ72&lt;=DATE('ESTADO CONTABLE'!$B$2,12,5),VLOOKUP($B72,COSTOS!$A$2:$B1014,2,FALSE)-150,VLOOKUP($B72,COSTOS!$A$2:$B1014,2,FALSE)),"No encontrado o error"))</f>
        <v/>
      </c>
      <c r="AL72" s="395"/>
      <c r="AM72" s="254"/>
      <c r="AN72" s="255"/>
      <c r="AO72" s="256"/>
    </row>
    <row r="73" ht="22.5" customHeight="1">
      <c r="A73" s="82" t="str">
        <f>'BASE DE DATOSS'!A70</f>
        <v>MARIANA ESTRADA MONTES</v>
      </c>
      <c r="B73" s="83" t="str">
        <f>'BASE DE DATOSS'!C70</f>
        <v>1 DIA KIDS</v>
      </c>
      <c r="C73" s="263" t="s">
        <v>1034</v>
      </c>
      <c r="D73" s="249"/>
      <c r="E73" s="250"/>
      <c r="F73" s="251"/>
      <c r="G73" s="262"/>
      <c r="H73" s="257"/>
      <c r="I73" s="249"/>
      <c r="J73" s="193" t="str">
        <f>IF(OR(ISBLANK($B73),ISBLANK($I73)),"",IFERROR(IF($I73&lt;=DATE('ESTADO CONTABLE'!$B$2,3,5),VLOOKUP($B73,COSTOS!$A$2:$B1014,2,FALSE)-150,VLOOKUP($B73,COSTOS!$A$2:$B1014,2,FALSE)),"No encontrado o error"))</f>
        <v/>
      </c>
      <c r="K73" s="264"/>
      <c r="L73" s="249"/>
      <c r="M73" s="189"/>
      <c r="N73" s="264"/>
      <c r="O73" s="249"/>
      <c r="P73" s="250"/>
      <c r="Q73" s="264"/>
      <c r="R73" s="249"/>
      <c r="S73" s="250"/>
      <c r="T73" s="264"/>
      <c r="U73" s="249"/>
      <c r="V73" s="250"/>
      <c r="W73" s="264"/>
      <c r="X73" s="394"/>
      <c r="Y73" s="116" t="str">
        <f>IF(OR(ISBLANK($B73),ISBLANK($X73)),"",IFERROR(IF($X73&lt;=DATE('ESTADO CONTABLE'!$B$2,8,5),VLOOKUP($B73,COSTOS!$A$2:$B1014,2,FALSE)-150,VLOOKUP($B73,COSTOS!$A$2:$B1014,2,FALSE)),"No encontrado o error"))</f>
        <v/>
      </c>
      <c r="Z73" s="395"/>
      <c r="AA73" s="367">
        <v>46269.0</v>
      </c>
      <c r="AB73" s="118">
        <f>IF(OR(ISBLANK($B73),ISBLANK($AA73)),"",IFERROR(IF($AA73&lt;=DATE('ESTADO CONTABLE'!$B$2,9,5),VLOOKUP($B73,COSTOS!$A$2:$B1014,2,FALSE)-150,VLOOKUP($B73,COSTOS!$A$2:$B1014,2,FALSE)),"No encontrado o error"))</f>
        <v>400</v>
      </c>
      <c r="AC73" s="329" t="s">
        <v>137</v>
      </c>
      <c r="AD73" s="367">
        <v>46297.0</v>
      </c>
      <c r="AE73" s="116">
        <f>IF(OR(ISBLANK($B73),ISBLANK($AD73)),"",IFERROR(IF($AD73&lt;=DATE('ESTADO CONTABLE'!$B$2,10,5),VLOOKUP($B73,COSTOS!$A$2:$B1014,2,FALSE)-150,VLOOKUP($B73,COSTOS!$A$2:$B1014,2,FALSE)),"No encontrado o error"))</f>
        <v>400</v>
      </c>
      <c r="AF73" s="329" t="s">
        <v>137</v>
      </c>
      <c r="AG73" s="394"/>
      <c r="AH73" s="116" t="str">
        <f>IF(OR(ISBLANK($B73),ISBLANK($AG73)),"",IFERROR(IF($AG73&lt;=DATE('ESTADO CONTABLE'!$B$2,11,5),VLOOKUP($B73,COSTOS!$A$2:$B1014,2,FALSE)-150,VLOOKUP($B73,COSTOS!$A$2:$B1014,2,FALSE)),"No encontrado o error"))</f>
        <v/>
      </c>
      <c r="AI73" s="395"/>
      <c r="AJ73" s="394"/>
      <c r="AK73" s="116" t="str">
        <f>IF(OR(ISBLANK($B73),ISBLANK($AJ73)),"",IFERROR(IF($AJ73&lt;=DATE('ESTADO CONTABLE'!$B$2,12,5),VLOOKUP($B73,COSTOS!$A$2:$B1014,2,FALSE)-150,VLOOKUP($B73,COSTOS!$A$2:$B1014,2,FALSE)),"No encontrado o error"))</f>
        <v/>
      </c>
      <c r="AL73" s="395"/>
      <c r="AM73" s="254"/>
      <c r="AN73" s="255"/>
      <c r="AO73" s="256"/>
    </row>
    <row r="74" ht="22.5" hidden="1" customHeight="1">
      <c r="A74" s="82" t="str">
        <f t="shared" ref="A74:B74" si="3">#REF!</f>
        <v>#REF!</v>
      </c>
      <c r="B74" s="83" t="str">
        <f t="shared" si="3"/>
        <v>#REF!</v>
      </c>
      <c r="C74" s="263"/>
      <c r="D74" s="249"/>
      <c r="E74" s="250"/>
      <c r="F74" s="251"/>
      <c r="G74" s="262"/>
      <c r="H74" s="257"/>
      <c r="I74" s="249"/>
      <c r="J74" s="193" t="str">
        <f>IF(OR(ISBLANK($B74),ISBLANK($I74)),"",IFERROR(IF($I74&lt;=DATE('ESTADO CONTABLE'!$B$2,3,5),VLOOKUP($B74,COSTOS!$A$2:$B1014,2,FALSE)-150,VLOOKUP($B74,COSTOS!$A$2:$B1014,2,FALSE)),"No encontrado o error"))</f>
        <v/>
      </c>
      <c r="K74" s="264"/>
      <c r="L74" s="249"/>
      <c r="M74" s="189"/>
      <c r="N74" s="264"/>
      <c r="O74" s="249"/>
      <c r="P74" s="250"/>
      <c r="Q74" s="264"/>
      <c r="R74" s="249"/>
      <c r="S74" s="250"/>
      <c r="T74" s="264"/>
      <c r="U74" s="249"/>
      <c r="V74" s="250"/>
      <c r="W74" s="264"/>
      <c r="X74" s="394"/>
      <c r="Y74" s="116" t="str">
        <f>IF(OR(ISBLANK($B74),ISBLANK($X74)),"",IFERROR(IF($X74&lt;=DATE('ESTADO CONTABLE'!$B$2,8,5),VLOOKUP($B74,COSTOS!$A$2:$B1014,2,FALSE)-150,VLOOKUP($B74,COSTOS!$A$2:$B1014,2,FALSE)),"No encontrado o error"))</f>
        <v/>
      </c>
      <c r="Z74" s="395"/>
      <c r="AA74" s="367">
        <v>46270.0</v>
      </c>
      <c r="AB74" s="118" t="str">
        <f>IF(OR(ISBLANK($B74),ISBLANK($AA74)),"",IFERROR(IF($AA74&lt;=DATE('ESTADO CONTABLE'!$B$2,9,5),VLOOKUP($B74,COSTOS!$A$2:$B1014,2,FALSE)-150,VLOOKUP($B74,COSTOS!$A$2:$B1014,2,FALSE)),"No encontrado o error"))</f>
        <v>No encontrado o error</v>
      </c>
      <c r="AC74" s="329" t="s">
        <v>137</v>
      </c>
      <c r="AD74" s="394"/>
      <c r="AE74" s="116" t="str">
        <f>IF(OR(ISBLANK($B74),ISBLANK($AD74)),"",IFERROR(IF($AD74&lt;=DATE('ESTADO CONTABLE'!$B$2,10,5),VLOOKUP($B74,COSTOS!$A$2:$B1014,2,FALSE)-150,VLOOKUP($B74,COSTOS!$A$2:$B1014,2,FALSE)),"No encontrado o error"))</f>
        <v/>
      </c>
      <c r="AF74" s="395"/>
      <c r="AG74" s="394"/>
      <c r="AH74" s="116" t="str">
        <f>IF(OR(ISBLANK($B74),ISBLANK($AG74)),"",IFERROR(IF($AG74&lt;=DATE('ESTADO CONTABLE'!$B$2,11,5),VLOOKUP($B74,COSTOS!$A$2:$B1014,2,FALSE)-150,VLOOKUP($B74,COSTOS!$A$2:$B1014,2,FALSE)),"No encontrado o error"))</f>
        <v/>
      </c>
      <c r="AI74" s="395"/>
      <c r="AJ74" s="394"/>
      <c r="AK74" s="116" t="str">
        <f>IF(OR(ISBLANK($B74),ISBLANK($AJ74)),"",IFERROR(IF($AJ74&lt;=DATE('ESTADO CONTABLE'!$B$2,12,5),VLOOKUP($B74,COSTOS!$A$2:$B1014,2,FALSE)-150,VLOOKUP($B74,COSTOS!$A$2:$B1014,2,FALSE)),"No encontrado o error"))</f>
        <v/>
      </c>
      <c r="AL74" s="395"/>
      <c r="AM74" s="254"/>
      <c r="AN74" s="255"/>
      <c r="AO74" s="256"/>
    </row>
    <row r="75" ht="22.5" customHeight="1">
      <c r="A75" s="82" t="str">
        <f>'BASE DE DATOSS'!A71</f>
        <v>MIREYA SAMANTHA LOPEZ GUEVARA</v>
      </c>
      <c r="B75" s="83" t="str">
        <f>'BASE DE DATOSS'!C71</f>
        <v>ADULTS 2</v>
      </c>
      <c r="C75" s="263"/>
      <c r="D75" s="249"/>
      <c r="E75" s="250"/>
      <c r="F75" s="251"/>
      <c r="G75" s="262"/>
      <c r="H75" s="257"/>
      <c r="I75" s="249"/>
      <c r="J75" s="193" t="str">
        <f>IF(OR(ISBLANK($B75),ISBLANK($I75)),"",IFERROR(IF($I75&lt;=DATE('ESTADO CONTABLE'!$B$2,3,5),VLOOKUP($B75,COSTOS!$A$2:$B1014,2,FALSE)-150,VLOOKUP($B75,COSTOS!$A$2:$B1014,2,FALSE)),"No encontrado o error"))</f>
        <v/>
      </c>
      <c r="K75" s="264"/>
      <c r="L75" s="249"/>
      <c r="M75" s="189"/>
      <c r="N75" s="264"/>
      <c r="O75" s="249"/>
      <c r="P75" s="250"/>
      <c r="Q75" s="264"/>
      <c r="R75" s="249"/>
      <c r="S75" s="250"/>
      <c r="T75" s="264"/>
      <c r="U75" s="249"/>
      <c r="V75" s="250"/>
      <c r="W75" s="264"/>
      <c r="X75" s="394"/>
      <c r="Y75" s="429"/>
      <c r="Z75" s="395"/>
      <c r="AA75" s="367">
        <v>46272.0</v>
      </c>
      <c r="AB75" s="118">
        <f>IF(OR(ISBLANK($B75),ISBLANK($AA75)),"",IFERROR(IF($AA75&lt;=DATE('ESTADO CONTABLE'!$B$2,9,5),VLOOKUP($B75,COSTOS!$A$2:$B1014,2,FALSE)-150,VLOOKUP($B75,COSTOS!$A$2:$B1014,2,FALSE)),"No encontrado o error"))</f>
        <v>1100</v>
      </c>
      <c r="AC75" s="329" t="s">
        <v>128</v>
      </c>
      <c r="AD75" s="367">
        <v>46300.0</v>
      </c>
      <c r="AE75" s="429">
        <f>IF(OR(ISBLANK($B75),ISBLANK($AD75)),"",IFERROR(IF($AD75&lt;=DATE('ESTADO CONTABLE'!$B$2,10,5),VLOOKUP($B75,COSTOS!$A$2:$B1014,2,FALSE)-150,VLOOKUP($B75,COSTOS!$A$2:$B1014,2,FALSE)),"No encontrado o error"))</f>
        <v>950</v>
      </c>
      <c r="AF75" s="329" t="s">
        <v>128</v>
      </c>
      <c r="AG75" s="394"/>
      <c r="AH75" s="429" t="str">
        <f>IF(OR(ISBLANK($B75),ISBLANK($AG75)),"",IFERROR(IF($AG75&lt;=DATE('ESTADO CONTABLE'!$B$2,11,5),VLOOKUP($B75,COSTOS!$A$2:$B1014,2,FALSE)-150,VLOOKUP($B75,COSTOS!$A$2:$B1014,2,FALSE)),"No encontrado o error"))</f>
        <v/>
      </c>
      <c r="AI75" s="395"/>
      <c r="AJ75" s="394"/>
      <c r="AK75" s="429" t="str">
        <f>IF(OR(ISBLANK($B75),ISBLANK($AJ75)),"",IFERROR(IF($AJ75&lt;=DATE('ESTADO CONTABLE'!$B$2,12,5),VLOOKUP($B75,COSTOS!$A$2:$B1014,2,FALSE)-150,VLOOKUP($B75,COSTOS!$A$2:$B1014,2,FALSE)),"No encontrado o error"))</f>
        <v/>
      </c>
      <c r="AL75" s="395"/>
      <c r="AM75" s="254"/>
      <c r="AN75" s="255"/>
      <c r="AO75" s="256"/>
    </row>
    <row r="76" ht="22.5" customHeight="1">
      <c r="A76" s="82" t="str">
        <f>'BASE DE DATOSS'!A72</f>
        <v>ALEXA KARELLI VALDOVINOS IÑIGUEZ</v>
      </c>
      <c r="B76" s="83" t="str">
        <f>'BASE DE DATOSS'!C72</f>
        <v>1 DIA KIDS</v>
      </c>
      <c r="C76" s="263" t="s">
        <v>1092</v>
      </c>
      <c r="D76" s="249"/>
      <c r="E76" s="250"/>
      <c r="F76" s="251"/>
      <c r="G76" s="262"/>
      <c r="H76" s="257"/>
      <c r="I76" s="249"/>
      <c r="J76" s="193" t="str">
        <f>IF(OR(ISBLANK($B76),ISBLANK($I76)),"",IFERROR(IF($I76&lt;=DATE('ESTADO CONTABLE'!$B$2,3,5),VLOOKUP($B76,COSTOS!$A$2:$B1014,2,FALSE)-150,VLOOKUP($B76,COSTOS!$A$2:$B1014,2,FALSE)),"No encontrado o error"))</f>
        <v/>
      </c>
      <c r="K76" s="264"/>
      <c r="L76" s="249"/>
      <c r="M76" s="189"/>
      <c r="N76" s="264"/>
      <c r="O76" s="249"/>
      <c r="P76" s="250"/>
      <c r="Q76" s="264"/>
      <c r="R76" s="249"/>
      <c r="S76" s="250"/>
      <c r="T76" s="264"/>
      <c r="U76" s="249"/>
      <c r="V76" s="250"/>
      <c r="W76" s="264"/>
      <c r="X76" s="394"/>
      <c r="Y76" s="429"/>
      <c r="Z76" s="395"/>
      <c r="AA76" s="367">
        <v>46273.0</v>
      </c>
      <c r="AB76" s="118">
        <f>IF(OR(ISBLANK($B76),ISBLANK($AA76)),"",IFERROR(IF($AA76&lt;=DATE('ESTADO CONTABLE'!$B$2,9,5),VLOOKUP($B76,COSTOS!$A$2:$B1014,2,FALSE)-150,VLOOKUP($B76,COSTOS!$A$2:$B1014,2,FALSE)),"No encontrado o error"))</f>
        <v>550</v>
      </c>
      <c r="AC76" s="329" t="s">
        <v>137</v>
      </c>
      <c r="AD76" s="367">
        <v>46300.0</v>
      </c>
      <c r="AE76" s="429">
        <f>IF(OR(ISBLANK($B76),ISBLANK($AD76)),"",IFERROR(IF($AD76&lt;=DATE('ESTADO CONTABLE'!$B$2,10,5),VLOOKUP($B76,COSTOS!$A$2:$B1014,2,FALSE)-150,VLOOKUP($B76,COSTOS!$A$2:$B1014,2,FALSE)),"No encontrado o error"))</f>
        <v>400</v>
      </c>
      <c r="AF76" s="329" t="s">
        <v>128</v>
      </c>
      <c r="AG76" s="394"/>
      <c r="AH76" s="429" t="str">
        <f>IF(OR(ISBLANK($B76),ISBLANK($AG76)),"",IFERROR(IF($AG76&lt;=DATE('ESTADO CONTABLE'!$B$2,11,5),VLOOKUP($B76,COSTOS!$A$2:$B1014,2,FALSE)-150,VLOOKUP($B76,COSTOS!$A$2:$B1014,2,FALSE)),"No encontrado o error"))</f>
        <v/>
      </c>
      <c r="AI76" s="395"/>
      <c r="AJ76" s="394"/>
      <c r="AK76" s="429" t="str">
        <f>IF(OR(ISBLANK($B76),ISBLANK($AJ76)),"",IFERROR(IF($AJ76&lt;=DATE('ESTADO CONTABLE'!$B$2,12,5),VLOOKUP($B76,COSTOS!$A$2:$B1014,2,FALSE)-150,VLOOKUP($B76,COSTOS!$A$2:$B1014,2,FALSE)),"No encontrado o error"))</f>
        <v/>
      </c>
      <c r="AL76" s="395"/>
      <c r="AM76" s="254"/>
      <c r="AN76" s="255"/>
      <c r="AO76" s="256"/>
    </row>
    <row r="77" ht="22.5" customHeight="1">
      <c r="A77" s="82" t="str">
        <f>'BASE DE DATOSS'!A73</f>
        <v>MIRANDA VALENTINA HERNÁNDEZ CERVANTES</v>
      </c>
      <c r="B77" s="83" t="str">
        <f>'BASE DE DATOSS'!C73</f>
        <v>JR 1</v>
      </c>
      <c r="C77" s="263" t="s">
        <v>1034</v>
      </c>
      <c r="D77" s="249"/>
      <c r="E77" s="250"/>
      <c r="F77" s="251"/>
      <c r="G77" s="262"/>
      <c r="H77" s="257"/>
      <c r="I77" s="249"/>
      <c r="J77" s="193" t="str">
        <f>IF(OR(ISBLANK($B77),ISBLANK($I77)),"",IFERROR(IF($I77&lt;=DATE('ESTADO CONTABLE'!$B$2,3,5),VLOOKUP($B77,COSTOS!$A$2:$B1014,2,FALSE)-150,VLOOKUP($B77,COSTOS!$A$2:$B1014,2,FALSE)),"No encontrado o error"))</f>
        <v/>
      </c>
      <c r="K77" s="264"/>
      <c r="L77" s="249"/>
      <c r="M77" s="189"/>
      <c r="N77" s="264"/>
      <c r="O77" s="249"/>
      <c r="P77" s="250"/>
      <c r="Q77" s="264"/>
      <c r="R77" s="249"/>
      <c r="S77" s="250"/>
      <c r="T77" s="264"/>
      <c r="U77" s="249"/>
      <c r="V77" s="250"/>
      <c r="W77" s="264"/>
      <c r="X77" s="394"/>
      <c r="Y77" s="429"/>
      <c r="Z77" s="395"/>
      <c r="AA77" s="367">
        <v>46274.0</v>
      </c>
      <c r="AB77" s="118">
        <v>916.0</v>
      </c>
      <c r="AC77" s="329" t="s">
        <v>128</v>
      </c>
      <c r="AD77" s="394"/>
      <c r="AE77" s="429" t="str">
        <f>IF(OR(ISBLANK($B77),ISBLANK($AD77)),"",IFERROR(IF($AD77&lt;=DATE('ESTADO CONTABLE'!$B$2,10,5),VLOOKUP($B77,COSTOS!$A$2:$B1014,2,FALSE)-150,VLOOKUP($B77,COSTOS!$A$2:$B1014,2,FALSE)),"No encontrado o error"))</f>
        <v/>
      </c>
      <c r="AF77" s="395"/>
      <c r="AG77" s="394"/>
      <c r="AH77" s="429" t="str">
        <f>IF(OR(ISBLANK($B77),ISBLANK($AG77)),"",IFERROR(IF($AG77&lt;=DATE('ESTADO CONTABLE'!$B$2,11,5),VLOOKUP($B77,COSTOS!$A$2:$B1014,2,FALSE)-150,VLOOKUP($B77,COSTOS!$A$2:$B1014,2,FALSE)),"No encontrado o error"))</f>
        <v/>
      </c>
      <c r="AI77" s="395"/>
      <c r="AJ77" s="394"/>
      <c r="AK77" s="429" t="str">
        <f>IF(OR(ISBLANK($B77),ISBLANK($AJ77)),"",IFERROR(IF($AJ77&lt;=DATE('ESTADO CONTABLE'!$B$2,12,5),VLOOKUP($B77,COSTOS!$A$2:$B1014,2,FALSE)-150,VLOOKUP($B77,COSTOS!$A$2:$B1014,2,FALSE)),"No encontrado o error"))</f>
        <v/>
      </c>
      <c r="AL77" s="395"/>
      <c r="AM77" s="254"/>
      <c r="AN77" s="255"/>
      <c r="AO77" s="256"/>
    </row>
    <row r="78" ht="22.5" customHeight="1">
      <c r="A78" s="82" t="str">
        <f>'BASE DE DATOSS'!A74</f>
        <v>JOHARI ODDETE MURGUIA VELASCO </v>
      </c>
      <c r="B78" s="83" t="str">
        <f>'BASE DE DATOSS'!C74</f>
        <v>KIDS 2</v>
      </c>
      <c r="C78" s="263" t="s">
        <v>1034</v>
      </c>
      <c r="D78" s="249"/>
      <c r="E78" s="250"/>
      <c r="F78" s="251"/>
      <c r="G78" s="262"/>
      <c r="H78" s="257"/>
      <c r="I78" s="249"/>
      <c r="J78" s="193" t="str">
        <f>IF(OR(ISBLANK($B78),ISBLANK($I78)),"",IFERROR(IF($I78&lt;=DATE('ESTADO CONTABLE'!$B$2,3,5),VLOOKUP($B78,COSTOS!$A$2:$B1014,2,FALSE)-150,VLOOKUP($B78,COSTOS!$A$2:$B1014,2,FALSE)),"No encontrado o error"))</f>
        <v/>
      </c>
      <c r="K78" s="264"/>
      <c r="L78" s="249"/>
      <c r="M78" s="189"/>
      <c r="N78" s="264"/>
      <c r="O78" s="249"/>
      <c r="P78" s="250"/>
      <c r="Q78" s="264"/>
      <c r="R78" s="249"/>
      <c r="S78" s="250"/>
      <c r="T78" s="264"/>
      <c r="U78" s="249"/>
      <c r="V78" s="250"/>
      <c r="W78" s="264"/>
      <c r="X78" s="394"/>
      <c r="Y78" s="429"/>
      <c r="Z78" s="395"/>
      <c r="AA78" s="367">
        <v>46275.0</v>
      </c>
      <c r="AB78" s="207">
        <v>830.0</v>
      </c>
      <c r="AC78" s="329" t="s">
        <v>292</v>
      </c>
      <c r="AD78" s="394"/>
      <c r="AE78" s="429" t="str">
        <f>IF(OR(ISBLANK($B78),ISBLANK($AD78)),"",IFERROR(IF($AD78&lt;=DATE('ESTADO CONTABLE'!$B$2,10,5),VLOOKUP($B78,COSTOS!$A$2:$B1014,2,FALSE)-150,VLOOKUP($B78,COSTOS!$A$2:$B1014,2,FALSE)),"No encontrado o error"))</f>
        <v/>
      </c>
      <c r="AF78" s="395"/>
      <c r="AG78" s="394"/>
      <c r="AH78" s="429" t="str">
        <f>IF(OR(ISBLANK($B78),ISBLANK($AG78)),"",IFERROR(IF($AG78&lt;=DATE('ESTADO CONTABLE'!$B$2,11,5),VLOOKUP($B78,COSTOS!$A$2:$B1014,2,FALSE)-150,VLOOKUP($B78,COSTOS!$A$2:$B1014,2,FALSE)),"No encontrado o error"))</f>
        <v/>
      </c>
      <c r="AI78" s="395"/>
      <c r="AJ78" s="394"/>
      <c r="AK78" s="429" t="str">
        <f>IF(OR(ISBLANK($B78),ISBLANK($AJ78)),"",IFERROR(IF($AJ78&lt;=DATE('ESTADO CONTABLE'!$B$2,12,5),VLOOKUP($B78,COSTOS!$A$2:$B1014,2,FALSE)-150,VLOOKUP($B78,COSTOS!$A$2:$B1014,2,FALSE)),"No encontrado o error"))</f>
        <v/>
      </c>
      <c r="AL78" s="395"/>
      <c r="AM78" s="254"/>
      <c r="AN78" s="255"/>
      <c r="AO78" s="256"/>
    </row>
    <row r="79" ht="22.5" customHeight="1">
      <c r="A79" s="82" t="str">
        <f>'BASE DE DATOSS'!A75</f>
        <v>LUNA TERESA PELAYO HERNANDEZ</v>
      </c>
      <c r="B79" s="83" t="str">
        <f>'BASE DE DATOSS'!C75</f>
        <v>SABATINO</v>
      </c>
      <c r="C79" s="263"/>
      <c r="D79" s="249"/>
      <c r="E79" s="250"/>
      <c r="F79" s="251"/>
      <c r="G79" s="262"/>
      <c r="H79" s="257"/>
      <c r="I79" s="249"/>
      <c r="J79" s="193" t="str">
        <f>IF(OR(ISBLANK($B79),ISBLANK($I79)),"",IFERROR(IF($I79&lt;=DATE('ESTADO CONTABLE'!$B$2,3,5),VLOOKUP($B79,COSTOS!$A$2:$B1014,2,FALSE)-150,VLOOKUP($B79,COSTOS!$A$2:$B1014,2,FALSE)),"No encontrado o error"))</f>
        <v/>
      </c>
      <c r="K79" s="264"/>
      <c r="L79" s="249"/>
      <c r="M79" s="189"/>
      <c r="N79" s="264"/>
      <c r="O79" s="249"/>
      <c r="P79" s="250"/>
      <c r="Q79" s="264"/>
      <c r="R79" s="249"/>
      <c r="S79" s="250"/>
      <c r="T79" s="264"/>
      <c r="U79" s="249"/>
      <c r="V79" s="250"/>
      <c r="W79" s="264"/>
      <c r="X79" s="394"/>
      <c r="Y79" s="429"/>
      <c r="Z79" s="395"/>
      <c r="AA79" s="367">
        <v>46277.0</v>
      </c>
      <c r="AB79" s="118">
        <f>IF(OR(ISBLANK($B79),ISBLANK($AA79)),"",IFERROR(IF($AA79&lt;=DATE('ESTADO CONTABLE'!$B$2,9,5),VLOOKUP($B79,COSTOS!$A$2:$B1014,2,FALSE)-150,VLOOKUP($B79,COSTOS!$A$2:$B1014,2,FALSE)),"No encontrado o error"))</f>
        <v>700</v>
      </c>
      <c r="AC79" s="329" t="s">
        <v>292</v>
      </c>
      <c r="AD79" s="367">
        <v>46291.0</v>
      </c>
      <c r="AE79" s="429">
        <f>IF(OR(ISBLANK($B79),ISBLANK($AD79)),"",IFERROR(IF($AD79&lt;=DATE('ESTADO CONTABLE'!$B$2,10,5),VLOOKUP($B79,COSTOS!$A$2:$B1014,2,FALSE)-150,VLOOKUP($B79,COSTOS!$A$2:$B1014,2,FALSE)),"No encontrado o error"))</f>
        <v>550</v>
      </c>
      <c r="AF79" s="329" t="s">
        <v>292</v>
      </c>
      <c r="AG79" s="394"/>
      <c r="AH79" s="429" t="str">
        <f>IF(OR(ISBLANK($B79),ISBLANK($AG79)),"",IFERROR(IF($AG79&lt;=DATE('ESTADO CONTABLE'!$B$2,11,5),VLOOKUP($B79,COSTOS!$A$2:$B1014,2,FALSE)-150,VLOOKUP($B79,COSTOS!$A$2:$B1014,2,FALSE)),"No encontrado o error"))</f>
        <v/>
      </c>
      <c r="AI79" s="395"/>
      <c r="AJ79" s="394"/>
      <c r="AK79" s="429" t="str">
        <f>IF(OR(ISBLANK($B79),ISBLANK($AJ79)),"",IFERROR(IF($AJ79&lt;=DATE('ESTADO CONTABLE'!$B$2,12,5),VLOOKUP($B79,COSTOS!$A$2:$B1014,2,FALSE)-150,VLOOKUP($B79,COSTOS!$A$2:$B1014,2,FALSE)),"No encontrado o error"))</f>
        <v/>
      </c>
      <c r="AL79" s="395"/>
      <c r="AM79" s="254"/>
      <c r="AN79" s="255"/>
      <c r="AO79" s="256"/>
    </row>
    <row r="80" ht="22.5" customHeight="1">
      <c r="A80" s="82" t="str">
        <f>'BASE DE DATOSS'!A76</f>
        <v>EDURNE TERRONES </v>
      </c>
      <c r="B80" s="83" t="str">
        <f>'BASE DE DATOSS'!C76</f>
        <v>ADULTS 2</v>
      </c>
      <c r="C80" s="263"/>
      <c r="D80" s="249"/>
      <c r="E80" s="250"/>
      <c r="F80" s="251"/>
      <c r="G80" s="262"/>
      <c r="H80" s="257"/>
      <c r="I80" s="249"/>
      <c r="J80" s="193" t="str">
        <f>IF(OR(ISBLANK($B80),ISBLANK($I80)),"",IFERROR(IF($I80&lt;=DATE('ESTADO CONTABLE'!$B$2,3,5),VLOOKUP($B80,COSTOS!$A$2:$B1014,2,FALSE)-150,VLOOKUP($B80,COSTOS!$A$2:$B1014,2,FALSE)),"No encontrado o error"))</f>
        <v/>
      </c>
      <c r="K80" s="264"/>
      <c r="L80" s="249"/>
      <c r="M80" s="189"/>
      <c r="N80" s="264"/>
      <c r="O80" s="249"/>
      <c r="P80" s="250"/>
      <c r="Q80" s="264"/>
      <c r="R80" s="249"/>
      <c r="S80" s="250"/>
      <c r="T80" s="264"/>
      <c r="U80" s="249"/>
      <c r="V80" s="250"/>
      <c r="W80" s="264"/>
      <c r="X80" s="394"/>
      <c r="Y80" s="429"/>
      <c r="Z80" s="395"/>
      <c r="AA80" s="367">
        <v>46282.0</v>
      </c>
      <c r="AB80" s="118">
        <f>IF(OR(ISBLANK($B80),ISBLANK($AA80)),"",IFERROR(IF($AA80&lt;=DATE('ESTADO CONTABLE'!$B$2,9,5),VLOOKUP($B80,COSTOS!$A$2:$B1014,2,FALSE)-150,VLOOKUP($B80,COSTOS!$A$2:$B1014,2,FALSE)),"No encontrado o error"))</f>
        <v>1100</v>
      </c>
      <c r="AC80" s="329" t="s">
        <v>128</v>
      </c>
      <c r="AD80" s="367">
        <v>46296.0</v>
      </c>
      <c r="AE80" s="429">
        <f>IF(OR(ISBLANK($B80),ISBLANK($AD80)),"",IFERROR(IF($AD80&lt;=DATE('ESTADO CONTABLE'!$B$2,10,5),VLOOKUP($B80,COSTOS!$A$2:$B1014,2,FALSE)-150,VLOOKUP($B80,COSTOS!$A$2:$B1014,2,FALSE)),"No encontrado o error"))</f>
        <v>950</v>
      </c>
      <c r="AF80" s="329" t="s">
        <v>292</v>
      </c>
      <c r="AG80" s="394"/>
      <c r="AH80" s="429" t="str">
        <f>IF(OR(ISBLANK($B80),ISBLANK($AG80)),"",IFERROR(IF($AG80&lt;=DATE('ESTADO CONTABLE'!$B$2,11,5),VLOOKUP($B80,COSTOS!$A$2:$B1014,2,FALSE)-150,VLOOKUP($B80,COSTOS!$A$2:$B1014,2,FALSE)),"No encontrado o error"))</f>
        <v/>
      </c>
      <c r="AI80" s="395"/>
      <c r="AJ80" s="394"/>
      <c r="AK80" s="429" t="str">
        <f>IF(OR(ISBLANK($B80),ISBLANK($AJ80)),"",IFERROR(IF($AJ80&lt;=DATE('ESTADO CONTABLE'!$B$2,12,5),VLOOKUP($B80,COSTOS!$A$2:$B1014,2,FALSE)-150,VLOOKUP($B80,COSTOS!$A$2:$B1014,2,FALSE)),"No encontrado o error"))</f>
        <v/>
      </c>
      <c r="AL80" s="395"/>
      <c r="AM80" s="254"/>
      <c r="AN80" s="255"/>
      <c r="AO80" s="256"/>
    </row>
    <row r="81" ht="22.5" customHeight="1">
      <c r="A81" s="82" t="str">
        <f>'BASE DE DATOSS'!A77</f>
        <v>NATALIA </v>
      </c>
      <c r="B81" s="83" t="str">
        <f>'BASE DE DATOSS'!C77</f>
        <v>KIDS 2</v>
      </c>
      <c r="C81" s="263" t="s">
        <v>1034</v>
      </c>
      <c r="D81" s="249"/>
      <c r="E81" s="250"/>
      <c r="F81" s="251"/>
      <c r="G81" s="262"/>
      <c r="H81" s="257"/>
      <c r="I81" s="249"/>
      <c r="J81" s="193" t="str">
        <f>IF(OR(ISBLANK($B81),ISBLANK($I81)),"",IFERROR(IF($I81&lt;=DATE('ESTADO CONTABLE'!$B$2,3,5),VLOOKUP($B81,COSTOS!$A$2:$B1014,2,FALSE)-150,VLOOKUP($B81,COSTOS!$A$2:$B1014,2,FALSE)),"No encontrado o error"))</f>
        <v/>
      </c>
      <c r="K81" s="264"/>
      <c r="L81" s="249"/>
      <c r="M81" s="189"/>
      <c r="N81" s="264"/>
      <c r="O81" s="249"/>
      <c r="P81" s="250"/>
      <c r="Q81" s="264"/>
      <c r="R81" s="249"/>
      <c r="S81" s="250"/>
      <c r="T81" s="264"/>
      <c r="U81" s="249"/>
      <c r="V81" s="250"/>
      <c r="W81" s="264"/>
      <c r="X81" s="394"/>
      <c r="Y81" s="429"/>
      <c r="Z81" s="395"/>
      <c r="AA81" s="367">
        <v>46286.0</v>
      </c>
      <c r="AB81" s="207">
        <v>475.0</v>
      </c>
      <c r="AC81" s="329" t="s">
        <v>292</v>
      </c>
      <c r="AD81" s="367">
        <v>46309.0</v>
      </c>
      <c r="AE81" s="430">
        <v>950.0</v>
      </c>
      <c r="AF81" s="331" t="s">
        <v>292</v>
      </c>
      <c r="AG81" s="394"/>
      <c r="AH81" s="429" t="str">
        <f>IF(OR(ISBLANK($B81),ISBLANK($AG81)),"",IFERROR(IF($AG81&lt;=DATE('ESTADO CONTABLE'!$B$2,11,5),VLOOKUP($B81,COSTOS!$A$2:$B1014,2,FALSE)-150,VLOOKUP($B81,COSTOS!$A$2:$B1014,2,FALSE)),"No encontrado o error"))</f>
        <v/>
      </c>
      <c r="AI81" s="395"/>
      <c r="AJ81" s="394"/>
      <c r="AK81" s="429" t="str">
        <f>IF(OR(ISBLANK($B81),ISBLANK($AJ81)),"",IFERROR(IF($AJ81&lt;=DATE('ESTADO CONTABLE'!$B$2,12,5),VLOOKUP($B81,COSTOS!$A$2:$B1014,2,FALSE)-150,VLOOKUP($B81,COSTOS!$A$2:$B1014,2,FALSE)),"No encontrado o error"))</f>
        <v/>
      </c>
      <c r="AL81" s="395"/>
      <c r="AM81" s="254"/>
      <c r="AN81" s="255"/>
      <c r="AO81" s="256"/>
    </row>
    <row r="82" ht="22.5" customHeight="1">
      <c r="A82" s="82" t="str">
        <f>'BASE DE DATOSS'!A78</f>
        <v>IVANNA  ESTEFANÍA SOTELO MACÍAS</v>
      </c>
      <c r="B82" s="83" t="str">
        <f>'BASE DE DATOSS'!C78</f>
        <v>ADULTS 1</v>
      </c>
      <c r="C82" s="263"/>
      <c r="D82" s="249"/>
      <c r="E82" s="250"/>
      <c r="F82" s="251"/>
      <c r="G82" s="262"/>
      <c r="H82" s="257"/>
      <c r="I82" s="249"/>
      <c r="J82" s="193" t="str">
        <f>IF(OR(ISBLANK($B82),ISBLANK($I82)),"",IFERROR(IF($I82&lt;=DATE('ESTADO CONTABLE'!$B$2,3,5),VLOOKUP($B82,COSTOS!$A$2:$B1014,2,FALSE)-150,VLOOKUP($B82,COSTOS!$A$2:$B1014,2,FALSE)),"No encontrado o error"))</f>
        <v/>
      </c>
      <c r="K82" s="264"/>
      <c r="L82" s="249"/>
      <c r="M82" s="189"/>
      <c r="N82" s="264"/>
      <c r="O82" s="249"/>
      <c r="P82" s="250"/>
      <c r="Q82" s="264"/>
      <c r="R82" s="249"/>
      <c r="S82" s="250"/>
      <c r="T82" s="264"/>
      <c r="U82" s="249"/>
      <c r="V82" s="250"/>
      <c r="W82" s="264"/>
      <c r="X82" s="394"/>
      <c r="Y82" s="429"/>
      <c r="Z82" s="395"/>
      <c r="AA82" s="367">
        <v>46287.0</v>
      </c>
      <c r="AB82" s="207">
        <v>550.0</v>
      </c>
      <c r="AC82" s="329" t="s">
        <v>137</v>
      </c>
      <c r="AD82" s="394"/>
      <c r="AE82" s="429" t="str">
        <f>IF(OR(ISBLANK($B82),ISBLANK($AD82)),"",IFERROR(IF($AD82&lt;=DATE('ESTADO CONTABLE'!$B$2,10,5),VLOOKUP($B82,COSTOS!$A$2:$B1014,2,FALSE)-150,VLOOKUP($B82,COSTOS!$A$2:$B1014,2,FALSE)),"No encontrado o error"))</f>
        <v/>
      </c>
      <c r="AF82" s="395"/>
      <c r="AG82" s="394"/>
      <c r="AH82" s="429" t="str">
        <f>IF(OR(ISBLANK($B82),ISBLANK($AG82)),"",IFERROR(IF($AG82&lt;=DATE('ESTADO CONTABLE'!$B$2,11,5),VLOOKUP($B82,COSTOS!$A$2:$B1014,2,FALSE)-150,VLOOKUP($B82,COSTOS!$A$2:$B1014,2,FALSE)),"No encontrado o error"))</f>
        <v/>
      </c>
      <c r="AI82" s="395"/>
      <c r="AJ82" s="394"/>
      <c r="AK82" s="429" t="str">
        <f>IF(OR(ISBLANK($B82),ISBLANK($AJ82)),"",IFERROR(IF($AJ82&lt;=DATE('ESTADO CONTABLE'!$B$2,12,5),VLOOKUP($B82,COSTOS!$A$2:$B1014,2,FALSE)-150,VLOOKUP($B82,COSTOS!$A$2:$B1014,2,FALSE)),"No encontrado o error"))</f>
        <v/>
      </c>
      <c r="AL82" s="395"/>
      <c r="AM82" s="254"/>
      <c r="AN82" s="255"/>
      <c r="AO82" s="256"/>
    </row>
    <row r="83" ht="22.5" customHeight="1">
      <c r="A83" s="431" t="str">
        <f>'BASE DE DATOSS'!A79</f>
        <v>Miranda Florentina Mora Alcalá</v>
      </c>
      <c r="B83" s="432" t="str">
        <f>'BASE DE DATOSS'!C79</f>
        <v>KIDS 1</v>
      </c>
      <c r="C83" s="263" t="s">
        <v>1269</v>
      </c>
      <c r="D83" s="249"/>
      <c r="E83" s="250"/>
      <c r="F83" s="251"/>
      <c r="G83" s="262"/>
      <c r="H83" s="257"/>
      <c r="I83" s="249"/>
      <c r="J83" s="193" t="str">
        <f>IF(OR(ISBLANK($B83),ISBLANK($I83)),"",IFERROR(IF($I83&lt;=DATE('ESTADO CONTABLE'!$B$2,3,5),VLOOKUP($B83,COSTOS!$A$2:$B1014,2,FALSE)-150,VLOOKUP($B83,COSTOS!$A$2:$B1014,2,FALSE)),"No encontrado o error"))</f>
        <v/>
      </c>
      <c r="K83" s="264"/>
      <c r="L83" s="249"/>
      <c r="M83" s="189"/>
      <c r="N83" s="264"/>
      <c r="O83" s="249"/>
      <c r="P83" s="250"/>
      <c r="Q83" s="264"/>
      <c r="R83" s="249"/>
      <c r="S83" s="250"/>
      <c r="T83" s="264"/>
      <c r="U83" s="249"/>
      <c r="V83" s="250"/>
      <c r="W83" s="264"/>
      <c r="X83" s="394"/>
      <c r="Y83" s="429"/>
      <c r="Z83" s="395"/>
      <c r="AA83" s="367">
        <v>46288.0</v>
      </c>
      <c r="AB83" s="207">
        <v>370.0</v>
      </c>
      <c r="AC83" s="329" t="s">
        <v>292</v>
      </c>
      <c r="AD83" s="367">
        <v>46307.0</v>
      </c>
      <c r="AE83" s="429">
        <f>IF(OR(ISBLANK($B83),ISBLANK($AD83)),"",IFERROR(IF($AD83&lt;=DATE('ESTADO CONTABLE'!$B$2,10,5),VLOOKUP($B83,COSTOS!$A$2:$B1014,2,FALSE)-150,VLOOKUP($B83,COSTOS!$A$2:$B1014,2,FALSE)),"No encontrado o error"))</f>
        <v>1100</v>
      </c>
      <c r="AF83" s="329" t="s">
        <v>128</v>
      </c>
      <c r="AG83" s="394"/>
      <c r="AH83" s="429" t="str">
        <f>IF(OR(ISBLANK($B83),ISBLANK($AG83)),"",IFERROR(IF($AG83&lt;=DATE('ESTADO CONTABLE'!$B$2,11,5),VLOOKUP($B83,COSTOS!$A$2:$B1014,2,FALSE)-150,VLOOKUP($B83,COSTOS!$A$2:$B1014,2,FALSE)),"No encontrado o error"))</f>
        <v/>
      </c>
      <c r="AI83" s="395"/>
      <c r="AJ83" s="394"/>
      <c r="AK83" s="429" t="str">
        <f>IF(OR(ISBLANK($B83),ISBLANK($AJ83)),"",IFERROR(IF($AJ83&lt;=DATE('ESTADO CONTABLE'!$B$2,12,5),VLOOKUP($B83,COSTOS!$A$2:$B1014,2,FALSE)-150,VLOOKUP($B83,COSTOS!$A$2:$B1014,2,FALSE)),"No encontrado o error"))</f>
        <v/>
      </c>
      <c r="AL83" s="395"/>
      <c r="AM83" s="254"/>
      <c r="AN83" s="255"/>
      <c r="AO83" s="256"/>
    </row>
    <row r="84" ht="22.5" customHeight="1">
      <c r="A84" s="431" t="str">
        <f>'BASE DE DATOSS'!A80</f>
        <v>ROMINA </v>
      </c>
      <c r="B84" s="432" t="str">
        <f>'BASE DE DATOSS'!C80</f>
        <v>1 DIA KIDS</v>
      </c>
      <c r="C84" s="263" t="s">
        <v>1289</v>
      </c>
      <c r="D84" s="249"/>
      <c r="E84" s="250"/>
      <c r="F84" s="251"/>
      <c r="G84" s="262"/>
      <c r="H84" s="257"/>
      <c r="I84" s="249"/>
      <c r="J84" s="193" t="str">
        <f>IF(OR(ISBLANK($B84),ISBLANK($I84)),"",IFERROR(IF($I84&lt;=DATE('ESTADO CONTABLE'!$B$2,3,5),VLOOKUP($B84,COSTOS!$A$2:$B1014,2,FALSE)-150,VLOOKUP($B84,COSTOS!$A$2:$B1014,2,FALSE)),"No encontrado o error"))</f>
        <v/>
      </c>
      <c r="K84" s="264"/>
      <c r="L84" s="249"/>
      <c r="M84" s="189"/>
      <c r="N84" s="264"/>
      <c r="O84" s="249"/>
      <c r="P84" s="250"/>
      <c r="Q84" s="264"/>
      <c r="R84" s="249"/>
      <c r="S84" s="250"/>
      <c r="T84" s="264"/>
      <c r="U84" s="249"/>
      <c r="V84" s="250"/>
      <c r="W84" s="264"/>
      <c r="X84" s="394"/>
      <c r="Y84" s="429"/>
      <c r="Z84" s="395"/>
      <c r="AA84" s="394"/>
      <c r="AB84" s="118" t="str">
        <f>IF(OR(ISBLANK($B84),ISBLANK($AA84)),"",IFERROR(IF($AA84&lt;=DATE('ESTADO CONTABLE'!$B$2,9,5),VLOOKUP($B84,COSTOS!$A$2:$B1014,2,FALSE)-150,VLOOKUP($B84,COSTOS!$A$2:$B1014,2,FALSE)),"No encontrado o error"))</f>
        <v/>
      </c>
      <c r="AC84" s="395"/>
      <c r="AD84" s="367">
        <v>46298.0</v>
      </c>
      <c r="AE84" s="429">
        <f>IF(OR(ISBLANK($B84),ISBLANK($AD84)),"",IFERROR(IF($AD84&lt;=DATE('ESTADO CONTABLE'!$B$2,10,5),VLOOKUP($B84,COSTOS!$A$2:$B1014,2,FALSE)-150,VLOOKUP($B84,COSTOS!$A$2:$B1014,2,FALSE)),"No encontrado o error"))</f>
        <v>400</v>
      </c>
      <c r="AF84" s="329" t="s">
        <v>137</v>
      </c>
      <c r="AG84" s="394"/>
      <c r="AH84" s="429" t="str">
        <f>IF(OR(ISBLANK($B84),ISBLANK($AG84)),"",IFERROR(IF($AG84&lt;=DATE('ESTADO CONTABLE'!$B$2,11,5),VLOOKUP($B84,COSTOS!$A$2:$B1014,2,FALSE)-150,VLOOKUP($B84,COSTOS!$A$2:$B1014,2,FALSE)),"No encontrado o error"))</f>
        <v/>
      </c>
      <c r="AI84" s="395"/>
      <c r="AJ84" s="394"/>
      <c r="AK84" s="429" t="str">
        <f>IF(OR(ISBLANK($B84),ISBLANK($AJ84)),"",IFERROR(IF($AJ84&lt;=DATE('ESTADO CONTABLE'!$B$2,12,5),VLOOKUP($B84,COSTOS!$A$2:$B1014,2,FALSE)-150,VLOOKUP($B84,COSTOS!$A$2:$B1014,2,FALSE)),"No encontrado o error"))</f>
        <v/>
      </c>
      <c r="AL84" s="395"/>
      <c r="AM84" s="254"/>
      <c r="AN84" s="255"/>
      <c r="AO84" s="256"/>
    </row>
    <row r="85" ht="22.5" customHeight="1">
      <c r="A85" s="431" t="str">
        <f>'BASE DE DATOSS'!A81</f>
        <v/>
      </c>
      <c r="B85" s="432" t="str">
        <f>'BASE DE DATOSS'!C81</f>
        <v/>
      </c>
      <c r="C85" s="263"/>
      <c r="D85" s="249"/>
      <c r="E85" s="250"/>
      <c r="F85" s="251"/>
      <c r="G85" s="262"/>
      <c r="H85" s="257"/>
      <c r="I85" s="249"/>
      <c r="J85" s="193" t="str">
        <f>IF(OR(ISBLANK($B85),ISBLANK($I85)),"",IFERROR(IF($I85&lt;=DATE('ESTADO CONTABLE'!$B$2,3,5),VLOOKUP($B85,COSTOS!$A$2:$B1014,2,FALSE)-150,VLOOKUP($B85,COSTOS!$A$2:$B1014,2,FALSE)),"No encontrado o error"))</f>
        <v/>
      </c>
      <c r="K85" s="264"/>
      <c r="L85" s="249"/>
      <c r="M85" s="189"/>
      <c r="N85" s="264"/>
      <c r="O85" s="249"/>
      <c r="P85" s="250"/>
      <c r="Q85" s="264"/>
      <c r="R85" s="249"/>
      <c r="S85" s="250"/>
      <c r="T85" s="264"/>
      <c r="U85" s="249"/>
      <c r="V85" s="250"/>
      <c r="W85" s="264"/>
      <c r="X85" s="394"/>
      <c r="Y85" s="429"/>
      <c r="Z85" s="395"/>
      <c r="AA85" s="394"/>
      <c r="AB85" s="118" t="str">
        <f>IF(OR(ISBLANK($B85),ISBLANK($AA85)),"",IFERROR(IF($AA85&lt;=DATE('ESTADO CONTABLE'!$B$2,9,5),VLOOKUP($B85,COSTOS!$A$2:$B1014,2,FALSE)-150,VLOOKUP($B85,COSTOS!$A$2:$B1014,2,FALSE)),"No encontrado o error"))</f>
        <v/>
      </c>
      <c r="AC85" s="395"/>
      <c r="AD85" s="394"/>
      <c r="AE85" s="429" t="str">
        <f>IF(OR(ISBLANK($B85),ISBLANK($AD85)),"",IFERROR(IF($AD85&lt;=DATE('ESTADO CONTABLE'!$B$2,10,5),VLOOKUP($B85,COSTOS!$A$2:$B1014,2,FALSE)-150,VLOOKUP($B85,COSTOS!$A$2:$B1014,2,FALSE)),"No encontrado o error"))</f>
        <v/>
      </c>
      <c r="AF85" s="395"/>
      <c r="AG85" s="394"/>
      <c r="AH85" s="429" t="str">
        <f>IF(OR(ISBLANK($B85),ISBLANK($AG85)),"",IFERROR(IF($AG85&lt;=DATE('ESTADO CONTABLE'!$B$2,11,5),VLOOKUP($B85,COSTOS!$A$2:$B1014,2,FALSE)-150,VLOOKUP($B85,COSTOS!$A$2:$B1014,2,FALSE)),"No encontrado o error"))</f>
        <v/>
      </c>
      <c r="AI85" s="395"/>
      <c r="AJ85" s="394"/>
      <c r="AK85" s="429" t="str">
        <f>IF(OR(ISBLANK($B85),ISBLANK($AJ85)),"",IFERROR(IF($AJ85&lt;=DATE('ESTADO CONTABLE'!$B$2,12,5),VLOOKUP($B85,COSTOS!$A$2:$B1014,2,FALSE)-150,VLOOKUP($B85,COSTOS!$A$2:$B1014,2,FALSE)),"No encontrado o error"))</f>
        <v/>
      </c>
      <c r="AL85" s="395"/>
      <c r="AM85" s="254"/>
      <c r="AN85" s="255"/>
      <c r="AO85" s="256"/>
    </row>
    <row r="86" ht="22.5" customHeight="1">
      <c r="A86" s="431" t="str">
        <f>'BASE DE DATOSS'!A82</f>
        <v/>
      </c>
      <c r="B86" s="432" t="str">
        <f>'BASE DE DATOSS'!C82</f>
        <v/>
      </c>
      <c r="C86" s="263"/>
      <c r="D86" s="249"/>
      <c r="E86" s="250"/>
      <c r="F86" s="251"/>
      <c r="G86" s="262"/>
      <c r="H86" s="257"/>
      <c r="I86" s="249"/>
      <c r="J86" s="193" t="str">
        <f>IF(OR(ISBLANK($B86),ISBLANK($I86)),"",IFERROR(IF($I86&lt;=DATE('ESTADO CONTABLE'!$B$2,3,5),VLOOKUP($B86,COSTOS!$A$2:$B1014,2,FALSE)-150,VLOOKUP($B86,COSTOS!$A$2:$B1014,2,FALSE)),"No encontrado o error"))</f>
        <v/>
      </c>
      <c r="K86" s="264"/>
      <c r="L86" s="249"/>
      <c r="M86" s="189"/>
      <c r="N86" s="264"/>
      <c r="O86" s="249"/>
      <c r="P86" s="250"/>
      <c r="Q86" s="264"/>
      <c r="R86" s="249"/>
      <c r="S86" s="250"/>
      <c r="T86" s="264"/>
      <c r="U86" s="249"/>
      <c r="V86" s="250"/>
      <c r="W86" s="264"/>
      <c r="X86" s="394"/>
      <c r="Y86" s="429"/>
      <c r="Z86" s="395"/>
      <c r="AA86" s="394"/>
      <c r="AB86" s="118" t="str">
        <f>IF(OR(ISBLANK($B86),ISBLANK($AA86)),"",IFERROR(IF($AA86&lt;=DATE('ESTADO CONTABLE'!$B$2,9,5),VLOOKUP($B86,COSTOS!$A$2:$B1014,2,FALSE)-150,VLOOKUP($B86,COSTOS!$A$2:$B1014,2,FALSE)),"No encontrado o error"))</f>
        <v/>
      </c>
      <c r="AC86" s="395"/>
      <c r="AD86" s="394"/>
      <c r="AE86" s="429" t="str">
        <f>IF(OR(ISBLANK($B86),ISBLANK($AD86)),"",IFERROR(IF($AD86&lt;=DATE('ESTADO CONTABLE'!$B$2,10,5),VLOOKUP($B86,COSTOS!$A$2:$B1014,2,FALSE)-150,VLOOKUP($B86,COSTOS!$A$2:$B1014,2,FALSE)),"No encontrado o error"))</f>
        <v/>
      </c>
      <c r="AF86" s="395"/>
      <c r="AG86" s="394"/>
      <c r="AH86" s="429" t="str">
        <f>IF(OR(ISBLANK($B86),ISBLANK($AG86)),"",IFERROR(IF($AG86&lt;=DATE('ESTADO CONTABLE'!$B$2,11,5),VLOOKUP($B86,COSTOS!$A$2:$B1014,2,FALSE)-150,VLOOKUP($B86,COSTOS!$A$2:$B1014,2,FALSE)),"No encontrado o error"))</f>
        <v/>
      </c>
      <c r="AI86" s="395"/>
      <c r="AJ86" s="394"/>
      <c r="AK86" s="429" t="str">
        <f>IF(OR(ISBLANK($B86),ISBLANK($AJ86)),"",IFERROR(IF($AJ86&lt;=DATE('ESTADO CONTABLE'!$B$2,12,5),VLOOKUP($B86,COSTOS!$A$2:$B1014,2,FALSE)-150,VLOOKUP($B86,COSTOS!$A$2:$B1014,2,FALSE)),"No encontrado o error"))</f>
        <v/>
      </c>
      <c r="AL86" s="395"/>
      <c r="AM86" s="254"/>
      <c r="AN86" s="255"/>
      <c r="AO86" s="256"/>
    </row>
    <row r="87" ht="22.5" customHeight="1">
      <c r="A87" s="431" t="str">
        <f>'BASE DE DATOSS'!A83</f>
        <v/>
      </c>
      <c r="B87" s="432" t="str">
        <f>'BASE DE DATOSS'!C83</f>
        <v/>
      </c>
      <c r="C87" s="263"/>
      <c r="D87" s="249"/>
      <c r="E87" s="250"/>
      <c r="F87" s="251"/>
      <c r="G87" s="262"/>
      <c r="H87" s="257"/>
      <c r="I87" s="249"/>
      <c r="J87" s="193" t="str">
        <f>IF(OR(ISBLANK($B87),ISBLANK($I87)),"",IFERROR(IF($I87&lt;=DATE('ESTADO CONTABLE'!$B$2,3,5),VLOOKUP($B87,COSTOS!$A$2:$B1014,2,FALSE)-150,VLOOKUP($B87,COSTOS!$A$2:$B1014,2,FALSE)),"No encontrado o error"))</f>
        <v/>
      </c>
      <c r="K87" s="264"/>
      <c r="L87" s="249"/>
      <c r="M87" s="189"/>
      <c r="N87" s="264"/>
      <c r="O87" s="249"/>
      <c r="P87" s="250"/>
      <c r="Q87" s="264"/>
      <c r="R87" s="249"/>
      <c r="S87" s="250"/>
      <c r="T87" s="264"/>
      <c r="U87" s="249"/>
      <c r="V87" s="250"/>
      <c r="W87" s="264"/>
      <c r="X87" s="394"/>
      <c r="Y87" s="429"/>
      <c r="Z87" s="395"/>
      <c r="AA87" s="394"/>
      <c r="AB87" s="118" t="str">
        <f>IF(OR(ISBLANK($B87),ISBLANK($AA87)),"",IFERROR(IF($AA87&lt;=DATE('ESTADO CONTABLE'!$B$2,9,5),VLOOKUP($B87,COSTOS!$A$2:$B1014,2,FALSE)-150,VLOOKUP($B87,COSTOS!$A$2:$B1014,2,FALSE)),"No encontrado o error"))</f>
        <v/>
      </c>
      <c r="AC87" s="395"/>
      <c r="AD87" s="394"/>
      <c r="AE87" s="429" t="str">
        <f>IF(OR(ISBLANK($B87),ISBLANK($AD87)),"",IFERROR(IF($AD87&lt;=DATE('ESTADO CONTABLE'!$B$2,10,5),VLOOKUP($B87,COSTOS!$A$2:$B1014,2,FALSE)-150,VLOOKUP($B87,COSTOS!$A$2:$B1014,2,FALSE)),"No encontrado o error"))</f>
        <v/>
      </c>
      <c r="AF87" s="395"/>
      <c r="AG87" s="394"/>
      <c r="AH87" s="429" t="str">
        <f>IF(OR(ISBLANK($B87),ISBLANK($AG87)),"",IFERROR(IF($AG87&lt;=DATE('ESTADO CONTABLE'!$B$2,11,5),VLOOKUP($B87,COSTOS!$A$2:$B1014,2,FALSE)-150,VLOOKUP($B87,COSTOS!$A$2:$B1014,2,FALSE)),"No encontrado o error"))</f>
        <v/>
      </c>
      <c r="AI87" s="395"/>
      <c r="AJ87" s="394"/>
      <c r="AK87" s="429" t="str">
        <f>IF(OR(ISBLANK($B87),ISBLANK($AJ87)),"",IFERROR(IF($AJ87&lt;=DATE('ESTADO CONTABLE'!$B$2,12,5),VLOOKUP($B87,COSTOS!$A$2:$B1014,2,FALSE)-150,VLOOKUP($B87,COSTOS!$A$2:$B1014,2,FALSE)),"No encontrado o error"))</f>
        <v/>
      </c>
      <c r="AL87" s="395"/>
      <c r="AM87" s="254"/>
      <c r="AN87" s="255"/>
      <c r="AO87" s="256"/>
    </row>
    <row r="88" ht="22.5" customHeight="1">
      <c r="A88" s="431" t="str">
        <f>'BASE DE DATOSS'!A84</f>
        <v/>
      </c>
      <c r="B88" s="432" t="str">
        <f>'BASE DE DATOSS'!C84</f>
        <v/>
      </c>
      <c r="C88" s="263"/>
      <c r="D88" s="249"/>
      <c r="E88" s="250"/>
      <c r="F88" s="251"/>
      <c r="G88" s="262"/>
      <c r="H88" s="257"/>
      <c r="I88" s="249"/>
      <c r="J88" s="193" t="str">
        <f>IF(OR(ISBLANK($B88),ISBLANK($I88)),"",IFERROR(IF($I88&lt;=DATE('ESTADO CONTABLE'!$B$2,3,5),VLOOKUP($B88,COSTOS!$A$2:$B1014,2,FALSE)-150,VLOOKUP($B88,COSTOS!$A$2:$B1014,2,FALSE)),"No encontrado o error"))</f>
        <v/>
      </c>
      <c r="K88" s="264"/>
      <c r="L88" s="249"/>
      <c r="M88" s="189"/>
      <c r="N88" s="264"/>
      <c r="O88" s="249"/>
      <c r="P88" s="250"/>
      <c r="Q88" s="264"/>
      <c r="R88" s="249"/>
      <c r="S88" s="250"/>
      <c r="T88" s="264"/>
      <c r="U88" s="249"/>
      <c r="V88" s="250"/>
      <c r="W88" s="264"/>
      <c r="X88" s="394"/>
      <c r="Y88" s="429"/>
      <c r="Z88" s="395"/>
      <c r="AA88" s="394"/>
      <c r="AB88" s="118" t="str">
        <f>IF(OR(ISBLANK($B88),ISBLANK($AA88)),"",IFERROR(IF($AA88&lt;=DATE('ESTADO CONTABLE'!$B$2,9,5),VLOOKUP($B88,COSTOS!$A$2:$B1014,2,FALSE)-150,VLOOKUP($B88,COSTOS!$A$2:$B1014,2,FALSE)),"No encontrado o error"))</f>
        <v/>
      </c>
      <c r="AC88" s="395"/>
      <c r="AD88" s="394"/>
      <c r="AE88" s="429" t="str">
        <f>IF(OR(ISBLANK($B88),ISBLANK($AD88)),"",IFERROR(IF($AD88&lt;=DATE('ESTADO CONTABLE'!$B$2,10,5),VLOOKUP($B88,COSTOS!$A$2:$B1014,2,FALSE)-150,VLOOKUP($B88,COSTOS!$A$2:$B1014,2,FALSE)),"No encontrado o error"))</f>
        <v/>
      </c>
      <c r="AF88" s="395"/>
      <c r="AG88" s="394"/>
      <c r="AH88" s="429" t="str">
        <f>IF(OR(ISBLANK($B88),ISBLANK($AG88)),"",IFERROR(IF($AG88&lt;=DATE('ESTADO CONTABLE'!$B$2,11,5),VLOOKUP($B88,COSTOS!$A$2:$B1014,2,FALSE)-150,VLOOKUP($B88,COSTOS!$A$2:$B1014,2,FALSE)),"No encontrado o error"))</f>
        <v/>
      </c>
      <c r="AI88" s="395"/>
      <c r="AJ88" s="394"/>
      <c r="AK88" s="429" t="str">
        <f>IF(OR(ISBLANK($B88),ISBLANK($AJ88)),"",IFERROR(IF($AJ88&lt;=DATE('ESTADO CONTABLE'!$B$2,12,5),VLOOKUP($B88,COSTOS!$A$2:$B1014,2,FALSE)-150,VLOOKUP($B88,COSTOS!$A$2:$B1014,2,FALSE)),"No encontrado o error"))</f>
        <v/>
      </c>
      <c r="AL88" s="395"/>
      <c r="AM88" s="254"/>
      <c r="AN88" s="255"/>
      <c r="AO88" s="256"/>
    </row>
    <row r="89" ht="22.5" customHeight="1">
      <c r="A89" s="431" t="str">
        <f>'BASE DE DATOSS'!A85</f>
        <v/>
      </c>
      <c r="B89" s="432" t="str">
        <f>'BASE DE DATOSS'!C85</f>
        <v/>
      </c>
      <c r="C89" s="263"/>
      <c r="D89" s="249"/>
      <c r="E89" s="250"/>
      <c r="F89" s="251"/>
      <c r="G89" s="262"/>
      <c r="H89" s="257"/>
      <c r="I89" s="249"/>
      <c r="J89" s="193" t="str">
        <f>IF(OR(ISBLANK($B89),ISBLANK($I89)),"",IFERROR(IF($I89&lt;=DATE('ESTADO CONTABLE'!$B$2,3,5),VLOOKUP($B89,COSTOS!$A$2:$B1014,2,FALSE)-150,VLOOKUP($B89,COSTOS!$A$2:$B1014,2,FALSE)),"No encontrado o error"))</f>
        <v/>
      </c>
      <c r="K89" s="264"/>
      <c r="L89" s="249"/>
      <c r="M89" s="189"/>
      <c r="N89" s="264"/>
      <c r="O89" s="249"/>
      <c r="P89" s="250"/>
      <c r="Q89" s="264"/>
      <c r="R89" s="249"/>
      <c r="S89" s="250"/>
      <c r="T89" s="264"/>
      <c r="U89" s="249"/>
      <c r="V89" s="250"/>
      <c r="W89" s="264"/>
      <c r="X89" s="394"/>
      <c r="Y89" s="429"/>
      <c r="Z89" s="395"/>
      <c r="AA89" s="394"/>
      <c r="AB89" s="118" t="str">
        <f>IF(OR(ISBLANK($B89),ISBLANK($AA89)),"",IFERROR(IF($AA89&lt;=DATE('ESTADO CONTABLE'!$B$2,9,5),VLOOKUP($B89,COSTOS!$A$2:$B1014,2,FALSE)-150,VLOOKUP($B89,COSTOS!$A$2:$B1014,2,FALSE)),"No encontrado o error"))</f>
        <v/>
      </c>
      <c r="AC89" s="395"/>
      <c r="AD89" s="394"/>
      <c r="AE89" s="429" t="str">
        <f>IF(OR(ISBLANK($B89),ISBLANK($AD89)),"",IFERROR(IF($AD89&lt;=DATE('ESTADO CONTABLE'!$B$2,10,5),VLOOKUP($B89,COSTOS!$A$2:$B1014,2,FALSE)-150,VLOOKUP($B89,COSTOS!$A$2:$B1014,2,FALSE)),"No encontrado o error"))</f>
        <v/>
      </c>
      <c r="AF89" s="395"/>
      <c r="AG89" s="394"/>
      <c r="AH89" s="429" t="str">
        <f>IF(OR(ISBLANK($B89),ISBLANK($AG89)),"",IFERROR(IF($AG89&lt;=DATE('ESTADO CONTABLE'!$B$2,11,5),VLOOKUP($B89,COSTOS!$A$2:$B1014,2,FALSE)-150,VLOOKUP($B89,COSTOS!$A$2:$B1014,2,FALSE)),"No encontrado o error"))</f>
        <v/>
      </c>
      <c r="AI89" s="395"/>
      <c r="AJ89" s="394"/>
      <c r="AK89" s="429" t="str">
        <f>IF(OR(ISBLANK($B89),ISBLANK($AJ89)),"",IFERROR(IF($AJ89&lt;=DATE('ESTADO CONTABLE'!$B$2,12,5),VLOOKUP($B89,COSTOS!$A$2:$B1014,2,FALSE)-150,VLOOKUP($B89,COSTOS!$A$2:$B1014,2,FALSE)),"No encontrado o error"))</f>
        <v/>
      </c>
      <c r="AL89" s="395"/>
      <c r="AM89" s="254"/>
      <c r="AN89" s="255"/>
      <c r="AO89" s="256"/>
    </row>
    <row r="90" ht="22.5" customHeight="1">
      <c r="A90" s="431" t="str">
        <f>'BASE DE DATOSS'!A86</f>
        <v/>
      </c>
      <c r="B90" s="432" t="str">
        <f>'BASE DE DATOSS'!C86</f>
        <v/>
      </c>
      <c r="C90" s="263"/>
      <c r="D90" s="249"/>
      <c r="E90" s="250"/>
      <c r="F90" s="251"/>
      <c r="G90" s="262"/>
      <c r="H90" s="257"/>
      <c r="I90" s="249"/>
      <c r="J90" s="193" t="str">
        <f>IF(OR(ISBLANK($B90),ISBLANK($I90)),"",IFERROR(IF($I90&lt;=DATE('ESTADO CONTABLE'!$B$2,3,5),VLOOKUP($B90,COSTOS!$A$2:$B1014,2,FALSE)-150,VLOOKUP($B90,COSTOS!$A$2:$B1014,2,FALSE)),"No encontrado o error"))</f>
        <v/>
      </c>
      <c r="K90" s="264"/>
      <c r="L90" s="249"/>
      <c r="M90" s="189"/>
      <c r="N90" s="264"/>
      <c r="O90" s="249"/>
      <c r="P90" s="250"/>
      <c r="Q90" s="264"/>
      <c r="R90" s="249"/>
      <c r="S90" s="250"/>
      <c r="T90" s="264"/>
      <c r="U90" s="249"/>
      <c r="V90" s="250"/>
      <c r="W90" s="264"/>
      <c r="X90" s="394"/>
      <c r="Y90" s="429"/>
      <c r="Z90" s="395"/>
      <c r="AA90" s="394"/>
      <c r="AB90" s="118" t="str">
        <f>IF(OR(ISBLANK($B90),ISBLANK($AA90)),"",IFERROR(IF($AA90&lt;=DATE('ESTADO CONTABLE'!$B$2,9,5),VLOOKUP($B90,COSTOS!$A$2:$B1014,2,FALSE)-150,VLOOKUP($B90,COSTOS!$A$2:$B1014,2,FALSE)),"No encontrado o error"))</f>
        <v/>
      </c>
      <c r="AC90" s="395"/>
      <c r="AD90" s="394"/>
      <c r="AE90" s="429" t="str">
        <f>IF(OR(ISBLANK($B90),ISBLANK($AD90)),"",IFERROR(IF($AD90&lt;=DATE('ESTADO CONTABLE'!$B$2,10,5),VLOOKUP($B90,COSTOS!$A$2:$B1014,2,FALSE)-150,VLOOKUP($B90,COSTOS!$A$2:$B1014,2,FALSE)),"No encontrado o error"))</f>
        <v/>
      </c>
      <c r="AF90" s="395"/>
      <c r="AG90" s="394"/>
      <c r="AH90" s="429" t="str">
        <f>IF(OR(ISBLANK($B90),ISBLANK($AG90)),"",IFERROR(IF($AG90&lt;=DATE('ESTADO CONTABLE'!$B$2,11,5),VLOOKUP($B90,COSTOS!$A$2:$B1014,2,FALSE)-150,VLOOKUP($B90,COSTOS!$A$2:$B1014,2,FALSE)),"No encontrado o error"))</f>
        <v/>
      </c>
      <c r="AI90" s="395"/>
      <c r="AJ90" s="394"/>
      <c r="AK90" s="429" t="str">
        <f>IF(OR(ISBLANK($B90),ISBLANK($AJ90)),"",IFERROR(IF($AJ90&lt;=DATE('ESTADO CONTABLE'!$B$2,12,5),VLOOKUP($B90,COSTOS!$A$2:$B1014,2,FALSE)-150,VLOOKUP($B90,COSTOS!$A$2:$B1014,2,FALSE)),"No encontrado o error"))</f>
        <v/>
      </c>
      <c r="AL90" s="395"/>
      <c r="AM90" s="254"/>
      <c r="AN90" s="255"/>
      <c r="AO90" s="256"/>
    </row>
    <row r="91" ht="22.5" customHeight="1">
      <c r="A91" s="431" t="str">
        <f>'BASE DE DATOSS'!A87</f>
        <v/>
      </c>
      <c r="B91" s="432" t="str">
        <f>'BASE DE DATOSS'!C87</f>
        <v/>
      </c>
      <c r="C91" s="263"/>
      <c r="D91" s="249"/>
      <c r="E91" s="250"/>
      <c r="F91" s="251"/>
      <c r="G91" s="262"/>
      <c r="H91" s="257"/>
      <c r="I91" s="249"/>
      <c r="J91" s="193" t="str">
        <f>IF(OR(ISBLANK($B91),ISBLANK($I91)),"",IFERROR(IF($I91&lt;=DATE('ESTADO CONTABLE'!$B$2,3,5),VLOOKUP($B91,COSTOS!$A$2:$B1014,2,FALSE)-150,VLOOKUP($B91,COSTOS!$A$2:$B1014,2,FALSE)),"No encontrado o error"))</f>
        <v/>
      </c>
      <c r="K91" s="264"/>
      <c r="L91" s="249"/>
      <c r="M91" s="189"/>
      <c r="N91" s="264"/>
      <c r="O91" s="249"/>
      <c r="P91" s="250"/>
      <c r="Q91" s="264"/>
      <c r="R91" s="249"/>
      <c r="S91" s="250"/>
      <c r="T91" s="264"/>
      <c r="U91" s="249"/>
      <c r="V91" s="250"/>
      <c r="W91" s="264"/>
      <c r="X91" s="394"/>
      <c r="Y91" s="429"/>
      <c r="Z91" s="395"/>
      <c r="AA91" s="394"/>
      <c r="AB91" s="118" t="str">
        <f>IF(OR(ISBLANK($B91),ISBLANK($AA91)),"",IFERROR(IF($AA91&lt;=DATE('ESTADO CONTABLE'!$B$2,9,5),VLOOKUP($B91,COSTOS!$A$2:$B1014,2,FALSE)-150,VLOOKUP($B91,COSTOS!$A$2:$B1014,2,FALSE)),"No encontrado o error"))</f>
        <v/>
      </c>
      <c r="AC91" s="395"/>
      <c r="AD91" s="394"/>
      <c r="AE91" s="429" t="str">
        <f>IF(OR(ISBLANK($B91),ISBLANK($AD91)),"",IFERROR(IF($AD91&lt;=DATE('ESTADO CONTABLE'!$B$2,10,5),VLOOKUP($B91,COSTOS!$A$2:$B1014,2,FALSE)-150,VLOOKUP($B91,COSTOS!$A$2:$B1014,2,FALSE)),"No encontrado o error"))</f>
        <v/>
      </c>
      <c r="AF91" s="395"/>
      <c r="AG91" s="394"/>
      <c r="AH91" s="429" t="str">
        <f>IF(OR(ISBLANK($B91),ISBLANK($AG91)),"",IFERROR(IF($AG91&lt;=DATE('ESTADO CONTABLE'!$B$2,11,5),VLOOKUP($B91,COSTOS!$A$2:$B1014,2,FALSE)-150,VLOOKUP($B91,COSTOS!$A$2:$B1014,2,FALSE)),"No encontrado o error"))</f>
        <v/>
      </c>
      <c r="AI91" s="395"/>
      <c r="AJ91" s="394"/>
      <c r="AK91" s="429" t="str">
        <f>IF(OR(ISBLANK($B91),ISBLANK($AJ91)),"",IFERROR(IF($AJ91&lt;=DATE('ESTADO CONTABLE'!$B$2,12,5),VLOOKUP($B91,COSTOS!$A$2:$B1014,2,FALSE)-150,VLOOKUP($B91,COSTOS!$A$2:$B1014,2,FALSE)),"No encontrado o error"))</f>
        <v/>
      </c>
      <c r="AL91" s="395"/>
      <c r="AM91" s="254"/>
      <c r="AN91" s="255"/>
      <c r="AO91" s="256"/>
    </row>
    <row r="92" ht="22.5" customHeight="1">
      <c r="A92" s="431" t="str">
        <f>'BASE DE DATOSS'!A88</f>
        <v/>
      </c>
      <c r="B92" s="432" t="str">
        <f>'BASE DE DATOSS'!C88</f>
        <v/>
      </c>
      <c r="C92" s="263"/>
      <c r="D92" s="249"/>
      <c r="E92" s="250"/>
      <c r="F92" s="251"/>
      <c r="G92" s="262"/>
      <c r="H92" s="257"/>
      <c r="I92" s="249"/>
      <c r="J92" s="193" t="str">
        <f>IF(OR(ISBLANK($B92),ISBLANK($I92)),"",IFERROR(IF($I92&lt;=DATE('ESTADO CONTABLE'!$B$2,3,5),VLOOKUP($B92,COSTOS!$A$2:$B1014,2,FALSE)-150,VLOOKUP($B92,COSTOS!$A$2:$B1014,2,FALSE)),"No encontrado o error"))</f>
        <v/>
      </c>
      <c r="K92" s="264"/>
      <c r="L92" s="249"/>
      <c r="M92" s="189"/>
      <c r="N92" s="264"/>
      <c r="O92" s="249"/>
      <c r="P92" s="250"/>
      <c r="Q92" s="264"/>
      <c r="R92" s="249"/>
      <c r="S92" s="250"/>
      <c r="T92" s="264"/>
      <c r="U92" s="249"/>
      <c r="V92" s="250"/>
      <c r="W92" s="264"/>
      <c r="X92" s="394"/>
      <c r="Y92" s="429"/>
      <c r="Z92" s="395"/>
      <c r="AA92" s="394"/>
      <c r="AB92" s="118" t="str">
        <f>IF(OR(ISBLANK($B92),ISBLANK($AA92)),"",IFERROR(IF($AA92&lt;=DATE('ESTADO CONTABLE'!$B$2,9,5),VLOOKUP($B92,COSTOS!$A$2:$B1014,2,FALSE)-150,VLOOKUP($B92,COSTOS!$A$2:$B1014,2,FALSE)),"No encontrado o error"))</f>
        <v/>
      </c>
      <c r="AC92" s="395"/>
      <c r="AD92" s="394"/>
      <c r="AE92" s="429" t="str">
        <f>IF(OR(ISBLANK($B92),ISBLANK($AD92)),"",IFERROR(IF($AD92&lt;=DATE('ESTADO CONTABLE'!$B$2,10,5),VLOOKUP($B92,COSTOS!$A$2:$B1014,2,FALSE)-150,VLOOKUP($B92,COSTOS!$A$2:$B1014,2,FALSE)),"No encontrado o error"))</f>
        <v/>
      </c>
      <c r="AF92" s="395"/>
      <c r="AG92" s="394"/>
      <c r="AH92" s="429" t="str">
        <f>IF(OR(ISBLANK($B92),ISBLANK($AG92)),"",IFERROR(IF($AG92&lt;=DATE('ESTADO CONTABLE'!$B$2,11,5),VLOOKUP($B92,COSTOS!$A$2:$B1014,2,FALSE)-150,VLOOKUP($B92,COSTOS!$A$2:$B1014,2,FALSE)),"No encontrado o error"))</f>
        <v/>
      </c>
      <c r="AI92" s="395"/>
      <c r="AJ92" s="394"/>
      <c r="AK92" s="429" t="str">
        <f>IF(OR(ISBLANK($B92),ISBLANK($AJ92)),"",IFERROR(IF($AJ92&lt;=DATE('ESTADO CONTABLE'!$B$2,12,5),VLOOKUP($B92,COSTOS!$A$2:$B1014,2,FALSE)-150,VLOOKUP($B92,COSTOS!$A$2:$B1014,2,FALSE)),"No encontrado o error"))</f>
        <v/>
      </c>
      <c r="AL92" s="395"/>
      <c r="AM92" s="254"/>
      <c r="AN92" s="255"/>
      <c r="AO92" s="256"/>
    </row>
    <row r="93" ht="22.5" customHeight="1">
      <c r="A93" s="431" t="str">
        <f>'BASE DE DATOSS'!A89</f>
        <v/>
      </c>
      <c r="B93" s="432" t="str">
        <f>'BASE DE DATOSS'!C167</f>
        <v/>
      </c>
      <c r="C93" s="263"/>
      <c r="D93" s="249"/>
      <c r="E93" s="250"/>
      <c r="F93" s="251"/>
      <c r="G93" s="262"/>
      <c r="H93" s="257"/>
      <c r="I93" s="249"/>
      <c r="J93" s="193" t="str">
        <f>IF(OR(ISBLANK($B93),ISBLANK($I93)),"",IFERROR(IF($I93&lt;=DATE('ESTADO CONTABLE'!$B$2,3,5),VLOOKUP($B93,COSTOS!$A$2:$B1014,2,FALSE)-150,VLOOKUP($B93,COSTOS!$A$2:$B1014,2,FALSE)),"No encontrado o error"))</f>
        <v/>
      </c>
      <c r="K93" s="264"/>
      <c r="L93" s="249"/>
      <c r="M93" s="189"/>
      <c r="N93" s="264"/>
      <c r="O93" s="249"/>
      <c r="P93" s="250"/>
      <c r="Q93" s="264"/>
      <c r="R93" s="249"/>
      <c r="S93" s="250"/>
      <c r="T93" s="264"/>
      <c r="U93" s="249"/>
      <c r="V93" s="250"/>
      <c r="W93" s="264"/>
      <c r="X93" s="394"/>
      <c r="Y93" s="429"/>
      <c r="Z93" s="395"/>
      <c r="AA93" s="394"/>
      <c r="AB93" s="118" t="str">
        <f>IF(OR(ISBLANK($B93),ISBLANK($AA93)),"",IFERROR(IF($AA93&lt;=DATE('ESTADO CONTABLE'!$B$2,9,5),VLOOKUP($B93,COSTOS!$A$2:$B1014,2,FALSE)-150,VLOOKUP($B93,COSTOS!$A$2:$B1014,2,FALSE)),"No encontrado o error"))</f>
        <v/>
      </c>
      <c r="AC93" s="395"/>
      <c r="AD93" s="394"/>
      <c r="AE93" s="429" t="str">
        <f>IF(OR(ISBLANK($B93),ISBLANK($AD93)),"",IFERROR(IF($AD93&lt;=DATE('ESTADO CONTABLE'!$B$2,10,5),VLOOKUP($B93,COSTOS!$A$2:$B1014,2,FALSE)-150,VLOOKUP($B93,COSTOS!$A$2:$B1014,2,FALSE)),"No encontrado o error"))</f>
        <v/>
      </c>
      <c r="AF93" s="395"/>
      <c r="AG93" s="394"/>
      <c r="AH93" s="429" t="str">
        <f>IF(OR(ISBLANK($B93),ISBLANK($AG93)),"",IFERROR(IF($AG93&lt;=DATE('ESTADO CONTABLE'!$B$2,11,5),VLOOKUP($B93,COSTOS!$A$2:$B1014,2,FALSE)-150,VLOOKUP($B93,COSTOS!$A$2:$B1014,2,FALSE)),"No encontrado o error"))</f>
        <v/>
      </c>
      <c r="AI93" s="395"/>
      <c r="AJ93" s="394"/>
      <c r="AK93" s="429" t="str">
        <f>IF(OR(ISBLANK($B93),ISBLANK($AJ93)),"",IFERROR(IF($AJ93&lt;=DATE('ESTADO CONTABLE'!$B$2,12,5),VLOOKUP($B93,COSTOS!$A$2:$B1014,2,FALSE)-150,VLOOKUP($B93,COSTOS!$A$2:$B1014,2,FALSE)),"No encontrado o error"))</f>
        <v/>
      </c>
      <c r="AL93" s="395"/>
      <c r="AM93" s="254"/>
      <c r="AN93" s="255"/>
      <c r="AO93" s="256"/>
    </row>
    <row r="94" ht="22.5" customHeight="1">
      <c r="A94" s="431" t="str">
        <f>'BASE DE DATOSS'!A168</f>
        <v/>
      </c>
      <c r="B94" s="432" t="str">
        <f>'BASE DE DATOSS'!C168</f>
        <v/>
      </c>
      <c r="C94" s="263"/>
      <c r="D94" s="249"/>
      <c r="E94" s="250"/>
      <c r="F94" s="251"/>
      <c r="G94" s="262"/>
      <c r="H94" s="257"/>
      <c r="I94" s="249"/>
      <c r="J94" s="193" t="str">
        <f>IF(OR(ISBLANK($B94),ISBLANK($I94)),"",IFERROR(IF($I94&lt;=DATE('ESTADO CONTABLE'!$B$2,3,5),VLOOKUP($B94,COSTOS!$A$2:$B1014,2,FALSE)-150,VLOOKUP($B94,COSTOS!$A$2:$B1014,2,FALSE)),"No encontrado o error"))</f>
        <v/>
      </c>
      <c r="K94" s="264"/>
      <c r="L94" s="249"/>
      <c r="M94" s="189"/>
      <c r="N94" s="264"/>
      <c r="O94" s="249"/>
      <c r="P94" s="250"/>
      <c r="Q94" s="264"/>
      <c r="R94" s="249"/>
      <c r="S94" s="250"/>
      <c r="T94" s="264"/>
      <c r="U94" s="249"/>
      <c r="V94" s="250"/>
      <c r="W94" s="264"/>
      <c r="X94" s="394"/>
      <c r="Y94" s="429"/>
      <c r="Z94" s="395"/>
      <c r="AA94" s="394"/>
      <c r="AB94" s="118" t="str">
        <f>IF(OR(ISBLANK($B94),ISBLANK($AA94)),"",IFERROR(IF($AA94&lt;=DATE('ESTADO CONTABLE'!$B$2,9,5),VLOOKUP($B94,COSTOS!$A$2:$B1014,2,FALSE)-150,VLOOKUP($B94,COSTOS!$A$2:$B1014,2,FALSE)),"No encontrado o error"))</f>
        <v/>
      </c>
      <c r="AC94" s="395"/>
      <c r="AD94" s="394"/>
      <c r="AE94" s="429" t="str">
        <f>IF(OR(ISBLANK($B94),ISBLANK($AD94)),"",IFERROR(IF($AD94&lt;=DATE('ESTADO CONTABLE'!$B$2,10,5),VLOOKUP($B94,COSTOS!$A$2:$B1014,2,FALSE)-150,VLOOKUP($B94,COSTOS!$A$2:$B1014,2,FALSE)),"No encontrado o error"))</f>
        <v/>
      </c>
      <c r="AF94" s="395"/>
      <c r="AG94" s="394"/>
      <c r="AH94" s="429" t="str">
        <f>IF(OR(ISBLANK($B94),ISBLANK($AG94)),"",IFERROR(IF($AG94&lt;=DATE('ESTADO CONTABLE'!$B$2,11,5),VLOOKUP($B94,COSTOS!$A$2:$B1014,2,FALSE)-150,VLOOKUP($B94,COSTOS!$A$2:$B1014,2,FALSE)),"No encontrado o error"))</f>
        <v/>
      </c>
      <c r="AI94" s="395"/>
      <c r="AJ94" s="394"/>
      <c r="AK94" s="429" t="str">
        <f>IF(OR(ISBLANK($B94),ISBLANK($AJ94)),"",IFERROR(IF($AJ94&lt;=DATE('ESTADO CONTABLE'!$B$2,12,5),VLOOKUP($B94,COSTOS!$A$2:$B1014,2,FALSE)-150,VLOOKUP($B94,COSTOS!$A$2:$B1014,2,FALSE)),"No encontrado o error"))</f>
        <v/>
      </c>
      <c r="AL94" s="395"/>
      <c r="AM94" s="254"/>
      <c r="AN94" s="255"/>
      <c r="AO94" s="256"/>
    </row>
    <row r="95" ht="22.5" customHeight="1">
      <c r="A95" s="431" t="str">
        <f>'BASE DE DATOSS'!A169</f>
        <v/>
      </c>
      <c r="B95" s="432" t="str">
        <f>'BASE DE DATOSS'!C169</f>
        <v/>
      </c>
      <c r="C95" s="263"/>
      <c r="D95" s="249"/>
      <c r="E95" s="250"/>
      <c r="F95" s="251"/>
      <c r="G95" s="262"/>
      <c r="H95" s="257"/>
      <c r="I95" s="249"/>
      <c r="J95" s="193" t="str">
        <f>IF(OR(ISBLANK($B95),ISBLANK($I95)),"",IFERROR(IF($I95&lt;=DATE('ESTADO CONTABLE'!$B$2,3,5),VLOOKUP($B95,COSTOS!$A$2:$B1014,2,FALSE)-150,VLOOKUP($B95,COSTOS!$A$2:$B1014,2,FALSE)),"No encontrado o error"))</f>
        <v/>
      </c>
      <c r="K95" s="264"/>
      <c r="L95" s="249"/>
      <c r="M95" s="189"/>
      <c r="N95" s="264"/>
      <c r="O95" s="249"/>
      <c r="P95" s="250"/>
      <c r="Q95" s="264"/>
      <c r="R95" s="249"/>
      <c r="S95" s="250"/>
      <c r="T95" s="264"/>
      <c r="U95" s="249"/>
      <c r="V95" s="250"/>
      <c r="W95" s="264"/>
      <c r="X95" s="394"/>
      <c r="Y95" s="429"/>
      <c r="Z95" s="395"/>
      <c r="AA95" s="394"/>
      <c r="AB95" s="118" t="str">
        <f>IF(OR(ISBLANK($B95),ISBLANK($AA95)),"",IFERROR(IF($AA95&lt;=DATE('ESTADO CONTABLE'!$B$2,9,5),VLOOKUP($B95,COSTOS!$A$2:$B1014,2,FALSE)-150,VLOOKUP($B95,COSTOS!$A$2:$B1014,2,FALSE)),"No encontrado o error"))</f>
        <v/>
      </c>
      <c r="AC95" s="395"/>
      <c r="AD95" s="394"/>
      <c r="AE95" s="429" t="str">
        <f>IF(OR(ISBLANK($B95),ISBLANK($AD95)),"",IFERROR(IF($AD95&lt;=DATE('ESTADO CONTABLE'!$B$2,10,5),VLOOKUP($B95,COSTOS!$A$2:$B1014,2,FALSE)-150,VLOOKUP($B95,COSTOS!$A$2:$B1014,2,FALSE)),"No encontrado o error"))</f>
        <v/>
      </c>
      <c r="AF95" s="395"/>
      <c r="AG95" s="394"/>
      <c r="AH95" s="429" t="str">
        <f>IF(OR(ISBLANK($B95),ISBLANK($AG95)),"",IFERROR(IF($AG95&lt;=DATE('ESTADO CONTABLE'!$B$2,11,5),VLOOKUP($B95,COSTOS!$A$2:$B1014,2,FALSE)-150,VLOOKUP($B95,COSTOS!$A$2:$B1014,2,FALSE)),"No encontrado o error"))</f>
        <v/>
      </c>
      <c r="AI95" s="395"/>
      <c r="AJ95" s="394"/>
      <c r="AK95" s="429" t="str">
        <f>IF(OR(ISBLANK($B95),ISBLANK($AJ95)),"",IFERROR(IF($AJ95&lt;=DATE('ESTADO CONTABLE'!$B$2,12,5),VLOOKUP($B95,COSTOS!$A$2:$B1014,2,FALSE)-150,VLOOKUP($B95,COSTOS!$A$2:$B1014,2,FALSE)),"No encontrado o error"))</f>
        <v/>
      </c>
      <c r="AL95" s="395"/>
      <c r="AM95" s="254"/>
      <c r="AN95" s="255"/>
      <c r="AO95" s="256"/>
    </row>
    <row r="96" ht="22.5" customHeight="1">
      <c r="A96" s="431" t="str">
        <f>'BASE DE DATOSS'!A170</f>
        <v/>
      </c>
      <c r="B96" s="432" t="str">
        <f>'BASE DE DATOSS'!C170</f>
        <v/>
      </c>
      <c r="C96" s="263"/>
      <c r="D96" s="249"/>
      <c r="E96" s="250"/>
      <c r="F96" s="251"/>
      <c r="G96" s="262"/>
      <c r="H96" s="257"/>
      <c r="I96" s="249"/>
      <c r="J96" s="193" t="str">
        <f>IF(OR(ISBLANK($B96),ISBLANK($I96)),"",IFERROR(IF($I96&lt;=DATE('ESTADO CONTABLE'!$B$2,3,5),VLOOKUP($B96,COSTOS!$A$2:$B1014,2,FALSE)-150,VLOOKUP($B96,COSTOS!$A$2:$B1014,2,FALSE)),"No encontrado o error"))</f>
        <v/>
      </c>
      <c r="K96" s="264"/>
      <c r="L96" s="249"/>
      <c r="M96" s="189"/>
      <c r="N96" s="264"/>
      <c r="O96" s="249"/>
      <c r="P96" s="250"/>
      <c r="Q96" s="264"/>
      <c r="R96" s="249"/>
      <c r="S96" s="250"/>
      <c r="T96" s="264"/>
      <c r="U96" s="249"/>
      <c r="V96" s="250"/>
      <c r="W96" s="264"/>
      <c r="X96" s="394"/>
      <c r="Y96" s="429"/>
      <c r="Z96" s="395"/>
      <c r="AA96" s="394"/>
      <c r="AB96" s="118" t="str">
        <f>IF(OR(ISBLANK($B96),ISBLANK($AA96)),"",IFERROR(IF($AA96&lt;=DATE('ESTADO CONTABLE'!$B$2,9,5),VLOOKUP($B96,COSTOS!$A$2:$B1014,2,FALSE)-150,VLOOKUP($B96,COSTOS!$A$2:$B1014,2,FALSE)),"No encontrado o error"))</f>
        <v/>
      </c>
      <c r="AC96" s="395"/>
      <c r="AD96" s="394"/>
      <c r="AE96" s="429" t="str">
        <f>IF(OR(ISBLANK($B96),ISBLANK($AD96)),"",IFERROR(IF($AD96&lt;=DATE('ESTADO CONTABLE'!$B$2,10,5),VLOOKUP($B96,COSTOS!$A$2:$B1014,2,FALSE)-150,VLOOKUP($B96,COSTOS!$A$2:$B1014,2,FALSE)),"No encontrado o error"))</f>
        <v/>
      </c>
      <c r="AF96" s="395"/>
      <c r="AG96" s="394"/>
      <c r="AH96" s="429" t="str">
        <f>IF(OR(ISBLANK($B96),ISBLANK($AG96)),"",IFERROR(IF($AG96&lt;=DATE('ESTADO CONTABLE'!$B$2,11,5),VLOOKUP($B96,COSTOS!$A$2:$B1014,2,FALSE)-150,VLOOKUP($B96,COSTOS!$A$2:$B1014,2,FALSE)),"No encontrado o error"))</f>
        <v/>
      </c>
      <c r="AI96" s="395"/>
      <c r="AJ96" s="394"/>
      <c r="AK96" s="429" t="str">
        <f>IF(OR(ISBLANK($B96),ISBLANK($AJ96)),"",IFERROR(IF($AJ96&lt;=DATE('ESTADO CONTABLE'!$B$2,12,5),VLOOKUP($B96,COSTOS!$A$2:$B1014,2,FALSE)-150,VLOOKUP($B96,COSTOS!$A$2:$B1014,2,FALSE)),"No encontrado o error"))</f>
        <v/>
      </c>
      <c r="AL96" s="395"/>
      <c r="AM96" s="254"/>
      <c r="AN96" s="255"/>
      <c r="AO96" s="256"/>
    </row>
    <row r="97" ht="22.5" customHeight="1">
      <c r="A97" s="431" t="str">
        <f>'BASE DE DATOSS'!A171</f>
        <v/>
      </c>
      <c r="B97" s="432" t="str">
        <f>'BASE DE DATOSS'!C171</f>
        <v/>
      </c>
      <c r="C97" s="263"/>
      <c r="D97" s="249"/>
      <c r="E97" s="250"/>
      <c r="F97" s="251"/>
      <c r="G97" s="262"/>
      <c r="H97" s="257"/>
      <c r="I97" s="249"/>
      <c r="J97" s="193" t="str">
        <f>IF(OR(ISBLANK($B97),ISBLANK($I97)),"",IFERROR(IF($I97&lt;=DATE('ESTADO CONTABLE'!$B$2,3,5),VLOOKUP($B97,COSTOS!$A$2:$B1014,2,FALSE)-150,VLOOKUP($B97,COSTOS!$A$2:$B1014,2,FALSE)),"No encontrado o error"))</f>
        <v/>
      </c>
      <c r="K97" s="264"/>
      <c r="L97" s="249"/>
      <c r="M97" s="189"/>
      <c r="N97" s="264"/>
      <c r="O97" s="249"/>
      <c r="P97" s="250"/>
      <c r="Q97" s="264"/>
      <c r="R97" s="249"/>
      <c r="S97" s="250"/>
      <c r="T97" s="264"/>
      <c r="U97" s="249"/>
      <c r="V97" s="250"/>
      <c r="W97" s="264"/>
      <c r="X97" s="394"/>
      <c r="Y97" s="429"/>
      <c r="Z97" s="395"/>
      <c r="AA97" s="394"/>
      <c r="AB97" s="118" t="str">
        <f>IF(OR(ISBLANK($B97),ISBLANK($AA97)),"",IFERROR(IF($AA97&lt;=DATE('ESTADO CONTABLE'!$B$2,9,5),VLOOKUP($B97,COSTOS!$A$2:$B1014,2,FALSE)-150,VLOOKUP($B97,COSTOS!$A$2:$B1014,2,FALSE)),"No encontrado o error"))</f>
        <v/>
      </c>
      <c r="AC97" s="395"/>
      <c r="AD97" s="394"/>
      <c r="AE97" s="429" t="str">
        <f>IF(OR(ISBLANK($B97),ISBLANK($AD97)),"",IFERROR(IF($AD97&lt;=DATE('ESTADO CONTABLE'!$B$2,10,5),VLOOKUP($B97,COSTOS!$A$2:$B1014,2,FALSE)-150,VLOOKUP($B97,COSTOS!$A$2:$B1014,2,FALSE)),"No encontrado o error"))</f>
        <v/>
      </c>
      <c r="AF97" s="395"/>
      <c r="AG97" s="394"/>
      <c r="AH97" s="429" t="str">
        <f>IF(OR(ISBLANK($B97),ISBLANK($AG97)),"",IFERROR(IF($AG97&lt;=DATE('ESTADO CONTABLE'!$B$2,11,5),VLOOKUP($B97,COSTOS!$A$2:$B1014,2,FALSE)-150,VLOOKUP($B97,COSTOS!$A$2:$B1014,2,FALSE)),"No encontrado o error"))</f>
        <v/>
      </c>
      <c r="AI97" s="395"/>
      <c r="AJ97" s="394"/>
      <c r="AK97" s="429" t="str">
        <f>IF(OR(ISBLANK($B97),ISBLANK($AJ97)),"",IFERROR(IF($AJ97&lt;=DATE('ESTADO CONTABLE'!$B$2,12,5),VLOOKUP($B97,COSTOS!$A$2:$B1014,2,FALSE)-150,VLOOKUP($B97,COSTOS!$A$2:$B1014,2,FALSE)),"No encontrado o error"))</f>
        <v/>
      </c>
      <c r="AL97" s="395"/>
      <c r="AM97" s="254"/>
      <c r="AN97" s="255"/>
      <c r="AO97" s="256"/>
    </row>
    <row r="98" ht="22.5" customHeight="1">
      <c r="A98" s="431" t="str">
        <f>'BASE DE DATOSS'!A172</f>
        <v/>
      </c>
      <c r="B98" s="432" t="str">
        <f>'BASE DE DATOSS'!C172</f>
        <v/>
      </c>
      <c r="C98" s="263"/>
      <c r="D98" s="249"/>
      <c r="E98" s="250"/>
      <c r="F98" s="251"/>
      <c r="G98" s="262"/>
      <c r="H98" s="257"/>
      <c r="I98" s="249"/>
      <c r="J98" s="193" t="str">
        <f>IF(OR(ISBLANK($B98),ISBLANK($I98)),"",IFERROR(IF($I98&lt;=DATE('ESTADO CONTABLE'!$B$2,3,5),VLOOKUP($B98,COSTOS!$A$2:$B1014,2,FALSE)-150,VLOOKUP($B98,COSTOS!$A$2:$B1014,2,FALSE)),"No encontrado o error"))</f>
        <v/>
      </c>
      <c r="K98" s="264"/>
      <c r="L98" s="249"/>
      <c r="M98" s="189"/>
      <c r="N98" s="264"/>
      <c r="O98" s="249"/>
      <c r="P98" s="250"/>
      <c r="Q98" s="264"/>
      <c r="R98" s="249"/>
      <c r="S98" s="250"/>
      <c r="T98" s="264"/>
      <c r="U98" s="249"/>
      <c r="V98" s="250"/>
      <c r="W98" s="264"/>
      <c r="X98" s="394"/>
      <c r="Y98" s="429"/>
      <c r="Z98" s="395"/>
      <c r="AA98" s="394"/>
      <c r="AB98" s="118" t="str">
        <f>IF(OR(ISBLANK($B98),ISBLANK($AA98)),"",IFERROR(IF($AA98&lt;=DATE('ESTADO CONTABLE'!$B$2,9,5),VLOOKUP($B98,COSTOS!$A$2:$B1014,2,FALSE)-150,VLOOKUP($B98,COSTOS!$A$2:$B1014,2,FALSE)),"No encontrado o error"))</f>
        <v/>
      </c>
      <c r="AC98" s="395"/>
      <c r="AD98" s="394"/>
      <c r="AE98" s="429" t="str">
        <f>IF(OR(ISBLANK($B98),ISBLANK($AD98)),"",IFERROR(IF($AD98&lt;=DATE('ESTADO CONTABLE'!$B$2,10,5),VLOOKUP($B98,COSTOS!$A$2:$B1014,2,FALSE)-150,VLOOKUP($B98,COSTOS!$A$2:$B1014,2,FALSE)),"No encontrado o error"))</f>
        <v/>
      </c>
      <c r="AF98" s="395"/>
      <c r="AG98" s="394"/>
      <c r="AH98" s="429" t="str">
        <f>IF(OR(ISBLANK($B98),ISBLANK($AG98)),"",IFERROR(IF($AG98&lt;=DATE('ESTADO CONTABLE'!$B$2,11,5),VLOOKUP($B98,COSTOS!$A$2:$B1014,2,FALSE)-150,VLOOKUP($B98,COSTOS!$A$2:$B1014,2,FALSE)),"No encontrado o error"))</f>
        <v/>
      </c>
      <c r="AI98" s="395"/>
      <c r="AJ98" s="394"/>
      <c r="AK98" s="429" t="str">
        <f>IF(OR(ISBLANK($B98),ISBLANK($AJ98)),"",IFERROR(IF($AJ98&lt;=DATE('ESTADO CONTABLE'!$B$2,12,5),VLOOKUP($B98,COSTOS!$A$2:$B1014,2,FALSE)-150,VLOOKUP($B98,COSTOS!$A$2:$B1014,2,FALSE)),"No encontrado o error"))</f>
        <v/>
      </c>
      <c r="AL98" s="395"/>
      <c r="AM98" s="254"/>
      <c r="AN98" s="255"/>
      <c r="AO98" s="256"/>
    </row>
    <row r="99" ht="22.5" customHeight="1">
      <c r="A99" s="431" t="str">
        <f>'BASE DE DATOSS'!A173</f>
        <v/>
      </c>
      <c r="B99" s="432" t="str">
        <f>'BASE DE DATOSS'!C173</f>
        <v/>
      </c>
      <c r="C99" s="263"/>
      <c r="D99" s="249"/>
      <c r="E99" s="250"/>
      <c r="F99" s="251"/>
      <c r="G99" s="262"/>
      <c r="H99" s="257"/>
      <c r="I99" s="249"/>
      <c r="J99" s="193" t="str">
        <f>IF(OR(ISBLANK($B99),ISBLANK($I99)),"",IFERROR(IF($I99&lt;=DATE('ESTADO CONTABLE'!$B$2,3,5),VLOOKUP($B99,COSTOS!$A$2:$B1014,2,FALSE)-150,VLOOKUP($B99,COSTOS!$A$2:$B1014,2,FALSE)),"No encontrado o error"))</f>
        <v/>
      </c>
      <c r="K99" s="264"/>
      <c r="L99" s="249"/>
      <c r="M99" s="189"/>
      <c r="N99" s="264"/>
      <c r="O99" s="249"/>
      <c r="P99" s="250"/>
      <c r="Q99" s="264"/>
      <c r="R99" s="249"/>
      <c r="S99" s="250"/>
      <c r="T99" s="264"/>
      <c r="U99" s="249"/>
      <c r="V99" s="250"/>
      <c r="W99" s="264"/>
      <c r="X99" s="394"/>
      <c r="Y99" s="429"/>
      <c r="Z99" s="395"/>
      <c r="AA99" s="394"/>
      <c r="AB99" s="118" t="str">
        <f>IF(OR(ISBLANK($B99),ISBLANK($AA99)),"",IFERROR(IF($AA99&lt;=DATE('ESTADO CONTABLE'!$B$2,9,5),VLOOKUP($B99,COSTOS!$A$2:$B1014,2,FALSE)-150,VLOOKUP($B99,COSTOS!$A$2:$B1014,2,FALSE)),"No encontrado o error"))</f>
        <v/>
      </c>
      <c r="AC99" s="395"/>
      <c r="AD99" s="394"/>
      <c r="AE99" s="429" t="str">
        <f>IF(OR(ISBLANK($B99),ISBLANK($AD99)),"",IFERROR(IF($AD99&lt;=DATE('ESTADO CONTABLE'!$B$2,10,5),VLOOKUP($B99,COSTOS!$A$2:$B1014,2,FALSE)-150,VLOOKUP($B99,COSTOS!$A$2:$B1014,2,FALSE)),"No encontrado o error"))</f>
        <v/>
      </c>
      <c r="AF99" s="395"/>
      <c r="AG99" s="394"/>
      <c r="AH99" s="429" t="str">
        <f>IF(OR(ISBLANK($B99),ISBLANK($AG99)),"",IFERROR(IF($AG99&lt;=DATE('ESTADO CONTABLE'!$B$2,11,5),VLOOKUP($B99,COSTOS!$A$2:$B1014,2,FALSE)-150,VLOOKUP($B99,COSTOS!$A$2:$B1014,2,FALSE)),"No encontrado o error"))</f>
        <v/>
      </c>
      <c r="AI99" s="395"/>
      <c r="AJ99" s="394"/>
      <c r="AK99" s="429" t="str">
        <f>IF(OR(ISBLANK($B99),ISBLANK($AJ99)),"",IFERROR(IF($AJ99&lt;=DATE('ESTADO CONTABLE'!$B$2,12,5),VLOOKUP($B99,COSTOS!$A$2:$B1014,2,FALSE)-150,VLOOKUP($B99,COSTOS!$A$2:$B1014,2,FALSE)),"No encontrado o error"))</f>
        <v/>
      </c>
      <c r="AL99" s="395"/>
      <c r="AM99" s="254"/>
      <c r="AN99" s="255"/>
      <c r="AO99" s="256"/>
    </row>
    <row r="100" ht="22.5" customHeight="1">
      <c r="A100" s="431" t="str">
        <f>'BASE DE DATOSS'!A174</f>
        <v/>
      </c>
      <c r="B100" s="432" t="str">
        <f>'BASE DE DATOSS'!C174</f>
        <v/>
      </c>
      <c r="C100" s="263"/>
      <c r="D100" s="249"/>
      <c r="E100" s="250"/>
      <c r="F100" s="251"/>
      <c r="G100" s="262"/>
      <c r="H100" s="257"/>
      <c r="I100" s="249"/>
      <c r="J100" s="193" t="str">
        <f>IF(OR(ISBLANK($B100),ISBLANK($I100)),"",IFERROR(IF($I100&lt;=DATE('ESTADO CONTABLE'!$B$2,3,5),VLOOKUP($B100,COSTOS!$A$2:$B1014,2,FALSE)-150,VLOOKUP($B100,COSTOS!$A$2:$B1014,2,FALSE)),"No encontrado o error"))</f>
        <v/>
      </c>
      <c r="K100" s="264"/>
      <c r="L100" s="249"/>
      <c r="M100" s="189"/>
      <c r="N100" s="264"/>
      <c r="O100" s="249"/>
      <c r="P100" s="250"/>
      <c r="Q100" s="264"/>
      <c r="R100" s="249"/>
      <c r="S100" s="250"/>
      <c r="T100" s="264"/>
      <c r="U100" s="249"/>
      <c r="V100" s="250"/>
      <c r="W100" s="264"/>
      <c r="X100" s="394"/>
      <c r="Y100" s="429"/>
      <c r="Z100" s="395"/>
      <c r="AA100" s="394"/>
      <c r="AB100" s="118" t="str">
        <f>IF(OR(ISBLANK($B100),ISBLANK($AA100)),"",IFERROR(IF($AA100&lt;=DATE('ESTADO CONTABLE'!$B$2,9,5),VLOOKUP($B100,COSTOS!$A$2:$B1014,2,FALSE)-150,VLOOKUP($B100,COSTOS!$A$2:$B1014,2,FALSE)),"No encontrado o error"))</f>
        <v/>
      </c>
      <c r="AC100" s="395"/>
      <c r="AD100" s="394"/>
      <c r="AE100" s="429" t="str">
        <f>IF(OR(ISBLANK($B100),ISBLANK($AD100)),"",IFERROR(IF($AD100&lt;=DATE('ESTADO CONTABLE'!$B$2,10,5),VLOOKUP($B100,COSTOS!$A$2:$B1014,2,FALSE)-150,VLOOKUP($B100,COSTOS!$A$2:$B1014,2,FALSE)),"No encontrado o error"))</f>
        <v/>
      </c>
      <c r="AF100" s="395"/>
      <c r="AG100" s="394"/>
      <c r="AH100" s="429" t="str">
        <f>IF(OR(ISBLANK($B100),ISBLANK($AG100)),"",IFERROR(IF($AG100&lt;=DATE('ESTADO CONTABLE'!$B$2,11,5),VLOOKUP($B100,COSTOS!$A$2:$B1014,2,FALSE)-150,VLOOKUP($B100,COSTOS!$A$2:$B1014,2,FALSE)),"No encontrado o error"))</f>
        <v/>
      </c>
      <c r="AI100" s="395"/>
      <c r="AJ100" s="394"/>
      <c r="AK100" s="429" t="str">
        <f>IF(OR(ISBLANK($B100),ISBLANK($AJ100)),"",IFERROR(IF($AJ100&lt;=DATE('ESTADO CONTABLE'!$B$2,12,5),VLOOKUP($B100,COSTOS!$A$2:$B1014,2,FALSE)-150,VLOOKUP($B100,COSTOS!$A$2:$B1014,2,FALSE)),"No encontrado o error"))</f>
        <v/>
      </c>
      <c r="AL100" s="395"/>
      <c r="AM100" s="254"/>
      <c r="AN100" s="255"/>
      <c r="AO100" s="256"/>
    </row>
    <row r="101" ht="22.5" customHeight="1">
      <c r="A101" s="431" t="str">
        <f>'BASE DE DATOSS'!A175</f>
        <v/>
      </c>
      <c r="B101" s="432" t="str">
        <f>'BASE DE DATOSS'!C175</f>
        <v/>
      </c>
      <c r="C101" s="263"/>
      <c r="D101" s="249"/>
      <c r="E101" s="250"/>
      <c r="F101" s="251"/>
      <c r="G101" s="262"/>
      <c r="H101" s="257"/>
      <c r="I101" s="249"/>
      <c r="J101" s="193" t="str">
        <f>IF(OR(ISBLANK($B101),ISBLANK($I101)),"",IFERROR(IF($I101&lt;=DATE('ESTADO CONTABLE'!$B$2,3,5),VLOOKUP($B101,COSTOS!$A$2:$B1014,2,FALSE)-150,VLOOKUP($B101,COSTOS!$A$2:$B1014,2,FALSE)),"No encontrado o error"))</f>
        <v/>
      </c>
      <c r="K101" s="264"/>
      <c r="L101" s="249"/>
      <c r="M101" s="189"/>
      <c r="N101" s="264"/>
      <c r="O101" s="249"/>
      <c r="P101" s="250"/>
      <c r="Q101" s="264"/>
      <c r="R101" s="249"/>
      <c r="S101" s="250"/>
      <c r="T101" s="264"/>
      <c r="U101" s="249"/>
      <c r="V101" s="250"/>
      <c r="W101" s="264"/>
      <c r="X101" s="394"/>
      <c r="Y101" s="429"/>
      <c r="Z101" s="395"/>
      <c r="AA101" s="394"/>
      <c r="AB101" s="118" t="str">
        <f>IF(OR(ISBLANK($B101),ISBLANK($AA101)),"",IFERROR(IF($AA101&lt;=DATE('ESTADO CONTABLE'!$B$2,9,5),VLOOKUP($B101,COSTOS!$A$2:$B1014,2,FALSE)-150,VLOOKUP($B101,COSTOS!$A$2:$B1014,2,FALSE)),"No encontrado o error"))</f>
        <v/>
      </c>
      <c r="AC101" s="395"/>
      <c r="AD101" s="394"/>
      <c r="AE101" s="429" t="str">
        <f>IF(OR(ISBLANK($B101),ISBLANK($AD101)),"",IFERROR(IF($AD101&lt;=DATE('ESTADO CONTABLE'!$B$2,10,5),VLOOKUP($B101,COSTOS!$A$2:$B1014,2,FALSE)-150,VLOOKUP($B101,COSTOS!$A$2:$B1014,2,FALSE)),"No encontrado o error"))</f>
        <v/>
      </c>
      <c r="AF101" s="395"/>
      <c r="AG101" s="394"/>
      <c r="AH101" s="429" t="str">
        <f>IF(OR(ISBLANK($B101),ISBLANK($AG101)),"",IFERROR(IF($AG101&lt;=DATE('ESTADO CONTABLE'!$B$2,11,5),VLOOKUP($B101,COSTOS!$A$2:$B1014,2,FALSE)-150,VLOOKUP($B101,COSTOS!$A$2:$B1014,2,FALSE)),"No encontrado o error"))</f>
        <v/>
      </c>
      <c r="AI101" s="395"/>
      <c r="AJ101" s="394"/>
      <c r="AK101" s="429" t="str">
        <f>IF(OR(ISBLANK($B101),ISBLANK($AJ101)),"",IFERROR(IF($AJ101&lt;=DATE('ESTADO CONTABLE'!$B$2,12,5),VLOOKUP($B101,COSTOS!$A$2:$B1014,2,FALSE)-150,VLOOKUP($B101,COSTOS!$A$2:$B1014,2,FALSE)),"No encontrado o error"))</f>
        <v/>
      </c>
      <c r="AL101" s="395"/>
      <c r="AM101" s="254"/>
      <c r="AN101" s="255"/>
      <c r="AO101" s="256"/>
    </row>
    <row r="102" ht="22.5" customHeight="1">
      <c r="A102" s="431" t="str">
        <f>'BASE DE DATOSS'!A176</f>
        <v/>
      </c>
      <c r="B102" s="432" t="str">
        <f>'BASE DE DATOSS'!C176</f>
        <v/>
      </c>
      <c r="C102" s="263"/>
      <c r="D102" s="249"/>
      <c r="E102" s="250"/>
      <c r="F102" s="251"/>
      <c r="G102" s="262"/>
      <c r="H102" s="257"/>
      <c r="I102" s="249"/>
      <c r="J102" s="193" t="str">
        <f>IF(OR(ISBLANK($B102),ISBLANK($I102)),"",IFERROR(IF($I102&lt;=DATE('ESTADO CONTABLE'!$B$2,3,5),VLOOKUP($B102,COSTOS!$A$2:$B1014,2,FALSE)-150,VLOOKUP($B102,COSTOS!$A$2:$B1014,2,FALSE)),"No encontrado o error"))</f>
        <v/>
      </c>
      <c r="K102" s="264"/>
      <c r="L102" s="249"/>
      <c r="M102" s="189"/>
      <c r="N102" s="264"/>
      <c r="O102" s="249"/>
      <c r="P102" s="250"/>
      <c r="Q102" s="264"/>
      <c r="R102" s="249"/>
      <c r="S102" s="250"/>
      <c r="T102" s="264"/>
      <c r="U102" s="249"/>
      <c r="V102" s="250"/>
      <c r="W102" s="264"/>
      <c r="X102" s="394"/>
      <c r="Y102" s="429"/>
      <c r="Z102" s="395"/>
      <c r="AA102" s="394"/>
      <c r="AB102" s="118" t="str">
        <f>IF(OR(ISBLANK($B102),ISBLANK($AA102)),"",IFERROR(IF($AA102&lt;=DATE('ESTADO CONTABLE'!$B$2,9,5),VLOOKUP($B102,COSTOS!$A$2:$B1014,2,FALSE)-150,VLOOKUP($B102,COSTOS!$A$2:$B1014,2,FALSE)),"No encontrado o error"))</f>
        <v/>
      </c>
      <c r="AC102" s="395"/>
      <c r="AD102" s="394"/>
      <c r="AE102" s="429" t="str">
        <f>IF(OR(ISBLANK($B102),ISBLANK($AD102)),"",IFERROR(IF($AD102&lt;=DATE('ESTADO CONTABLE'!$B$2,10,5),VLOOKUP($B102,COSTOS!$A$2:$B1014,2,FALSE)-150,VLOOKUP($B102,COSTOS!$A$2:$B1014,2,FALSE)),"No encontrado o error"))</f>
        <v/>
      </c>
      <c r="AF102" s="395"/>
      <c r="AG102" s="394"/>
      <c r="AH102" s="429" t="str">
        <f>IF(OR(ISBLANK($B102),ISBLANK($AG102)),"",IFERROR(IF($AG102&lt;=DATE('ESTADO CONTABLE'!$B$2,11,5),VLOOKUP($B102,COSTOS!$A$2:$B1014,2,FALSE)-150,VLOOKUP($B102,COSTOS!$A$2:$B1014,2,FALSE)),"No encontrado o error"))</f>
        <v/>
      </c>
      <c r="AI102" s="395"/>
      <c r="AJ102" s="394"/>
      <c r="AK102" s="429" t="str">
        <f>IF(OR(ISBLANK($B102),ISBLANK($AJ102)),"",IFERROR(IF($AJ102&lt;=DATE('ESTADO CONTABLE'!$B$2,12,5),VLOOKUP($B102,COSTOS!$A$2:$B1014,2,FALSE)-150,VLOOKUP($B102,COSTOS!$A$2:$B1014,2,FALSE)),"No encontrado o error"))</f>
        <v/>
      </c>
      <c r="AL102" s="395"/>
      <c r="AM102" s="254"/>
      <c r="AN102" s="255"/>
      <c r="AO102" s="256"/>
    </row>
    <row r="103" ht="22.5" customHeight="1">
      <c r="A103" s="431" t="str">
        <f>'BASE DE DATOSS'!A177</f>
        <v/>
      </c>
      <c r="B103" s="432" t="str">
        <f>'BASE DE DATOSS'!C177</f>
        <v/>
      </c>
      <c r="C103" s="263"/>
      <c r="D103" s="249"/>
      <c r="E103" s="250"/>
      <c r="F103" s="251"/>
      <c r="G103" s="262"/>
      <c r="H103" s="257"/>
      <c r="I103" s="249"/>
      <c r="J103" s="193" t="str">
        <f>IF(OR(ISBLANK($B103),ISBLANK($I103)),"",IFERROR(IF($I103&lt;=DATE('ESTADO CONTABLE'!$B$2,3,5),VLOOKUP($B103,COSTOS!$A$2:$B1014,2,FALSE)-150,VLOOKUP($B103,COSTOS!$A$2:$B1014,2,FALSE)),"No encontrado o error"))</f>
        <v/>
      </c>
      <c r="K103" s="264"/>
      <c r="L103" s="249"/>
      <c r="M103" s="189"/>
      <c r="N103" s="264"/>
      <c r="O103" s="249"/>
      <c r="P103" s="250"/>
      <c r="Q103" s="264"/>
      <c r="R103" s="249"/>
      <c r="S103" s="250"/>
      <c r="T103" s="264"/>
      <c r="U103" s="249"/>
      <c r="V103" s="250"/>
      <c r="W103" s="264"/>
      <c r="X103" s="394"/>
      <c r="Y103" s="429"/>
      <c r="Z103" s="395"/>
      <c r="AA103" s="394"/>
      <c r="AB103" s="118" t="str">
        <f>IF(OR(ISBLANK($B103),ISBLANK($AA103)),"",IFERROR(IF($AA103&lt;=DATE('ESTADO CONTABLE'!$B$2,9,5),VLOOKUP($B103,COSTOS!$A$2:$B1014,2,FALSE)-150,VLOOKUP($B103,COSTOS!$A$2:$B1014,2,FALSE)),"No encontrado o error"))</f>
        <v/>
      </c>
      <c r="AC103" s="395"/>
      <c r="AD103" s="394"/>
      <c r="AE103" s="429" t="str">
        <f>IF(OR(ISBLANK($B103),ISBLANK($AD103)),"",IFERROR(IF($AD103&lt;=DATE('ESTADO CONTABLE'!$B$2,10,5),VLOOKUP($B103,COSTOS!$A$2:$B1014,2,FALSE)-150,VLOOKUP($B103,COSTOS!$A$2:$B1014,2,FALSE)),"No encontrado o error"))</f>
        <v/>
      </c>
      <c r="AF103" s="395"/>
      <c r="AG103" s="394"/>
      <c r="AH103" s="429" t="str">
        <f>IF(OR(ISBLANK($B103),ISBLANK($AG103)),"",IFERROR(IF($AG103&lt;=DATE('ESTADO CONTABLE'!$B$2,11,5),VLOOKUP($B103,COSTOS!$A$2:$B1014,2,FALSE)-150,VLOOKUP($B103,COSTOS!$A$2:$B1014,2,FALSE)),"No encontrado o error"))</f>
        <v/>
      </c>
      <c r="AI103" s="395"/>
      <c r="AJ103" s="394"/>
      <c r="AK103" s="429" t="str">
        <f>IF(OR(ISBLANK($B103),ISBLANK($AJ103)),"",IFERROR(IF($AJ103&lt;=DATE('ESTADO CONTABLE'!$B$2,12,5),VLOOKUP($B103,COSTOS!$A$2:$B1014,2,FALSE)-150,VLOOKUP($B103,COSTOS!$A$2:$B1014,2,FALSE)),"No encontrado o error"))</f>
        <v/>
      </c>
      <c r="AL103" s="395"/>
      <c r="AM103" s="254"/>
      <c r="AN103" s="255"/>
      <c r="AO103" s="256"/>
    </row>
    <row r="104" ht="22.5" customHeight="1">
      <c r="A104" s="431" t="str">
        <f>'BASE DE DATOSS'!A178</f>
        <v/>
      </c>
      <c r="B104" s="432" t="str">
        <f>'BASE DE DATOSS'!C178</f>
        <v/>
      </c>
      <c r="C104" s="263"/>
      <c r="D104" s="249"/>
      <c r="E104" s="250"/>
      <c r="F104" s="251"/>
      <c r="G104" s="262"/>
      <c r="H104" s="257"/>
      <c r="I104" s="249"/>
      <c r="J104" s="193" t="str">
        <f>IF(OR(ISBLANK($B104),ISBLANK($I104)),"",IFERROR(IF($I104&lt;=DATE('ESTADO CONTABLE'!$B$2,3,5),VLOOKUP($B104,COSTOS!$A$2:$B1014,2,FALSE)-150,VLOOKUP($B104,COSTOS!$A$2:$B1014,2,FALSE)),"No encontrado o error"))</f>
        <v/>
      </c>
      <c r="K104" s="264"/>
      <c r="L104" s="249"/>
      <c r="M104" s="189"/>
      <c r="N104" s="264"/>
      <c r="O104" s="249"/>
      <c r="P104" s="250"/>
      <c r="Q104" s="264"/>
      <c r="R104" s="249"/>
      <c r="S104" s="250"/>
      <c r="T104" s="264"/>
      <c r="U104" s="249"/>
      <c r="V104" s="250"/>
      <c r="W104" s="264"/>
      <c r="X104" s="394"/>
      <c r="Y104" s="429"/>
      <c r="Z104" s="395"/>
      <c r="AA104" s="394"/>
      <c r="AB104" s="118" t="str">
        <f>IF(OR(ISBLANK($B104),ISBLANK($AA104)),"",IFERROR(IF($AA104&lt;=DATE('ESTADO CONTABLE'!$B$2,9,5),VLOOKUP($B104,COSTOS!$A$2:$B1014,2,FALSE)-150,VLOOKUP($B104,COSTOS!$A$2:$B1014,2,FALSE)),"No encontrado o error"))</f>
        <v/>
      </c>
      <c r="AC104" s="395"/>
      <c r="AD104" s="394"/>
      <c r="AE104" s="429" t="str">
        <f>IF(OR(ISBLANK($B104),ISBLANK($AD104)),"",IFERROR(IF($AD104&lt;=DATE('ESTADO CONTABLE'!$B$2,10,5),VLOOKUP($B104,COSTOS!$A$2:$B1014,2,FALSE)-150,VLOOKUP($B104,COSTOS!$A$2:$B1014,2,FALSE)),"No encontrado o error"))</f>
        <v/>
      </c>
      <c r="AF104" s="395"/>
      <c r="AG104" s="394"/>
      <c r="AH104" s="429" t="str">
        <f>IF(OR(ISBLANK($B104),ISBLANK($AG104)),"",IFERROR(IF($AG104&lt;=DATE('ESTADO CONTABLE'!$B$2,11,5),VLOOKUP($B104,COSTOS!$A$2:$B1014,2,FALSE)-150,VLOOKUP($B104,COSTOS!$A$2:$B1014,2,FALSE)),"No encontrado o error"))</f>
        <v/>
      </c>
      <c r="AI104" s="395"/>
      <c r="AJ104" s="394"/>
      <c r="AK104" s="429" t="str">
        <f>IF(OR(ISBLANK($B104),ISBLANK($AJ104)),"",IFERROR(IF($AJ104&lt;=DATE('ESTADO CONTABLE'!$B$2,12,5),VLOOKUP($B104,COSTOS!$A$2:$B1014,2,FALSE)-150,VLOOKUP($B104,COSTOS!$A$2:$B1014,2,FALSE)),"No encontrado o error"))</f>
        <v/>
      </c>
      <c r="AL104" s="395"/>
      <c r="AM104" s="254"/>
      <c r="AN104" s="255"/>
      <c r="AO104" s="256"/>
    </row>
    <row r="105" ht="22.5" customHeight="1">
      <c r="A105" s="431" t="str">
        <f>'BASE DE DATOSS'!A179</f>
        <v/>
      </c>
      <c r="B105" s="432" t="str">
        <f>'BASE DE DATOSS'!C179</f>
        <v/>
      </c>
      <c r="C105" s="263"/>
      <c r="D105" s="249"/>
      <c r="E105" s="250"/>
      <c r="F105" s="251"/>
      <c r="G105" s="262"/>
      <c r="H105" s="257"/>
      <c r="I105" s="249"/>
      <c r="J105" s="193" t="str">
        <f>IF(OR(ISBLANK($B105),ISBLANK($I105)),"",IFERROR(IF($I105&lt;=DATE('ESTADO CONTABLE'!$B$2,3,5),VLOOKUP($B105,COSTOS!$A$2:$B1014,2,FALSE)-150,VLOOKUP($B105,COSTOS!$A$2:$B1014,2,FALSE)),"No encontrado o error"))</f>
        <v/>
      </c>
      <c r="K105" s="264"/>
      <c r="L105" s="249"/>
      <c r="M105" s="189"/>
      <c r="N105" s="264"/>
      <c r="O105" s="249"/>
      <c r="P105" s="250"/>
      <c r="Q105" s="264"/>
      <c r="R105" s="249"/>
      <c r="S105" s="250"/>
      <c r="T105" s="264"/>
      <c r="U105" s="249"/>
      <c r="V105" s="250"/>
      <c r="W105" s="264"/>
      <c r="X105" s="394"/>
      <c r="Y105" s="429"/>
      <c r="Z105" s="395"/>
      <c r="AA105" s="394"/>
      <c r="AB105" s="118" t="str">
        <f>IF(OR(ISBLANK($B105),ISBLANK($AA105)),"",IFERROR(IF($AA105&lt;=DATE('ESTADO CONTABLE'!$B$2,9,5),VLOOKUP($B105,COSTOS!$A$2:$B1014,2,FALSE)-150,VLOOKUP($B105,COSTOS!$A$2:$B1014,2,FALSE)),"No encontrado o error"))</f>
        <v/>
      </c>
      <c r="AC105" s="395"/>
      <c r="AD105" s="394"/>
      <c r="AE105" s="429" t="str">
        <f>IF(OR(ISBLANK($B105),ISBLANK($AD105)),"",IFERROR(IF($AD105&lt;=DATE('ESTADO CONTABLE'!$B$2,10,5),VLOOKUP($B105,COSTOS!$A$2:$B1014,2,FALSE)-150,VLOOKUP($B105,COSTOS!$A$2:$B1014,2,FALSE)),"No encontrado o error"))</f>
        <v/>
      </c>
      <c r="AF105" s="395"/>
      <c r="AG105" s="394"/>
      <c r="AH105" s="429" t="str">
        <f>IF(OR(ISBLANK($B105),ISBLANK($AG105)),"",IFERROR(IF($AG105&lt;=DATE('ESTADO CONTABLE'!$B$2,11,5),VLOOKUP($B105,COSTOS!$A$2:$B1014,2,FALSE)-150,VLOOKUP($B105,COSTOS!$A$2:$B1014,2,FALSE)),"No encontrado o error"))</f>
        <v/>
      </c>
      <c r="AI105" s="395"/>
      <c r="AJ105" s="394"/>
      <c r="AK105" s="429" t="str">
        <f>IF(OR(ISBLANK($B105),ISBLANK($AJ105)),"",IFERROR(IF($AJ105&lt;=DATE('ESTADO CONTABLE'!$B$2,12,5),VLOOKUP($B105,COSTOS!$A$2:$B1014,2,FALSE)-150,VLOOKUP($B105,COSTOS!$A$2:$B1014,2,FALSE)),"No encontrado o error"))</f>
        <v/>
      </c>
      <c r="AL105" s="395"/>
      <c r="AM105" s="254"/>
      <c r="AN105" s="255"/>
      <c r="AO105" s="256"/>
    </row>
    <row r="106" ht="22.5" customHeight="1">
      <c r="A106" s="431" t="str">
        <f>'BASE DE DATOSS'!A180</f>
        <v/>
      </c>
      <c r="B106" s="432" t="str">
        <f>'BASE DE DATOSS'!C180</f>
        <v/>
      </c>
      <c r="C106" s="263"/>
      <c r="D106" s="249"/>
      <c r="E106" s="250"/>
      <c r="F106" s="251"/>
      <c r="G106" s="262"/>
      <c r="H106" s="257"/>
      <c r="I106" s="249"/>
      <c r="J106" s="193" t="str">
        <f>IF(OR(ISBLANK($B106),ISBLANK($I106)),"",IFERROR(IF($I106&lt;=DATE('ESTADO CONTABLE'!$B$2,3,5),VLOOKUP($B106,COSTOS!$A$2:$B1014,2,FALSE)-150,VLOOKUP($B106,COSTOS!$A$2:$B1014,2,FALSE)),"No encontrado o error"))</f>
        <v/>
      </c>
      <c r="K106" s="264"/>
      <c r="L106" s="249"/>
      <c r="M106" s="189"/>
      <c r="N106" s="264"/>
      <c r="O106" s="249"/>
      <c r="P106" s="250"/>
      <c r="Q106" s="264"/>
      <c r="R106" s="249"/>
      <c r="S106" s="250"/>
      <c r="T106" s="264"/>
      <c r="U106" s="249"/>
      <c r="V106" s="250"/>
      <c r="W106" s="264"/>
      <c r="X106" s="394"/>
      <c r="Y106" s="429"/>
      <c r="Z106" s="395"/>
      <c r="AA106" s="394"/>
      <c r="AB106" s="118" t="str">
        <f>IF(OR(ISBLANK($B106),ISBLANK($AA106)),"",IFERROR(IF($AA106&lt;=DATE('ESTADO CONTABLE'!$B$2,9,5),VLOOKUP($B106,COSTOS!$A$2:$B1014,2,FALSE)-150,VLOOKUP($B106,COSTOS!$A$2:$B1014,2,FALSE)),"No encontrado o error"))</f>
        <v/>
      </c>
      <c r="AC106" s="395"/>
      <c r="AD106" s="394"/>
      <c r="AE106" s="429" t="str">
        <f>IF(OR(ISBLANK($B106),ISBLANK($AD106)),"",IFERROR(IF($AD106&lt;=DATE('ESTADO CONTABLE'!$B$2,10,5),VLOOKUP($B106,COSTOS!$A$2:$B1014,2,FALSE)-150,VLOOKUP($B106,COSTOS!$A$2:$B1014,2,FALSE)),"No encontrado o error"))</f>
        <v/>
      </c>
      <c r="AF106" s="395"/>
      <c r="AG106" s="394"/>
      <c r="AH106" s="429" t="str">
        <f>IF(OR(ISBLANK($B106),ISBLANK($AG106)),"",IFERROR(IF($AG106&lt;=DATE('ESTADO CONTABLE'!$B$2,11,5),VLOOKUP($B106,COSTOS!$A$2:$B1014,2,FALSE)-150,VLOOKUP($B106,COSTOS!$A$2:$B1014,2,FALSE)),"No encontrado o error"))</f>
        <v/>
      </c>
      <c r="AI106" s="395"/>
      <c r="AJ106" s="394"/>
      <c r="AK106" s="429" t="str">
        <f>IF(OR(ISBLANK($B106),ISBLANK($AJ106)),"",IFERROR(IF($AJ106&lt;=DATE('ESTADO CONTABLE'!$B$2,12,5),VLOOKUP($B106,COSTOS!$A$2:$B1014,2,FALSE)-150,VLOOKUP($B106,COSTOS!$A$2:$B1014,2,FALSE)),"No encontrado o error"))</f>
        <v/>
      </c>
      <c r="AL106" s="395"/>
      <c r="AM106" s="254"/>
      <c r="AN106" s="255"/>
      <c r="AO106" s="256"/>
    </row>
    <row r="107" ht="22.5" customHeight="1">
      <c r="A107" s="431" t="str">
        <f>'BASE DE DATOSS'!A181</f>
        <v/>
      </c>
      <c r="B107" s="432" t="str">
        <f>'BASE DE DATOSS'!C181</f>
        <v/>
      </c>
      <c r="C107" s="263"/>
      <c r="D107" s="249"/>
      <c r="E107" s="250"/>
      <c r="F107" s="251"/>
      <c r="G107" s="262"/>
      <c r="H107" s="257"/>
      <c r="I107" s="249"/>
      <c r="J107" s="193" t="str">
        <f>IF(OR(ISBLANK($B107),ISBLANK($I107)),"",IFERROR(IF($I107&lt;=DATE('ESTADO CONTABLE'!$B$2,3,5),VLOOKUP($B107,COSTOS!$A$2:$B1014,2,FALSE)-150,VLOOKUP($B107,COSTOS!$A$2:$B1014,2,FALSE)),"No encontrado o error"))</f>
        <v/>
      </c>
      <c r="K107" s="264"/>
      <c r="L107" s="249"/>
      <c r="M107" s="189"/>
      <c r="N107" s="264"/>
      <c r="O107" s="249"/>
      <c r="P107" s="250"/>
      <c r="Q107" s="264"/>
      <c r="R107" s="249"/>
      <c r="S107" s="250"/>
      <c r="T107" s="264"/>
      <c r="U107" s="249"/>
      <c r="V107" s="250"/>
      <c r="W107" s="264"/>
      <c r="X107" s="394"/>
      <c r="Y107" s="429"/>
      <c r="Z107" s="395"/>
      <c r="AA107" s="394"/>
      <c r="AB107" s="118" t="str">
        <f>IF(OR(ISBLANK($B107),ISBLANK($AA107)),"",IFERROR(IF($AA107&lt;=DATE('ESTADO CONTABLE'!$B$2,9,5),VLOOKUP($B107,COSTOS!$A$2:$B1014,2,FALSE)-150,VLOOKUP($B107,COSTOS!$A$2:$B1014,2,FALSE)),"No encontrado o error"))</f>
        <v/>
      </c>
      <c r="AC107" s="395"/>
      <c r="AD107" s="394"/>
      <c r="AE107" s="429" t="str">
        <f>IF(OR(ISBLANK($B107),ISBLANK($AD107)),"",IFERROR(IF($AD107&lt;=DATE('ESTADO CONTABLE'!$B$2,10,5),VLOOKUP($B107,COSTOS!$A$2:$B1014,2,FALSE)-150,VLOOKUP($B107,COSTOS!$A$2:$B1014,2,FALSE)),"No encontrado o error"))</f>
        <v/>
      </c>
      <c r="AF107" s="395"/>
      <c r="AG107" s="394"/>
      <c r="AH107" s="429" t="str">
        <f>IF(OR(ISBLANK($B107),ISBLANK($AG107)),"",IFERROR(IF($AG107&lt;=DATE('ESTADO CONTABLE'!$B$2,11,5),VLOOKUP($B107,COSTOS!$A$2:$B1014,2,FALSE)-150,VLOOKUP($B107,COSTOS!$A$2:$B1014,2,FALSE)),"No encontrado o error"))</f>
        <v/>
      </c>
      <c r="AI107" s="395"/>
      <c r="AJ107" s="394"/>
      <c r="AK107" s="429" t="str">
        <f>IF(OR(ISBLANK($B107),ISBLANK($AJ107)),"",IFERROR(IF($AJ107&lt;=DATE('ESTADO CONTABLE'!$B$2,12,5),VLOOKUP($B107,COSTOS!$A$2:$B1014,2,FALSE)-150,VLOOKUP($B107,COSTOS!$A$2:$B1014,2,FALSE)),"No encontrado o error"))</f>
        <v/>
      </c>
      <c r="AL107" s="395"/>
      <c r="AM107" s="254"/>
      <c r="AN107" s="255"/>
      <c r="AO107" s="256"/>
    </row>
    <row r="108" ht="22.5" customHeight="1">
      <c r="A108" s="431" t="str">
        <f>'BASE DE DATOSS'!A182</f>
        <v/>
      </c>
      <c r="B108" s="432" t="str">
        <f>'BASE DE DATOSS'!C182</f>
        <v/>
      </c>
      <c r="C108" s="263"/>
      <c r="D108" s="249"/>
      <c r="E108" s="250"/>
      <c r="F108" s="251"/>
      <c r="G108" s="262"/>
      <c r="H108" s="257"/>
      <c r="I108" s="249"/>
      <c r="J108" s="193" t="str">
        <f>IF(OR(ISBLANK($B108),ISBLANK($I108)),"",IFERROR(IF($I108&lt;=DATE('ESTADO CONTABLE'!$B$2,3,5),VLOOKUP($B108,COSTOS!$A$2:$B1014,2,FALSE)-150,VLOOKUP($B108,COSTOS!$A$2:$B1014,2,FALSE)),"No encontrado o error"))</f>
        <v/>
      </c>
      <c r="K108" s="264"/>
      <c r="L108" s="249"/>
      <c r="M108" s="189"/>
      <c r="N108" s="264"/>
      <c r="O108" s="249"/>
      <c r="P108" s="250"/>
      <c r="Q108" s="264"/>
      <c r="R108" s="249"/>
      <c r="S108" s="250"/>
      <c r="T108" s="264"/>
      <c r="U108" s="249"/>
      <c r="V108" s="250"/>
      <c r="W108" s="264"/>
      <c r="X108" s="394"/>
      <c r="Y108" s="429"/>
      <c r="Z108" s="395"/>
      <c r="AA108" s="394"/>
      <c r="AB108" s="118" t="str">
        <f>IF(OR(ISBLANK($B108),ISBLANK($AA108)),"",IFERROR(IF($AA108&lt;=DATE('ESTADO CONTABLE'!$B$2,9,5),VLOOKUP($B108,COSTOS!$A$2:$B1014,2,FALSE)-150,VLOOKUP($B108,COSTOS!$A$2:$B1014,2,FALSE)),"No encontrado o error"))</f>
        <v/>
      </c>
      <c r="AC108" s="395"/>
      <c r="AD108" s="394"/>
      <c r="AE108" s="429" t="str">
        <f>IF(OR(ISBLANK($B108),ISBLANK($AD108)),"",IFERROR(IF($AD108&lt;=DATE('ESTADO CONTABLE'!$B$2,10,5),VLOOKUP($B108,COSTOS!$A$2:$B1014,2,FALSE)-150,VLOOKUP($B108,COSTOS!$A$2:$B1014,2,FALSE)),"No encontrado o error"))</f>
        <v/>
      </c>
      <c r="AF108" s="395"/>
      <c r="AG108" s="394"/>
      <c r="AH108" s="429" t="str">
        <f>IF(OR(ISBLANK($B108),ISBLANK($AG108)),"",IFERROR(IF($AG108&lt;=DATE('ESTADO CONTABLE'!$B$2,11,5),VLOOKUP($B108,COSTOS!$A$2:$B1014,2,FALSE)-150,VLOOKUP($B108,COSTOS!$A$2:$B1014,2,FALSE)),"No encontrado o error"))</f>
        <v/>
      </c>
      <c r="AI108" s="395"/>
      <c r="AJ108" s="394"/>
      <c r="AK108" s="429" t="str">
        <f>IF(OR(ISBLANK($B108),ISBLANK($AJ108)),"",IFERROR(IF($AJ108&lt;=DATE('ESTADO CONTABLE'!$B$2,12,5),VLOOKUP($B108,COSTOS!$A$2:$B1014,2,FALSE)-150,VLOOKUP($B108,COSTOS!$A$2:$B1014,2,FALSE)),"No encontrado o error"))</f>
        <v/>
      </c>
      <c r="AL108" s="395"/>
      <c r="AM108" s="254"/>
      <c r="AN108" s="255"/>
      <c r="AO108" s="256"/>
    </row>
    <row r="109" ht="22.5" customHeight="1">
      <c r="A109" s="431" t="str">
        <f>'BASE DE DATOSS'!A183</f>
        <v/>
      </c>
      <c r="B109" s="432" t="str">
        <f>'BASE DE DATOSS'!C183</f>
        <v/>
      </c>
      <c r="C109" s="263"/>
      <c r="D109" s="249"/>
      <c r="E109" s="250"/>
      <c r="F109" s="251"/>
      <c r="G109" s="262"/>
      <c r="H109" s="257"/>
      <c r="I109" s="249"/>
      <c r="J109" s="193" t="str">
        <f>IF(OR(ISBLANK($B109),ISBLANK($I109)),"",IFERROR(IF($I109&lt;=DATE('ESTADO CONTABLE'!$B$2,3,5),VLOOKUP($B109,COSTOS!$A$2:$B1014,2,FALSE)-150,VLOOKUP($B109,COSTOS!$A$2:$B1014,2,FALSE)),"No encontrado o error"))</f>
        <v/>
      </c>
      <c r="K109" s="264"/>
      <c r="L109" s="249"/>
      <c r="M109" s="189"/>
      <c r="N109" s="264"/>
      <c r="O109" s="249"/>
      <c r="P109" s="250"/>
      <c r="Q109" s="264"/>
      <c r="R109" s="249"/>
      <c r="S109" s="250"/>
      <c r="T109" s="264"/>
      <c r="U109" s="249"/>
      <c r="V109" s="250"/>
      <c r="W109" s="264"/>
      <c r="X109" s="394"/>
      <c r="Y109" s="429"/>
      <c r="Z109" s="395"/>
      <c r="AA109" s="394"/>
      <c r="AB109" s="118" t="str">
        <f>IF(OR(ISBLANK($B109),ISBLANK($AA109)),"",IFERROR(IF($AA109&lt;=DATE('ESTADO CONTABLE'!$B$2,9,5),VLOOKUP($B109,COSTOS!$A$2:$B1014,2,FALSE)-150,VLOOKUP($B109,COSTOS!$A$2:$B1014,2,FALSE)),"No encontrado o error"))</f>
        <v/>
      </c>
      <c r="AC109" s="395"/>
      <c r="AD109" s="394"/>
      <c r="AE109" s="429" t="str">
        <f>IF(OR(ISBLANK($B109),ISBLANK($AD109)),"",IFERROR(IF($AD109&lt;=DATE('ESTADO CONTABLE'!$B$2,10,5),VLOOKUP($B109,COSTOS!$A$2:$B1014,2,FALSE)-150,VLOOKUP($B109,COSTOS!$A$2:$B1014,2,FALSE)),"No encontrado o error"))</f>
        <v/>
      </c>
      <c r="AF109" s="395"/>
      <c r="AG109" s="394"/>
      <c r="AH109" s="429" t="str">
        <f>IF(OR(ISBLANK($B109),ISBLANK($AG109)),"",IFERROR(IF($AG109&lt;=DATE('ESTADO CONTABLE'!$B$2,11,5),VLOOKUP($B109,COSTOS!$A$2:$B1014,2,FALSE)-150,VLOOKUP($B109,COSTOS!$A$2:$B1014,2,FALSE)),"No encontrado o error"))</f>
        <v/>
      </c>
      <c r="AI109" s="395"/>
      <c r="AJ109" s="394"/>
      <c r="AK109" s="429" t="str">
        <f>IF(OR(ISBLANK($B109),ISBLANK($AJ109)),"",IFERROR(IF($AJ109&lt;=DATE('ESTADO CONTABLE'!$B$2,12,5),VLOOKUP($B109,COSTOS!$A$2:$B1014,2,FALSE)-150,VLOOKUP($B109,COSTOS!$A$2:$B1014,2,FALSE)),"No encontrado o error"))</f>
        <v/>
      </c>
      <c r="AL109" s="395"/>
      <c r="AM109" s="254"/>
      <c r="AN109" s="255"/>
      <c r="AO109" s="256"/>
    </row>
    <row r="110" ht="22.5" customHeight="1">
      <c r="A110" s="431" t="str">
        <f>'BASE DE DATOSS'!A184</f>
        <v/>
      </c>
      <c r="B110" s="432" t="str">
        <f>'BASE DE DATOSS'!C184</f>
        <v/>
      </c>
      <c r="C110" s="263"/>
      <c r="D110" s="249"/>
      <c r="E110" s="250"/>
      <c r="F110" s="251"/>
      <c r="G110" s="262"/>
      <c r="H110" s="257"/>
      <c r="I110" s="249"/>
      <c r="J110" s="193" t="str">
        <f>IF(OR(ISBLANK($B110),ISBLANK($I110)),"",IFERROR(IF($I110&lt;=DATE('ESTADO CONTABLE'!$B$2,3,5),VLOOKUP($B110,COSTOS!$A$2:$B1014,2,FALSE)-150,VLOOKUP($B110,COSTOS!$A$2:$B1014,2,FALSE)),"No encontrado o error"))</f>
        <v/>
      </c>
      <c r="K110" s="264"/>
      <c r="L110" s="249"/>
      <c r="M110" s="189"/>
      <c r="N110" s="264"/>
      <c r="O110" s="249"/>
      <c r="P110" s="250"/>
      <c r="Q110" s="264"/>
      <c r="R110" s="249"/>
      <c r="S110" s="250"/>
      <c r="T110" s="264"/>
      <c r="U110" s="249"/>
      <c r="V110" s="250"/>
      <c r="W110" s="264"/>
      <c r="X110" s="394"/>
      <c r="Y110" s="429"/>
      <c r="Z110" s="395"/>
      <c r="AA110" s="394"/>
      <c r="AB110" s="118" t="str">
        <f>IF(OR(ISBLANK($B110),ISBLANK($AA110)),"",IFERROR(IF($AA110&lt;=DATE('ESTADO CONTABLE'!$B$2,9,5),VLOOKUP($B110,COSTOS!$A$2:$B1014,2,FALSE)-150,VLOOKUP($B110,COSTOS!$A$2:$B1014,2,FALSE)),"No encontrado o error"))</f>
        <v/>
      </c>
      <c r="AC110" s="395"/>
      <c r="AD110" s="394"/>
      <c r="AE110" s="429" t="str">
        <f>IF(OR(ISBLANK($B110),ISBLANK($AD110)),"",IFERROR(IF($AD110&lt;=DATE('ESTADO CONTABLE'!$B$2,10,5),VLOOKUP($B110,COSTOS!$A$2:$B1014,2,FALSE)-150,VLOOKUP($B110,COSTOS!$A$2:$B1014,2,FALSE)),"No encontrado o error"))</f>
        <v/>
      </c>
      <c r="AF110" s="395"/>
      <c r="AG110" s="394"/>
      <c r="AH110" s="429" t="str">
        <f>IF(OR(ISBLANK($B110),ISBLANK($AG110)),"",IFERROR(IF($AG110&lt;=DATE('ESTADO CONTABLE'!$B$2,11,5),VLOOKUP($B110,COSTOS!$A$2:$B1014,2,FALSE)-150,VLOOKUP($B110,COSTOS!$A$2:$B1014,2,FALSE)),"No encontrado o error"))</f>
        <v/>
      </c>
      <c r="AI110" s="395"/>
      <c r="AJ110" s="394"/>
      <c r="AK110" s="429" t="str">
        <f>IF(OR(ISBLANK($B110),ISBLANK($AJ110)),"",IFERROR(IF($AJ110&lt;=DATE('ESTADO CONTABLE'!$B$2,12,5),VLOOKUP($B110,COSTOS!$A$2:$B1014,2,FALSE)-150,VLOOKUP($B110,COSTOS!$A$2:$B1014,2,FALSE)),"No encontrado o error"))</f>
        <v/>
      </c>
      <c r="AL110" s="395"/>
      <c r="AM110" s="254"/>
      <c r="AN110" s="255"/>
      <c r="AO110" s="256"/>
    </row>
    <row r="111" ht="22.5" customHeight="1">
      <c r="A111" s="431" t="str">
        <f>'BASE DE DATOSS'!A185</f>
        <v/>
      </c>
      <c r="B111" s="432" t="str">
        <f>'BASE DE DATOSS'!C185</f>
        <v/>
      </c>
      <c r="C111" s="263"/>
      <c r="D111" s="249"/>
      <c r="E111" s="250"/>
      <c r="F111" s="251"/>
      <c r="G111" s="262"/>
      <c r="H111" s="257"/>
      <c r="I111" s="249"/>
      <c r="J111" s="193" t="str">
        <f>IF(OR(ISBLANK($B111),ISBLANK($I111)),"",IFERROR(IF($I111&lt;=DATE('ESTADO CONTABLE'!$B$2,3,5),VLOOKUP($B111,COSTOS!$A$2:$B1014,2,FALSE)-150,VLOOKUP($B111,COSTOS!$A$2:$B1014,2,FALSE)),"No encontrado o error"))</f>
        <v/>
      </c>
      <c r="K111" s="264"/>
      <c r="L111" s="249"/>
      <c r="M111" s="189"/>
      <c r="N111" s="264"/>
      <c r="O111" s="249"/>
      <c r="P111" s="250"/>
      <c r="Q111" s="264"/>
      <c r="R111" s="249"/>
      <c r="S111" s="250"/>
      <c r="T111" s="264"/>
      <c r="U111" s="249"/>
      <c r="V111" s="250"/>
      <c r="W111" s="264"/>
      <c r="X111" s="394"/>
      <c r="Y111" s="429"/>
      <c r="Z111" s="395"/>
      <c r="AA111" s="394"/>
      <c r="AB111" s="118" t="str">
        <f>IF(OR(ISBLANK($B111),ISBLANK($AA111)),"",IFERROR(IF($AA111&lt;=DATE('ESTADO CONTABLE'!$B$2,9,5),VLOOKUP($B111,COSTOS!$A$2:$B1014,2,FALSE)-150,VLOOKUP($B111,COSTOS!$A$2:$B1014,2,FALSE)),"No encontrado o error"))</f>
        <v/>
      </c>
      <c r="AC111" s="395"/>
      <c r="AD111" s="394"/>
      <c r="AE111" s="429" t="str">
        <f>IF(OR(ISBLANK($B111),ISBLANK($AD111)),"",IFERROR(IF($AD111&lt;=DATE('ESTADO CONTABLE'!$B$2,10,5),VLOOKUP($B111,COSTOS!$A$2:$B1014,2,FALSE)-150,VLOOKUP($B111,COSTOS!$A$2:$B1014,2,FALSE)),"No encontrado o error"))</f>
        <v/>
      </c>
      <c r="AF111" s="395"/>
      <c r="AG111" s="394"/>
      <c r="AH111" s="429" t="str">
        <f>IF(OR(ISBLANK($B111),ISBLANK($AG111)),"",IFERROR(IF($AG111&lt;=DATE('ESTADO CONTABLE'!$B$2,11,5),VLOOKUP($B111,COSTOS!$A$2:$B1014,2,FALSE)-150,VLOOKUP($B111,COSTOS!$A$2:$B1014,2,FALSE)),"No encontrado o error"))</f>
        <v/>
      </c>
      <c r="AI111" s="395"/>
      <c r="AJ111" s="394"/>
      <c r="AK111" s="429" t="str">
        <f>IF(OR(ISBLANK($B111),ISBLANK($AJ111)),"",IFERROR(IF($AJ111&lt;=DATE('ESTADO CONTABLE'!$B$2,12,5),VLOOKUP($B111,COSTOS!$A$2:$B1014,2,FALSE)-150,VLOOKUP($B111,COSTOS!$A$2:$B1014,2,FALSE)),"No encontrado o error"))</f>
        <v/>
      </c>
      <c r="AL111" s="395"/>
      <c r="AM111" s="254"/>
      <c r="AN111" s="255"/>
      <c r="AO111" s="256"/>
    </row>
    <row r="112" ht="22.5" customHeight="1">
      <c r="A112" s="431" t="str">
        <f>'BASE DE DATOSS'!A186</f>
        <v/>
      </c>
      <c r="B112" s="432" t="str">
        <f>'BASE DE DATOSS'!C186</f>
        <v/>
      </c>
      <c r="C112" s="263"/>
      <c r="D112" s="249"/>
      <c r="E112" s="250"/>
      <c r="F112" s="251"/>
      <c r="G112" s="262"/>
      <c r="H112" s="257"/>
      <c r="I112" s="249"/>
      <c r="J112" s="193" t="str">
        <f>IF(OR(ISBLANK($B112),ISBLANK($I112)),"",IFERROR(IF($I112&lt;=DATE('ESTADO CONTABLE'!$B$2,3,5),VLOOKUP($B112,COSTOS!$A$2:$B1014,2,FALSE)-150,VLOOKUP($B112,COSTOS!$A$2:$B1014,2,FALSE)),"No encontrado o error"))</f>
        <v/>
      </c>
      <c r="K112" s="264"/>
      <c r="L112" s="249"/>
      <c r="M112" s="189"/>
      <c r="N112" s="264"/>
      <c r="O112" s="249"/>
      <c r="P112" s="250"/>
      <c r="Q112" s="264"/>
      <c r="R112" s="249"/>
      <c r="S112" s="250"/>
      <c r="T112" s="264"/>
      <c r="U112" s="249"/>
      <c r="V112" s="250"/>
      <c r="W112" s="264"/>
      <c r="X112" s="394"/>
      <c r="Y112" s="429"/>
      <c r="Z112" s="395"/>
      <c r="AA112" s="394"/>
      <c r="AB112" s="118" t="str">
        <f>IF(OR(ISBLANK($B112),ISBLANK($AA112)),"",IFERROR(IF($AA112&lt;=DATE('ESTADO CONTABLE'!$B$2,9,5),VLOOKUP($B112,COSTOS!$A$2:$B1014,2,FALSE)-150,VLOOKUP($B112,COSTOS!$A$2:$B1014,2,FALSE)),"No encontrado o error"))</f>
        <v/>
      </c>
      <c r="AC112" s="395"/>
      <c r="AD112" s="394"/>
      <c r="AE112" s="429" t="str">
        <f>IF(OR(ISBLANK($B112),ISBLANK($AD112)),"",IFERROR(IF($AD112&lt;=DATE('ESTADO CONTABLE'!$B$2,10,5),VLOOKUP($B112,COSTOS!$A$2:$B1014,2,FALSE)-150,VLOOKUP($B112,COSTOS!$A$2:$B1014,2,FALSE)),"No encontrado o error"))</f>
        <v/>
      </c>
      <c r="AF112" s="395"/>
      <c r="AG112" s="394"/>
      <c r="AH112" s="429" t="str">
        <f>IF(OR(ISBLANK($B112),ISBLANK($AG112)),"",IFERROR(IF($AG112&lt;=DATE('ESTADO CONTABLE'!$B$2,11,5),VLOOKUP($B112,COSTOS!$A$2:$B1014,2,FALSE)-150,VLOOKUP($B112,COSTOS!$A$2:$B1014,2,FALSE)),"No encontrado o error"))</f>
        <v/>
      </c>
      <c r="AI112" s="395"/>
      <c r="AJ112" s="394"/>
      <c r="AK112" s="429" t="str">
        <f>IF(OR(ISBLANK($B112),ISBLANK($AJ112)),"",IFERROR(IF($AJ112&lt;=DATE('ESTADO CONTABLE'!$B$2,12,5),VLOOKUP($B112,COSTOS!$A$2:$B1014,2,FALSE)-150,VLOOKUP($B112,COSTOS!$A$2:$B1014,2,FALSE)),"No encontrado o error"))</f>
        <v/>
      </c>
      <c r="AL112" s="395"/>
      <c r="AM112" s="254"/>
      <c r="AN112" s="255"/>
      <c r="AO112" s="256"/>
    </row>
    <row r="113" ht="22.5" customHeight="1">
      <c r="A113" s="431" t="str">
        <f>'BASE DE DATOSS'!A187</f>
        <v/>
      </c>
      <c r="B113" s="432" t="str">
        <f>'BASE DE DATOSS'!C187</f>
        <v/>
      </c>
      <c r="C113" s="263"/>
      <c r="D113" s="249"/>
      <c r="E113" s="250"/>
      <c r="F113" s="251"/>
      <c r="G113" s="262"/>
      <c r="H113" s="257"/>
      <c r="I113" s="249"/>
      <c r="J113" s="193" t="str">
        <f>IF(OR(ISBLANK($B113),ISBLANK($I113)),"",IFERROR(IF($I113&lt;=DATE('ESTADO CONTABLE'!$B$2,3,5),VLOOKUP($B113,COSTOS!$A$2:$B1014,2,FALSE)-150,VLOOKUP($B113,COSTOS!$A$2:$B1014,2,FALSE)),"No encontrado o error"))</f>
        <v/>
      </c>
      <c r="K113" s="264"/>
      <c r="L113" s="249"/>
      <c r="M113" s="189"/>
      <c r="N113" s="264"/>
      <c r="O113" s="249"/>
      <c r="P113" s="250"/>
      <c r="Q113" s="264"/>
      <c r="R113" s="249"/>
      <c r="S113" s="250"/>
      <c r="T113" s="264"/>
      <c r="U113" s="249"/>
      <c r="V113" s="250"/>
      <c r="W113" s="264"/>
      <c r="X113" s="394"/>
      <c r="Y113" s="429"/>
      <c r="Z113" s="395"/>
      <c r="AA113" s="394"/>
      <c r="AB113" s="118" t="str">
        <f>IF(OR(ISBLANK($B113),ISBLANK($AA113)),"",IFERROR(IF($AA113&lt;=DATE('ESTADO CONTABLE'!$B$2,9,5),VLOOKUP($B113,COSTOS!$A$2:$B1014,2,FALSE)-150,VLOOKUP($B113,COSTOS!$A$2:$B1014,2,FALSE)),"No encontrado o error"))</f>
        <v/>
      </c>
      <c r="AC113" s="395"/>
      <c r="AD113" s="394"/>
      <c r="AE113" s="429" t="str">
        <f>IF(OR(ISBLANK($B113),ISBLANK($AD113)),"",IFERROR(IF($AD113&lt;=DATE('ESTADO CONTABLE'!$B$2,10,5),VLOOKUP($B113,COSTOS!$A$2:$B1014,2,FALSE)-150,VLOOKUP($B113,COSTOS!$A$2:$B1014,2,FALSE)),"No encontrado o error"))</f>
        <v/>
      </c>
      <c r="AF113" s="395"/>
      <c r="AG113" s="394"/>
      <c r="AH113" s="429" t="str">
        <f>IF(OR(ISBLANK($B113),ISBLANK($AG113)),"",IFERROR(IF($AG113&lt;=DATE('ESTADO CONTABLE'!$B$2,11,5),VLOOKUP($B113,COSTOS!$A$2:$B1014,2,FALSE)-150,VLOOKUP($B113,COSTOS!$A$2:$B1014,2,FALSE)),"No encontrado o error"))</f>
        <v/>
      </c>
      <c r="AI113" s="395"/>
      <c r="AJ113" s="394"/>
      <c r="AK113" s="429" t="str">
        <f>IF(OR(ISBLANK($B113),ISBLANK($AJ113)),"",IFERROR(IF($AJ113&lt;=DATE('ESTADO CONTABLE'!$B$2,12,5),VLOOKUP($B113,COSTOS!$A$2:$B1014,2,FALSE)-150,VLOOKUP($B113,COSTOS!$A$2:$B1014,2,FALSE)),"No encontrado o error"))</f>
        <v/>
      </c>
      <c r="AL113" s="395"/>
      <c r="AM113" s="254"/>
      <c r="AN113" s="255"/>
      <c r="AO113" s="256"/>
    </row>
    <row r="114" ht="22.5" customHeight="1">
      <c r="A114" s="431" t="str">
        <f>'BASE DE DATOSS'!A188</f>
        <v/>
      </c>
      <c r="B114" s="432" t="str">
        <f>'BASE DE DATOSS'!C188</f>
        <v/>
      </c>
      <c r="C114" s="263"/>
      <c r="D114" s="249"/>
      <c r="E114" s="250"/>
      <c r="F114" s="251"/>
      <c r="G114" s="262"/>
      <c r="H114" s="257"/>
      <c r="I114" s="249"/>
      <c r="J114" s="193" t="str">
        <f>IF(OR(ISBLANK($B114),ISBLANK($I114)),"",IFERROR(IF($I114&lt;=DATE('ESTADO CONTABLE'!$B$2,3,5),VLOOKUP($B114,COSTOS!$A$2:$B1014,2,FALSE)-150,VLOOKUP($B114,COSTOS!$A$2:$B1014,2,FALSE)),"No encontrado o error"))</f>
        <v/>
      </c>
      <c r="K114" s="264"/>
      <c r="L114" s="249"/>
      <c r="M114" s="189"/>
      <c r="N114" s="264"/>
      <c r="O114" s="249"/>
      <c r="P114" s="250"/>
      <c r="Q114" s="264"/>
      <c r="R114" s="249"/>
      <c r="S114" s="250"/>
      <c r="T114" s="264"/>
      <c r="U114" s="249"/>
      <c r="V114" s="250"/>
      <c r="W114" s="264"/>
      <c r="X114" s="394"/>
      <c r="Y114" s="429"/>
      <c r="Z114" s="395"/>
      <c r="AA114" s="394"/>
      <c r="AB114" s="118" t="str">
        <f>IF(OR(ISBLANK($B114),ISBLANK($AA114)),"",IFERROR(IF($AA114&lt;=DATE('ESTADO CONTABLE'!$B$2,9,5),VLOOKUP($B114,COSTOS!$A$2:$B1014,2,FALSE)-150,VLOOKUP($B114,COSTOS!$A$2:$B1014,2,FALSE)),"No encontrado o error"))</f>
        <v/>
      </c>
      <c r="AC114" s="395"/>
      <c r="AD114" s="394"/>
      <c r="AE114" s="429" t="str">
        <f>IF(OR(ISBLANK($B114),ISBLANK($AD114)),"",IFERROR(IF($AD114&lt;=DATE('ESTADO CONTABLE'!$B$2,10,5),VLOOKUP($B114,COSTOS!$A$2:$B1014,2,FALSE)-150,VLOOKUP($B114,COSTOS!$A$2:$B1014,2,FALSE)),"No encontrado o error"))</f>
        <v/>
      </c>
      <c r="AF114" s="395"/>
      <c r="AG114" s="394"/>
      <c r="AH114" s="429" t="str">
        <f>IF(OR(ISBLANK($B114),ISBLANK($AG114)),"",IFERROR(IF($AG114&lt;=DATE('ESTADO CONTABLE'!$B$2,11,5),VLOOKUP($B114,COSTOS!$A$2:$B1014,2,FALSE)-150,VLOOKUP($B114,COSTOS!$A$2:$B1014,2,FALSE)),"No encontrado o error"))</f>
        <v/>
      </c>
      <c r="AI114" s="395"/>
      <c r="AJ114" s="394"/>
      <c r="AK114" s="429" t="str">
        <f>IF(OR(ISBLANK($B114),ISBLANK($AJ114)),"",IFERROR(IF($AJ114&lt;=DATE('ESTADO CONTABLE'!$B$2,12,5),VLOOKUP($B114,COSTOS!$A$2:$B1014,2,FALSE)-150,VLOOKUP($B114,COSTOS!$A$2:$B1014,2,FALSE)),"No encontrado o error"))</f>
        <v/>
      </c>
      <c r="AL114" s="395"/>
      <c r="AM114" s="254"/>
      <c r="AN114" s="255"/>
      <c r="AO114" s="256"/>
    </row>
    <row r="115" ht="22.5" customHeight="1">
      <c r="A115" s="431" t="str">
        <f>'BASE DE DATOSS'!A189</f>
        <v/>
      </c>
      <c r="B115" s="432" t="str">
        <f>'BASE DE DATOSS'!C189</f>
        <v/>
      </c>
      <c r="C115" s="263"/>
      <c r="D115" s="249"/>
      <c r="E115" s="250"/>
      <c r="F115" s="251"/>
      <c r="G115" s="262"/>
      <c r="H115" s="257"/>
      <c r="I115" s="249"/>
      <c r="J115" s="193" t="str">
        <f>IF(OR(ISBLANK($B115),ISBLANK($I115)),"",IFERROR(IF($I115&lt;=DATE('ESTADO CONTABLE'!$B$2,3,5),VLOOKUP($B115,COSTOS!$A$2:$B1014,2,FALSE)-150,VLOOKUP($B115,COSTOS!$A$2:$B1014,2,FALSE)),"No encontrado o error"))</f>
        <v/>
      </c>
      <c r="K115" s="264"/>
      <c r="L115" s="249"/>
      <c r="M115" s="189"/>
      <c r="N115" s="264"/>
      <c r="O115" s="249"/>
      <c r="P115" s="250"/>
      <c r="Q115" s="264"/>
      <c r="R115" s="249"/>
      <c r="S115" s="250"/>
      <c r="T115" s="264"/>
      <c r="U115" s="249"/>
      <c r="V115" s="250"/>
      <c r="W115" s="264"/>
      <c r="X115" s="394"/>
      <c r="Y115" s="429"/>
      <c r="Z115" s="395"/>
      <c r="AA115" s="394"/>
      <c r="AB115" s="118" t="str">
        <f>IF(OR(ISBLANK($B115),ISBLANK($AA115)),"",IFERROR(IF($AA115&lt;=DATE('ESTADO CONTABLE'!$B$2,9,5),VLOOKUP($B115,COSTOS!$A$2:$B1014,2,FALSE)-150,VLOOKUP($B115,COSTOS!$A$2:$B1014,2,FALSE)),"No encontrado o error"))</f>
        <v/>
      </c>
      <c r="AC115" s="395"/>
      <c r="AD115" s="394"/>
      <c r="AE115" s="429" t="str">
        <f>IF(OR(ISBLANK($B115),ISBLANK($AD115)),"",IFERROR(IF($AD115&lt;=DATE('ESTADO CONTABLE'!$B$2,10,5),VLOOKUP($B115,COSTOS!$A$2:$B1014,2,FALSE)-150,VLOOKUP($B115,COSTOS!$A$2:$B1014,2,FALSE)),"No encontrado o error"))</f>
        <v/>
      </c>
      <c r="AF115" s="395"/>
      <c r="AG115" s="394"/>
      <c r="AH115" s="429" t="str">
        <f>IF(OR(ISBLANK($B115),ISBLANK($AG115)),"",IFERROR(IF($AG115&lt;=DATE('ESTADO CONTABLE'!$B$2,11,5),VLOOKUP($B115,COSTOS!$A$2:$B1014,2,FALSE)-150,VLOOKUP($B115,COSTOS!$A$2:$B1014,2,FALSE)),"No encontrado o error"))</f>
        <v/>
      </c>
      <c r="AI115" s="395"/>
      <c r="AJ115" s="394"/>
      <c r="AK115" s="429" t="str">
        <f>IF(OR(ISBLANK($B115),ISBLANK($AJ115)),"",IFERROR(IF($AJ115&lt;=DATE('ESTADO CONTABLE'!$B$2,12,5),VLOOKUP($B115,COSTOS!$A$2:$B1014,2,FALSE)-150,VLOOKUP($B115,COSTOS!$A$2:$B1014,2,FALSE)),"No encontrado o error"))</f>
        <v/>
      </c>
      <c r="AL115" s="395"/>
      <c r="AM115" s="254"/>
      <c r="AN115" s="255"/>
      <c r="AO115" s="256"/>
    </row>
    <row r="116" ht="22.5" customHeight="1">
      <c r="A116" s="431" t="str">
        <f>'BASE DE DATOSS'!A190</f>
        <v/>
      </c>
      <c r="B116" s="432" t="str">
        <f>'BASE DE DATOSS'!C190</f>
        <v/>
      </c>
      <c r="C116" s="263"/>
      <c r="D116" s="249"/>
      <c r="E116" s="250"/>
      <c r="F116" s="251"/>
      <c r="G116" s="262"/>
      <c r="H116" s="257"/>
      <c r="I116" s="249"/>
      <c r="J116" s="193" t="str">
        <f>IF(OR(ISBLANK($B116),ISBLANK($I116)),"",IFERROR(IF($I116&lt;=DATE('ESTADO CONTABLE'!$B$2,3,5),VLOOKUP($B116,COSTOS!$A$2:$B1014,2,FALSE)-150,VLOOKUP($B116,COSTOS!$A$2:$B1014,2,FALSE)),"No encontrado o error"))</f>
        <v/>
      </c>
      <c r="K116" s="264"/>
      <c r="L116" s="249"/>
      <c r="M116" s="189"/>
      <c r="N116" s="264"/>
      <c r="O116" s="249"/>
      <c r="P116" s="250"/>
      <c r="Q116" s="264"/>
      <c r="R116" s="249"/>
      <c r="S116" s="250"/>
      <c r="T116" s="264"/>
      <c r="U116" s="249"/>
      <c r="V116" s="250"/>
      <c r="W116" s="264"/>
      <c r="X116" s="394"/>
      <c r="Y116" s="429"/>
      <c r="Z116" s="395"/>
      <c r="AA116" s="394"/>
      <c r="AB116" s="118" t="str">
        <f>IF(OR(ISBLANK($B116),ISBLANK($AA116)),"",IFERROR(IF($AA116&lt;=DATE('ESTADO CONTABLE'!$B$2,9,5),VLOOKUP($B116,COSTOS!$A$2:$B1014,2,FALSE)-150,VLOOKUP($B116,COSTOS!$A$2:$B1014,2,FALSE)),"No encontrado o error"))</f>
        <v/>
      </c>
      <c r="AC116" s="395"/>
      <c r="AD116" s="394"/>
      <c r="AE116" s="429" t="str">
        <f>IF(OR(ISBLANK($B116),ISBLANK($AD116)),"",IFERROR(IF($AD116&lt;=DATE('ESTADO CONTABLE'!$B$2,10,5),VLOOKUP($B116,COSTOS!$A$2:$B1014,2,FALSE)-150,VLOOKUP($B116,COSTOS!$A$2:$B1014,2,FALSE)),"No encontrado o error"))</f>
        <v/>
      </c>
      <c r="AF116" s="395"/>
      <c r="AG116" s="394"/>
      <c r="AH116" s="429" t="str">
        <f>IF(OR(ISBLANK($B116),ISBLANK($AG116)),"",IFERROR(IF($AG116&lt;=DATE('ESTADO CONTABLE'!$B$2,11,5),VLOOKUP($B116,COSTOS!$A$2:$B1014,2,FALSE)-150,VLOOKUP($B116,COSTOS!$A$2:$B1014,2,FALSE)),"No encontrado o error"))</f>
        <v/>
      </c>
      <c r="AI116" s="395"/>
      <c r="AJ116" s="394"/>
      <c r="AK116" s="429" t="str">
        <f>IF(OR(ISBLANK($B116),ISBLANK($AJ116)),"",IFERROR(IF($AJ116&lt;=DATE('ESTADO CONTABLE'!$B$2,12,5),VLOOKUP($B116,COSTOS!$A$2:$B1014,2,FALSE)-150,VLOOKUP($B116,COSTOS!$A$2:$B1014,2,FALSE)),"No encontrado o error"))</f>
        <v/>
      </c>
      <c r="AL116" s="395"/>
      <c r="AM116" s="254"/>
      <c r="AN116" s="255"/>
      <c r="AO116" s="256"/>
    </row>
    <row r="117" ht="22.5" customHeight="1">
      <c r="A117" s="431" t="str">
        <f>'BASE DE DATOSS'!A191</f>
        <v/>
      </c>
      <c r="B117" s="432" t="str">
        <f>'BASE DE DATOSS'!C191</f>
        <v/>
      </c>
      <c r="C117" s="263"/>
      <c r="D117" s="249"/>
      <c r="E117" s="250"/>
      <c r="F117" s="251"/>
      <c r="G117" s="262"/>
      <c r="H117" s="257"/>
      <c r="I117" s="249"/>
      <c r="J117" s="193" t="str">
        <f>IF(OR(ISBLANK($B117),ISBLANK($I117)),"",IFERROR(IF($I117&lt;=DATE('ESTADO CONTABLE'!$B$2,3,5),VLOOKUP($B117,COSTOS!$A$2:$B1014,2,FALSE)-150,VLOOKUP($B117,COSTOS!$A$2:$B1014,2,FALSE)),"No encontrado o error"))</f>
        <v/>
      </c>
      <c r="K117" s="264"/>
      <c r="L117" s="249"/>
      <c r="M117" s="189"/>
      <c r="N117" s="264"/>
      <c r="O117" s="249"/>
      <c r="P117" s="250"/>
      <c r="Q117" s="264"/>
      <c r="R117" s="249"/>
      <c r="S117" s="250"/>
      <c r="T117" s="264"/>
      <c r="U117" s="249"/>
      <c r="V117" s="250"/>
      <c r="W117" s="264"/>
      <c r="X117" s="394"/>
      <c r="Y117" s="429"/>
      <c r="Z117" s="395"/>
      <c r="AA117" s="394"/>
      <c r="AB117" s="118" t="str">
        <f>IF(OR(ISBLANK($B117),ISBLANK($AA117)),"",IFERROR(IF($AA117&lt;=DATE('ESTADO CONTABLE'!$B$2,9,5),VLOOKUP($B117,COSTOS!$A$2:$B1014,2,FALSE)-150,VLOOKUP($B117,COSTOS!$A$2:$B1014,2,FALSE)),"No encontrado o error"))</f>
        <v/>
      </c>
      <c r="AC117" s="395"/>
      <c r="AD117" s="394"/>
      <c r="AE117" s="429" t="str">
        <f>IF(OR(ISBLANK($B117),ISBLANK($AD117)),"",IFERROR(IF($AD117&lt;=DATE('ESTADO CONTABLE'!$B$2,10,5),VLOOKUP($B117,COSTOS!$A$2:$B1014,2,FALSE)-150,VLOOKUP($B117,COSTOS!$A$2:$B1014,2,FALSE)),"No encontrado o error"))</f>
        <v/>
      </c>
      <c r="AF117" s="395"/>
      <c r="AG117" s="394"/>
      <c r="AH117" s="429" t="str">
        <f>IF(OR(ISBLANK($B117),ISBLANK($AG117)),"",IFERROR(IF($AG117&lt;=DATE('ESTADO CONTABLE'!$B$2,11,5),VLOOKUP($B117,COSTOS!$A$2:$B1014,2,FALSE)-150,VLOOKUP($B117,COSTOS!$A$2:$B1014,2,FALSE)),"No encontrado o error"))</f>
        <v/>
      </c>
      <c r="AI117" s="395"/>
      <c r="AJ117" s="394"/>
      <c r="AK117" s="429" t="str">
        <f>IF(OR(ISBLANK($B117),ISBLANK($AJ117)),"",IFERROR(IF($AJ117&lt;=DATE('ESTADO CONTABLE'!$B$2,12,5),VLOOKUP($B117,COSTOS!$A$2:$B1014,2,FALSE)-150,VLOOKUP($B117,COSTOS!$A$2:$B1014,2,FALSE)),"No encontrado o error"))</f>
        <v/>
      </c>
      <c r="AL117" s="395"/>
      <c r="AM117" s="254"/>
      <c r="AN117" s="255"/>
      <c r="AO117" s="256"/>
    </row>
    <row r="118" ht="22.5" customHeight="1">
      <c r="A118" s="431" t="str">
        <f>'BASE DE DATOSS'!A192</f>
        <v/>
      </c>
      <c r="B118" s="432" t="str">
        <f>'BASE DE DATOSS'!C192</f>
        <v/>
      </c>
      <c r="C118" s="263"/>
      <c r="D118" s="249"/>
      <c r="E118" s="250"/>
      <c r="F118" s="251"/>
      <c r="G118" s="262"/>
      <c r="H118" s="257"/>
      <c r="I118" s="249"/>
      <c r="J118" s="193" t="str">
        <f>IF(OR(ISBLANK($B118),ISBLANK($I118)),"",IFERROR(IF($I118&lt;=DATE('ESTADO CONTABLE'!$B$2,3,5),VLOOKUP($B118,COSTOS!$A$2:$B1014,2,FALSE)-150,VLOOKUP($B118,COSTOS!$A$2:$B1014,2,FALSE)),"No encontrado o error"))</f>
        <v/>
      </c>
      <c r="K118" s="264"/>
      <c r="L118" s="249"/>
      <c r="M118" s="189"/>
      <c r="N118" s="264"/>
      <c r="O118" s="249"/>
      <c r="P118" s="250"/>
      <c r="Q118" s="264"/>
      <c r="R118" s="249"/>
      <c r="S118" s="250"/>
      <c r="T118" s="264"/>
      <c r="U118" s="249"/>
      <c r="V118" s="250"/>
      <c r="W118" s="264"/>
      <c r="X118" s="394"/>
      <c r="Y118" s="429"/>
      <c r="Z118" s="395"/>
      <c r="AA118" s="394"/>
      <c r="AB118" s="118" t="str">
        <f>IF(OR(ISBLANK($B118),ISBLANK($AA118)),"",IFERROR(IF($AA118&lt;=DATE('ESTADO CONTABLE'!$B$2,9,5),VLOOKUP($B118,COSTOS!$A$2:$B1014,2,FALSE)-150,VLOOKUP($B118,COSTOS!$A$2:$B1014,2,FALSE)),"No encontrado o error"))</f>
        <v/>
      </c>
      <c r="AC118" s="395"/>
      <c r="AD118" s="394"/>
      <c r="AE118" s="429" t="str">
        <f>IF(OR(ISBLANK($B118),ISBLANK($AD118)),"",IFERROR(IF($AD118&lt;=DATE('ESTADO CONTABLE'!$B$2,10,5),VLOOKUP($B118,COSTOS!$A$2:$B1014,2,FALSE)-150,VLOOKUP($B118,COSTOS!$A$2:$B1014,2,FALSE)),"No encontrado o error"))</f>
        <v/>
      </c>
      <c r="AF118" s="395"/>
      <c r="AG118" s="394"/>
      <c r="AH118" s="429" t="str">
        <f>IF(OR(ISBLANK($B118),ISBLANK($AG118)),"",IFERROR(IF($AG118&lt;=DATE('ESTADO CONTABLE'!$B$2,11,5),VLOOKUP($B118,COSTOS!$A$2:$B1014,2,FALSE)-150,VLOOKUP($B118,COSTOS!$A$2:$B1014,2,FALSE)),"No encontrado o error"))</f>
        <v/>
      </c>
      <c r="AI118" s="395"/>
      <c r="AJ118" s="394"/>
      <c r="AK118" s="429" t="str">
        <f>IF(OR(ISBLANK($B118),ISBLANK($AJ118)),"",IFERROR(IF($AJ118&lt;=DATE('ESTADO CONTABLE'!$B$2,12,5),VLOOKUP($B118,COSTOS!$A$2:$B1014,2,FALSE)-150,VLOOKUP($B118,COSTOS!$A$2:$B1014,2,FALSE)),"No encontrado o error"))</f>
        <v/>
      </c>
      <c r="AL118" s="395"/>
      <c r="AM118" s="254"/>
      <c r="AN118" s="255"/>
      <c r="AO118" s="256"/>
    </row>
    <row r="119" ht="22.5" customHeight="1">
      <c r="A119" s="431" t="str">
        <f>'BASE DE DATOSS'!A193</f>
        <v/>
      </c>
      <c r="B119" s="432" t="str">
        <f>'BASE DE DATOSS'!C193</f>
        <v/>
      </c>
      <c r="C119" s="263"/>
      <c r="D119" s="249"/>
      <c r="E119" s="250"/>
      <c r="F119" s="251"/>
      <c r="G119" s="262"/>
      <c r="H119" s="257"/>
      <c r="I119" s="249"/>
      <c r="J119" s="193" t="str">
        <f>IF(OR(ISBLANK($B119),ISBLANK($I119)),"",IFERROR(IF($I119&lt;=DATE('ESTADO CONTABLE'!$B$2,3,5),VLOOKUP($B119,COSTOS!$A$2:$B1014,2,FALSE)-150,VLOOKUP($B119,COSTOS!$A$2:$B1014,2,FALSE)),"No encontrado o error"))</f>
        <v/>
      </c>
      <c r="K119" s="264"/>
      <c r="L119" s="249"/>
      <c r="M119" s="189"/>
      <c r="N119" s="264"/>
      <c r="O119" s="249"/>
      <c r="P119" s="250"/>
      <c r="Q119" s="264"/>
      <c r="R119" s="249"/>
      <c r="S119" s="250"/>
      <c r="T119" s="264"/>
      <c r="U119" s="249"/>
      <c r="V119" s="250"/>
      <c r="W119" s="264"/>
      <c r="X119" s="394"/>
      <c r="Y119" s="429"/>
      <c r="Z119" s="395"/>
      <c r="AA119" s="394"/>
      <c r="AB119" s="118" t="str">
        <f>IF(OR(ISBLANK($B119),ISBLANK($AA119)),"",IFERROR(IF($AA119&lt;=DATE('ESTADO CONTABLE'!$B$2,9,5),VLOOKUP($B119,COSTOS!$A$2:$B1014,2,FALSE)-150,VLOOKUP($B119,COSTOS!$A$2:$B1014,2,FALSE)),"No encontrado o error"))</f>
        <v/>
      </c>
      <c r="AC119" s="395"/>
      <c r="AD119" s="394"/>
      <c r="AE119" s="429" t="str">
        <f>IF(OR(ISBLANK($B119),ISBLANK($AD119)),"",IFERROR(IF($AD119&lt;=DATE('ESTADO CONTABLE'!$B$2,10,5),VLOOKUP($B119,COSTOS!$A$2:$B1014,2,FALSE)-150,VLOOKUP($B119,COSTOS!$A$2:$B1014,2,FALSE)),"No encontrado o error"))</f>
        <v/>
      </c>
      <c r="AF119" s="395"/>
      <c r="AG119" s="394"/>
      <c r="AH119" s="429" t="str">
        <f>IF(OR(ISBLANK($B119),ISBLANK($AG119)),"",IFERROR(IF($AG119&lt;=DATE('ESTADO CONTABLE'!$B$2,11,5),VLOOKUP($B119,COSTOS!$A$2:$B1014,2,FALSE)-150,VLOOKUP($B119,COSTOS!$A$2:$B1014,2,FALSE)),"No encontrado o error"))</f>
        <v/>
      </c>
      <c r="AI119" s="395"/>
      <c r="AJ119" s="394"/>
      <c r="AK119" s="429" t="str">
        <f>IF(OR(ISBLANK($B119),ISBLANK($AJ119)),"",IFERROR(IF($AJ119&lt;=DATE('ESTADO CONTABLE'!$B$2,12,5),VLOOKUP($B119,COSTOS!$A$2:$B1014,2,FALSE)-150,VLOOKUP($B119,COSTOS!$A$2:$B1014,2,FALSE)),"No encontrado o error"))</f>
        <v/>
      </c>
      <c r="AL119" s="395"/>
      <c r="AM119" s="254"/>
      <c r="AN119" s="255"/>
      <c r="AO119" s="256"/>
    </row>
    <row r="120" ht="22.5" customHeight="1">
      <c r="A120" s="431" t="str">
        <f>'BASE DE DATOSS'!A194</f>
        <v/>
      </c>
      <c r="B120" s="432" t="str">
        <f>'BASE DE DATOSS'!C194</f>
        <v/>
      </c>
      <c r="C120" s="263"/>
      <c r="D120" s="249"/>
      <c r="E120" s="250"/>
      <c r="F120" s="251"/>
      <c r="G120" s="262"/>
      <c r="H120" s="257"/>
      <c r="I120" s="249"/>
      <c r="J120" s="193" t="str">
        <f>IF(OR(ISBLANK($B120),ISBLANK($I120)),"",IFERROR(IF($I120&lt;=DATE('ESTADO CONTABLE'!$B$2,3,5),VLOOKUP($B120,COSTOS!$A$2:$B1014,2,FALSE)-150,VLOOKUP($B120,COSTOS!$A$2:$B1014,2,FALSE)),"No encontrado o error"))</f>
        <v/>
      </c>
      <c r="K120" s="264"/>
      <c r="L120" s="249"/>
      <c r="M120" s="189"/>
      <c r="N120" s="264"/>
      <c r="O120" s="249"/>
      <c r="P120" s="250"/>
      <c r="Q120" s="264"/>
      <c r="R120" s="249"/>
      <c r="S120" s="250"/>
      <c r="T120" s="264"/>
      <c r="U120" s="249"/>
      <c r="V120" s="250"/>
      <c r="W120" s="264"/>
      <c r="X120" s="394"/>
      <c r="Y120" s="429"/>
      <c r="Z120" s="395"/>
      <c r="AA120" s="394"/>
      <c r="AB120" s="118" t="str">
        <f>IF(OR(ISBLANK($B120),ISBLANK($AA120)),"",IFERROR(IF($AA120&lt;=DATE('ESTADO CONTABLE'!$B$2,9,5),VLOOKUP($B120,COSTOS!$A$2:$B1014,2,FALSE)-150,VLOOKUP($B120,COSTOS!$A$2:$B1014,2,FALSE)),"No encontrado o error"))</f>
        <v/>
      </c>
      <c r="AC120" s="395"/>
      <c r="AD120" s="394"/>
      <c r="AE120" s="429" t="str">
        <f>IF(OR(ISBLANK($B120),ISBLANK($AD120)),"",IFERROR(IF($AD120&lt;=DATE('ESTADO CONTABLE'!$B$2,10,5),VLOOKUP($B120,COSTOS!$A$2:$B1014,2,FALSE)-150,VLOOKUP($B120,COSTOS!$A$2:$B1014,2,FALSE)),"No encontrado o error"))</f>
        <v/>
      </c>
      <c r="AF120" s="395"/>
      <c r="AG120" s="394"/>
      <c r="AH120" s="429" t="str">
        <f>IF(OR(ISBLANK($B120),ISBLANK($AG120)),"",IFERROR(IF($AG120&lt;=DATE('ESTADO CONTABLE'!$B$2,11,5),VLOOKUP($B120,COSTOS!$A$2:$B1014,2,FALSE)-150,VLOOKUP($B120,COSTOS!$A$2:$B1014,2,FALSE)),"No encontrado o error"))</f>
        <v/>
      </c>
      <c r="AI120" s="395"/>
      <c r="AJ120" s="394"/>
      <c r="AK120" s="429" t="str">
        <f>IF(OR(ISBLANK($B120),ISBLANK($AJ120)),"",IFERROR(IF($AJ120&lt;=DATE('ESTADO CONTABLE'!$B$2,12,5),VLOOKUP($B120,COSTOS!$A$2:$B1014,2,FALSE)-150,VLOOKUP($B120,COSTOS!$A$2:$B1014,2,FALSE)),"No encontrado o error"))</f>
        <v/>
      </c>
      <c r="AL120" s="395"/>
      <c r="AM120" s="254"/>
      <c r="AN120" s="255"/>
      <c r="AO120" s="256"/>
    </row>
    <row r="121" ht="22.5" customHeight="1">
      <c r="A121" s="431" t="str">
        <f>'BASE DE DATOSS'!A195</f>
        <v/>
      </c>
      <c r="B121" s="432" t="str">
        <f>'BASE DE DATOSS'!C195</f>
        <v/>
      </c>
      <c r="C121" s="263"/>
      <c r="D121" s="249"/>
      <c r="E121" s="250"/>
      <c r="F121" s="251"/>
      <c r="G121" s="262"/>
      <c r="H121" s="257"/>
      <c r="I121" s="249"/>
      <c r="J121" s="193" t="str">
        <f>IF(OR(ISBLANK($B121),ISBLANK($I121)),"",IFERROR(IF($I121&lt;=DATE('ESTADO CONTABLE'!$B$2,3,5),VLOOKUP($B121,COSTOS!$A$2:$B1014,2,FALSE)-150,VLOOKUP($B121,COSTOS!$A$2:$B1014,2,FALSE)),"No encontrado o error"))</f>
        <v/>
      </c>
      <c r="K121" s="264"/>
      <c r="L121" s="249"/>
      <c r="M121" s="189"/>
      <c r="N121" s="264"/>
      <c r="O121" s="249"/>
      <c r="P121" s="250"/>
      <c r="Q121" s="264"/>
      <c r="R121" s="249"/>
      <c r="S121" s="250"/>
      <c r="T121" s="264"/>
      <c r="U121" s="249"/>
      <c r="V121" s="250"/>
      <c r="W121" s="264"/>
      <c r="X121" s="394"/>
      <c r="Y121" s="429"/>
      <c r="Z121" s="395"/>
      <c r="AA121" s="394"/>
      <c r="AB121" s="118" t="str">
        <f>IF(OR(ISBLANK($B121),ISBLANK($AA121)),"",IFERROR(IF($AA121&lt;=DATE('ESTADO CONTABLE'!$B$2,9,5),VLOOKUP($B121,COSTOS!$A$2:$B1014,2,FALSE)-150,VLOOKUP($B121,COSTOS!$A$2:$B1014,2,FALSE)),"No encontrado o error"))</f>
        <v/>
      </c>
      <c r="AC121" s="395"/>
      <c r="AD121" s="394"/>
      <c r="AE121" s="429" t="str">
        <f>IF(OR(ISBLANK($B121),ISBLANK($AD121)),"",IFERROR(IF($AD121&lt;=DATE('ESTADO CONTABLE'!$B$2,10,5),VLOOKUP($B121,COSTOS!$A$2:$B1014,2,FALSE)-150,VLOOKUP($B121,COSTOS!$A$2:$B1014,2,FALSE)),"No encontrado o error"))</f>
        <v/>
      </c>
      <c r="AF121" s="395"/>
      <c r="AG121" s="394"/>
      <c r="AH121" s="429" t="str">
        <f>IF(OR(ISBLANK($B121),ISBLANK($AG121)),"",IFERROR(IF($AG121&lt;=DATE('ESTADO CONTABLE'!$B$2,11,5),VLOOKUP($B121,COSTOS!$A$2:$B1014,2,FALSE)-150,VLOOKUP($B121,COSTOS!$A$2:$B1014,2,FALSE)),"No encontrado o error"))</f>
        <v/>
      </c>
      <c r="AI121" s="395"/>
      <c r="AJ121" s="394"/>
      <c r="AK121" s="429" t="str">
        <f>IF(OR(ISBLANK($B121),ISBLANK($AJ121)),"",IFERROR(IF($AJ121&lt;=DATE('ESTADO CONTABLE'!$B$2,12,5),VLOOKUP($B121,COSTOS!$A$2:$B1014,2,FALSE)-150,VLOOKUP($B121,COSTOS!$A$2:$B1014,2,FALSE)),"No encontrado o error"))</f>
        <v/>
      </c>
      <c r="AL121" s="395"/>
      <c r="AM121" s="254"/>
      <c r="AN121" s="255"/>
      <c r="AO121" s="256"/>
    </row>
    <row r="122" ht="22.5" customHeight="1">
      <c r="A122" s="431" t="str">
        <f>'BASE DE DATOSS'!A196</f>
        <v/>
      </c>
      <c r="B122" s="432" t="str">
        <f>'BASE DE DATOSS'!C196</f>
        <v/>
      </c>
      <c r="C122" s="263"/>
      <c r="D122" s="249"/>
      <c r="E122" s="250"/>
      <c r="F122" s="251"/>
      <c r="G122" s="262"/>
      <c r="H122" s="257"/>
      <c r="I122" s="249"/>
      <c r="J122" s="193" t="str">
        <f>IF(OR(ISBLANK($B122),ISBLANK($I122)),"",IFERROR(IF($I122&lt;=DATE('ESTADO CONTABLE'!$B$2,3,5),VLOOKUP($B122,COSTOS!$A$2:$B1014,2,FALSE)-150,VLOOKUP($B122,COSTOS!$A$2:$B1014,2,FALSE)),"No encontrado o error"))</f>
        <v/>
      </c>
      <c r="K122" s="264"/>
      <c r="L122" s="249"/>
      <c r="M122" s="189"/>
      <c r="N122" s="264"/>
      <c r="O122" s="249"/>
      <c r="P122" s="250"/>
      <c r="Q122" s="264"/>
      <c r="R122" s="249"/>
      <c r="S122" s="250"/>
      <c r="T122" s="264"/>
      <c r="U122" s="249"/>
      <c r="V122" s="250"/>
      <c r="W122" s="264"/>
      <c r="X122" s="394"/>
      <c r="Y122" s="429"/>
      <c r="Z122" s="395"/>
      <c r="AA122" s="394"/>
      <c r="AB122" s="118" t="str">
        <f>IF(OR(ISBLANK($B122),ISBLANK($AA122)),"",IFERROR(IF($AA122&lt;=DATE('ESTADO CONTABLE'!$B$2,9,5),VLOOKUP($B122,COSTOS!$A$2:$B1014,2,FALSE)-150,VLOOKUP($B122,COSTOS!$A$2:$B1014,2,FALSE)),"No encontrado o error"))</f>
        <v/>
      </c>
      <c r="AC122" s="395"/>
      <c r="AD122" s="394"/>
      <c r="AE122" s="429" t="str">
        <f>IF(OR(ISBLANK($B122),ISBLANK($AD122)),"",IFERROR(IF($AD122&lt;=DATE('ESTADO CONTABLE'!$B$2,10,5),VLOOKUP($B122,COSTOS!$A$2:$B1014,2,FALSE)-150,VLOOKUP($B122,COSTOS!$A$2:$B1014,2,FALSE)),"No encontrado o error"))</f>
        <v/>
      </c>
      <c r="AF122" s="395"/>
      <c r="AG122" s="394"/>
      <c r="AH122" s="429" t="str">
        <f>IF(OR(ISBLANK($B122),ISBLANK($AG122)),"",IFERROR(IF($AG122&lt;=DATE('ESTADO CONTABLE'!$B$2,11,5),VLOOKUP($B122,COSTOS!$A$2:$B1014,2,FALSE)-150,VLOOKUP($B122,COSTOS!$A$2:$B1014,2,FALSE)),"No encontrado o error"))</f>
        <v/>
      </c>
      <c r="AI122" s="395"/>
      <c r="AJ122" s="394"/>
      <c r="AK122" s="429" t="str">
        <f>IF(OR(ISBLANK($B122),ISBLANK($AJ122)),"",IFERROR(IF($AJ122&lt;=DATE('ESTADO CONTABLE'!$B$2,12,5),VLOOKUP($B122,COSTOS!$A$2:$B1014,2,FALSE)-150,VLOOKUP($B122,COSTOS!$A$2:$B1014,2,FALSE)),"No encontrado o error"))</f>
        <v/>
      </c>
      <c r="AL122" s="395"/>
      <c r="AM122" s="254"/>
      <c r="AN122" s="255"/>
      <c r="AO122" s="256"/>
    </row>
    <row r="123" ht="22.5" customHeight="1">
      <c r="A123" s="431" t="str">
        <f>'BASE DE DATOSS'!A197</f>
        <v/>
      </c>
      <c r="B123" s="432" t="str">
        <f>'BASE DE DATOSS'!C197</f>
        <v/>
      </c>
      <c r="C123" s="263"/>
      <c r="D123" s="249"/>
      <c r="E123" s="250"/>
      <c r="F123" s="251"/>
      <c r="G123" s="262"/>
      <c r="H123" s="257"/>
      <c r="I123" s="249"/>
      <c r="J123" s="193" t="str">
        <f>IF(OR(ISBLANK($B123),ISBLANK($I123)),"",IFERROR(IF($I123&lt;=DATE('ESTADO CONTABLE'!$B$2,3,5),VLOOKUP($B123,COSTOS!$A$2:$B1014,2,FALSE)-150,VLOOKUP($B123,COSTOS!$A$2:$B1014,2,FALSE)),"No encontrado o error"))</f>
        <v/>
      </c>
      <c r="K123" s="264"/>
      <c r="L123" s="249"/>
      <c r="M123" s="189"/>
      <c r="N123" s="264"/>
      <c r="O123" s="249"/>
      <c r="P123" s="250"/>
      <c r="Q123" s="264"/>
      <c r="R123" s="249"/>
      <c r="S123" s="250"/>
      <c r="T123" s="264"/>
      <c r="U123" s="249"/>
      <c r="V123" s="250"/>
      <c r="W123" s="264"/>
      <c r="X123" s="394"/>
      <c r="Y123" s="429"/>
      <c r="Z123" s="395"/>
      <c r="AA123" s="394"/>
      <c r="AB123" s="118" t="str">
        <f>IF(OR(ISBLANK($B123),ISBLANK($AA123)),"",IFERROR(IF($AA123&lt;=DATE('ESTADO CONTABLE'!$B$2,9,5),VLOOKUP($B123,COSTOS!$A$2:$B1014,2,FALSE)-150,VLOOKUP($B123,COSTOS!$A$2:$B1014,2,FALSE)),"No encontrado o error"))</f>
        <v/>
      </c>
      <c r="AC123" s="395"/>
      <c r="AD123" s="394"/>
      <c r="AE123" s="429" t="str">
        <f>IF(OR(ISBLANK($B123),ISBLANK($AD123)),"",IFERROR(IF($AD123&lt;=DATE('ESTADO CONTABLE'!$B$2,10,5),VLOOKUP($B123,COSTOS!$A$2:$B1014,2,FALSE)-150,VLOOKUP($B123,COSTOS!$A$2:$B1014,2,FALSE)),"No encontrado o error"))</f>
        <v/>
      </c>
      <c r="AF123" s="395"/>
      <c r="AG123" s="394"/>
      <c r="AH123" s="429" t="str">
        <f>IF(OR(ISBLANK($B123),ISBLANK($AG123)),"",IFERROR(IF($AG123&lt;=DATE('ESTADO CONTABLE'!$B$2,11,5),VLOOKUP($B123,COSTOS!$A$2:$B1014,2,FALSE)-150,VLOOKUP($B123,COSTOS!$A$2:$B1014,2,FALSE)),"No encontrado o error"))</f>
        <v/>
      </c>
      <c r="AI123" s="395"/>
      <c r="AJ123" s="394"/>
      <c r="AK123" s="429" t="str">
        <f>IF(OR(ISBLANK($B123),ISBLANK($AJ123)),"",IFERROR(IF($AJ123&lt;=DATE('ESTADO CONTABLE'!$B$2,12,5),VLOOKUP($B123,COSTOS!$A$2:$B1014,2,FALSE)-150,VLOOKUP($B123,COSTOS!$A$2:$B1014,2,FALSE)),"No encontrado o error"))</f>
        <v/>
      </c>
      <c r="AL123" s="395"/>
      <c r="AM123" s="254"/>
      <c r="AN123" s="255"/>
      <c r="AO123" s="256"/>
    </row>
    <row r="124" ht="22.5" customHeight="1">
      <c r="A124" s="431" t="str">
        <f>'BASE DE DATOSS'!A198</f>
        <v/>
      </c>
      <c r="B124" s="432" t="str">
        <f>'BASE DE DATOSS'!C198</f>
        <v/>
      </c>
      <c r="C124" s="263"/>
      <c r="D124" s="249"/>
      <c r="E124" s="250"/>
      <c r="F124" s="251"/>
      <c r="G124" s="262"/>
      <c r="H124" s="257"/>
      <c r="I124" s="249"/>
      <c r="J124" s="193" t="str">
        <f>IF(OR(ISBLANK($B124),ISBLANK($I124)),"",IFERROR(IF($I124&lt;=DATE('ESTADO CONTABLE'!$B$2,3,5),VLOOKUP($B124,COSTOS!$A$2:$B1014,2,FALSE)-150,VLOOKUP($B124,COSTOS!$A$2:$B1014,2,FALSE)),"No encontrado o error"))</f>
        <v/>
      </c>
      <c r="K124" s="264"/>
      <c r="L124" s="249"/>
      <c r="M124" s="189"/>
      <c r="N124" s="264"/>
      <c r="O124" s="249"/>
      <c r="P124" s="250"/>
      <c r="Q124" s="264"/>
      <c r="R124" s="249"/>
      <c r="S124" s="250"/>
      <c r="T124" s="264"/>
      <c r="U124" s="249"/>
      <c r="V124" s="250"/>
      <c r="W124" s="264"/>
      <c r="X124" s="394"/>
      <c r="Y124" s="429"/>
      <c r="Z124" s="395"/>
      <c r="AA124" s="394"/>
      <c r="AB124" s="118" t="str">
        <f>IF(OR(ISBLANK($B124),ISBLANK($AA124)),"",IFERROR(IF($AA124&lt;=DATE('ESTADO CONTABLE'!$B$2,9,5),VLOOKUP($B124,COSTOS!$A$2:$B1014,2,FALSE)-150,VLOOKUP($B124,COSTOS!$A$2:$B1014,2,FALSE)),"No encontrado o error"))</f>
        <v/>
      </c>
      <c r="AC124" s="395"/>
      <c r="AD124" s="394"/>
      <c r="AE124" s="429" t="str">
        <f>IF(OR(ISBLANK($B124),ISBLANK($AD124)),"",IFERROR(IF($AD124&lt;=DATE('ESTADO CONTABLE'!$B$2,10,5),VLOOKUP($B124,COSTOS!$A$2:$B1014,2,FALSE)-150,VLOOKUP($B124,COSTOS!$A$2:$B1014,2,FALSE)),"No encontrado o error"))</f>
        <v/>
      </c>
      <c r="AF124" s="395"/>
      <c r="AG124" s="394"/>
      <c r="AH124" s="429" t="str">
        <f>IF(OR(ISBLANK($B124),ISBLANK($AG124)),"",IFERROR(IF($AG124&lt;=DATE('ESTADO CONTABLE'!$B$2,11,5),VLOOKUP($B124,COSTOS!$A$2:$B1014,2,FALSE)-150,VLOOKUP($B124,COSTOS!$A$2:$B1014,2,FALSE)),"No encontrado o error"))</f>
        <v/>
      </c>
      <c r="AI124" s="395"/>
      <c r="AJ124" s="394"/>
      <c r="AK124" s="429" t="str">
        <f>IF(OR(ISBLANK($B124),ISBLANK($AJ124)),"",IFERROR(IF($AJ124&lt;=DATE('ESTADO CONTABLE'!$B$2,12,5),VLOOKUP($B124,COSTOS!$A$2:$B1014,2,FALSE)-150,VLOOKUP($B124,COSTOS!$A$2:$B1014,2,FALSE)),"No encontrado o error"))</f>
        <v/>
      </c>
      <c r="AL124" s="395"/>
      <c r="AM124" s="254"/>
      <c r="AN124" s="255"/>
      <c r="AO124" s="256"/>
    </row>
    <row r="125" ht="22.5" customHeight="1">
      <c r="A125" s="431" t="str">
        <f>'BASE DE DATOSS'!A199</f>
        <v/>
      </c>
      <c r="B125" s="432" t="str">
        <f>'BASE DE DATOSS'!C199</f>
        <v/>
      </c>
      <c r="C125" s="263"/>
      <c r="D125" s="249"/>
      <c r="E125" s="250"/>
      <c r="F125" s="251"/>
      <c r="G125" s="262"/>
      <c r="H125" s="257"/>
      <c r="I125" s="249"/>
      <c r="J125" s="193" t="str">
        <f>IF(OR(ISBLANK($B125),ISBLANK($I125)),"",IFERROR(IF($I125&lt;=DATE('ESTADO CONTABLE'!$B$2,3,5),VLOOKUP($B125,COSTOS!$A$2:$B1014,2,FALSE)-150,VLOOKUP($B125,COSTOS!$A$2:$B1014,2,FALSE)),"No encontrado o error"))</f>
        <v/>
      </c>
      <c r="K125" s="264"/>
      <c r="L125" s="249"/>
      <c r="M125" s="189"/>
      <c r="N125" s="264"/>
      <c r="O125" s="249"/>
      <c r="P125" s="250"/>
      <c r="Q125" s="264"/>
      <c r="R125" s="249"/>
      <c r="S125" s="250"/>
      <c r="T125" s="264"/>
      <c r="U125" s="249"/>
      <c r="V125" s="250"/>
      <c r="W125" s="264"/>
      <c r="X125" s="394"/>
      <c r="Y125" s="429"/>
      <c r="Z125" s="395"/>
      <c r="AA125" s="394"/>
      <c r="AB125" s="118" t="str">
        <f>IF(OR(ISBLANK($B125),ISBLANK($AA125)),"",IFERROR(IF($AA125&lt;=DATE('ESTADO CONTABLE'!$B$2,9,5),VLOOKUP($B125,COSTOS!$A$2:$B1014,2,FALSE)-150,VLOOKUP($B125,COSTOS!$A$2:$B1014,2,FALSE)),"No encontrado o error"))</f>
        <v/>
      </c>
      <c r="AC125" s="395"/>
      <c r="AD125" s="394"/>
      <c r="AE125" s="429" t="str">
        <f>IF(OR(ISBLANK($B125),ISBLANK($AD125)),"",IFERROR(IF($AD125&lt;=DATE('ESTADO CONTABLE'!$B$2,10,5),VLOOKUP($B125,COSTOS!$A$2:$B1014,2,FALSE)-150,VLOOKUP($B125,COSTOS!$A$2:$B1014,2,FALSE)),"No encontrado o error"))</f>
        <v/>
      </c>
      <c r="AF125" s="395"/>
      <c r="AG125" s="394"/>
      <c r="AH125" s="429" t="str">
        <f>IF(OR(ISBLANK($B125),ISBLANK($AG125)),"",IFERROR(IF($AG125&lt;=DATE('ESTADO CONTABLE'!$B$2,11,5),VLOOKUP($B125,COSTOS!$A$2:$B1014,2,FALSE)-150,VLOOKUP($B125,COSTOS!$A$2:$B1014,2,FALSE)),"No encontrado o error"))</f>
        <v/>
      </c>
      <c r="AI125" s="395"/>
      <c r="AJ125" s="394"/>
      <c r="AK125" s="429" t="str">
        <f>IF(OR(ISBLANK($B125),ISBLANK($AJ125)),"",IFERROR(IF($AJ125&lt;=DATE('ESTADO CONTABLE'!$B$2,12,5),VLOOKUP($B125,COSTOS!$A$2:$B1014,2,FALSE)-150,VLOOKUP($B125,COSTOS!$A$2:$B1014,2,FALSE)),"No encontrado o error"))</f>
        <v/>
      </c>
      <c r="AL125" s="395"/>
      <c r="AM125" s="254"/>
      <c r="AN125" s="255"/>
      <c r="AO125" s="256"/>
    </row>
    <row r="126" ht="22.5" customHeight="1">
      <c r="A126" s="431" t="str">
        <f>'BASE DE DATOSS'!A200</f>
        <v/>
      </c>
      <c r="B126" s="432" t="str">
        <f>'BASE DE DATOSS'!C200</f>
        <v/>
      </c>
      <c r="C126" s="263"/>
      <c r="D126" s="249"/>
      <c r="E126" s="250"/>
      <c r="F126" s="251"/>
      <c r="G126" s="262"/>
      <c r="H126" s="257"/>
      <c r="I126" s="249"/>
      <c r="J126" s="193" t="str">
        <f>IF(OR(ISBLANK($B126),ISBLANK($I126)),"",IFERROR(IF($I126&lt;=DATE('ESTADO CONTABLE'!$B$2,3,5),VLOOKUP($B126,COSTOS!$A$2:$B1014,2,FALSE)-150,VLOOKUP($B126,COSTOS!$A$2:$B1014,2,FALSE)),"No encontrado o error"))</f>
        <v/>
      </c>
      <c r="K126" s="264"/>
      <c r="L126" s="249"/>
      <c r="M126" s="189"/>
      <c r="N126" s="264"/>
      <c r="O126" s="249"/>
      <c r="P126" s="250"/>
      <c r="Q126" s="264"/>
      <c r="R126" s="249"/>
      <c r="S126" s="250"/>
      <c r="T126" s="264"/>
      <c r="U126" s="249"/>
      <c r="V126" s="250"/>
      <c r="W126" s="264"/>
      <c r="X126" s="394"/>
      <c r="Y126" s="429"/>
      <c r="Z126" s="395"/>
      <c r="AA126" s="394"/>
      <c r="AB126" s="118" t="str">
        <f>IF(OR(ISBLANK($B126),ISBLANK($AA126)),"",IFERROR(IF($AA126&lt;=DATE('ESTADO CONTABLE'!$B$2,9,5),VLOOKUP($B126,COSTOS!$A$2:$B1014,2,FALSE)-150,VLOOKUP($B126,COSTOS!$A$2:$B1014,2,FALSE)),"No encontrado o error"))</f>
        <v/>
      </c>
      <c r="AC126" s="395"/>
      <c r="AD126" s="394"/>
      <c r="AE126" s="429" t="str">
        <f>IF(OR(ISBLANK($B126),ISBLANK($AD126)),"",IFERROR(IF($AD126&lt;=DATE('ESTADO CONTABLE'!$B$2,10,5),VLOOKUP($B126,COSTOS!$A$2:$B1014,2,FALSE)-150,VLOOKUP($B126,COSTOS!$A$2:$B1014,2,FALSE)),"No encontrado o error"))</f>
        <v/>
      </c>
      <c r="AF126" s="395"/>
      <c r="AG126" s="394"/>
      <c r="AH126" s="429" t="str">
        <f>IF(OR(ISBLANK($B126),ISBLANK($AG126)),"",IFERROR(IF($AG126&lt;=DATE('ESTADO CONTABLE'!$B$2,11,5),VLOOKUP($B126,COSTOS!$A$2:$B1014,2,FALSE)-150,VLOOKUP($B126,COSTOS!$A$2:$B1014,2,FALSE)),"No encontrado o error"))</f>
        <v/>
      </c>
      <c r="AI126" s="395"/>
      <c r="AJ126" s="394"/>
      <c r="AK126" s="429" t="str">
        <f>IF(OR(ISBLANK($B126),ISBLANK($AJ126)),"",IFERROR(IF($AJ126&lt;=DATE('ESTADO CONTABLE'!$B$2,12,5),VLOOKUP($B126,COSTOS!$A$2:$B1014,2,FALSE)-150,VLOOKUP($B126,COSTOS!$A$2:$B1014,2,FALSE)),"No encontrado o error"))</f>
        <v/>
      </c>
      <c r="AL126" s="395"/>
      <c r="AM126" s="254"/>
      <c r="AN126" s="255"/>
      <c r="AO126" s="256"/>
    </row>
    <row r="127" ht="22.5" customHeight="1">
      <c r="A127" s="431" t="str">
        <f>'BASE DE DATOSS'!A201</f>
        <v/>
      </c>
      <c r="B127" s="432" t="str">
        <f>'BASE DE DATOSS'!C201</f>
        <v/>
      </c>
      <c r="C127" s="263"/>
      <c r="D127" s="249"/>
      <c r="E127" s="250"/>
      <c r="F127" s="251"/>
      <c r="G127" s="262"/>
      <c r="H127" s="257"/>
      <c r="I127" s="249"/>
      <c r="J127" s="193" t="str">
        <f>IF(OR(ISBLANK($B127),ISBLANK($I127)),"",IFERROR(IF($I127&lt;=DATE('ESTADO CONTABLE'!$B$2,3,5),VLOOKUP($B127,COSTOS!$A$2:$B1014,2,FALSE)-150,VLOOKUP($B127,COSTOS!$A$2:$B1014,2,FALSE)),"No encontrado o error"))</f>
        <v/>
      </c>
      <c r="K127" s="264"/>
      <c r="L127" s="249"/>
      <c r="M127" s="189"/>
      <c r="N127" s="264"/>
      <c r="O127" s="249"/>
      <c r="P127" s="250"/>
      <c r="Q127" s="264"/>
      <c r="R127" s="249"/>
      <c r="S127" s="250"/>
      <c r="T127" s="264"/>
      <c r="U127" s="249"/>
      <c r="V127" s="250"/>
      <c r="W127" s="264"/>
      <c r="X127" s="394"/>
      <c r="Y127" s="429"/>
      <c r="Z127" s="395"/>
      <c r="AA127" s="394"/>
      <c r="AB127" s="118" t="str">
        <f>IF(OR(ISBLANK($B127),ISBLANK($AA127)),"",IFERROR(IF($AA127&lt;=DATE('ESTADO CONTABLE'!$B$2,9,5),VLOOKUP($B127,COSTOS!$A$2:$B1014,2,FALSE)-150,VLOOKUP($B127,COSTOS!$A$2:$B1014,2,FALSE)),"No encontrado o error"))</f>
        <v/>
      </c>
      <c r="AC127" s="395"/>
      <c r="AD127" s="394"/>
      <c r="AE127" s="429" t="str">
        <f>IF(OR(ISBLANK($B127),ISBLANK($AD127)),"",IFERROR(IF($AD127&lt;=DATE('ESTADO CONTABLE'!$B$2,10,5),VLOOKUP($B127,COSTOS!$A$2:$B1014,2,FALSE)-150,VLOOKUP($B127,COSTOS!$A$2:$B1014,2,FALSE)),"No encontrado o error"))</f>
        <v/>
      </c>
      <c r="AF127" s="395"/>
      <c r="AG127" s="394"/>
      <c r="AH127" s="429" t="str">
        <f>IF(OR(ISBLANK($B127),ISBLANK($AG127)),"",IFERROR(IF($AG127&lt;=DATE('ESTADO CONTABLE'!$B$2,11,5),VLOOKUP($B127,COSTOS!$A$2:$B1014,2,FALSE)-150,VLOOKUP($B127,COSTOS!$A$2:$B1014,2,FALSE)),"No encontrado o error"))</f>
        <v/>
      </c>
      <c r="AI127" s="395"/>
      <c r="AJ127" s="394"/>
      <c r="AK127" s="429" t="str">
        <f>IF(OR(ISBLANK($B127),ISBLANK($AJ127)),"",IFERROR(IF($AJ127&lt;=DATE('ESTADO CONTABLE'!$B$2,12,5),VLOOKUP($B127,COSTOS!$A$2:$B1014,2,FALSE)-150,VLOOKUP($B127,COSTOS!$A$2:$B1014,2,FALSE)),"No encontrado o error"))</f>
        <v/>
      </c>
      <c r="AL127" s="395"/>
      <c r="AM127" s="254"/>
      <c r="AN127" s="255"/>
      <c r="AO127" s="256"/>
    </row>
    <row r="128" ht="22.5" customHeight="1">
      <c r="A128" s="431" t="str">
        <f>'BASE DE DATOSS'!A202</f>
        <v/>
      </c>
      <c r="B128" s="432" t="str">
        <f>'BASE DE DATOSS'!C202</f>
        <v/>
      </c>
      <c r="C128" s="263"/>
      <c r="D128" s="249"/>
      <c r="E128" s="250"/>
      <c r="F128" s="251"/>
      <c r="G128" s="262"/>
      <c r="H128" s="257"/>
      <c r="I128" s="249"/>
      <c r="J128" s="193" t="str">
        <f>IF(OR(ISBLANK($B128),ISBLANK($I128)),"",IFERROR(IF($I128&lt;=DATE('ESTADO CONTABLE'!$B$2,3,5),VLOOKUP($B128,COSTOS!$A$2:$B1014,2,FALSE)-150,VLOOKUP($B128,COSTOS!$A$2:$B1014,2,FALSE)),"No encontrado o error"))</f>
        <v/>
      </c>
      <c r="K128" s="264"/>
      <c r="L128" s="249"/>
      <c r="M128" s="189"/>
      <c r="N128" s="264"/>
      <c r="O128" s="249"/>
      <c r="P128" s="250"/>
      <c r="Q128" s="264"/>
      <c r="R128" s="249"/>
      <c r="S128" s="250"/>
      <c r="T128" s="264"/>
      <c r="U128" s="249"/>
      <c r="V128" s="250"/>
      <c r="W128" s="264"/>
      <c r="X128" s="394"/>
      <c r="Y128" s="429"/>
      <c r="Z128" s="395"/>
      <c r="AA128" s="394"/>
      <c r="AB128" s="118" t="str">
        <f>IF(OR(ISBLANK($B128),ISBLANK($AA128)),"",IFERROR(IF($AA128&lt;=DATE('ESTADO CONTABLE'!$B$2,9,5),VLOOKUP($B128,COSTOS!$A$2:$B1014,2,FALSE)-150,VLOOKUP($B128,COSTOS!$A$2:$B1014,2,FALSE)),"No encontrado o error"))</f>
        <v/>
      </c>
      <c r="AC128" s="395"/>
      <c r="AD128" s="394"/>
      <c r="AE128" s="429" t="str">
        <f>IF(OR(ISBLANK($B128),ISBLANK($AD128)),"",IFERROR(IF($AD128&lt;=DATE('ESTADO CONTABLE'!$B$2,10,5),VLOOKUP($B128,COSTOS!$A$2:$B1014,2,FALSE)-150,VLOOKUP($B128,COSTOS!$A$2:$B1014,2,FALSE)),"No encontrado o error"))</f>
        <v/>
      </c>
      <c r="AF128" s="395"/>
      <c r="AG128" s="394"/>
      <c r="AH128" s="429" t="str">
        <f>IF(OR(ISBLANK($B128),ISBLANK($AG128)),"",IFERROR(IF($AG128&lt;=DATE('ESTADO CONTABLE'!$B$2,11,5),VLOOKUP($B128,COSTOS!$A$2:$B1014,2,FALSE)-150,VLOOKUP($B128,COSTOS!$A$2:$B1014,2,FALSE)),"No encontrado o error"))</f>
        <v/>
      </c>
      <c r="AI128" s="395"/>
      <c r="AJ128" s="394"/>
      <c r="AK128" s="429" t="str">
        <f>IF(OR(ISBLANK($B128),ISBLANK($AJ128)),"",IFERROR(IF($AJ128&lt;=DATE('ESTADO CONTABLE'!$B$2,12,5),VLOOKUP($B128,COSTOS!$A$2:$B1014,2,FALSE)-150,VLOOKUP($B128,COSTOS!$A$2:$B1014,2,FALSE)),"No encontrado o error"))</f>
        <v/>
      </c>
      <c r="AL128" s="395"/>
      <c r="AM128" s="254"/>
      <c r="AN128" s="255"/>
      <c r="AO128" s="256"/>
    </row>
    <row r="129" ht="22.5" customHeight="1">
      <c r="A129" s="431" t="str">
        <f>'BASE DE DATOSS'!A203</f>
        <v/>
      </c>
      <c r="B129" s="432" t="str">
        <f>'BASE DE DATOSS'!C203</f>
        <v/>
      </c>
      <c r="C129" s="263"/>
      <c r="D129" s="249"/>
      <c r="E129" s="250"/>
      <c r="F129" s="251"/>
      <c r="G129" s="262"/>
      <c r="H129" s="257"/>
      <c r="I129" s="249"/>
      <c r="J129" s="193" t="str">
        <f>IF(OR(ISBLANK($B129),ISBLANK($I129)),"",IFERROR(IF($I129&lt;=DATE('ESTADO CONTABLE'!$B$2,3,5),VLOOKUP($B129,COSTOS!$A$2:$B1014,2,FALSE)-150,VLOOKUP($B129,COSTOS!$A$2:$B1014,2,FALSE)),"No encontrado o error"))</f>
        <v/>
      </c>
      <c r="K129" s="264"/>
      <c r="L129" s="249"/>
      <c r="M129" s="189"/>
      <c r="N129" s="264"/>
      <c r="O129" s="249"/>
      <c r="P129" s="250"/>
      <c r="Q129" s="264"/>
      <c r="R129" s="249"/>
      <c r="S129" s="250"/>
      <c r="T129" s="264"/>
      <c r="U129" s="249"/>
      <c r="V129" s="250"/>
      <c r="W129" s="264"/>
      <c r="X129" s="394"/>
      <c r="Y129" s="429"/>
      <c r="Z129" s="395"/>
      <c r="AA129" s="394"/>
      <c r="AB129" s="118" t="str">
        <f>IF(OR(ISBLANK($B129),ISBLANK($AA129)),"",IFERROR(IF($AA129&lt;=DATE('ESTADO CONTABLE'!$B$2,9,5),VLOOKUP($B129,COSTOS!$A$2:$B1014,2,FALSE)-150,VLOOKUP($B129,COSTOS!$A$2:$B1014,2,FALSE)),"No encontrado o error"))</f>
        <v/>
      </c>
      <c r="AC129" s="395"/>
      <c r="AD129" s="394"/>
      <c r="AE129" s="429" t="str">
        <f>IF(OR(ISBLANK($B129),ISBLANK($AD129)),"",IFERROR(IF($AD129&lt;=DATE('ESTADO CONTABLE'!$B$2,10,5),VLOOKUP($B129,COSTOS!$A$2:$B1014,2,FALSE)-150,VLOOKUP($B129,COSTOS!$A$2:$B1014,2,FALSE)),"No encontrado o error"))</f>
        <v/>
      </c>
      <c r="AF129" s="395"/>
      <c r="AG129" s="394"/>
      <c r="AH129" s="429" t="str">
        <f>IF(OR(ISBLANK($B129),ISBLANK($AG129)),"",IFERROR(IF($AG129&lt;=DATE('ESTADO CONTABLE'!$B$2,11,5),VLOOKUP($B129,COSTOS!$A$2:$B1014,2,FALSE)-150,VLOOKUP($B129,COSTOS!$A$2:$B1014,2,FALSE)),"No encontrado o error"))</f>
        <v/>
      </c>
      <c r="AI129" s="395"/>
      <c r="AJ129" s="394"/>
      <c r="AK129" s="429" t="str">
        <f>IF(OR(ISBLANK($B129),ISBLANK($AJ129)),"",IFERROR(IF($AJ129&lt;=DATE('ESTADO CONTABLE'!$B$2,12,5),VLOOKUP($B129,COSTOS!$A$2:$B1014,2,FALSE)-150,VLOOKUP($B129,COSTOS!$A$2:$B1014,2,FALSE)),"No encontrado o error"))</f>
        <v/>
      </c>
      <c r="AL129" s="395"/>
      <c r="AM129" s="254"/>
      <c r="AN129" s="255"/>
      <c r="AO129" s="256"/>
    </row>
    <row r="130" ht="22.5" customHeight="1">
      <c r="A130" s="431" t="str">
        <f>'BASE DE DATOSS'!A204</f>
        <v/>
      </c>
      <c r="B130" s="432" t="str">
        <f>'BASE DE DATOSS'!C204</f>
        <v/>
      </c>
      <c r="C130" s="263"/>
      <c r="D130" s="249"/>
      <c r="E130" s="250"/>
      <c r="F130" s="251"/>
      <c r="G130" s="262"/>
      <c r="H130" s="257"/>
      <c r="I130" s="249"/>
      <c r="J130" s="193" t="str">
        <f>IF(OR(ISBLANK($B130),ISBLANK($I130)),"",IFERROR(IF($I130&lt;=DATE('ESTADO CONTABLE'!$B$2,3,5),VLOOKUP($B130,COSTOS!$A$2:$B1014,2,FALSE)-150,VLOOKUP($B130,COSTOS!$A$2:$B1014,2,FALSE)),"No encontrado o error"))</f>
        <v/>
      </c>
      <c r="K130" s="264"/>
      <c r="L130" s="249"/>
      <c r="M130" s="189"/>
      <c r="N130" s="264"/>
      <c r="O130" s="249"/>
      <c r="P130" s="250"/>
      <c r="Q130" s="264"/>
      <c r="R130" s="249"/>
      <c r="S130" s="250"/>
      <c r="T130" s="264"/>
      <c r="U130" s="249"/>
      <c r="V130" s="250"/>
      <c r="W130" s="264"/>
      <c r="X130" s="394"/>
      <c r="Y130" s="429"/>
      <c r="Z130" s="395"/>
      <c r="AA130" s="394"/>
      <c r="AB130" s="118" t="str">
        <f>IF(OR(ISBLANK($B130),ISBLANK($AA130)),"",IFERROR(IF($AA130&lt;=DATE('ESTADO CONTABLE'!$B$2,9,5),VLOOKUP($B130,COSTOS!$A$2:$B1014,2,FALSE)-150,VLOOKUP($B130,COSTOS!$A$2:$B1014,2,FALSE)),"No encontrado o error"))</f>
        <v/>
      </c>
      <c r="AC130" s="395"/>
      <c r="AD130" s="394"/>
      <c r="AE130" s="429" t="str">
        <f>IF(OR(ISBLANK($B130),ISBLANK($AD130)),"",IFERROR(IF($AD130&lt;=DATE('ESTADO CONTABLE'!$B$2,10,5),VLOOKUP($B130,COSTOS!$A$2:$B1014,2,FALSE)-150,VLOOKUP($B130,COSTOS!$A$2:$B1014,2,FALSE)),"No encontrado o error"))</f>
        <v/>
      </c>
      <c r="AF130" s="395"/>
      <c r="AG130" s="394"/>
      <c r="AH130" s="429" t="str">
        <f>IF(OR(ISBLANK($B130),ISBLANK($AG130)),"",IFERROR(IF($AG130&lt;=DATE('ESTADO CONTABLE'!$B$2,11,5),VLOOKUP($B130,COSTOS!$A$2:$B1014,2,FALSE)-150,VLOOKUP($B130,COSTOS!$A$2:$B1014,2,FALSE)),"No encontrado o error"))</f>
        <v/>
      </c>
      <c r="AI130" s="395"/>
      <c r="AJ130" s="394"/>
      <c r="AK130" s="429" t="str">
        <f>IF(OR(ISBLANK($B130),ISBLANK($AJ130)),"",IFERROR(IF($AJ130&lt;=DATE('ESTADO CONTABLE'!$B$2,12,5),VLOOKUP($B130,COSTOS!$A$2:$B1014,2,FALSE)-150,VLOOKUP($B130,COSTOS!$A$2:$B1014,2,FALSE)),"No encontrado o error"))</f>
        <v/>
      </c>
      <c r="AL130" s="395"/>
      <c r="AM130" s="254"/>
      <c r="AN130" s="255"/>
      <c r="AO130" s="256"/>
    </row>
    <row r="131" ht="22.5" customHeight="1">
      <c r="A131" s="431" t="str">
        <f>'BASE DE DATOSS'!A205</f>
        <v/>
      </c>
      <c r="B131" s="432" t="str">
        <f>'BASE DE DATOSS'!C205</f>
        <v/>
      </c>
      <c r="C131" s="263"/>
      <c r="D131" s="249"/>
      <c r="E131" s="250"/>
      <c r="F131" s="251"/>
      <c r="G131" s="262"/>
      <c r="H131" s="257"/>
      <c r="I131" s="249"/>
      <c r="J131" s="193" t="str">
        <f>IF(OR(ISBLANK($B131),ISBLANK($I131)),"",IFERROR(IF($I131&lt;=DATE('ESTADO CONTABLE'!$B$2,3,5),VLOOKUP($B131,COSTOS!$A$2:$B1014,2,FALSE)-150,VLOOKUP($B131,COSTOS!$A$2:$B1014,2,FALSE)),"No encontrado o error"))</f>
        <v/>
      </c>
      <c r="K131" s="264"/>
      <c r="L131" s="249"/>
      <c r="M131" s="189"/>
      <c r="N131" s="264"/>
      <c r="O131" s="249"/>
      <c r="P131" s="250"/>
      <c r="Q131" s="264"/>
      <c r="R131" s="249"/>
      <c r="S131" s="250"/>
      <c r="T131" s="264"/>
      <c r="U131" s="249"/>
      <c r="V131" s="250"/>
      <c r="W131" s="264"/>
      <c r="X131" s="394"/>
      <c r="Y131" s="429"/>
      <c r="Z131" s="395"/>
      <c r="AA131" s="394"/>
      <c r="AB131" s="118" t="str">
        <f>IF(OR(ISBLANK($B131),ISBLANK($AA131)),"",IFERROR(IF($AA131&lt;=DATE('ESTADO CONTABLE'!$B$2,9,5),VLOOKUP($B131,COSTOS!$A$2:$B1014,2,FALSE)-150,VLOOKUP($B131,COSTOS!$A$2:$B1014,2,FALSE)),"No encontrado o error"))</f>
        <v/>
      </c>
      <c r="AC131" s="395"/>
      <c r="AD131" s="394"/>
      <c r="AE131" s="429" t="str">
        <f>IF(OR(ISBLANK($B131),ISBLANK($AD131)),"",IFERROR(IF($AD131&lt;=DATE('ESTADO CONTABLE'!$B$2,10,5),VLOOKUP($B131,COSTOS!$A$2:$B1014,2,FALSE)-150,VLOOKUP($B131,COSTOS!$A$2:$B1014,2,FALSE)),"No encontrado o error"))</f>
        <v/>
      </c>
      <c r="AF131" s="395"/>
      <c r="AG131" s="394"/>
      <c r="AH131" s="429" t="str">
        <f>IF(OR(ISBLANK($B131),ISBLANK($AG131)),"",IFERROR(IF($AG131&lt;=DATE('ESTADO CONTABLE'!$B$2,11,5),VLOOKUP($B131,COSTOS!$A$2:$B1014,2,FALSE)-150,VLOOKUP($B131,COSTOS!$A$2:$B1014,2,FALSE)),"No encontrado o error"))</f>
        <v/>
      </c>
      <c r="AI131" s="395"/>
      <c r="AJ131" s="394"/>
      <c r="AK131" s="429" t="str">
        <f>IF(OR(ISBLANK($B131),ISBLANK($AJ131)),"",IFERROR(IF($AJ131&lt;=DATE('ESTADO CONTABLE'!$B$2,12,5),VLOOKUP($B131,COSTOS!$A$2:$B1014,2,FALSE)-150,VLOOKUP($B131,COSTOS!$A$2:$B1014,2,FALSE)),"No encontrado o error"))</f>
        <v/>
      </c>
      <c r="AL131" s="395"/>
      <c r="AM131" s="254"/>
      <c r="AN131" s="255"/>
      <c r="AO131" s="256"/>
    </row>
    <row r="132" ht="22.5" customHeight="1">
      <c r="A132" s="431" t="str">
        <f>'BASE DE DATOSS'!A206</f>
        <v/>
      </c>
      <c r="B132" s="432" t="str">
        <f>'BASE DE DATOSS'!C206</f>
        <v/>
      </c>
      <c r="C132" s="263"/>
      <c r="D132" s="249"/>
      <c r="E132" s="250"/>
      <c r="F132" s="251"/>
      <c r="G132" s="262"/>
      <c r="H132" s="257"/>
      <c r="I132" s="249"/>
      <c r="J132" s="193" t="str">
        <f>IF(OR(ISBLANK($B132),ISBLANK($I132)),"",IFERROR(IF($I132&lt;=DATE('ESTADO CONTABLE'!$B$2,3,5),VLOOKUP($B132,COSTOS!$A$2:$B1014,2,FALSE)-150,VLOOKUP($B132,COSTOS!$A$2:$B1014,2,FALSE)),"No encontrado o error"))</f>
        <v/>
      </c>
      <c r="K132" s="264"/>
      <c r="L132" s="249"/>
      <c r="M132" s="189"/>
      <c r="N132" s="264"/>
      <c r="O132" s="249"/>
      <c r="P132" s="250"/>
      <c r="Q132" s="264"/>
      <c r="R132" s="249"/>
      <c r="S132" s="250"/>
      <c r="T132" s="264"/>
      <c r="U132" s="249"/>
      <c r="V132" s="250"/>
      <c r="W132" s="264"/>
      <c r="X132" s="394"/>
      <c r="Y132" s="429"/>
      <c r="Z132" s="395"/>
      <c r="AA132" s="394"/>
      <c r="AB132" s="118" t="str">
        <f>IF(OR(ISBLANK($B132),ISBLANK($AA132)),"",IFERROR(IF($AA132&lt;=DATE('ESTADO CONTABLE'!$B$2,9,5),VLOOKUP($B132,COSTOS!$A$2:$B1014,2,FALSE)-150,VLOOKUP($B132,COSTOS!$A$2:$B1014,2,FALSE)),"No encontrado o error"))</f>
        <v/>
      </c>
      <c r="AC132" s="395"/>
      <c r="AD132" s="394"/>
      <c r="AE132" s="429" t="str">
        <f>IF(OR(ISBLANK($B132),ISBLANK($AD132)),"",IFERROR(IF($AD132&lt;=DATE('ESTADO CONTABLE'!$B$2,10,5),VLOOKUP($B132,COSTOS!$A$2:$B1014,2,FALSE)-150,VLOOKUP($B132,COSTOS!$A$2:$B1014,2,FALSE)),"No encontrado o error"))</f>
        <v/>
      </c>
      <c r="AF132" s="395"/>
      <c r="AG132" s="394"/>
      <c r="AH132" s="429" t="str">
        <f>IF(OR(ISBLANK($B132),ISBLANK($AG132)),"",IFERROR(IF($AG132&lt;=DATE('ESTADO CONTABLE'!$B$2,11,5),VLOOKUP($B132,COSTOS!$A$2:$B1014,2,FALSE)-150,VLOOKUP($B132,COSTOS!$A$2:$B1014,2,FALSE)),"No encontrado o error"))</f>
        <v/>
      </c>
      <c r="AI132" s="395"/>
      <c r="AJ132" s="394"/>
      <c r="AK132" s="429" t="str">
        <f>IF(OR(ISBLANK($B132),ISBLANK($AJ132)),"",IFERROR(IF($AJ132&lt;=DATE('ESTADO CONTABLE'!$B$2,12,5),VLOOKUP($B132,COSTOS!$A$2:$B1014,2,FALSE)-150,VLOOKUP($B132,COSTOS!$A$2:$B1014,2,FALSE)),"No encontrado o error"))</f>
        <v/>
      </c>
      <c r="AL132" s="395"/>
      <c r="AM132" s="254"/>
      <c r="AN132" s="255"/>
      <c r="AO132" s="256"/>
    </row>
    <row r="133" ht="22.5" customHeight="1">
      <c r="A133" s="431" t="str">
        <f>'BASE DE DATOSS'!A207</f>
        <v/>
      </c>
      <c r="B133" s="432" t="str">
        <f>'BASE DE DATOSS'!C207</f>
        <v/>
      </c>
      <c r="C133" s="263"/>
      <c r="D133" s="249"/>
      <c r="E133" s="250"/>
      <c r="F133" s="251"/>
      <c r="G133" s="262"/>
      <c r="H133" s="257"/>
      <c r="I133" s="249"/>
      <c r="J133" s="193" t="str">
        <f>IF(OR(ISBLANK($B133),ISBLANK($I133)),"",IFERROR(IF($I133&lt;=DATE('ESTADO CONTABLE'!$B$2,3,5),VLOOKUP($B133,COSTOS!$A$2:$B1014,2,FALSE)-150,VLOOKUP($B133,COSTOS!$A$2:$B1014,2,FALSE)),"No encontrado o error"))</f>
        <v/>
      </c>
      <c r="K133" s="264"/>
      <c r="L133" s="249"/>
      <c r="M133" s="189"/>
      <c r="N133" s="264"/>
      <c r="O133" s="249"/>
      <c r="P133" s="250"/>
      <c r="Q133" s="264"/>
      <c r="R133" s="249"/>
      <c r="S133" s="250"/>
      <c r="T133" s="264"/>
      <c r="U133" s="249"/>
      <c r="V133" s="250"/>
      <c r="W133" s="264"/>
      <c r="X133" s="394"/>
      <c r="Y133" s="429"/>
      <c r="Z133" s="395"/>
      <c r="AA133" s="394"/>
      <c r="AB133" s="118" t="str">
        <f>IF(OR(ISBLANK($B133),ISBLANK($AA133)),"",IFERROR(IF($AA133&lt;=DATE('ESTADO CONTABLE'!$B$2,9,5),VLOOKUP($B133,COSTOS!$A$2:$B1014,2,FALSE)-150,VLOOKUP($B133,COSTOS!$A$2:$B1014,2,FALSE)),"No encontrado o error"))</f>
        <v/>
      </c>
      <c r="AC133" s="395"/>
      <c r="AD133" s="394"/>
      <c r="AE133" s="429" t="str">
        <f>IF(OR(ISBLANK($B133),ISBLANK($AD133)),"",IFERROR(IF($AD133&lt;=DATE('ESTADO CONTABLE'!$B$2,10,5),VLOOKUP($B133,COSTOS!$A$2:$B1014,2,FALSE)-150,VLOOKUP($B133,COSTOS!$A$2:$B1014,2,FALSE)),"No encontrado o error"))</f>
        <v/>
      </c>
      <c r="AF133" s="395"/>
      <c r="AG133" s="394"/>
      <c r="AH133" s="429" t="str">
        <f>IF(OR(ISBLANK($B133),ISBLANK($AG133)),"",IFERROR(IF($AG133&lt;=DATE('ESTADO CONTABLE'!$B$2,11,5),VLOOKUP($B133,COSTOS!$A$2:$B1014,2,FALSE)-150,VLOOKUP($B133,COSTOS!$A$2:$B1014,2,FALSE)),"No encontrado o error"))</f>
        <v/>
      </c>
      <c r="AI133" s="395"/>
      <c r="AJ133" s="394"/>
      <c r="AK133" s="429" t="str">
        <f>IF(OR(ISBLANK($B133),ISBLANK($AJ133)),"",IFERROR(IF($AJ133&lt;=DATE('ESTADO CONTABLE'!$B$2,12,5),VLOOKUP($B133,COSTOS!$A$2:$B1014,2,FALSE)-150,VLOOKUP($B133,COSTOS!$A$2:$B1014,2,FALSE)),"No encontrado o error"))</f>
        <v/>
      </c>
      <c r="AL133" s="395"/>
      <c r="AM133" s="254"/>
      <c r="AN133" s="255"/>
      <c r="AO133" s="256"/>
    </row>
    <row r="134" ht="22.5" customHeight="1">
      <c r="A134" s="431" t="str">
        <f>'BASE DE DATOSS'!A208</f>
        <v/>
      </c>
      <c r="B134" s="432" t="str">
        <f>'BASE DE DATOSS'!C208</f>
        <v/>
      </c>
      <c r="C134" s="263"/>
      <c r="D134" s="249"/>
      <c r="E134" s="250"/>
      <c r="F134" s="251"/>
      <c r="G134" s="262"/>
      <c r="H134" s="257"/>
      <c r="I134" s="249"/>
      <c r="J134" s="193" t="str">
        <f>IF(OR(ISBLANK($B134),ISBLANK($I134)),"",IFERROR(IF($I134&lt;=DATE('ESTADO CONTABLE'!$B$2,3,5),VLOOKUP($B134,COSTOS!$A$2:$B1014,2,FALSE)-150,VLOOKUP($B134,COSTOS!$A$2:$B1014,2,FALSE)),"No encontrado o error"))</f>
        <v/>
      </c>
      <c r="K134" s="264"/>
      <c r="L134" s="249"/>
      <c r="M134" s="189"/>
      <c r="N134" s="264"/>
      <c r="O134" s="249"/>
      <c r="P134" s="250"/>
      <c r="Q134" s="264"/>
      <c r="R134" s="249"/>
      <c r="S134" s="250"/>
      <c r="T134" s="264"/>
      <c r="U134" s="249"/>
      <c r="V134" s="250"/>
      <c r="W134" s="264"/>
      <c r="X134" s="394"/>
      <c r="Y134" s="429"/>
      <c r="Z134" s="395"/>
      <c r="AA134" s="394"/>
      <c r="AB134" s="118" t="str">
        <f>IF(OR(ISBLANK($B134),ISBLANK($AA134)),"",IFERROR(IF($AA134&lt;=DATE('ESTADO CONTABLE'!$B$2,9,5),VLOOKUP($B134,COSTOS!$A$2:$B1014,2,FALSE)-150,VLOOKUP($B134,COSTOS!$A$2:$B1014,2,FALSE)),"No encontrado o error"))</f>
        <v/>
      </c>
      <c r="AC134" s="395"/>
      <c r="AD134" s="394"/>
      <c r="AE134" s="429" t="str">
        <f>IF(OR(ISBLANK($B134),ISBLANK($AD134)),"",IFERROR(IF($AD134&lt;=DATE('ESTADO CONTABLE'!$B$2,10,5),VLOOKUP($B134,COSTOS!$A$2:$B1014,2,FALSE)-150,VLOOKUP($B134,COSTOS!$A$2:$B1014,2,FALSE)),"No encontrado o error"))</f>
        <v/>
      </c>
      <c r="AF134" s="395"/>
      <c r="AG134" s="394"/>
      <c r="AH134" s="429" t="str">
        <f>IF(OR(ISBLANK($B134),ISBLANK($AG134)),"",IFERROR(IF($AG134&lt;=DATE('ESTADO CONTABLE'!$B$2,11,5),VLOOKUP($B134,COSTOS!$A$2:$B1014,2,FALSE)-150,VLOOKUP($B134,COSTOS!$A$2:$B1014,2,FALSE)),"No encontrado o error"))</f>
        <v/>
      </c>
      <c r="AI134" s="395"/>
      <c r="AJ134" s="394"/>
      <c r="AK134" s="429" t="str">
        <f>IF(OR(ISBLANK($B134),ISBLANK($AJ134)),"",IFERROR(IF($AJ134&lt;=DATE('ESTADO CONTABLE'!$B$2,12,5),VLOOKUP($B134,COSTOS!$A$2:$B1014,2,FALSE)-150,VLOOKUP($B134,COSTOS!$A$2:$B1014,2,FALSE)),"No encontrado o error"))</f>
        <v/>
      </c>
      <c r="AL134" s="395"/>
      <c r="AM134" s="254"/>
      <c r="AN134" s="255"/>
      <c r="AO134" s="256"/>
    </row>
    <row r="135" ht="22.5" customHeight="1">
      <c r="A135" s="431" t="str">
        <f>'BASE DE DATOSS'!A209</f>
        <v/>
      </c>
      <c r="B135" s="432" t="str">
        <f>'BASE DE DATOSS'!C209</f>
        <v/>
      </c>
      <c r="C135" s="263"/>
      <c r="D135" s="249"/>
      <c r="E135" s="250"/>
      <c r="F135" s="251"/>
      <c r="G135" s="262"/>
      <c r="H135" s="257"/>
      <c r="I135" s="249"/>
      <c r="J135" s="193" t="str">
        <f>IF(OR(ISBLANK($B135),ISBLANK($I135)),"",IFERROR(IF($I135&lt;=DATE('ESTADO CONTABLE'!$B$2,3,5),VLOOKUP($B135,COSTOS!$A$2:$B1014,2,FALSE)-150,VLOOKUP($B135,COSTOS!$A$2:$B1014,2,FALSE)),"No encontrado o error"))</f>
        <v/>
      </c>
      <c r="K135" s="264"/>
      <c r="L135" s="249"/>
      <c r="M135" s="189"/>
      <c r="N135" s="264"/>
      <c r="O135" s="249"/>
      <c r="P135" s="250"/>
      <c r="Q135" s="264"/>
      <c r="R135" s="249"/>
      <c r="S135" s="250"/>
      <c r="T135" s="264"/>
      <c r="U135" s="249"/>
      <c r="V135" s="250"/>
      <c r="W135" s="264"/>
      <c r="X135" s="394"/>
      <c r="Y135" s="429"/>
      <c r="Z135" s="395"/>
      <c r="AA135" s="394"/>
      <c r="AB135" s="118" t="str">
        <f>IF(OR(ISBLANK($B135),ISBLANK($AA135)),"",IFERROR(IF($AA135&lt;=DATE('ESTADO CONTABLE'!$B$2,9,5),VLOOKUP($B135,COSTOS!$A$2:$B1014,2,FALSE)-150,VLOOKUP($B135,COSTOS!$A$2:$B1014,2,FALSE)),"No encontrado o error"))</f>
        <v/>
      </c>
      <c r="AC135" s="395"/>
      <c r="AD135" s="394"/>
      <c r="AE135" s="429" t="str">
        <f>IF(OR(ISBLANK($B135),ISBLANK($AD135)),"",IFERROR(IF($AD135&lt;=DATE('ESTADO CONTABLE'!$B$2,10,5),VLOOKUP($B135,COSTOS!$A$2:$B1014,2,FALSE)-150,VLOOKUP($B135,COSTOS!$A$2:$B1014,2,FALSE)),"No encontrado o error"))</f>
        <v/>
      </c>
      <c r="AF135" s="395"/>
      <c r="AG135" s="394"/>
      <c r="AH135" s="429" t="str">
        <f>IF(OR(ISBLANK($B135),ISBLANK($AG135)),"",IFERROR(IF($AG135&lt;=DATE('ESTADO CONTABLE'!$B$2,11,5),VLOOKUP($B135,COSTOS!$A$2:$B1014,2,FALSE)-150,VLOOKUP($B135,COSTOS!$A$2:$B1014,2,FALSE)),"No encontrado o error"))</f>
        <v/>
      </c>
      <c r="AI135" s="395"/>
      <c r="AJ135" s="394"/>
      <c r="AK135" s="429" t="str">
        <f>IF(OR(ISBLANK($B135),ISBLANK($AJ135)),"",IFERROR(IF($AJ135&lt;=DATE('ESTADO CONTABLE'!$B$2,12,5),VLOOKUP($B135,COSTOS!$A$2:$B1014,2,FALSE)-150,VLOOKUP($B135,COSTOS!$A$2:$B1014,2,FALSE)),"No encontrado o error"))</f>
        <v/>
      </c>
      <c r="AL135" s="395"/>
      <c r="AM135" s="254"/>
      <c r="AN135" s="255"/>
      <c r="AO135" s="256"/>
    </row>
    <row r="136" ht="22.5" customHeight="1">
      <c r="A136" s="431" t="str">
        <f>'BASE DE DATOSS'!A210</f>
        <v/>
      </c>
      <c r="B136" s="432" t="str">
        <f>'BASE DE DATOSS'!C210</f>
        <v/>
      </c>
      <c r="C136" s="263"/>
      <c r="D136" s="249"/>
      <c r="E136" s="250"/>
      <c r="F136" s="251"/>
      <c r="G136" s="262"/>
      <c r="H136" s="257"/>
      <c r="I136" s="249"/>
      <c r="J136" s="193" t="str">
        <f>IF(OR(ISBLANK($B136),ISBLANK($I136)),"",IFERROR(IF($I136&lt;=DATE('ESTADO CONTABLE'!$B$2,3,5),VLOOKUP($B136,COSTOS!$A$2:$B1014,2,FALSE)-150,VLOOKUP($B136,COSTOS!$A$2:$B1014,2,FALSE)),"No encontrado o error"))</f>
        <v/>
      </c>
      <c r="K136" s="264"/>
      <c r="L136" s="249"/>
      <c r="M136" s="189"/>
      <c r="N136" s="264"/>
      <c r="O136" s="249"/>
      <c r="P136" s="250"/>
      <c r="Q136" s="264"/>
      <c r="R136" s="249"/>
      <c r="S136" s="250"/>
      <c r="T136" s="264"/>
      <c r="U136" s="249"/>
      <c r="V136" s="250"/>
      <c r="W136" s="264"/>
      <c r="X136" s="394"/>
      <c r="Y136" s="429"/>
      <c r="Z136" s="395"/>
      <c r="AA136" s="394"/>
      <c r="AB136" s="118" t="str">
        <f>IF(OR(ISBLANK($B136),ISBLANK($AA136)),"",IFERROR(IF($AA136&lt;=DATE('ESTADO CONTABLE'!$B$2,9,5),VLOOKUP($B136,COSTOS!$A$2:$B1014,2,FALSE)-150,VLOOKUP($B136,COSTOS!$A$2:$B1014,2,FALSE)),"No encontrado o error"))</f>
        <v/>
      </c>
      <c r="AC136" s="395"/>
      <c r="AD136" s="394"/>
      <c r="AE136" s="429" t="str">
        <f>IF(OR(ISBLANK($B136),ISBLANK($AD136)),"",IFERROR(IF($AD136&lt;=DATE('ESTADO CONTABLE'!$B$2,10,5),VLOOKUP($B136,COSTOS!$A$2:$B1014,2,FALSE)-150,VLOOKUP($B136,COSTOS!$A$2:$B1014,2,FALSE)),"No encontrado o error"))</f>
        <v/>
      </c>
      <c r="AF136" s="395"/>
      <c r="AG136" s="394"/>
      <c r="AH136" s="429" t="str">
        <f>IF(OR(ISBLANK($B136),ISBLANK($AG136)),"",IFERROR(IF($AG136&lt;=DATE('ESTADO CONTABLE'!$B$2,11,5),VLOOKUP($B136,COSTOS!$A$2:$B1014,2,FALSE)-150,VLOOKUP($B136,COSTOS!$A$2:$B1014,2,FALSE)),"No encontrado o error"))</f>
        <v/>
      </c>
      <c r="AI136" s="395"/>
      <c r="AJ136" s="394"/>
      <c r="AK136" s="429" t="str">
        <f>IF(OR(ISBLANK($B136),ISBLANK($AJ136)),"",IFERROR(IF($AJ136&lt;=DATE('ESTADO CONTABLE'!$B$2,12,5),VLOOKUP($B136,COSTOS!$A$2:$B1014,2,FALSE)-150,VLOOKUP($B136,COSTOS!$A$2:$B1014,2,FALSE)),"No encontrado o error"))</f>
        <v/>
      </c>
      <c r="AL136" s="395"/>
      <c r="AM136" s="254"/>
      <c r="AN136" s="255"/>
      <c r="AO136" s="256"/>
    </row>
    <row r="137" ht="22.5" customHeight="1">
      <c r="A137" s="431" t="str">
        <f>'BASE DE DATOSS'!A211</f>
        <v/>
      </c>
      <c r="B137" s="432" t="str">
        <f>'BASE DE DATOSS'!C211</f>
        <v/>
      </c>
      <c r="C137" s="263"/>
      <c r="D137" s="249"/>
      <c r="E137" s="250"/>
      <c r="F137" s="251"/>
      <c r="G137" s="262"/>
      <c r="H137" s="257"/>
      <c r="I137" s="249"/>
      <c r="J137" s="193" t="str">
        <f>IF(OR(ISBLANK($B137),ISBLANK($I137)),"",IFERROR(IF($I137&lt;=DATE('ESTADO CONTABLE'!$B$2,3,5),VLOOKUP($B137,COSTOS!$A$2:$B1014,2,FALSE)-150,VLOOKUP($B137,COSTOS!$A$2:$B1014,2,FALSE)),"No encontrado o error"))</f>
        <v/>
      </c>
      <c r="K137" s="264"/>
      <c r="L137" s="249"/>
      <c r="M137" s="189"/>
      <c r="N137" s="264"/>
      <c r="O137" s="249"/>
      <c r="P137" s="250"/>
      <c r="Q137" s="264"/>
      <c r="R137" s="249"/>
      <c r="S137" s="250"/>
      <c r="T137" s="264"/>
      <c r="U137" s="249"/>
      <c r="V137" s="250"/>
      <c r="W137" s="264"/>
      <c r="X137" s="394"/>
      <c r="Y137" s="429"/>
      <c r="Z137" s="395"/>
      <c r="AA137" s="394"/>
      <c r="AB137" s="118" t="str">
        <f>IF(OR(ISBLANK($B137),ISBLANK($AA137)),"",IFERROR(IF($AA137&lt;=DATE('ESTADO CONTABLE'!$B$2,9,5),VLOOKUP($B137,COSTOS!$A$2:$B1014,2,FALSE)-150,VLOOKUP($B137,COSTOS!$A$2:$B1014,2,FALSE)),"No encontrado o error"))</f>
        <v/>
      </c>
      <c r="AC137" s="395"/>
      <c r="AD137" s="394"/>
      <c r="AE137" s="429" t="str">
        <f>IF(OR(ISBLANK($B137),ISBLANK($AD137)),"",IFERROR(IF($AD137&lt;=DATE('ESTADO CONTABLE'!$B$2,10,5),VLOOKUP($B137,COSTOS!$A$2:$B1014,2,FALSE)-150,VLOOKUP($B137,COSTOS!$A$2:$B1014,2,FALSE)),"No encontrado o error"))</f>
        <v/>
      </c>
      <c r="AF137" s="395"/>
      <c r="AG137" s="394"/>
      <c r="AH137" s="429" t="str">
        <f>IF(OR(ISBLANK($B137),ISBLANK($AG137)),"",IFERROR(IF($AG137&lt;=DATE('ESTADO CONTABLE'!$B$2,11,5),VLOOKUP($B137,COSTOS!$A$2:$B1014,2,FALSE)-150,VLOOKUP($B137,COSTOS!$A$2:$B1014,2,FALSE)),"No encontrado o error"))</f>
        <v/>
      </c>
      <c r="AI137" s="395"/>
      <c r="AJ137" s="394"/>
      <c r="AK137" s="429" t="str">
        <f>IF(OR(ISBLANK($B137),ISBLANK($AJ137)),"",IFERROR(IF($AJ137&lt;=DATE('ESTADO CONTABLE'!$B$2,12,5),VLOOKUP($B137,COSTOS!$A$2:$B1014,2,FALSE)-150,VLOOKUP($B137,COSTOS!$A$2:$B1014,2,FALSE)),"No encontrado o error"))</f>
        <v/>
      </c>
      <c r="AL137" s="395"/>
      <c r="AM137" s="254"/>
      <c r="AN137" s="255"/>
      <c r="AO137" s="256"/>
    </row>
    <row r="138" ht="22.5" customHeight="1">
      <c r="A138" s="431" t="str">
        <f>'BASE DE DATOSS'!A212</f>
        <v/>
      </c>
      <c r="B138" s="432" t="str">
        <f>'BASE DE DATOSS'!C212</f>
        <v/>
      </c>
      <c r="C138" s="263"/>
      <c r="D138" s="249"/>
      <c r="E138" s="250"/>
      <c r="F138" s="251"/>
      <c r="G138" s="262"/>
      <c r="H138" s="257"/>
      <c r="I138" s="249"/>
      <c r="J138" s="193" t="str">
        <f>IF(OR(ISBLANK($B138),ISBLANK($I138)),"",IFERROR(IF($I138&lt;=DATE('ESTADO CONTABLE'!$B$2,3,5),VLOOKUP($B138,COSTOS!$A$2:$B1014,2,FALSE)-150,VLOOKUP($B138,COSTOS!$A$2:$B1014,2,FALSE)),"No encontrado o error"))</f>
        <v/>
      </c>
      <c r="K138" s="264"/>
      <c r="L138" s="249"/>
      <c r="M138" s="189"/>
      <c r="N138" s="264"/>
      <c r="O138" s="249"/>
      <c r="P138" s="250"/>
      <c r="Q138" s="264"/>
      <c r="R138" s="249"/>
      <c r="S138" s="250"/>
      <c r="T138" s="264"/>
      <c r="U138" s="249"/>
      <c r="V138" s="250"/>
      <c r="W138" s="264"/>
      <c r="X138" s="394"/>
      <c r="Y138" s="429"/>
      <c r="Z138" s="395"/>
      <c r="AA138" s="394"/>
      <c r="AB138" s="118" t="str">
        <f>IF(OR(ISBLANK($B138),ISBLANK($AA138)),"",IFERROR(IF($AA138&lt;=DATE('ESTADO CONTABLE'!$B$2,9,5),VLOOKUP($B138,COSTOS!$A$2:$B1014,2,FALSE)-150,VLOOKUP($B138,COSTOS!$A$2:$B1014,2,FALSE)),"No encontrado o error"))</f>
        <v/>
      </c>
      <c r="AC138" s="395"/>
      <c r="AD138" s="394"/>
      <c r="AE138" s="429" t="str">
        <f>IF(OR(ISBLANK($B138),ISBLANK($AD138)),"",IFERROR(IF($AD138&lt;=DATE('ESTADO CONTABLE'!$B$2,10,5),VLOOKUP($B138,COSTOS!$A$2:$B1014,2,FALSE)-150,VLOOKUP($B138,COSTOS!$A$2:$B1014,2,FALSE)),"No encontrado o error"))</f>
        <v/>
      </c>
      <c r="AF138" s="395"/>
      <c r="AG138" s="394"/>
      <c r="AH138" s="429" t="str">
        <f>IF(OR(ISBLANK($B138),ISBLANK($AG138)),"",IFERROR(IF($AG138&lt;=DATE('ESTADO CONTABLE'!$B$2,11,5),VLOOKUP($B138,COSTOS!$A$2:$B1014,2,FALSE)-150,VLOOKUP($B138,COSTOS!$A$2:$B1014,2,FALSE)),"No encontrado o error"))</f>
        <v/>
      </c>
      <c r="AI138" s="395"/>
      <c r="AJ138" s="394"/>
      <c r="AK138" s="429" t="str">
        <f>IF(OR(ISBLANK($B138),ISBLANK($AJ138)),"",IFERROR(IF($AJ138&lt;=DATE('ESTADO CONTABLE'!$B$2,12,5),VLOOKUP($B138,COSTOS!$A$2:$B1014,2,FALSE)-150,VLOOKUP($B138,COSTOS!$A$2:$B1014,2,FALSE)),"No encontrado o error"))</f>
        <v/>
      </c>
      <c r="AL138" s="395"/>
      <c r="AM138" s="254"/>
      <c r="AN138" s="255"/>
      <c r="AO138" s="256"/>
    </row>
    <row r="139" ht="22.5" customHeight="1">
      <c r="A139" s="431" t="str">
        <f>'BASE DE DATOSS'!A213</f>
        <v/>
      </c>
      <c r="B139" s="432" t="str">
        <f>'BASE DE DATOSS'!C213</f>
        <v/>
      </c>
      <c r="C139" s="263"/>
      <c r="D139" s="249"/>
      <c r="E139" s="250"/>
      <c r="F139" s="251"/>
      <c r="G139" s="262"/>
      <c r="H139" s="257"/>
      <c r="I139" s="249"/>
      <c r="J139" s="193" t="str">
        <f>IF(OR(ISBLANK($B139),ISBLANK($I139)),"",IFERROR(IF($I139&lt;=DATE('ESTADO CONTABLE'!$B$2,3,5),VLOOKUP($B139,COSTOS!$A$2:$B1014,2,FALSE)-150,VLOOKUP($B139,COSTOS!$A$2:$B1014,2,FALSE)),"No encontrado o error"))</f>
        <v/>
      </c>
      <c r="K139" s="264"/>
      <c r="L139" s="249"/>
      <c r="M139" s="189"/>
      <c r="N139" s="264"/>
      <c r="O139" s="249"/>
      <c r="P139" s="250"/>
      <c r="Q139" s="264"/>
      <c r="R139" s="249"/>
      <c r="S139" s="250"/>
      <c r="T139" s="264"/>
      <c r="U139" s="249"/>
      <c r="V139" s="250"/>
      <c r="W139" s="264"/>
      <c r="X139" s="394"/>
      <c r="Y139" s="429"/>
      <c r="Z139" s="395"/>
      <c r="AA139" s="394"/>
      <c r="AB139" s="118" t="str">
        <f>IF(OR(ISBLANK($B139),ISBLANK($AA139)),"",IFERROR(IF($AA139&lt;=DATE('ESTADO CONTABLE'!$B$2,9,5),VLOOKUP($B139,COSTOS!$A$2:$B1014,2,FALSE)-150,VLOOKUP($B139,COSTOS!$A$2:$B1014,2,FALSE)),"No encontrado o error"))</f>
        <v/>
      </c>
      <c r="AC139" s="395"/>
      <c r="AD139" s="394"/>
      <c r="AE139" s="429" t="str">
        <f>IF(OR(ISBLANK($B139),ISBLANK($AD139)),"",IFERROR(IF($AD139&lt;=DATE('ESTADO CONTABLE'!$B$2,10,5),VLOOKUP($B139,COSTOS!$A$2:$B1014,2,FALSE)-150,VLOOKUP($B139,COSTOS!$A$2:$B1014,2,FALSE)),"No encontrado o error"))</f>
        <v/>
      </c>
      <c r="AF139" s="395"/>
      <c r="AG139" s="394"/>
      <c r="AH139" s="429" t="str">
        <f>IF(OR(ISBLANK($B139),ISBLANK($AG139)),"",IFERROR(IF($AG139&lt;=DATE('ESTADO CONTABLE'!$B$2,11,5),VLOOKUP($B139,COSTOS!$A$2:$B1014,2,FALSE)-150,VLOOKUP($B139,COSTOS!$A$2:$B1014,2,FALSE)),"No encontrado o error"))</f>
        <v/>
      </c>
      <c r="AI139" s="395"/>
      <c r="AJ139" s="394"/>
      <c r="AK139" s="429" t="str">
        <f>IF(OR(ISBLANK($B139),ISBLANK($AJ139)),"",IFERROR(IF($AJ139&lt;=DATE('ESTADO CONTABLE'!$B$2,12,5),VLOOKUP($B139,COSTOS!$A$2:$B1014,2,FALSE)-150,VLOOKUP($B139,COSTOS!$A$2:$B1014,2,FALSE)),"No encontrado o error"))</f>
        <v/>
      </c>
      <c r="AL139" s="395"/>
      <c r="AM139" s="254"/>
      <c r="AN139" s="255"/>
      <c r="AO139" s="256"/>
    </row>
    <row r="140" ht="22.5" customHeight="1">
      <c r="A140" s="431" t="str">
        <f>'BASE DE DATOSS'!A214</f>
        <v/>
      </c>
      <c r="B140" s="432" t="str">
        <f>'BASE DE DATOSS'!C214</f>
        <v/>
      </c>
      <c r="C140" s="263"/>
      <c r="D140" s="249"/>
      <c r="E140" s="250"/>
      <c r="F140" s="251"/>
      <c r="G140" s="262"/>
      <c r="H140" s="257"/>
      <c r="I140" s="249"/>
      <c r="J140" s="193" t="str">
        <f>IF(OR(ISBLANK($B140),ISBLANK($I140)),"",IFERROR(IF($I140&lt;=DATE('ESTADO CONTABLE'!$B$2,3,5),VLOOKUP($B140,COSTOS!$A$2:$B1014,2,FALSE)-150,VLOOKUP($B140,COSTOS!$A$2:$B1014,2,FALSE)),"No encontrado o error"))</f>
        <v/>
      </c>
      <c r="K140" s="264"/>
      <c r="L140" s="249"/>
      <c r="M140" s="189"/>
      <c r="N140" s="264"/>
      <c r="O140" s="249"/>
      <c r="P140" s="250"/>
      <c r="Q140" s="264"/>
      <c r="R140" s="249"/>
      <c r="S140" s="250"/>
      <c r="T140" s="264"/>
      <c r="U140" s="249"/>
      <c r="V140" s="250"/>
      <c r="W140" s="264"/>
      <c r="X140" s="394"/>
      <c r="Y140" s="429"/>
      <c r="Z140" s="395"/>
      <c r="AA140" s="394"/>
      <c r="AB140" s="118" t="str">
        <f>IF(OR(ISBLANK($B140),ISBLANK($AA140)),"",IFERROR(IF($AA140&lt;=DATE('ESTADO CONTABLE'!$B$2,9,5),VLOOKUP($B140,COSTOS!$A$2:$B1014,2,FALSE)-150,VLOOKUP($B140,COSTOS!$A$2:$B1014,2,FALSE)),"No encontrado o error"))</f>
        <v/>
      </c>
      <c r="AC140" s="395"/>
      <c r="AD140" s="394"/>
      <c r="AE140" s="429" t="str">
        <f>IF(OR(ISBLANK($B140),ISBLANK($AD140)),"",IFERROR(IF($AD140&lt;=DATE('ESTADO CONTABLE'!$B$2,10,5),VLOOKUP($B140,COSTOS!$A$2:$B1014,2,FALSE)-150,VLOOKUP($B140,COSTOS!$A$2:$B1014,2,FALSE)),"No encontrado o error"))</f>
        <v/>
      </c>
      <c r="AF140" s="395"/>
      <c r="AG140" s="394"/>
      <c r="AH140" s="429" t="str">
        <f>IF(OR(ISBLANK($B140),ISBLANK($AG140)),"",IFERROR(IF($AG140&lt;=DATE('ESTADO CONTABLE'!$B$2,11,5),VLOOKUP($B140,COSTOS!$A$2:$B1014,2,FALSE)-150,VLOOKUP($B140,COSTOS!$A$2:$B1014,2,FALSE)),"No encontrado o error"))</f>
        <v/>
      </c>
      <c r="AI140" s="395"/>
      <c r="AJ140" s="394"/>
      <c r="AK140" s="429" t="str">
        <f>IF(OR(ISBLANK($B140),ISBLANK($AJ140)),"",IFERROR(IF($AJ140&lt;=DATE('ESTADO CONTABLE'!$B$2,12,5),VLOOKUP($B140,COSTOS!$A$2:$B1014,2,FALSE)-150,VLOOKUP($B140,COSTOS!$A$2:$B1014,2,FALSE)),"No encontrado o error"))</f>
        <v/>
      </c>
      <c r="AL140" s="395"/>
      <c r="AM140" s="254"/>
      <c r="AN140" s="255"/>
      <c r="AO140" s="256"/>
    </row>
    <row r="141" ht="22.5" customHeight="1">
      <c r="A141" s="431" t="str">
        <f>'BASE DE DATOSS'!A215</f>
        <v/>
      </c>
      <c r="B141" s="432" t="str">
        <f>'BASE DE DATOSS'!C215</f>
        <v/>
      </c>
      <c r="C141" s="263"/>
      <c r="D141" s="249"/>
      <c r="E141" s="250"/>
      <c r="F141" s="251"/>
      <c r="G141" s="262"/>
      <c r="H141" s="257"/>
      <c r="I141" s="249"/>
      <c r="J141" s="193" t="str">
        <f>IF(OR(ISBLANK($B141),ISBLANK($I141)),"",IFERROR(IF($I141&lt;=DATE('ESTADO CONTABLE'!$B$2,3,5),VLOOKUP($B141,COSTOS!$A$2:$B1014,2,FALSE)-150,VLOOKUP($B141,COSTOS!$A$2:$B1014,2,FALSE)),"No encontrado o error"))</f>
        <v/>
      </c>
      <c r="K141" s="264"/>
      <c r="L141" s="249"/>
      <c r="M141" s="189"/>
      <c r="N141" s="264"/>
      <c r="O141" s="249"/>
      <c r="P141" s="250"/>
      <c r="Q141" s="264"/>
      <c r="R141" s="249"/>
      <c r="S141" s="250"/>
      <c r="T141" s="264"/>
      <c r="U141" s="249"/>
      <c r="V141" s="250"/>
      <c r="W141" s="264"/>
      <c r="X141" s="394"/>
      <c r="Y141" s="429"/>
      <c r="Z141" s="395"/>
      <c r="AA141" s="394"/>
      <c r="AB141" s="118" t="str">
        <f>IF(OR(ISBLANK($B141),ISBLANK($AA141)),"",IFERROR(IF($AA141&lt;=DATE('ESTADO CONTABLE'!$B$2,9,5),VLOOKUP($B141,COSTOS!$A$2:$B1014,2,FALSE)-150,VLOOKUP($B141,COSTOS!$A$2:$B1014,2,FALSE)),"No encontrado o error"))</f>
        <v/>
      </c>
      <c r="AC141" s="395"/>
      <c r="AD141" s="394"/>
      <c r="AE141" s="429" t="str">
        <f>IF(OR(ISBLANK($B141),ISBLANK($AD141)),"",IFERROR(IF($AD141&lt;=DATE('ESTADO CONTABLE'!$B$2,10,5),VLOOKUP($B141,COSTOS!$A$2:$B1014,2,FALSE)-150,VLOOKUP($B141,COSTOS!$A$2:$B1014,2,FALSE)),"No encontrado o error"))</f>
        <v/>
      </c>
      <c r="AF141" s="395"/>
      <c r="AG141" s="394"/>
      <c r="AH141" s="429" t="str">
        <f>IF(OR(ISBLANK($B141),ISBLANK($AG141)),"",IFERROR(IF($AG141&lt;=DATE('ESTADO CONTABLE'!$B$2,11,5),VLOOKUP($B141,COSTOS!$A$2:$B1014,2,FALSE)-150,VLOOKUP($B141,COSTOS!$A$2:$B1014,2,FALSE)),"No encontrado o error"))</f>
        <v/>
      </c>
      <c r="AI141" s="395"/>
      <c r="AJ141" s="394"/>
      <c r="AK141" s="429" t="str">
        <f>IF(OR(ISBLANK($B141),ISBLANK($AJ141)),"",IFERROR(IF($AJ141&lt;=DATE('ESTADO CONTABLE'!$B$2,12,5),VLOOKUP($B141,COSTOS!$A$2:$B1014,2,FALSE)-150,VLOOKUP($B141,COSTOS!$A$2:$B1014,2,FALSE)),"No encontrado o error"))</f>
        <v/>
      </c>
      <c r="AL141" s="395"/>
      <c r="AM141" s="254"/>
      <c r="AN141" s="255"/>
      <c r="AO141" s="256"/>
    </row>
    <row r="142" ht="22.5" customHeight="1">
      <c r="A142" s="431" t="str">
        <f>'BASE DE DATOSS'!A216</f>
        <v/>
      </c>
      <c r="B142" s="432" t="str">
        <f>'BASE DE DATOSS'!C216</f>
        <v/>
      </c>
      <c r="C142" s="263"/>
      <c r="D142" s="249"/>
      <c r="E142" s="250"/>
      <c r="F142" s="251"/>
      <c r="G142" s="262"/>
      <c r="H142" s="257"/>
      <c r="I142" s="249"/>
      <c r="J142" s="193" t="str">
        <f>IF(OR(ISBLANK($B142),ISBLANK($I142)),"",IFERROR(IF($I142&lt;=DATE('ESTADO CONTABLE'!$B$2,3,5),VLOOKUP($B142,COSTOS!$A$2:$B1014,2,FALSE)-150,VLOOKUP($B142,COSTOS!$A$2:$B1014,2,FALSE)),"No encontrado o error"))</f>
        <v/>
      </c>
      <c r="K142" s="264"/>
      <c r="L142" s="249"/>
      <c r="M142" s="189"/>
      <c r="N142" s="264"/>
      <c r="O142" s="249"/>
      <c r="P142" s="250"/>
      <c r="Q142" s="264"/>
      <c r="R142" s="249"/>
      <c r="S142" s="250"/>
      <c r="T142" s="264"/>
      <c r="U142" s="249"/>
      <c r="V142" s="250"/>
      <c r="W142" s="264"/>
      <c r="X142" s="394"/>
      <c r="Y142" s="429"/>
      <c r="Z142" s="395"/>
      <c r="AA142" s="394"/>
      <c r="AB142" s="118" t="str">
        <f>IF(OR(ISBLANK($B142),ISBLANK($AA142)),"",IFERROR(IF($AA142&lt;=DATE('ESTADO CONTABLE'!$B$2,9,5),VLOOKUP($B142,COSTOS!$A$2:$B1014,2,FALSE)-150,VLOOKUP($B142,COSTOS!$A$2:$B1014,2,FALSE)),"No encontrado o error"))</f>
        <v/>
      </c>
      <c r="AC142" s="395"/>
      <c r="AD142" s="394"/>
      <c r="AE142" s="429" t="str">
        <f>IF(OR(ISBLANK($B142),ISBLANK($AD142)),"",IFERROR(IF($AD142&lt;=DATE('ESTADO CONTABLE'!$B$2,10,5),VLOOKUP($B142,COSTOS!$A$2:$B1014,2,FALSE)-150,VLOOKUP($B142,COSTOS!$A$2:$B1014,2,FALSE)),"No encontrado o error"))</f>
        <v/>
      </c>
      <c r="AF142" s="395"/>
      <c r="AG142" s="394"/>
      <c r="AH142" s="429" t="str">
        <f>IF(OR(ISBLANK($B142),ISBLANK($AG142)),"",IFERROR(IF($AG142&lt;=DATE('ESTADO CONTABLE'!$B$2,11,5),VLOOKUP($B142,COSTOS!$A$2:$B1014,2,FALSE)-150,VLOOKUP($B142,COSTOS!$A$2:$B1014,2,FALSE)),"No encontrado o error"))</f>
        <v/>
      </c>
      <c r="AI142" s="395"/>
      <c r="AJ142" s="394"/>
      <c r="AK142" s="429" t="str">
        <f>IF(OR(ISBLANK($B142),ISBLANK($AJ142)),"",IFERROR(IF($AJ142&lt;=DATE('ESTADO CONTABLE'!$B$2,12,5),VLOOKUP($B142,COSTOS!$A$2:$B1014,2,FALSE)-150,VLOOKUP($B142,COSTOS!$A$2:$B1014,2,FALSE)),"No encontrado o error"))</f>
        <v/>
      </c>
      <c r="AL142" s="395"/>
      <c r="AM142" s="254"/>
      <c r="AN142" s="255"/>
      <c r="AO142" s="256"/>
    </row>
    <row r="143" ht="22.5" customHeight="1">
      <c r="A143" s="431" t="str">
        <f>'BASE DE DATOSS'!A217</f>
        <v/>
      </c>
      <c r="B143" s="432" t="str">
        <f>'BASE DE DATOSS'!C217</f>
        <v/>
      </c>
      <c r="C143" s="263"/>
      <c r="D143" s="249"/>
      <c r="E143" s="250"/>
      <c r="F143" s="251"/>
      <c r="G143" s="262"/>
      <c r="H143" s="257"/>
      <c r="I143" s="249"/>
      <c r="J143" s="193" t="str">
        <f>IF(OR(ISBLANK($B143),ISBLANK($I143)),"",IFERROR(IF($I143&lt;=DATE('ESTADO CONTABLE'!$B$2,3,5),VLOOKUP($B143,COSTOS!$A$2:$B1014,2,FALSE)-150,VLOOKUP($B143,COSTOS!$A$2:$B1014,2,FALSE)),"No encontrado o error"))</f>
        <v/>
      </c>
      <c r="K143" s="264"/>
      <c r="L143" s="249"/>
      <c r="M143" s="189"/>
      <c r="N143" s="264"/>
      <c r="O143" s="249"/>
      <c r="P143" s="250"/>
      <c r="Q143" s="264"/>
      <c r="R143" s="249"/>
      <c r="S143" s="250"/>
      <c r="T143" s="264"/>
      <c r="U143" s="249"/>
      <c r="V143" s="250"/>
      <c r="W143" s="264"/>
      <c r="X143" s="394"/>
      <c r="Y143" s="429"/>
      <c r="Z143" s="395"/>
      <c r="AA143" s="394"/>
      <c r="AB143" s="118" t="str">
        <f>IF(OR(ISBLANK($B143),ISBLANK($AA143)),"",IFERROR(IF($AA143&lt;=DATE('ESTADO CONTABLE'!$B$2,9,5),VLOOKUP($B143,COSTOS!$A$2:$B1014,2,FALSE)-150,VLOOKUP($B143,COSTOS!$A$2:$B1014,2,FALSE)),"No encontrado o error"))</f>
        <v/>
      </c>
      <c r="AC143" s="395"/>
      <c r="AD143" s="394"/>
      <c r="AE143" s="429" t="str">
        <f>IF(OR(ISBLANK($B143),ISBLANK($AD143)),"",IFERROR(IF($AD143&lt;=DATE('ESTADO CONTABLE'!$B$2,10,5),VLOOKUP($B143,COSTOS!$A$2:$B1014,2,FALSE)-150,VLOOKUP($B143,COSTOS!$A$2:$B1014,2,FALSE)),"No encontrado o error"))</f>
        <v/>
      </c>
      <c r="AF143" s="395"/>
      <c r="AG143" s="394"/>
      <c r="AH143" s="429" t="str">
        <f>IF(OR(ISBLANK($B143),ISBLANK($AG143)),"",IFERROR(IF($AG143&lt;=DATE('ESTADO CONTABLE'!$B$2,11,5),VLOOKUP($B143,COSTOS!$A$2:$B1014,2,FALSE)-150,VLOOKUP($B143,COSTOS!$A$2:$B1014,2,FALSE)),"No encontrado o error"))</f>
        <v/>
      </c>
      <c r="AI143" s="395"/>
      <c r="AJ143" s="394"/>
      <c r="AK143" s="429" t="str">
        <f>IF(OR(ISBLANK($B143),ISBLANK($AJ143)),"",IFERROR(IF($AJ143&lt;=DATE('ESTADO CONTABLE'!$B$2,12,5),VLOOKUP($B143,COSTOS!$A$2:$B1014,2,FALSE)-150,VLOOKUP($B143,COSTOS!$A$2:$B1014,2,FALSE)),"No encontrado o error"))</f>
        <v/>
      </c>
      <c r="AL143" s="395"/>
      <c r="AM143" s="254"/>
      <c r="AN143" s="255"/>
      <c r="AO143" s="256"/>
    </row>
    <row r="144" ht="22.5" customHeight="1">
      <c r="A144" s="431" t="str">
        <f>'BASE DE DATOSS'!A218</f>
        <v/>
      </c>
      <c r="B144" s="432" t="str">
        <f>'BASE DE DATOSS'!C218</f>
        <v/>
      </c>
      <c r="C144" s="263"/>
      <c r="D144" s="249"/>
      <c r="E144" s="250"/>
      <c r="F144" s="251"/>
      <c r="G144" s="262"/>
      <c r="H144" s="257"/>
      <c r="I144" s="249"/>
      <c r="J144" s="193" t="str">
        <f>IF(OR(ISBLANK($B144),ISBLANK($I144)),"",IFERROR(IF($I144&lt;=DATE('ESTADO CONTABLE'!$B$2,3,5),VLOOKUP($B144,COSTOS!$A$2:$B1014,2,FALSE)-150,VLOOKUP($B144,COSTOS!$A$2:$B1014,2,FALSE)),"No encontrado o error"))</f>
        <v/>
      </c>
      <c r="K144" s="264"/>
      <c r="L144" s="249"/>
      <c r="M144" s="189"/>
      <c r="N144" s="264"/>
      <c r="O144" s="249"/>
      <c r="P144" s="250"/>
      <c r="Q144" s="264"/>
      <c r="R144" s="249"/>
      <c r="S144" s="250"/>
      <c r="T144" s="264"/>
      <c r="U144" s="249"/>
      <c r="V144" s="250"/>
      <c r="W144" s="264"/>
      <c r="X144" s="394"/>
      <c r="Y144" s="429"/>
      <c r="Z144" s="395"/>
      <c r="AA144" s="394"/>
      <c r="AB144" s="118" t="str">
        <f>IF(OR(ISBLANK($B144),ISBLANK($AA144)),"",IFERROR(IF($AA144&lt;=DATE('ESTADO CONTABLE'!$B$2,9,5),VLOOKUP($B144,COSTOS!$A$2:$B1014,2,FALSE)-150,VLOOKUP($B144,COSTOS!$A$2:$B1014,2,FALSE)),"No encontrado o error"))</f>
        <v/>
      </c>
      <c r="AC144" s="395"/>
      <c r="AD144" s="394"/>
      <c r="AE144" s="429" t="str">
        <f>IF(OR(ISBLANK($B144),ISBLANK($AD144)),"",IFERROR(IF($AD144&lt;=DATE('ESTADO CONTABLE'!$B$2,10,5),VLOOKUP($B144,COSTOS!$A$2:$B1014,2,FALSE)-150,VLOOKUP($B144,COSTOS!$A$2:$B1014,2,FALSE)),"No encontrado o error"))</f>
        <v/>
      </c>
      <c r="AF144" s="395"/>
      <c r="AG144" s="394"/>
      <c r="AH144" s="429" t="str">
        <f>IF(OR(ISBLANK($B144),ISBLANK($AG144)),"",IFERROR(IF($AG144&lt;=DATE('ESTADO CONTABLE'!$B$2,11,5),VLOOKUP($B144,COSTOS!$A$2:$B1014,2,FALSE)-150,VLOOKUP($B144,COSTOS!$A$2:$B1014,2,FALSE)),"No encontrado o error"))</f>
        <v/>
      </c>
      <c r="AI144" s="395"/>
      <c r="AJ144" s="394"/>
      <c r="AK144" s="429" t="str">
        <f>IF(OR(ISBLANK($B144),ISBLANK($AJ144)),"",IFERROR(IF($AJ144&lt;=DATE('ESTADO CONTABLE'!$B$2,12,5),VLOOKUP($B144,COSTOS!$A$2:$B1014,2,FALSE)-150,VLOOKUP($B144,COSTOS!$A$2:$B1014,2,FALSE)),"No encontrado o error"))</f>
        <v/>
      </c>
      <c r="AL144" s="395"/>
      <c r="AM144" s="254"/>
      <c r="AN144" s="255"/>
      <c r="AO144" s="256"/>
    </row>
    <row r="145" ht="22.5" customHeight="1">
      <c r="A145" s="431" t="str">
        <f>'BASE DE DATOSS'!A219</f>
        <v/>
      </c>
      <c r="B145" s="432" t="str">
        <f>'BASE DE DATOSS'!C219</f>
        <v/>
      </c>
      <c r="C145" s="263"/>
      <c r="D145" s="249"/>
      <c r="E145" s="250"/>
      <c r="F145" s="251"/>
      <c r="G145" s="262"/>
      <c r="H145" s="257"/>
      <c r="I145" s="249"/>
      <c r="J145" s="193" t="str">
        <f>IF(OR(ISBLANK($B145),ISBLANK($I145)),"",IFERROR(IF($I145&lt;=DATE('ESTADO CONTABLE'!$B$2,3,5),VLOOKUP($B145,COSTOS!$A$2:$B1014,2,FALSE)-150,VLOOKUP($B145,COSTOS!$A$2:$B1014,2,FALSE)),"No encontrado o error"))</f>
        <v/>
      </c>
      <c r="K145" s="264"/>
      <c r="L145" s="249"/>
      <c r="M145" s="189"/>
      <c r="N145" s="264"/>
      <c r="O145" s="249"/>
      <c r="P145" s="250"/>
      <c r="Q145" s="264"/>
      <c r="R145" s="249"/>
      <c r="S145" s="250"/>
      <c r="T145" s="264"/>
      <c r="U145" s="249"/>
      <c r="V145" s="250"/>
      <c r="W145" s="264"/>
      <c r="X145" s="394"/>
      <c r="Y145" s="429"/>
      <c r="Z145" s="395"/>
      <c r="AA145" s="394"/>
      <c r="AB145" s="118" t="str">
        <f>IF(OR(ISBLANK($B145),ISBLANK($AA145)),"",IFERROR(IF($AA145&lt;=DATE('ESTADO CONTABLE'!$B$2,9,5),VLOOKUP($B145,COSTOS!$A$2:$B1014,2,FALSE)-150,VLOOKUP($B145,COSTOS!$A$2:$B1014,2,FALSE)),"No encontrado o error"))</f>
        <v/>
      </c>
      <c r="AC145" s="395"/>
      <c r="AD145" s="394"/>
      <c r="AE145" s="429" t="str">
        <f>IF(OR(ISBLANK($B145),ISBLANK($AD145)),"",IFERROR(IF($AD145&lt;=DATE('ESTADO CONTABLE'!$B$2,10,5),VLOOKUP($B145,COSTOS!$A$2:$B1014,2,FALSE)-150,VLOOKUP($B145,COSTOS!$A$2:$B1014,2,FALSE)),"No encontrado o error"))</f>
        <v/>
      </c>
      <c r="AF145" s="395"/>
      <c r="AG145" s="394"/>
      <c r="AH145" s="429" t="str">
        <f>IF(OR(ISBLANK($B145),ISBLANK($AG145)),"",IFERROR(IF($AG145&lt;=DATE('ESTADO CONTABLE'!$B$2,11,5),VLOOKUP($B145,COSTOS!$A$2:$B1014,2,FALSE)-150,VLOOKUP($B145,COSTOS!$A$2:$B1014,2,FALSE)),"No encontrado o error"))</f>
        <v/>
      </c>
      <c r="AI145" s="395"/>
      <c r="AJ145" s="394"/>
      <c r="AK145" s="429" t="str">
        <f>IF(OR(ISBLANK($B145),ISBLANK($AJ145)),"",IFERROR(IF($AJ145&lt;=DATE('ESTADO CONTABLE'!$B$2,12,5),VLOOKUP($B145,COSTOS!$A$2:$B1014,2,FALSE)-150,VLOOKUP($B145,COSTOS!$A$2:$B1014,2,FALSE)),"No encontrado o error"))</f>
        <v/>
      </c>
      <c r="AL145" s="395"/>
      <c r="AM145" s="254"/>
      <c r="AN145" s="255"/>
      <c r="AO145" s="256"/>
    </row>
    <row r="146" ht="22.5" customHeight="1">
      <c r="A146" s="431" t="str">
        <f>'BASE DE DATOSS'!A220</f>
        <v/>
      </c>
      <c r="B146" s="432" t="str">
        <f>'BASE DE DATOSS'!C220</f>
        <v/>
      </c>
      <c r="C146" s="263"/>
      <c r="D146" s="249"/>
      <c r="E146" s="250"/>
      <c r="F146" s="251"/>
      <c r="G146" s="262"/>
      <c r="H146" s="257"/>
      <c r="I146" s="249"/>
      <c r="J146" s="193" t="str">
        <f>IF(OR(ISBLANK($B146),ISBLANK($I146)),"",IFERROR(IF($I146&lt;=DATE('ESTADO CONTABLE'!$B$2,3,5),VLOOKUP($B146,COSTOS!$A$2:$B1014,2,FALSE)-150,VLOOKUP($B146,COSTOS!$A$2:$B1014,2,FALSE)),"No encontrado o error"))</f>
        <v/>
      </c>
      <c r="K146" s="264"/>
      <c r="L146" s="249"/>
      <c r="M146" s="189"/>
      <c r="N146" s="264"/>
      <c r="O146" s="249"/>
      <c r="P146" s="250"/>
      <c r="Q146" s="264"/>
      <c r="R146" s="249"/>
      <c r="S146" s="250"/>
      <c r="T146" s="264"/>
      <c r="U146" s="249"/>
      <c r="V146" s="250"/>
      <c r="W146" s="264"/>
      <c r="X146" s="394"/>
      <c r="Y146" s="429"/>
      <c r="Z146" s="395"/>
      <c r="AA146" s="394"/>
      <c r="AB146" s="118" t="str">
        <f>IF(OR(ISBLANK($B146),ISBLANK($AA146)),"",IFERROR(IF($AA146&lt;=DATE('ESTADO CONTABLE'!$B$2,9,5),VLOOKUP($B146,COSTOS!$A$2:$B1014,2,FALSE)-150,VLOOKUP($B146,COSTOS!$A$2:$B1014,2,FALSE)),"No encontrado o error"))</f>
        <v/>
      </c>
      <c r="AC146" s="395"/>
      <c r="AD146" s="394"/>
      <c r="AE146" s="429" t="str">
        <f>IF(OR(ISBLANK($B146),ISBLANK($AD146)),"",IFERROR(IF($AD146&lt;=DATE('ESTADO CONTABLE'!$B$2,10,5),VLOOKUP($B146,COSTOS!$A$2:$B1014,2,FALSE)-150,VLOOKUP($B146,COSTOS!$A$2:$B1014,2,FALSE)),"No encontrado o error"))</f>
        <v/>
      </c>
      <c r="AF146" s="395"/>
      <c r="AG146" s="394"/>
      <c r="AH146" s="429" t="str">
        <f>IF(OR(ISBLANK($B146),ISBLANK($AG146)),"",IFERROR(IF($AG146&lt;=DATE('ESTADO CONTABLE'!$B$2,11,5),VLOOKUP($B146,COSTOS!$A$2:$B1014,2,FALSE)-150,VLOOKUP($B146,COSTOS!$A$2:$B1014,2,FALSE)),"No encontrado o error"))</f>
        <v/>
      </c>
      <c r="AI146" s="395"/>
      <c r="AJ146" s="394"/>
      <c r="AK146" s="429" t="str">
        <f>IF(OR(ISBLANK($B146),ISBLANK($AJ146)),"",IFERROR(IF($AJ146&lt;=DATE('ESTADO CONTABLE'!$B$2,12,5),VLOOKUP($B146,COSTOS!$A$2:$B1014,2,FALSE)-150,VLOOKUP($B146,COSTOS!$A$2:$B1014,2,FALSE)),"No encontrado o error"))</f>
        <v/>
      </c>
      <c r="AL146" s="395"/>
      <c r="AM146" s="254"/>
      <c r="AN146" s="255"/>
      <c r="AO146" s="256"/>
    </row>
    <row r="147" ht="22.5" customHeight="1">
      <c r="A147" s="431" t="str">
        <f>'BASE DE DATOSS'!A221</f>
        <v/>
      </c>
      <c r="B147" s="432" t="str">
        <f>'BASE DE DATOSS'!C221</f>
        <v/>
      </c>
      <c r="C147" s="263"/>
      <c r="D147" s="249"/>
      <c r="E147" s="250"/>
      <c r="F147" s="251"/>
      <c r="G147" s="262"/>
      <c r="H147" s="257"/>
      <c r="I147" s="249"/>
      <c r="J147" s="193" t="str">
        <f>IF(OR(ISBLANK($B147),ISBLANK($I147)),"",IFERROR(IF($I147&lt;=DATE('ESTADO CONTABLE'!$B$2,3,5),VLOOKUP($B147,COSTOS!$A$2:$B1014,2,FALSE)-150,VLOOKUP($B147,COSTOS!$A$2:$B1014,2,FALSE)),"No encontrado o error"))</f>
        <v/>
      </c>
      <c r="K147" s="264"/>
      <c r="L147" s="249"/>
      <c r="M147" s="189"/>
      <c r="N147" s="264"/>
      <c r="O147" s="249"/>
      <c r="P147" s="250"/>
      <c r="Q147" s="264"/>
      <c r="R147" s="249"/>
      <c r="S147" s="250"/>
      <c r="T147" s="264"/>
      <c r="U147" s="249"/>
      <c r="V147" s="250"/>
      <c r="W147" s="264"/>
      <c r="X147" s="394"/>
      <c r="Y147" s="429"/>
      <c r="Z147" s="395"/>
      <c r="AA147" s="394"/>
      <c r="AB147" s="118" t="str">
        <f>IF(OR(ISBLANK($B147),ISBLANK($AA147)),"",IFERROR(IF($AA147&lt;=DATE('ESTADO CONTABLE'!$B$2,9,5),VLOOKUP($B147,COSTOS!$A$2:$B1014,2,FALSE)-150,VLOOKUP($B147,COSTOS!$A$2:$B1014,2,FALSE)),"No encontrado o error"))</f>
        <v/>
      </c>
      <c r="AC147" s="395"/>
      <c r="AD147" s="394"/>
      <c r="AE147" s="429" t="str">
        <f>IF(OR(ISBLANK($B147),ISBLANK($AD147)),"",IFERROR(IF($AD147&lt;=DATE('ESTADO CONTABLE'!$B$2,10,5),VLOOKUP($B147,COSTOS!$A$2:$B1014,2,FALSE)-150,VLOOKUP($B147,COSTOS!$A$2:$B1014,2,FALSE)),"No encontrado o error"))</f>
        <v/>
      </c>
      <c r="AF147" s="395"/>
      <c r="AG147" s="394"/>
      <c r="AH147" s="429" t="str">
        <f>IF(OR(ISBLANK($B147),ISBLANK($AG147)),"",IFERROR(IF($AG147&lt;=DATE('ESTADO CONTABLE'!$B$2,11,5),VLOOKUP($B147,COSTOS!$A$2:$B1014,2,FALSE)-150,VLOOKUP($B147,COSTOS!$A$2:$B1014,2,FALSE)),"No encontrado o error"))</f>
        <v/>
      </c>
      <c r="AI147" s="395"/>
      <c r="AJ147" s="394"/>
      <c r="AK147" s="429" t="str">
        <f>IF(OR(ISBLANK($B147),ISBLANK($AJ147)),"",IFERROR(IF($AJ147&lt;=DATE('ESTADO CONTABLE'!$B$2,12,5),VLOOKUP($B147,COSTOS!$A$2:$B1014,2,FALSE)-150,VLOOKUP($B147,COSTOS!$A$2:$B1014,2,FALSE)),"No encontrado o error"))</f>
        <v/>
      </c>
      <c r="AL147" s="395"/>
      <c r="AM147" s="254"/>
      <c r="AN147" s="255"/>
      <c r="AO147" s="256"/>
    </row>
    <row r="148" ht="22.5" customHeight="1">
      <c r="A148" s="431" t="str">
        <f>'BASE DE DATOSS'!A222</f>
        <v/>
      </c>
      <c r="B148" s="432" t="str">
        <f>'BASE DE DATOSS'!C222</f>
        <v/>
      </c>
      <c r="C148" s="263"/>
      <c r="D148" s="249"/>
      <c r="E148" s="250"/>
      <c r="F148" s="251"/>
      <c r="G148" s="262"/>
      <c r="H148" s="257"/>
      <c r="I148" s="249"/>
      <c r="J148" s="193" t="str">
        <f>IF(OR(ISBLANK($B148),ISBLANK($I148)),"",IFERROR(IF($I148&lt;=DATE('ESTADO CONTABLE'!$B$2,3,5),VLOOKUP($B148,COSTOS!$A$2:$B1014,2,FALSE)-150,VLOOKUP($B148,COSTOS!$A$2:$B1014,2,FALSE)),"No encontrado o error"))</f>
        <v/>
      </c>
      <c r="K148" s="264"/>
      <c r="L148" s="249"/>
      <c r="M148" s="189"/>
      <c r="N148" s="264"/>
      <c r="O148" s="249"/>
      <c r="P148" s="250"/>
      <c r="Q148" s="264"/>
      <c r="R148" s="249"/>
      <c r="S148" s="250"/>
      <c r="T148" s="264"/>
      <c r="U148" s="249"/>
      <c r="V148" s="250"/>
      <c r="W148" s="264"/>
      <c r="X148" s="394"/>
      <c r="Y148" s="429"/>
      <c r="Z148" s="395"/>
      <c r="AA148" s="394"/>
      <c r="AB148" s="118" t="str">
        <f>IF(OR(ISBLANK($B148),ISBLANK($AA148)),"",IFERROR(IF($AA148&lt;=DATE('ESTADO CONTABLE'!$B$2,9,5),VLOOKUP($B148,COSTOS!$A$2:$B1014,2,FALSE)-150,VLOOKUP($B148,COSTOS!$A$2:$B1014,2,FALSE)),"No encontrado o error"))</f>
        <v/>
      </c>
      <c r="AC148" s="395"/>
      <c r="AD148" s="394"/>
      <c r="AE148" s="429" t="str">
        <f>IF(OR(ISBLANK($B148),ISBLANK($AD148)),"",IFERROR(IF($AD148&lt;=DATE('ESTADO CONTABLE'!$B$2,10,5),VLOOKUP($B148,COSTOS!$A$2:$B1014,2,FALSE)-150,VLOOKUP($B148,COSTOS!$A$2:$B1014,2,FALSE)),"No encontrado o error"))</f>
        <v/>
      </c>
      <c r="AF148" s="395"/>
      <c r="AG148" s="394"/>
      <c r="AH148" s="429" t="str">
        <f>IF(OR(ISBLANK($B148),ISBLANK($AG148)),"",IFERROR(IF($AG148&lt;=DATE('ESTADO CONTABLE'!$B$2,11,5),VLOOKUP($B148,COSTOS!$A$2:$B1014,2,FALSE)-150,VLOOKUP($B148,COSTOS!$A$2:$B1014,2,FALSE)),"No encontrado o error"))</f>
        <v/>
      </c>
      <c r="AI148" s="395"/>
      <c r="AJ148" s="394"/>
      <c r="AK148" s="429" t="str">
        <f>IF(OR(ISBLANK($B148),ISBLANK($AJ148)),"",IFERROR(IF($AJ148&lt;=DATE('ESTADO CONTABLE'!$B$2,12,5),VLOOKUP($B148,COSTOS!$A$2:$B1014,2,FALSE)-150,VLOOKUP($B148,COSTOS!$A$2:$B1014,2,FALSE)),"No encontrado o error"))</f>
        <v/>
      </c>
      <c r="AL148" s="395"/>
      <c r="AM148" s="254"/>
      <c r="AN148" s="255"/>
      <c r="AO148" s="256"/>
    </row>
    <row r="149" ht="22.5" customHeight="1">
      <c r="A149" s="431" t="str">
        <f>'BASE DE DATOSS'!A223</f>
        <v/>
      </c>
      <c r="B149" s="432" t="str">
        <f>'BASE DE DATOSS'!C223</f>
        <v/>
      </c>
      <c r="C149" s="263"/>
      <c r="D149" s="249"/>
      <c r="E149" s="250"/>
      <c r="F149" s="251"/>
      <c r="G149" s="262"/>
      <c r="H149" s="257"/>
      <c r="I149" s="249"/>
      <c r="J149" s="193" t="str">
        <f>IF(OR(ISBLANK($B149),ISBLANK($I149)),"",IFERROR(IF($I149&lt;=DATE('ESTADO CONTABLE'!$B$2,3,5),VLOOKUP($B149,COSTOS!$A$2:$B1014,2,FALSE)-150,VLOOKUP($B149,COSTOS!$A$2:$B1014,2,FALSE)),"No encontrado o error"))</f>
        <v/>
      </c>
      <c r="K149" s="264"/>
      <c r="L149" s="249"/>
      <c r="M149" s="189"/>
      <c r="N149" s="264"/>
      <c r="O149" s="249"/>
      <c r="P149" s="250"/>
      <c r="Q149" s="264"/>
      <c r="R149" s="249"/>
      <c r="S149" s="250"/>
      <c r="T149" s="264"/>
      <c r="U149" s="249"/>
      <c r="V149" s="250"/>
      <c r="W149" s="264"/>
      <c r="X149" s="394"/>
      <c r="Y149" s="429"/>
      <c r="Z149" s="395"/>
      <c r="AA149" s="394"/>
      <c r="AB149" s="118" t="str">
        <f>IF(OR(ISBLANK($B149),ISBLANK($AA149)),"",IFERROR(IF($AA149&lt;=DATE('ESTADO CONTABLE'!$B$2,9,5),VLOOKUP($B149,COSTOS!$A$2:$B1014,2,FALSE)-150,VLOOKUP($B149,COSTOS!$A$2:$B1014,2,FALSE)),"No encontrado o error"))</f>
        <v/>
      </c>
      <c r="AC149" s="395"/>
      <c r="AD149" s="394"/>
      <c r="AE149" s="429" t="str">
        <f>IF(OR(ISBLANK($B149),ISBLANK($AD149)),"",IFERROR(IF($AD149&lt;=DATE('ESTADO CONTABLE'!$B$2,10,5),VLOOKUP($B149,COSTOS!$A$2:$B1014,2,FALSE)-150,VLOOKUP($B149,COSTOS!$A$2:$B1014,2,FALSE)),"No encontrado o error"))</f>
        <v/>
      </c>
      <c r="AF149" s="395"/>
      <c r="AG149" s="394"/>
      <c r="AH149" s="429" t="str">
        <f>IF(OR(ISBLANK($B149),ISBLANK($AG149)),"",IFERROR(IF($AG149&lt;=DATE('ESTADO CONTABLE'!$B$2,11,5),VLOOKUP($B149,COSTOS!$A$2:$B1014,2,FALSE)-150,VLOOKUP($B149,COSTOS!$A$2:$B1014,2,FALSE)),"No encontrado o error"))</f>
        <v/>
      </c>
      <c r="AI149" s="395"/>
      <c r="AJ149" s="394"/>
      <c r="AK149" s="429" t="str">
        <f>IF(OR(ISBLANK($B149),ISBLANK($AJ149)),"",IFERROR(IF($AJ149&lt;=DATE('ESTADO CONTABLE'!$B$2,12,5),VLOOKUP($B149,COSTOS!$A$2:$B1014,2,FALSE)-150,VLOOKUP($B149,COSTOS!$A$2:$B1014,2,FALSE)),"No encontrado o error"))</f>
        <v/>
      </c>
      <c r="AL149" s="395"/>
      <c r="AM149" s="254"/>
      <c r="AN149" s="255"/>
      <c r="AO149" s="256"/>
    </row>
    <row r="150" ht="22.5" customHeight="1">
      <c r="A150" s="431" t="str">
        <f>'BASE DE DATOSS'!A224</f>
        <v/>
      </c>
      <c r="B150" s="432" t="str">
        <f>'BASE DE DATOSS'!C224</f>
        <v/>
      </c>
      <c r="C150" s="263"/>
      <c r="D150" s="249"/>
      <c r="E150" s="250"/>
      <c r="F150" s="251"/>
      <c r="G150" s="262"/>
      <c r="H150" s="257"/>
      <c r="I150" s="249"/>
      <c r="J150" s="193" t="str">
        <f>IF(OR(ISBLANK($B150),ISBLANK($I150)),"",IFERROR(IF($I150&lt;=DATE('ESTADO CONTABLE'!$B$2,3,5),VLOOKUP($B150,COSTOS!$A$2:$B1014,2,FALSE)-150,VLOOKUP($B150,COSTOS!$A$2:$B1014,2,FALSE)),"No encontrado o error"))</f>
        <v/>
      </c>
      <c r="K150" s="264"/>
      <c r="L150" s="249"/>
      <c r="M150" s="189"/>
      <c r="N150" s="264"/>
      <c r="O150" s="249"/>
      <c r="P150" s="250"/>
      <c r="Q150" s="264"/>
      <c r="R150" s="249"/>
      <c r="S150" s="250"/>
      <c r="T150" s="264"/>
      <c r="U150" s="249"/>
      <c r="V150" s="250"/>
      <c r="W150" s="264"/>
      <c r="X150" s="394"/>
      <c r="Y150" s="429"/>
      <c r="Z150" s="395"/>
      <c r="AA150" s="394"/>
      <c r="AB150" s="118" t="str">
        <f>IF(OR(ISBLANK($B150),ISBLANK($AA150)),"",IFERROR(IF($AA150&lt;=DATE('ESTADO CONTABLE'!$B$2,9,5),VLOOKUP($B150,COSTOS!$A$2:$B1014,2,FALSE)-150,VLOOKUP($B150,COSTOS!$A$2:$B1014,2,FALSE)),"No encontrado o error"))</f>
        <v/>
      </c>
      <c r="AC150" s="395"/>
      <c r="AD150" s="394"/>
      <c r="AE150" s="429" t="str">
        <f>IF(OR(ISBLANK($B150),ISBLANK($AD150)),"",IFERROR(IF($AD150&lt;=DATE('ESTADO CONTABLE'!$B$2,10,5),VLOOKUP($B150,COSTOS!$A$2:$B1014,2,FALSE)-150,VLOOKUP($B150,COSTOS!$A$2:$B1014,2,FALSE)),"No encontrado o error"))</f>
        <v/>
      </c>
      <c r="AF150" s="395"/>
      <c r="AG150" s="394"/>
      <c r="AH150" s="429" t="str">
        <f>IF(OR(ISBLANK($B150),ISBLANK($AG150)),"",IFERROR(IF($AG150&lt;=DATE('ESTADO CONTABLE'!$B$2,11,5),VLOOKUP($B150,COSTOS!$A$2:$B1014,2,FALSE)-150,VLOOKUP($B150,COSTOS!$A$2:$B1014,2,FALSE)),"No encontrado o error"))</f>
        <v/>
      </c>
      <c r="AI150" s="395"/>
      <c r="AJ150" s="394"/>
      <c r="AK150" s="429" t="str">
        <f>IF(OR(ISBLANK($B150),ISBLANK($AJ150)),"",IFERROR(IF($AJ150&lt;=DATE('ESTADO CONTABLE'!$B$2,12,5),VLOOKUP($B150,COSTOS!$A$2:$B1014,2,FALSE)-150,VLOOKUP($B150,COSTOS!$A$2:$B1014,2,FALSE)),"No encontrado o error"))</f>
        <v/>
      </c>
      <c r="AL150" s="395"/>
      <c r="AM150" s="254"/>
      <c r="AN150" s="255"/>
      <c r="AO150" s="256"/>
    </row>
    <row r="151" ht="22.5" customHeight="1">
      <c r="A151" s="431" t="str">
        <f>'BASE DE DATOSS'!A225</f>
        <v/>
      </c>
      <c r="B151" s="432" t="str">
        <f>'BASE DE DATOSS'!C225</f>
        <v/>
      </c>
      <c r="C151" s="263"/>
      <c r="D151" s="249"/>
      <c r="E151" s="250"/>
      <c r="F151" s="251"/>
      <c r="G151" s="262"/>
      <c r="H151" s="257"/>
      <c r="I151" s="249"/>
      <c r="J151" s="193" t="str">
        <f>IF(OR(ISBLANK($B151),ISBLANK($I151)),"",IFERROR(IF($I151&lt;=DATE('ESTADO CONTABLE'!$B$2,3,5),VLOOKUP($B151,COSTOS!$A$2:$B1014,2,FALSE)-150,VLOOKUP($B151,COSTOS!$A$2:$B1014,2,FALSE)),"No encontrado o error"))</f>
        <v/>
      </c>
      <c r="K151" s="264"/>
      <c r="L151" s="249"/>
      <c r="M151" s="189"/>
      <c r="N151" s="264"/>
      <c r="O151" s="249"/>
      <c r="P151" s="250"/>
      <c r="Q151" s="264"/>
      <c r="R151" s="249"/>
      <c r="S151" s="250"/>
      <c r="T151" s="264"/>
      <c r="U151" s="249"/>
      <c r="V151" s="250"/>
      <c r="W151" s="264"/>
      <c r="X151" s="394"/>
      <c r="Y151" s="429"/>
      <c r="Z151" s="395"/>
      <c r="AA151" s="394"/>
      <c r="AB151" s="118" t="str">
        <f>IF(OR(ISBLANK($B151),ISBLANK($AA151)),"",IFERROR(IF($AA151&lt;=DATE('ESTADO CONTABLE'!$B$2,9,5),VLOOKUP($B151,COSTOS!$A$2:$B1014,2,FALSE)-150,VLOOKUP($B151,COSTOS!$A$2:$B1014,2,FALSE)),"No encontrado o error"))</f>
        <v/>
      </c>
      <c r="AC151" s="395"/>
      <c r="AD151" s="394"/>
      <c r="AE151" s="429" t="str">
        <f>IF(OR(ISBLANK($B151),ISBLANK($AD151)),"",IFERROR(IF($AD151&lt;=DATE('ESTADO CONTABLE'!$B$2,10,5),VLOOKUP($B151,COSTOS!$A$2:$B1014,2,FALSE)-150,VLOOKUP($B151,COSTOS!$A$2:$B1014,2,FALSE)),"No encontrado o error"))</f>
        <v/>
      </c>
      <c r="AF151" s="395"/>
      <c r="AG151" s="394"/>
      <c r="AH151" s="429" t="str">
        <f>IF(OR(ISBLANK($B151),ISBLANK($AG151)),"",IFERROR(IF($AG151&lt;=DATE('ESTADO CONTABLE'!$B$2,11,5),VLOOKUP($B151,COSTOS!$A$2:$B1014,2,FALSE)-150,VLOOKUP($B151,COSTOS!$A$2:$B1014,2,FALSE)),"No encontrado o error"))</f>
        <v/>
      </c>
      <c r="AI151" s="395"/>
      <c r="AJ151" s="394"/>
      <c r="AK151" s="429" t="str">
        <f>IF(OR(ISBLANK($B151),ISBLANK($AJ151)),"",IFERROR(IF($AJ151&lt;=DATE('ESTADO CONTABLE'!$B$2,12,5),VLOOKUP($B151,COSTOS!$A$2:$B1014,2,FALSE)-150,VLOOKUP($B151,COSTOS!$A$2:$B1014,2,FALSE)),"No encontrado o error"))</f>
        <v/>
      </c>
      <c r="AL151" s="395"/>
      <c r="AM151" s="254"/>
      <c r="AN151" s="255"/>
      <c r="AO151" s="256"/>
    </row>
    <row r="152" ht="22.5" customHeight="1">
      <c r="A152" s="431" t="str">
        <f>'BASE DE DATOSS'!A226</f>
        <v/>
      </c>
      <c r="B152" s="432" t="str">
        <f>'BASE DE DATOSS'!C226</f>
        <v/>
      </c>
      <c r="C152" s="263"/>
      <c r="D152" s="249"/>
      <c r="E152" s="250"/>
      <c r="F152" s="251"/>
      <c r="G152" s="262"/>
      <c r="H152" s="257"/>
      <c r="I152" s="249"/>
      <c r="J152" s="193" t="str">
        <f>IF(OR(ISBLANK($B152),ISBLANK($I152)),"",IFERROR(IF($I152&lt;=DATE('ESTADO CONTABLE'!$B$2,3,5),VLOOKUP($B152,COSTOS!$A$2:$B1014,2,FALSE)-150,VLOOKUP($B152,COSTOS!$A$2:$B1014,2,FALSE)),"No encontrado o error"))</f>
        <v/>
      </c>
      <c r="K152" s="264"/>
      <c r="L152" s="249"/>
      <c r="M152" s="189"/>
      <c r="N152" s="264"/>
      <c r="O152" s="249"/>
      <c r="P152" s="250"/>
      <c r="Q152" s="264"/>
      <c r="R152" s="249"/>
      <c r="S152" s="250"/>
      <c r="T152" s="264"/>
      <c r="U152" s="249"/>
      <c r="V152" s="250"/>
      <c r="W152" s="264"/>
      <c r="X152" s="394"/>
      <c r="Y152" s="429"/>
      <c r="Z152" s="395"/>
      <c r="AA152" s="394"/>
      <c r="AB152" s="118" t="str">
        <f>IF(OR(ISBLANK($B152),ISBLANK($AA152)),"",IFERROR(IF($AA152&lt;=DATE('ESTADO CONTABLE'!$B$2,9,5),VLOOKUP($B152,COSTOS!$A$2:$B1014,2,FALSE)-150,VLOOKUP($B152,COSTOS!$A$2:$B1014,2,FALSE)),"No encontrado o error"))</f>
        <v/>
      </c>
      <c r="AC152" s="395"/>
      <c r="AD152" s="394"/>
      <c r="AE152" s="429" t="str">
        <f>IF(OR(ISBLANK($B152),ISBLANK($AD152)),"",IFERROR(IF($AD152&lt;=DATE('ESTADO CONTABLE'!$B$2,10,5),VLOOKUP($B152,COSTOS!$A$2:$B1014,2,FALSE)-150,VLOOKUP($B152,COSTOS!$A$2:$B1014,2,FALSE)),"No encontrado o error"))</f>
        <v/>
      </c>
      <c r="AF152" s="395"/>
      <c r="AG152" s="394"/>
      <c r="AH152" s="429" t="str">
        <f>IF(OR(ISBLANK($B152),ISBLANK($AG152)),"",IFERROR(IF($AG152&lt;=DATE('ESTADO CONTABLE'!$B$2,11,5),VLOOKUP($B152,COSTOS!$A$2:$B1014,2,FALSE)-150,VLOOKUP($B152,COSTOS!$A$2:$B1014,2,FALSE)),"No encontrado o error"))</f>
        <v/>
      </c>
      <c r="AI152" s="395"/>
      <c r="AJ152" s="394"/>
      <c r="AK152" s="429" t="str">
        <f>IF(OR(ISBLANK($B152),ISBLANK($AJ152)),"",IFERROR(IF($AJ152&lt;=DATE('ESTADO CONTABLE'!$B$2,12,5),VLOOKUP($B152,COSTOS!$A$2:$B1014,2,FALSE)-150,VLOOKUP($B152,COSTOS!$A$2:$B1014,2,FALSE)),"No encontrado o error"))</f>
        <v/>
      </c>
      <c r="AL152" s="395"/>
      <c r="AM152" s="254"/>
      <c r="AN152" s="255"/>
      <c r="AO152" s="256"/>
    </row>
    <row r="153" ht="22.5" customHeight="1">
      <c r="A153" s="431" t="str">
        <f>'BASE DE DATOSS'!A227</f>
        <v/>
      </c>
      <c r="B153" s="432" t="str">
        <f>'BASE DE DATOSS'!C227</f>
        <v/>
      </c>
      <c r="C153" s="263"/>
      <c r="D153" s="249"/>
      <c r="E153" s="250"/>
      <c r="F153" s="251"/>
      <c r="G153" s="262"/>
      <c r="H153" s="257"/>
      <c r="I153" s="249"/>
      <c r="J153" s="193" t="str">
        <f>IF(OR(ISBLANK($B153),ISBLANK($I153)),"",IFERROR(IF($I153&lt;=DATE('ESTADO CONTABLE'!$B$2,3,5),VLOOKUP($B153,COSTOS!$A$2:$B1014,2,FALSE)-150,VLOOKUP($B153,COSTOS!$A$2:$B1014,2,FALSE)),"No encontrado o error"))</f>
        <v/>
      </c>
      <c r="K153" s="264"/>
      <c r="L153" s="249"/>
      <c r="M153" s="189"/>
      <c r="N153" s="264"/>
      <c r="O153" s="249"/>
      <c r="P153" s="250"/>
      <c r="Q153" s="264"/>
      <c r="R153" s="249"/>
      <c r="S153" s="250"/>
      <c r="T153" s="264"/>
      <c r="U153" s="249"/>
      <c r="V153" s="250"/>
      <c r="W153" s="264"/>
      <c r="X153" s="394"/>
      <c r="Y153" s="429"/>
      <c r="Z153" s="395"/>
      <c r="AA153" s="394"/>
      <c r="AB153" s="118" t="str">
        <f>IF(OR(ISBLANK($B153),ISBLANK($AA153)),"",IFERROR(IF($AA153&lt;=DATE('ESTADO CONTABLE'!$B$2,9,5),VLOOKUP($B153,COSTOS!$A$2:$B1014,2,FALSE)-150,VLOOKUP($B153,COSTOS!$A$2:$B1014,2,FALSE)),"No encontrado o error"))</f>
        <v/>
      </c>
      <c r="AC153" s="395"/>
      <c r="AD153" s="394"/>
      <c r="AE153" s="429" t="str">
        <f>IF(OR(ISBLANK($B153),ISBLANK($AD153)),"",IFERROR(IF($AD153&lt;=DATE('ESTADO CONTABLE'!$B$2,10,5),VLOOKUP($B153,COSTOS!$A$2:$B1014,2,FALSE)-150,VLOOKUP($B153,COSTOS!$A$2:$B1014,2,FALSE)),"No encontrado o error"))</f>
        <v/>
      </c>
      <c r="AF153" s="395"/>
      <c r="AG153" s="394"/>
      <c r="AH153" s="429" t="str">
        <f>IF(OR(ISBLANK($B153),ISBLANK($AG153)),"",IFERROR(IF($AG153&lt;=DATE('ESTADO CONTABLE'!$B$2,11,5),VLOOKUP($B153,COSTOS!$A$2:$B1014,2,FALSE)-150,VLOOKUP($B153,COSTOS!$A$2:$B1014,2,FALSE)),"No encontrado o error"))</f>
        <v/>
      </c>
      <c r="AI153" s="395"/>
      <c r="AJ153" s="394"/>
      <c r="AK153" s="429" t="str">
        <f>IF(OR(ISBLANK($B153),ISBLANK($AJ153)),"",IFERROR(IF($AJ153&lt;=DATE('ESTADO CONTABLE'!$B$2,12,5),VLOOKUP($B153,COSTOS!$A$2:$B1014,2,FALSE)-150,VLOOKUP($B153,COSTOS!$A$2:$B1014,2,FALSE)),"No encontrado o error"))</f>
        <v/>
      </c>
      <c r="AL153" s="395"/>
      <c r="AM153" s="254"/>
      <c r="AN153" s="255"/>
      <c r="AO153" s="256"/>
    </row>
    <row r="154" ht="22.5" customHeight="1">
      <c r="A154" s="431" t="str">
        <f>'BASE DE DATOSS'!A228</f>
        <v/>
      </c>
      <c r="B154" s="432" t="str">
        <f>'BASE DE DATOSS'!C228</f>
        <v/>
      </c>
      <c r="C154" s="263"/>
      <c r="D154" s="249"/>
      <c r="E154" s="250"/>
      <c r="F154" s="251"/>
      <c r="G154" s="262"/>
      <c r="H154" s="257"/>
      <c r="I154" s="249"/>
      <c r="J154" s="193" t="str">
        <f>IF(OR(ISBLANK($B154),ISBLANK($I154)),"",IFERROR(IF($I154&lt;=DATE('ESTADO CONTABLE'!$B$2,3,5),VLOOKUP($B154,COSTOS!$A$2:$B1014,2,FALSE)-150,VLOOKUP($B154,COSTOS!$A$2:$B1014,2,FALSE)),"No encontrado o error"))</f>
        <v/>
      </c>
      <c r="K154" s="264"/>
      <c r="L154" s="249"/>
      <c r="M154" s="189"/>
      <c r="N154" s="264"/>
      <c r="O154" s="249"/>
      <c r="P154" s="250"/>
      <c r="Q154" s="264"/>
      <c r="R154" s="249"/>
      <c r="S154" s="250"/>
      <c r="T154" s="264"/>
      <c r="U154" s="249"/>
      <c r="V154" s="250"/>
      <c r="W154" s="264"/>
      <c r="X154" s="394"/>
      <c r="Y154" s="429"/>
      <c r="Z154" s="395"/>
      <c r="AA154" s="394"/>
      <c r="AB154" s="118" t="str">
        <f>IF(OR(ISBLANK($B154),ISBLANK($AA154)),"",IFERROR(IF($AA154&lt;=DATE('ESTADO CONTABLE'!$B$2,9,5),VLOOKUP($B154,COSTOS!$A$2:$B1014,2,FALSE)-150,VLOOKUP($B154,COSTOS!$A$2:$B1014,2,FALSE)),"No encontrado o error"))</f>
        <v/>
      </c>
      <c r="AC154" s="395"/>
      <c r="AD154" s="394"/>
      <c r="AE154" s="429" t="str">
        <f>IF(OR(ISBLANK($B154),ISBLANK($AD154)),"",IFERROR(IF($AD154&lt;=DATE('ESTADO CONTABLE'!$B$2,10,5),VLOOKUP($B154,COSTOS!$A$2:$B1014,2,FALSE)-150,VLOOKUP($B154,COSTOS!$A$2:$B1014,2,FALSE)),"No encontrado o error"))</f>
        <v/>
      </c>
      <c r="AF154" s="395"/>
      <c r="AG154" s="394"/>
      <c r="AH154" s="429" t="str">
        <f>IF(OR(ISBLANK($B154),ISBLANK($AG154)),"",IFERROR(IF($AG154&lt;=DATE('ESTADO CONTABLE'!$B$2,11,5),VLOOKUP($B154,COSTOS!$A$2:$B1014,2,FALSE)-150,VLOOKUP($B154,COSTOS!$A$2:$B1014,2,FALSE)),"No encontrado o error"))</f>
        <v/>
      </c>
      <c r="AI154" s="395"/>
      <c r="AJ154" s="394"/>
      <c r="AK154" s="429" t="str">
        <f>IF(OR(ISBLANK($B154),ISBLANK($AJ154)),"",IFERROR(IF($AJ154&lt;=DATE('ESTADO CONTABLE'!$B$2,12,5),VLOOKUP($B154,COSTOS!$A$2:$B1014,2,FALSE)-150,VLOOKUP($B154,COSTOS!$A$2:$B1014,2,FALSE)),"No encontrado o error"))</f>
        <v/>
      </c>
      <c r="AL154" s="395"/>
      <c r="AM154" s="254"/>
      <c r="AN154" s="255"/>
      <c r="AO154" s="256"/>
    </row>
    <row r="155" ht="22.5" customHeight="1">
      <c r="A155" s="431" t="str">
        <f>'BASE DE DATOSS'!A229</f>
        <v/>
      </c>
      <c r="B155" s="432" t="str">
        <f>'BASE DE DATOSS'!C229</f>
        <v/>
      </c>
      <c r="C155" s="263"/>
      <c r="D155" s="249"/>
      <c r="E155" s="250"/>
      <c r="F155" s="251"/>
      <c r="G155" s="262"/>
      <c r="H155" s="257"/>
      <c r="I155" s="249"/>
      <c r="J155" s="193" t="str">
        <f>IF(OR(ISBLANK($B155),ISBLANK($I155)),"",IFERROR(IF($I155&lt;=DATE('ESTADO CONTABLE'!$B$2,3,5),VLOOKUP($B155,COSTOS!$A$2:$B1014,2,FALSE)-150,VLOOKUP($B155,COSTOS!$A$2:$B1014,2,FALSE)),"No encontrado o error"))</f>
        <v/>
      </c>
      <c r="K155" s="264"/>
      <c r="L155" s="249"/>
      <c r="M155" s="189"/>
      <c r="N155" s="264"/>
      <c r="O155" s="249"/>
      <c r="P155" s="250"/>
      <c r="Q155" s="264"/>
      <c r="R155" s="249"/>
      <c r="S155" s="250"/>
      <c r="T155" s="264"/>
      <c r="U155" s="249"/>
      <c r="V155" s="250"/>
      <c r="W155" s="264"/>
      <c r="X155" s="394"/>
      <c r="Y155" s="429"/>
      <c r="Z155" s="395"/>
      <c r="AA155" s="394"/>
      <c r="AB155" s="118" t="str">
        <f>IF(OR(ISBLANK($B155),ISBLANK($AA155)),"",IFERROR(IF($AA155&lt;=DATE('ESTADO CONTABLE'!$B$2,9,5),VLOOKUP($B155,COSTOS!$A$2:$B1014,2,FALSE)-150,VLOOKUP($B155,COSTOS!$A$2:$B1014,2,FALSE)),"No encontrado o error"))</f>
        <v/>
      </c>
      <c r="AC155" s="395"/>
      <c r="AD155" s="394"/>
      <c r="AE155" s="429" t="str">
        <f>IF(OR(ISBLANK($B155),ISBLANK($AD155)),"",IFERROR(IF($AD155&lt;=DATE('ESTADO CONTABLE'!$B$2,10,5),VLOOKUP($B155,COSTOS!$A$2:$B1014,2,FALSE)-150,VLOOKUP($B155,COSTOS!$A$2:$B1014,2,FALSE)),"No encontrado o error"))</f>
        <v/>
      </c>
      <c r="AF155" s="395"/>
      <c r="AG155" s="394"/>
      <c r="AH155" s="429" t="str">
        <f>IF(OR(ISBLANK($B155),ISBLANK($AG155)),"",IFERROR(IF($AG155&lt;=DATE('ESTADO CONTABLE'!$B$2,11,5),VLOOKUP($B155,COSTOS!$A$2:$B1014,2,FALSE)-150,VLOOKUP($B155,COSTOS!$A$2:$B1014,2,FALSE)),"No encontrado o error"))</f>
        <v/>
      </c>
      <c r="AI155" s="395"/>
      <c r="AJ155" s="394"/>
      <c r="AK155" s="429" t="str">
        <f>IF(OR(ISBLANK($B155),ISBLANK($AJ155)),"",IFERROR(IF($AJ155&lt;=DATE('ESTADO CONTABLE'!$B$2,12,5),VLOOKUP($B155,COSTOS!$A$2:$B1014,2,FALSE)-150,VLOOKUP($B155,COSTOS!$A$2:$B1014,2,FALSE)),"No encontrado o error"))</f>
        <v/>
      </c>
      <c r="AL155" s="395"/>
      <c r="AM155" s="254"/>
      <c r="AN155" s="255"/>
      <c r="AO155" s="256"/>
    </row>
    <row r="156" ht="22.5" customHeight="1">
      <c r="A156" s="431" t="str">
        <f>'BASE DE DATOSS'!A230</f>
        <v/>
      </c>
      <c r="B156" s="432" t="str">
        <f>'BASE DE DATOSS'!C230</f>
        <v/>
      </c>
      <c r="C156" s="263"/>
      <c r="D156" s="249"/>
      <c r="E156" s="250"/>
      <c r="F156" s="251"/>
      <c r="G156" s="262"/>
      <c r="H156" s="257"/>
      <c r="I156" s="249"/>
      <c r="J156" s="193" t="str">
        <f>IF(OR(ISBLANK($B156),ISBLANK($I156)),"",IFERROR(IF($I156&lt;=DATE('ESTADO CONTABLE'!$B$2,3,5),VLOOKUP($B156,COSTOS!$A$2:$B1014,2,FALSE)-150,VLOOKUP($B156,COSTOS!$A$2:$B1014,2,FALSE)),"No encontrado o error"))</f>
        <v/>
      </c>
      <c r="K156" s="264"/>
      <c r="L156" s="249"/>
      <c r="M156" s="189"/>
      <c r="N156" s="264"/>
      <c r="O156" s="249"/>
      <c r="P156" s="250"/>
      <c r="Q156" s="264"/>
      <c r="R156" s="249"/>
      <c r="S156" s="250"/>
      <c r="T156" s="264"/>
      <c r="U156" s="249"/>
      <c r="V156" s="250"/>
      <c r="W156" s="264"/>
      <c r="X156" s="394"/>
      <c r="Y156" s="429"/>
      <c r="Z156" s="395"/>
      <c r="AA156" s="394"/>
      <c r="AB156" s="118" t="str">
        <f>IF(OR(ISBLANK($B156),ISBLANK($AA156)),"",IFERROR(IF($AA156&lt;=DATE('ESTADO CONTABLE'!$B$2,9,5),VLOOKUP($B156,COSTOS!$A$2:$B1014,2,FALSE)-150,VLOOKUP($B156,COSTOS!$A$2:$B1014,2,FALSE)),"No encontrado o error"))</f>
        <v/>
      </c>
      <c r="AC156" s="395"/>
      <c r="AD156" s="394"/>
      <c r="AE156" s="429" t="str">
        <f>IF(OR(ISBLANK($B156),ISBLANK($AD156)),"",IFERROR(IF($AD156&lt;=DATE('ESTADO CONTABLE'!$B$2,10,5),VLOOKUP($B156,COSTOS!$A$2:$B1014,2,FALSE)-150,VLOOKUP($B156,COSTOS!$A$2:$B1014,2,FALSE)),"No encontrado o error"))</f>
        <v/>
      </c>
      <c r="AF156" s="395"/>
      <c r="AG156" s="394"/>
      <c r="AH156" s="429" t="str">
        <f>IF(OR(ISBLANK($B156),ISBLANK($AG156)),"",IFERROR(IF($AG156&lt;=DATE('ESTADO CONTABLE'!$B$2,11,5),VLOOKUP($B156,COSTOS!$A$2:$B1014,2,FALSE)-150,VLOOKUP($B156,COSTOS!$A$2:$B1014,2,FALSE)),"No encontrado o error"))</f>
        <v/>
      </c>
      <c r="AI156" s="395"/>
      <c r="AJ156" s="394"/>
      <c r="AK156" s="429" t="str">
        <f>IF(OR(ISBLANK($B156),ISBLANK($AJ156)),"",IFERROR(IF($AJ156&lt;=DATE('ESTADO CONTABLE'!$B$2,12,5),VLOOKUP($B156,COSTOS!$A$2:$B1014,2,FALSE)-150,VLOOKUP($B156,COSTOS!$A$2:$B1014,2,FALSE)),"No encontrado o error"))</f>
        <v/>
      </c>
      <c r="AL156" s="395"/>
      <c r="AM156" s="254"/>
      <c r="AN156" s="255"/>
      <c r="AO156" s="256"/>
    </row>
    <row r="157" ht="22.5" customHeight="1">
      <c r="A157" s="431" t="str">
        <f>'BASE DE DATOSS'!A231</f>
        <v/>
      </c>
      <c r="B157" s="432" t="str">
        <f>'BASE DE DATOSS'!C231</f>
        <v/>
      </c>
      <c r="C157" s="263"/>
      <c r="D157" s="249"/>
      <c r="E157" s="250"/>
      <c r="F157" s="251"/>
      <c r="G157" s="262"/>
      <c r="H157" s="257"/>
      <c r="I157" s="249"/>
      <c r="J157" s="193" t="str">
        <f>IF(OR(ISBLANK($B157),ISBLANK($I157)),"",IFERROR(IF($I157&lt;=DATE('ESTADO CONTABLE'!$B$2,3,5),VLOOKUP($B157,COSTOS!$A$2:$B1014,2,FALSE)-150,VLOOKUP($B157,COSTOS!$A$2:$B1014,2,FALSE)),"No encontrado o error"))</f>
        <v/>
      </c>
      <c r="K157" s="264"/>
      <c r="L157" s="249"/>
      <c r="M157" s="189"/>
      <c r="N157" s="264"/>
      <c r="O157" s="249"/>
      <c r="P157" s="250"/>
      <c r="Q157" s="264"/>
      <c r="R157" s="249"/>
      <c r="S157" s="250"/>
      <c r="T157" s="264"/>
      <c r="U157" s="249"/>
      <c r="V157" s="250"/>
      <c r="W157" s="264"/>
      <c r="X157" s="394"/>
      <c r="Y157" s="429"/>
      <c r="Z157" s="395"/>
      <c r="AA157" s="394"/>
      <c r="AB157" s="118" t="str">
        <f>IF(OR(ISBLANK($B157),ISBLANK($AA157)),"",IFERROR(IF($AA157&lt;=DATE('ESTADO CONTABLE'!$B$2,9,5),VLOOKUP($B157,COSTOS!$A$2:$B1014,2,FALSE)-150,VLOOKUP($B157,COSTOS!$A$2:$B1014,2,FALSE)),"No encontrado o error"))</f>
        <v/>
      </c>
      <c r="AC157" s="395"/>
      <c r="AD157" s="394"/>
      <c r="AE157" s="429" t="str">
        <f>IF(OR(ISBLANK($B157),ISBLANK($AD157)),"",IFERROR(IF($AD157&lt;=DATE('ESTADO CONTABLE'!$B$2,10,5),VLOOKUP($B157,COSTOS!$A$2:$B1014,2,FALSE)-150,VLOOKUP($B157,COSTOS!$A$2:$B1014,2,FALSE)),"No encontrado o error"))</f>
        <v/>
      </c>
      <c r="AF157" s="395"/>
      <c r="AG157" s="394"/>
      <c r="AH157" s="429" t="str">
        <f>IF(OR(ISBLANK($B157),ISBLANK($AG157)),"",IFERROR(IF($AG157&lt;=DATE('ESTADO CONTABLE'!$B$2,11,5),VLOOKUP($B157,COSTOS!$A$2:$B1014,2,FALSE)-150,VLOOKUP($B157,COSTOS!$A$2:$B1014,2,FALSE)),"No encontrado o error"))</f>
        <v/>
      </c>
      <c r="AI157" s="395"/>
      <c r="AJ157" s="394"/>
      <c r="AK157" s="429" t="str">
        <f>IF(OR(ISBLANK($B157),ISBLANK($AJ157)),"",IFERROR(IF($AJ157&lt;=DATE('ESTADO CONTABLE'!$B$2,12,5),VLOOKUP($B157,COSTOS!$A$2:$B1014,2,FALSE)-150,VLOOKUP($B157,COSTOS!$A$2:$B1014,2,FALSE)),"No encontrado o error"))</f>
        <v/>
      </c>
      <c r="AL157" s="395"/>
      <c r="AM157" s="254"/>
      <c r="AN157" s="255"/>
      <c r="AO157" s="256"/>
    </row>
    <row r="158" ht="22.5" customHeight="1">
      <c r="A158" s="431" t="str">
        <f>'BASE DE DATOSS'!A232</f>
        <v/>
      </c>
      <c r="B158" s="432" t="str">
        <f>'BASE DE DATOSS'!C232</f>
        <v/>
      </c>
      <c r="C158" s="263"/>
      <c r="D158" s="249"/>
      <c r="E158" s="250"/>
      <c r="F158" s="251"/>
      <c r="G158" s="262"/>
      <c r="H158" s="257"/>
      <c r="I158" s="249"/>
      <c r="J158" s="193" t="str">
        <f>IF(OR(ISBLANK($B158),ISBLANK($I158)),"",IFERROR(IF($I158&lt;=DATE('ESTADO CONTABLE'!$B$2,3,5),VLOOKUP($B158,COSTOS!$A$2:$B1014,2,FALSE)-150,VLOOKUP($B158,COSTOS!$A$2:$B1014,2,FALSE)),"No encontrado o error"))</f>
        <v/>
      </c>
      <c r="K158" s="264"/>
      <c r="L158" s="249"/>
      <c r="M158" s="189"/>
      <c r="N158" s="264"/>
      <c r="O158" s="249"/>
      <c r="P158" s="250"/>
      <c r="Q158" s="264"/>
      <c r="R158" s="249"/>
      <c r="S158" s="250"/>
      <c r="T158" s="264"/>
      <c r="U158" s="249"/>
      <c r="V158" s="250"/>
      <c r="W158" s="264"/>
      <c r="X158" s="394"/>
      <c r="Y158" s="429"/>
      <c r="Z158" s="395"/>
      <c r="AA158" s="394"/>
      <c r="AB158" s="118" t="str">
        <f>IF(OR(ISBLANK($B158),ISBLANK($AA158)),"",IFERROR(IF($AA158&lt;=DATE('ESTADO CONTABLE'!$B$2,9,5),VLOOKUP($B158,COSTOS!$A$2:$B1014,2,FALSE)-150,VLOOKUP($B158,COSTOS!$A$2:$B1014,2,FALSE)),"No encontrado o error"))</f>
        <v/>
      </c>
      <c r="AC158" s="395"/>
      <c r="AD158" s="394"/>
      <c r="AE158" s="429" t="str">
        <f>IF(OR(ISBLANK($B158),ISBLANK($AD158)),"",IFERROR(IF($AD158&lt;=DATE('ESTADO CONTABLE'!$B$2,10,5),VLOOKUP($B158,COSTOS!$A$2:$B1014,2,FALSE)-150,VLOOKUP($B158,COSTOS!$A$2:$B1014,2,FALSE)),"No encontrado o error"))</f>
        <v/>
      </c>
      <c r="AF158" s="395"/>
      <c r="AG158" s="394"/>
      <c r="AH158" s="429" t="str">
        <f>IF(OR(ISBLANK($B158),ISBLANK($AG158)),"",IFERROR(IF($AG158&lt;=DATE('ESTADO CONTABLE'!$B$2,11,5),VLOOKUP($B158,COSTOS!$A$2:$B1014,2,FALSE)-150,VLOOKUP($B158,COSTOS!$A$2:$B1014,2,FALSE)),"No encontrado o error"))</f>
        <v/>
      </c>
      <c r="AI158" s="395"/>
      <c r="AJ158" s="394"/>
      <c r="AK158" s="429" t="str">
        <f>IF(OR(ISBLANK($B158),ISBLANK($AJ158)),"",IFERROR(IF($AJ158&lt;=DATE('ESTADO CONTABLE'!$B$2,12,5),VLOOKUP($B158,COSTOS!$A$2:$B1014,2,FALSE)-150,VLOOKUP($B158,COSTOS!$A$2:$B1014,2,FALSE)),"No encontrado o error"))</f>
        <v/>
      </c>
      <c r="AL158" s="395"/>
      <c r="AM158" s="254"/>
      <c r="AN158" s="255"/>
      <c r="AO158" s="256"/>
    </row>
    <row r="159" ht="22.5" customHeight="1">
      <c r="A159" s="431" t="str">
        <f>'BASE DE DATOSS'!A233</f>
        <v/>
      </c>
      <c r="B159" s="432" t="str">
        <f>'BASE DE DATOSS'!C233</f>
        <v/>
      </c>
      <c r="C159" s="263"/>
      <c r="D159" s="249"/>
      <c r="E159" s="250"/>
      <c r="F159" s="251"/>
      <c r="G159" s="262"/>
      <c r="H159" s="257"/>
      <c r="I159" s="249"/>
      <c r="J159" s="193" t="str">
        <f>IF(OR(ISBLANK($B159),ISBLANK($I159)),"",IFERROR(IF($I159&lt;=DATE('ESTADO CONTABLE'!$B$2,3,5),VLOOKUP($B159,COSTOS!$A$2:$B1014,2,FALSE)-150,VLOOKUP($B159,COSTOS!$A$2:$B1014,2,FALSE)),"No encontrado o error"))</f>
        <v/>
      </c>
      <c r="K159" s="264"/>
      <c r="L159" s="249"/>
      <c r="M159" s="189"/>
      <c r="N159" s="264"/>
      <c r="O159" s="249"/>
      <c r="P159" s="250"/>
      <c r="Q159" s="264"/>
      <c r="R159" s="249"/>
      <c r="S159" s="250"/>
      <c r="T159" s="264"/>
      <c r="U159" s="249"/>
      <c r="V159" s="250"/>
      <c r="W159" s="264"/>
      <c r="X159" s="394"/>
      <c r="Y159" s="429"/>
      <c r="Z159" s="395"/>
      <c r="AA159" s="394"/>
      <c r="AB159" s="118" t="str">
        <f>IF(OR(ISBLANK($B159),ISBLANK($AA159)),"",IFERROR(IF($AA159&lt;=DATE('ESTADO CONTABLE'!$B$2,9,5),VLOOKUP($B159,COSTOS!$A$2:$B1014,2,FALSE)-150,VLOOKUP($B159,COSTOS!$A$2:$B1014,2,FALSE)),"No encontrado o error"))</f>
        <v/>
      </c>
      <c r="AC159" s="395"/>
      <c r="AD159" s="394"/>
      <c r="AE159" s="429" t="str">
        <f>IF(OR(ISBLANK($B159),ISBLANK($AD159)),"",IFERROR(IF($AD159&lt;=DATE('ESTADO CONTABLE'!$B$2,10,5),VLOOKUP($B159,COSTOS!$A$2:$B1014,2,FALSE)-150,VLOOKUP($B159,COSTOS!$A$2:$B1014,2,FALSE)),"No encontrado o error"))</f>
        <v/>
      </c>
      <c r="AF159" s="395"/>
      <c r="AG159" s="394"/>
      <c r="AH159" s="429" t="str">
        <f>IF(OR(ISBLANK($B159),ISBLANK($AG159)),"",IFERROR(IF($AG159&lt;=DATE('ESTADO CONTABLE'!$B$2,11,5),VLOOKUP($B159,COSTOS!$A$2:$B1014,2,FALSE)-150,VLOOKUP($B159,COSTOS!$A$2:$B1014,2,FALSE)),"No encontrado o error"))</f>
        <v/>
      </c>
      <c r="AI159" s="395"/>
      <c r="AJ159" s="394"/>
      <c r="AK159" s="429" t="str">
        <f>IF(OR(ISBLANK($B159),ISBLANK($AJ159)),"",IFERROR(IF($AJ159&lt;=DATE('ESTADO CONTABLE'!$B$2,12,5),VLOOKUP($B159,COSTOS!$A$2:$B1014,2,FALSE)-150,VLOOKUP($B159,COSTOS!$A$2:$B1014,2,FALSE)),"No encontrado o error"))</f>
        <v/>
      </c>
      <c r="AL159" s="395"/>
      <c r="AM159" s="254"/>
      <c r="AN159" s="255"/>
      <c r="AO159" s="256"/>
    </row>
    <row r="160" ht="22.5" customHeight="1">
      <c r="A160" s="431" t="str">
        <f>'BASE DE DATOSS'!A234</f>
        <v/>
      </c>
      <c r="B160" s="432" t="str">
        <f>'BASE DE DATOSS'!C234</f>
        <v/>
      </c>
      <c r="C160" s="263"/>
      <c r="D160" s="249"/>
      <c r="E160" s="250"/>
      <c r="F160" s="251"/>
      <c r="G160" s="262"/>
      <c r="H160" s="257"/>
      <c r="I160" s="249"/>
      <c r="J160" s="193" t="str">
        <f>IF(OR(ISBLANK($B160),ISBLANK($I160)),"",IFERROR(IF($I160&lt;=DATE('ESTADO CONTABLE'!$B$2,3,5),VLOOKUP($B160,COSTOS!$A$2:$B1014,2,FALSE)-150,VLOOKUP($B160,COSTOS!$A$2:$B1014,2,FALSE)),"No encontrado o error"))</f>
        <v/>
      </c>
      <c r="K160" s="264"/>
      <c r="L160" s="249"/>
      <c r="M160" s="189"/>
      <c r="N160" s="264"/>
      <c r="O160" s="249"/>
      <c r="P160" s="250"/>
      <c r="Q160" s="264"/>
      <c r="R160" s="249"/>
      <c r="S160" s="250"/>
      <c r="T160" s="264"/>
      <c r="U160" s="249"/>
      <c r="V160" s="250"/>
      <c r="W160" s="264"/>
      <c r="X160" s="394"/>
      <c r="Y160" s="429"/>
      <c r="Z160" s="395"/>
      <c r="AA160" s="394"/>
      <c r="AB160" s="118" t="str">
        <f>IF(OR(ISBLANK($B160),ISBLANK($AA160)),"",IFERROR(IF($AA160&lt;=DATE('ESTADO CONTABLE'!$B$2,9,5),VLOOKUP($B160,COSTOS!$A$2:$B1014,2,FALSE)-150,VLOOKUP($B160,COSTOS!$A$2:$B1014,2,FALSE)),"No encontrado o error"))</f>
        <v/>
      </c>
      <c r="AC160" s="395"/>
      <c r="AD160" s="394"/>
      <c r="AE160" s="429" t="str">
        <f>IF(OR(ISBLANK($B160),ISBLANK($AD160)),"",IFERROR(IF($AD160&lt;=DATE('ESTADO CONTABLE'!$B$2,10,5),VLOOKUP($B160,COSTOS!$A$2:$B1014,2,FALSE)-150,VLOOKUP($B160,COSTOS!$A$2:$B1014,2,FALSE)),"No encontrado o error"))</f>
        <v/>
      </c>
      <c r="AF160" s="395"/>
      <c r="AG160" s="394"/>
      <c r="AH160" s="429" t="str">
        <f>IF(OR(ISBLANK($B160),ISBLANK($AG160)),"",IFERROR(IF($AG160&lt;=DATE('ESTADO CONTABLE'!$B$2,11,5),VLOOKUP($B160,COSTOS!$A$2:$B1014,2,FALSE)-150,VLOOKUP($B160,COSTOS!$A$2:$B1014,2,FALSE)),"No encontrado o error"))</f>
        <v/>
      </c>
      <c r="AI160" s="395"/>
      <c r="AJ160" s="394"/>
      <c r="AK160" s="429" t="str">
        <f>IF(OR(ISBLANK($B160),ISBLANK($AJ160)),"",IFERROR(IF($AJ160&lt;=DATE('ESTADO CONTABLE'!$B$2,12,5),VLOOKUP($B160,COSTOS!$A$2:$B1014,2,FALSE)-150,VLOOKUP($B160,COSTOS!$A$2:$B1014,2,FALSE)),"No encontrado o error"))</f>
        <v/>
      </c>
      <c r="AL160" s="395"/>
      <c r="AM160" s="254"/>
      <c r="AN160" s="255"/>
      <c r="AO160" s="256"/>
    </row>
    <row r="161" ht="22.5" customHeight="1">
      <c r="A161" s="431" t="str">
        <f>'BASE DE DATOSS'!A235</f>
        <v/>
      </c>
      <c r="B161" s="432" t="str">
        <f>'BASE DE DATOSS'!C235</f>
        <v/>
      </c>
      <c r="C161" s="263"/>
      <c r="D161" s="249"/>
      <c r="E161" s="250"/>
      <c r="F161" s="251"/>
      <c r="G161" s="262"/>
      <c r="H161" s="257"/>
      <c r="I161" s="249"/>
      <c r="J161" s="193" t="str">
        <f>IF(OR(ISBLANK($B161),ISBLANK($I161)),"",IFERROR(IF($I161&lt;=DATE('ESTADO CONTABLE'!$B$2,3,5),VLOOKUP($B161,COSTOS!$A$2:$B1014,2,FALSE)-150,VLOOKUP($B161,COSTOS!$A$2:$B1014,2,FALSE)),"No encontrado o error"))</f>
        <v/>
      </c>
      <c r="K161" s="264"/>
      <c r="L161" s="249"/>
      <c r="M161" s="189"/>
      <c r="N161" s="264"/>
      <c r="O161" s="249"/>
      <c r="P161" s="250"/>
      <c r="Q161" s="264"/>
      <c r="R161" s="249"/>
      <c r="S161" s="250"/>
      <c r="T161" s="264"/>
      <c r="U161" s="249"/>
      <c r="V161" s="250"/>
      <c r="W161" s="264"/>
      <c r="X161" s="394"/>
      <c r="Y161" s="429"/>
      <c r="Z161" s="395"/>
      <c r="AA161" s="394"/>
      <c r="AB161" s="118" t="str">
        <f>IF(OR(ISBLANK($B161),ISBLANK($AA161)),"",IFERROR(IF($AA161&lt;=DATE('ESTADO CONTABLE'!$B$2,9,5),VLOOKUP($B161,COSTOS!$A$2:$B1014,2,FALSE)-150,VLOOKUP($B161,COSTOS!$A$2:$B1014,2,FALSE)),"No encontrado o error"))</f>
        <v/>
      </c>
      <c r="AC161" s="395"/>
      <c r="AD161" s="394"/>
      <c r="AE161" s="429" t="str">
        <f>IF(OR(ISBLANK($B161),ISBLANK($AD161)),"",IFERROR(IF($AD161&lt;=DATE('ESTADO CONTABLE'!$B$2,10,5),VLOOKUP($B161,COSTOS!$A$2:$B1014,2,FALSE)-150,VLOOKUP($B161,COSTOS!$A$2:$B1014,2,FALSE)),"No encontrado o error"))</f>
        <v/>
      </c>
      <c r="AF161" s="395"/>
      <c r="AG161" s="394"/>
      <c r="AH161" s="429" t="str">
        <f>IF(OR(ISBLANK($B161),ISBLANK($AG161)),"",IFERROR(IF($AG161&lt;=DATE('ESTADO CONTABLE'!$B$2,11,5),VLOOKUP($B161,COSTOS!$A$2:$B1014,2,FALSE)-150,VLOOKUP($B161,COSTOS!$A$2:$B1014,2,FALSE)),"No encontrado o error"))</f>
        <v/>
      </c>
      <c r="AI161" s="395"/>
      <c r="AJ161" s="394"/>
      <c r="AK161" s="429" t="str">
        <f>IF(OR(ISBLANK($B161),ISBLANK($AJ161)),"",IFERROR(IF($AJ161&lt;=DATE('ESTADO CONTABLE'!$B$2,12,5),VLOOKUP($B161,COSTOS!$A$2:$B1014,2,FALSE)-150,VLOOKUP($B161,COSTOS!$A$2:$B1014,2,FALSE)),"No encontrado o error"))</f>
        <v/>
      </c>
      <c r="AL161" s="395"/>
      <c r="AM161" s="254"/>
      <c r="AN161" s="255"/>
      <c r="AO161" s="256"/>
    </row>
    <row r="162" ht="22.5" customHeight="1">
      <c r="A162" s="431" t="str">
        <f>'BASE DE DATOSS'!A236</f>
        <v/>
      </c>
      <c r="B162" s="432" t="str">
        <f>'BASE DE DATOSS'!C236</f>
        <v/>
      </c>
      <c r="C162" s="263"/>
      <c r="D162" s="249"/>
      <c r="E162" s="250"/>
      <c r="F162" s="251"/>
      <c r="G162" s="262"/>
      <c r="H162" s="257"/>
      <c r="I162" s="249"/>
      <c r="J162" s="193" t="str">
        <f>IF(OR(ISBLANK($B162),ISBLANK($I162)),"",IFERROR(IF($I162&lt;=DATE('ESTADO CONTABLE'!$B$2,3,5),VLOOKUP($B162,COSTOS!$A$2:$B1014,2,FALSE)-150,VLOOKUP($B162,COSTOS!$A$2:$B1014,2,FALSE)),"No encontrado o error"))</f>
        <v/>
      </c>
      <c r="K162" s="264"/>
      <c r="L162" s="249"/>
      <c r="M162" s="189"/>
      <c r="N162" s="264"/>
      <c r="O162" s="249"/>
      <c r="P162" s="250"/>
      <c r="Q162" s="264"/>
      <c r="R162" s="249"/>
      <c r="S162" s="250"/>
      <c r="T162" s="264"/>
      <c r="U162" s="249"/>
      <c r="V162" s="250"/>
      <c r="W162" s="264"/>
      <c r="X162" s="394"/>
      <c r="Y162" s="429"/>
      <c r="Z162" s="395"/>
      <c r="AA162" s="394"/>
      <c r="AB162" s="118" t="str">
        <f>IF(OR(ISBLANK($B162),ISBLANK($AA162)),"",IFERROR(IF($AA162&lt;=DATE('ESTADO CONTABLE'!$B$2,9,5),VLOOKUP($B162,COSTOS!$A$2:$B1014,2,FALSE)-150,VLOOKUP($B162,COSTOS!$A$2:$B1014,2,FALSE)),"No encontrado o error"))</f>
        <v/>
      </c>
      <c r="AC162" s="395"/>
      <c r="AD162" s="394"/>
      <c r="AE162" s="429" t="str">
        <f>IF(OR(ISBLANK($B162),ISBLANK($AD162)),"",IFERROR(IF($AD162&lt;=DATE('ESTADO CONTABLE'!$B$2,10,5),VLOOKUP($B162,COSTOS!$A$2:$B1014,2,FALSE)-150,VLOOKUP($B162,COSTOS!$A$2:$B1014,2,FALSE)),"No encontrado o error"))</f>
        <v/>
      </c>
      <c r="AF162" s="395"/>
      <c r="AG162" s="394"/>
      <c r="AH162" s="429" t="str">
        <f>IF(OR(ISBLANK($B162),ISBLANK($AG162)),"",IFERROR(IF($AG162&lt;=DATE('ESTADO CONTABLE'!$B$2,11,5),VLOOKUP($B162,COSTOS!$A$2:$B1014,2,FALSE)-150,VLOOKUP($B162,COSTOS!$A$2:$B1014,2,FALSE)),"No encontrado o error"))</f>
        <v/>
      </c>
      <c r="AI162" s="395"/>
      <c r="AJ162" s="394"/>
      <c r="AK162" s="429" t="str">
        <f>IF(OR(ISBLANK($B162),ISBLANK($AJ162)),"",IFERROR(IF($AJ162&lt;=DATE('ESTADO CONTABLE'!$B$2,12,5),VLOOKUP($B162,COSTOS!$A$2:$B1014,2,FALSE)-150,VLOOKUP($B162,COSTOS!$A$2:$B1014,2,FALSE)),"No encontrado o error"))</f>
        <v/>
      </c>
      <c r="AL162" s="395"/>
      <c r="AM162" s="254"/>
      <c r="AN162" s="255"/>
      <c r="AO162" s="256"/>
    </row>
    <row r="163" ht="22.5" customHeight="1">
      <c r="A163" s="431" t="str">
        <f>'BASE DE DATOSS'!A237</f>
        <v/>
      </c>
      <c r="B163" s="432" t="str">
        <f>'BASE DE DATOSS'!C237</f>
        <v/>
      </c>
      <c r="C163" s="263"/>
      <c r="D163" s="249"/>
      <c r="E163" s="250"/>
      <c r="F163" s="251"/>
      <c r="G163" s="262"/>
      <c r="H163" s="257"/>
      <c r="I163" s="249"/>
      <c r="J163" s="193" t="str">
        <f>IF(OR(ISBLANK($B163),ISBLANK($I163)),"",IFERROR(IF($I163&lt;=DATE('ESTADO CONTABLE'!$B$2,3,5),VLOOKUP($B163,COSTOS!$A$2:$B1014,2,FALSE)-150,VLOOKUP($B163,COSTOS!$A$2:$B1014,2,FALSE)),"No encontrado o error"))</f>
        <v/>
      </c>
      <c r="K163" s="264"/>
      <c r="L163" s="249"/>
      <c r="M163" s="189"/>
      <c r="N163" s="264"/>
      <c r="O163" s="249"/>
      <c r="P163" s="250"/>
      <c r="Q163" s="264"/>
      <c r="R163" s="249"/>
      <c r="S163" s="250"/>
      <c r="T163" s="264"/>
      <c r="U163" s="249"/>
      <c r="V163" s="250"/>
      <c r="W163" s="264"/>
      <c r="X163" s="394"/>
      <c r="Y163" s="429"/>
      <c r="Z163" s="395"/>
      <c r="AA163" s="394"/>
      <c r="AB163" s="118" t="str">
        <f>IF(OR(ISBLANK($B163),ISBLANK($AA163)),"",IFERROR(IF($AA163&lt;=DATE('ESTADO CONTABLE'!$B$2,9,5),VLOOKUP($B163,COSTOS!$A$2:$B1014,2,FALSE)-150,VLOOKUP($B163,COSTOS!$A$2:$B1014,2,FALSE)),"No encontrado o error"))</f>
        <v/>
      </c>
      <c r="AC163" s="395"/>
      <c r="AD163" s="394"/>
      <c r="AE163" s="429" t="str">
        <f>IF(OR(ISBLANK($B163),ISBLANK($AD163)),"",IFERROR(IF($AD163&lt;=DATE('ESTADO CONTABLE'!$B$2,10,5),VLOOKUP($B163,COSTOS!$A$2:$B1014,2,FALSE)-150,VLOOKUP($B163,COSTOS!$A$2:$B1014,2,FALSE)),"No encontrado o error"))</f>
        <v/>
      </c>
      <c r="AF163" s="395"/>
      <c r="AG163" s="394"/>
      <c r="AH163" s="429" t="str">
        <f>IF(OR(ISBLANK($B163),ISBLANK($AG163)),"",IFERROR(IF($AG163&lt;=DATE('ESTADO CONTABLE'!$B$2,11,5),VLOOKUP($B163,COSTOS!$A$2:$B1014,2,FALSE)-150,VLOOKUP($B163,COSTOS!$A$2:$B1014,2,FALSE)),"No encontrado o error"))</f>
        <v/>
      </c>
      <c r="AI163" s="395"/>
      <c r="AJ163" s="394"/>
      <c r="AK163" s="429" t="str">
        <f>IF(OR(ISBLANK($B163),ISBLANK($AJ163)),"",IFERROR(IF($AJ163&lt;=DATE('ESTADO CONTABLE'!$B$2,12,5),VLOOKUP($B163,COSTOS!$A$2:$B1014,2,FALSE)-150,VLOOKUP($B163,COSTOS!$A$2:$B1014,2,FALSE)),"No encontrado o error"))</f>
        <v/>
      </c>
      <c r="AL163" s="395"/>
      <c r="AM163" s="254"/>
      <c r="AN163" s="255"/>
      <c r="AO163" s="256"/>
    </row>
    <row r="164" ht="22.5" customHeight="1">
      <c r="A164" s="431" t="str">
        <f>'BASE DE DATOSS'!A238</f>
        <v/>
      </c>
      <c r="B164" s="432" t="str">
        <f>'BASE DE DATOSS'!C238</f>
        <v/>
      </c>
      <c r="C164" s="263"/>
      <c r="D164" s="249"/>
      <c r="E164" s="250"/>
      <c r="F164" s="251"/>
      <c r="G164" s="262"/>
      <c r="H164" s="257"/>
      <c r="I164" s="249"/>
      <c r="J164" s="193" t="str">
        <f>IF(OR(ISBLANK($B164),ISBLANK($I164)),"",IFERROR(IF($I164&lt;=DATE('ESTADO CONTABLE'!$B$2,3,5),VLOOKUP($B164,COSTOS!$A$2:$B1014,2,FALSE)-150,VLOOKUP($B164,COSTOS!$A$2:$B1014,2,FALSE)),"No encontrado o error"))</f>
        <v/>
      </c>
      <c r="K164" s="264"/>
      <c r="L164" s="249"/>
      <c r="M164" s="189"/>
      <c r="N164" s="264"/>
      <c r="O164" s="249"/>
      <c r="P164" s="250"/>
      <c r="Q164" s="264"/>
      <c r="R164" s="249"/>
      <c r="S164" s="250"/>
      <c r="T164" s="264"/>
      <c r="U164" s="249"/>
      <c r="V164" s="250"/>
      <c r="W164" s="264"/>
      <c r="X164" s="394"/>
      <c r="Y164" s="429"/>
      <c r="Z164" s="395"/>
      <c r="AA164" s="394"/>
      <c r="AB164" s="118" t="str">
        <f>IF(OR(ISBLANK($B164),ISBLANK($AA164)),"",IFERROR(IF($AA164&lt;=DATE('ESTADO CONTABLE'!$B$2,9,5),VLOOKUP($B164,COSTOS!$A$2:$B1014,2,FALSE)-150,VLOOKUP($B164,COSTOS!$A$2:$B1014,2,FALSE)),"No encontrado o error"))</f>
        <v/>
      </c>
      <c r="AC164" s="395"/>
      <c r="AD164" s="394"/>
      <c r="AE164" s="429" t="str">
        <f>IF(OR(ISBLANK($B164),ISBLANK($AD164)),"",IFERROR(IF($AD164&lt;=DATE('ESTADO CONTABLE'!$B$2,10,5),VLOOKUP($B164,COSTOS!$A$2:$B1014,2,FALSE)-150,VLOOKUP($B164,COSTOS!$A$2:$B1014,2,FALSE)),"No encontrado o error"))</f>
        <v/>
      </c>
      <c r="AF164" s="395"/>
      <c r="AG164" s="394"/>
      <c r="AH164" s="429" t="str">
        <f>IF(OR(ISBLANK($B164),ISBLANK($AG164)),"",IFERROR(IF($AG164&lt;=DATE('ESTADO CONTABLE'!$B$2,11,5),VLOOKUP($B164,COSTOS!$A$2:$B1014,2,FALSE)-150,VLOOKUP($B164,COSTOS!$A$2:$B1014,2,FALSE)),"No encontrado o error"))</f>
        <v/>
      </c>
      <c r="AI164" s="395"/>
      <c r="AJ164" s="394"/>
      <c r="AK164" s="429" t="str">
        <f>IF(OR(ISBLANK($B164),ISBLANK($AJ164)),"",IFERROR(IF($AJ164&lt;=DATE('ESTADO CONTABLE'!$B$2,12,5),VLOOKUP($B164,COSTOS!$A$2:$B1014,2,FALSE)-150,VLOOKUP($B164,COSTOS!$A$2:$B1014,2,FALSE)),"No encontrado o error"))</f>
        <v/>
      </c>
      <c r="AL164" s="395"/>
      <c r="AM164" s="254"/>
      <c r="AN164" s="255"/>
      <c r="AO164" s="256"/>
    </row>
    <row r="165" ht="22.5" customHeight="1">
      <c r="A165" s="431" t="str">
        <f>'BASE DE DATOSS'!A239</f>
        <v/>
      </c>
      <c r="B165" s="432" t="str">
        <f>'BASE DE DATOSS'!C239</f>
        <v/>
      </c>
      <c r="C165" s="263"/>
      <c r="D165" s="249"/>
      <c r="E165" s="250"/>
      <c r="F165" s="251"/>
      <c r="G165" s="262"/>
      <c r="H165" s="257"/>
      <c r="I165" s="249"/>
      <c r="J165" s="193" t="str">
        <f>IF(OR(ISBLANK($B165),ISBLANK($I165)),"",IFERROR(IF($I165&lt;=DATE('ESTADO CONTABLE'!$B$2,3,5),VLOOKUP($B165,COSTOS!$A$2:$B1014,2,FALSE)-150,VLOOKUP($B165,COSTOS!$A$2:$B1014,2,FALSE)),"No encontrado o error"))</f>
        <v/>
      </c>
      <c r="K165" s="264"/>
      <c r="L165" s="249"/>
      <c r="M165" s="189"/>
      <c r="N165" s="264"/>
      <c r="O165" s="249"/>
      <c r="P165" s="250"/>
      <c r="Q165" s="264"/>
      <c r="R165" s="249"/>
      <c r="S165" s="250"/>
      <c r="T165" s="264"/>
      <c r="U165" s="249"/>
      <c r="V165" s="250"/>
      <c r="W165" s="264"/>
      <c r="X165" s="394"/>
      <c r="Y165" s="429"/>
      <c r="Z165" s="395"/>
      <c r="AA165" s="394"/>
      <c r="AB165" s="118" t="str">
        <f>IF(OR(ISBLANK($B165),ISBLANK($AA165)),"",IFERROR(IF($AA165&lt;=DATE('ESTADO CONTABLE'!$B$2,9,5),VLOOKUP($B165,COSTOS!$A$2:$B1014,2,FALSE)-150,VLOOKUP($B165,COSTOS!$A$2:$B1014,2,FALSE)),"No encontrado o error"))</f>
        <v/>
      </c>
      <c r="AC165" s="395"/>
      <c r="AD165" s="394"/>
      <c r="AE165" s="429" t="str">
        <f>IF(OR(ISBLANK($B165),ISBLANK($AD165)),"",IFERROR(IF($AD165&lt;=DATE('ESTADO CONTABLE'!$B$2,10,5),VLOOKUP($B165,COSTOS!$A$2:$B1014,2,FALSE)-150,VLOOKUP($B165,COSTOS!$A$2:$B1014,2,FALSE)),"No encontrado o error"))</f>
        <v/>
      </c>
      <c r="AF165" s="395"/>
      <c r="AG165" s="394"/>
      <c r="AH165" s="429" t="str">
        <f>IF(OR(ISBLANK($B165),ISBLANK($AG165)),"",IFERROR(IF($AG165&lt;=DATE('ESTADO CONTABLE'!$B$2,11,5),VLOOKUP($B165,COSTOS!$A$2:$B1014,2,FALSE)-150,VLOOKUP($B165,COSTOS!$A$2:$B1014,2,FALSE)),"No encontrado o error"))</f>
        <v/>
      </c>
      <c r="AI165" s="395"/>
      <c r="AJ165" s="394"/>
      <c r="AK165" s="429" t="str">
        <f>IF(OR(ISBLANK($B165),ISBLANK($AJ165)),"",IFERROR(IF($AJ165&lt;=DATE('ESTADO CONTABLE'!$B$2,12,5),VLOOKUP($B165,COSTOS!$A$2:$B1014,2,FALSE)-150,VLOOKUP($B165,COSTOS!$A$2:$B1014,2,FALSE)),"No encontrado o error"))</f>
        <v/>
      </c>
      <c r="AL165" s="395"/>
      <c r="AM165" s="254"/>
      <c r="AN165" s="255"/>
      <c r="AO165" s="256"/>
    </row>
    <row r="166" ht="22.5" customHeight="1">
      <c r="A166" s="431" t="str">
        <f>'BASE DE DATOSS'!A240</f>
        <v/>
      </c>
      <c r="B166" s="432" t="str">
        <f>'BASE DE DATOSS'!C240</f>
        <v/>
      </c>
      <c r="C166" s="263"/>
      <c r="D166" s="249"/>
      <c r="E166" s="250"/>
      <c r="F166" s="251"/>
      <c r="G166" s="262"/>
      <c r="H166" s="257"/>
      <c r="I166" s="249"/>
      <c r="J166" s="193" t="str">
        <f>IF(OR(ISBLANK($B166),ISBLANK($I166)),"",IFERROR(IF($I166&lt;=DATE('ESTADO CONTABLE'!$B$2,3,5),VLOOKUP($B166,COSTOS!$A$2:$B1014,2,FALSE)-150,VLOOKUP($B166,COSTOS!$A$2:$B1014,2,FALSE)),"No encontrado o error"))</f>
        <v/>
      </c>
      <c r="K166" s="264"/>
      <c r="L166" s="249"/>
      <c r="M166" s="189"/>
      <c r="N166" s="264"/>
      <c r="O166" s="249"/>
      <c r="P166" s="250"/>
      <c r="Q166" s="264"/>
      <c r="R166" s="249"/>
      <c r="S166" s="250"/>
      <c r="T166" s="264"/>
      <c r="U166" s="249"/>
      <c r="V166" s="250"/>
      <c r="W166" s="264"/>
      <c r="X166" s="394"/>
      <c r="Y166" s="429"/>
      <c r="Z166" s="395"/>
      <c r="AA166" s="394"/>
      <c r="AB166" s="118" t="str">
        <f>IF(OR(ISBLANK($B166),ISBLANK($AA166)),"",IFERROR(IF($AA166&lt;=DATE('ESTADO CONTABLE'!$B$2,9,5),VLOOKUP($B166,COSTOS!$A$2:$B1014,2,FALSE)-150,VLOOKUP($B166,COSTOS!$A$2:$B1014,2,FALSE)),"No encontrado o error"))</f>
        <v/>
      </c>
      <c r="AC166" s="395"/>
      <c r="AD166" s="394"/>
      <c r="AE166" s="429" t="str">
        <f>IF(OR(ISBLANK($B166),ISBLANK($AD166)),"",IFERROR(IF($AD166&lt;=DATE('ESTADO CONTABLE'!$B$2,10,5),VLOOKUP($B166,COSTOS!$A$2:$B1014,2,FALSE)-150,VLOOKUP($B166,COSTOS!$A$2:$B1014,2,FALSE)),"No encontrado o error"))</f>
        <v/>
      </c>
      <c r="AF166" s="395"/>
      <c r="AG166" s="394"/>
      <c r="AH166" s="429" t="str">
        <f>IF(OR(ISBLANK($B166),ISBLANK($AG166)),"",IFERROR(IF($AG166&lt;=DATE('ESTADO CONTABLE'!$B$2,11,5),VLOOKUP($B166,COSTOS!$A$2:$B1014,2,FALSE)-150,VLOOKUP($B166,COSTOS!$A$2:$B1014,2,FALSE)),"No encontrado o error"))</f>
        <v/>
      </c>
      <c r="AI166" s="395"/>
      <c r="AJ166" s="394"/>
      <c r="AK166" s="429" t="str">
        <f>IF(OR(ISBLANK($B166),ISBLANK($AJ166)),"",IFERROR(IF($AJ166&lt;=DATE('ESTADO CONTABLE'!$B$2,12,5),VLOOKUP($B166,COSTOS!$A$2:$B1014,2,FALSE)-150,VLOOKUP($B166,COSTOS!$A$2:$B1014,2,FALSE)),"No encontrado o error"))</f>
        <v/>
      </c>
      <c r="AL166" s="395"/>
      <c r="AM166" s="254"/>
      <c r="AN166" s="255"/>
      <c r="AO166" s="256"/>
    </row>
    <row r="167" ht="22.5" customHeight="1">
      <c r="A167" s="431" t="str">
        <f>'BASE DE DATOSS'!A241</f>
        <v/>
      </c>
      <c r="B167" s="432" t="str">
        <f>'BASE DE DATOSS'!C241</f>
        <v/>
      </c>
      <c r="C167" s="263"/>
      <c r="D167" s="249"/>
      <c r="E167" s="250"/>
      <c r="F167" s="251"/>
      <c r="G167" s="262"/>
      <c r="H167" s="257"/>
      <c r="I167" s="249"/>
      <c r="J167" s="193" t="str">
        <f>IF(OR(ISBLANK($B167),ISBLANK($I167)),"",IFERROR(IF($I167&lt;=DATE('ESTADO CONTABLE'!$B$2,3,5),VLOOKUP($B167,COSTOS!$A$2:$B1014,2,FALSE)-150,VLOOKUP($B167,COSTOS!$A$2:$B1014,2,FALSE)),"No encontrado o error"))</f>
        <v/>
      </c>
      <c r="K167" s="264"/>
      <c r="L167" s="249"/>
      <c r="M167" s="189"/>
      <c r="N167" s="264"/>
      <c r="O167" s="249"/>
      <c r="P167" s="250"/>
      <c r="Q167" s="264"/>
      <c r="R167" s="249"/>
      <c r="S167" s="250"/>
      <c r="T167" s="264"/>
      <c r="U167" s="249"/>
      <c r="V167" s="250"/>
      <c r="W167" s="264"/>
      <c r="X167" s="394"/>
      <c r="Y167" s="429"/>
      <c r="Z167" s="395"/>
      <c r="AA167" s="394"/>
      <c r="AB167" s="118" t="str">
        <f>IF(OR(ISBLANK($B167),ISBLANK($AA167)),"",IFERROR(IF($AA167&lt;=DATE('ESTADO CONTABLE'!$B$2,9,5),VLOOKUP($B167,COSTOS!$A$2:$B1014,2,FALSE)-150,VLOOKUP($B167,COSTOS!$A$2:$B1014,2,FALSE)),"No encontrado o error"))</f>
        <v/>
      </c>
      <c r="AC167" s="395"/>
      <c r="AD167" s="394"/>
      <c r="AE167" s="429" t="str">
        <f>IF(OR(ISBLANK($B167),ISBLANK($AD167)),"",IFERROR(IF($AD167&lt;=DATE('ESTADO CONTABLE'!$B$2,10,5),VLOOKUP($B167,COSTOS!$A$2:$B1014,2,FALSE)-150,VLOOKUP($B167,COSTOS!$A$2:$B1014,2,FALSE)),"No encontrado o error"))</f>
        <v/>
      </c>
      <c r="AF167" s="395"/>
      <c r="AG167" s="394"/>
      <c r="AH167" s="429" t="str">
        <f>IF(OR(ISBLANK($B167),ISBLANK($AG167)),"",IFERROR(IF($AG167&lt;=DATE('ESTADO CONTABLE'!$B$2,11,5),VLOOKUP($B167,COSTOS!$A$2:$B1014,2,FALSE)-150,VLOOKUP($B167,COSTOS!$A$2:$B1014,2,FALSE)),"No encontrado o error"))</f>
        <v/>
      </c>
      <c r="AI167" s="395"/>
      <c r="AJ167" s="394"/>
      <c r="AK167" s="429" t="str">
        <f>IF(OR(ISBLANK($B167),ISBLANK($AJ167)),"",IFERROR(IF($AJ167&lt;=DATE('ESTADO CONTABLE'!$B$2,12,5),VLOOKUP($B167,COSTOS!$A$2:$B1014,2,FALSE)-150,VLOOKUP($B167,COSTOS!$A$2:$B1014,2,FALSE)),"No encontrado o error"))</f>
        <v/>
      </c>
      <c r="AL167" s="395"/>
      <c r="AM167" s="254"/>
      <c r="AN167" s="255"/>
      <c r="AO167" s="256"/>
    </row>
    <row r="168" ht="22.5" customHeight="1">
      <c r="A168" s="431" t="str">
        <f>'BASE DE DATOSS'!A242</f>
        <v/>
      </c>
      <c r="B168" s="432" t="str">
        <f>'BASE DE DATOSS'!C242</f>
        <v/>
      </c>
      <c r="C168" s="263"/>
      <c r="D168" s="249"/>
      <c r="E168" s="250"/>
      <c r="F168" s="251"/>
      <c r="G168" s="262"/>
      <c r="H168" s="257"/>
      <c r="I168" s="249"/>
      <c r="J168" s="193" t="str">
        <f>IF(OR(ISBLANK($B168),ISBLANK($I168)),"",IFERROR(IF($I168&lt;=DATE('ESTADO CONTABLE'!$B$2,3,5),VLOOKUP($B168,COSTOS!$A$2:$B1014,2,FALSE)-150,VLOOKUP($B168,COSTOS!$A$2:$B1014,2,FALSE)),"No encontrado o error"))</f>
        <v/>
      </c>
      <c r="K168" s="264"/>
      <c r="L168" s="249"/>
      <c r="M168" s="189"/>
      <c r="N168" s="264"/>
      <c r="O168" s="249"/>
      <c r="P168" s="250"/>
      <c r="Q168" s="264"/>
      <c r="R168" s="249"/>
      <c r="S168" s="250"/>
      <c r="T168" s="264"/>
      <c r="U168" s="249"/>
      <c r="V168" s="250"/>
      <c r="W168" s="264"/>
      <c r="X168" s="394"/>
      <c r="Y168" s="429"/>
      <c r="Z168" s="395"/>
      <c r="AA168" s="394"/>
      <c r="AB168" s="118" t="str">
        <f>IF(OR(ISBLANK($B168),ISBLANK($AA168)),"",IFERROR(IF($AA168&lt;=DATE('ESTADO CONTABLE'!$B$2,9,5),VLOOKUP($B168,COSTOS!$A$2:$B1014,2,FALSE)-150,VLOOKUP($B168,COSTOS!$A$2:$B1014,2,FALSE)),"No encontrado o error"))</f>
        <v/>
      </c>
      <c r="AC168" s="395"/>
      <c r="AD168" s="394"/>
      <c r="AE168" s="429" t="str">
        <f>IF(OR(ISBLANK($B168),ISBLANK($AD168)),"",IFERROR(IF($AD168&lt;=DATE('ESTADO CONTABLE'!$B$2,10,5),VLOOKUP($B168,COSTOS!$A$2:$B1014,2,FALSE)-150,VLOOKUP($B168,COSTOS!$A$2:$B1014,2,FALSE)),"No encontrado o error"))</f>
        <v/>
      </c>
      <c r="AF168" s="395"/>
      <c r="AG168" s="394"/>
      <c r="AH168" s="429" t="str">
        <f>IF(OR(ISBLANK($B168),ISBLANK($AG168)),"",IFERROR(IF($AG168&lt;=DATE('ESTADO CONTABLE'!$B$2,11,5),VLOOKUP($B168,COSTOS!$A$2:$B1014,2,FALSE)-150,VLOOKUP($B168,COSTOS!$A$2:$B1014,2,FALSE)),"No encontrado o error"))</f>
        <v/>
      </c>
      <c r="AI168" s="395"/>
      <c r="AJ168" s="394"/>
      <c r="AK168" s="429" t="str">
        <f>IF(OR(ISBLANK($B168),ISBLANK($AJ168)),"",IFERROR(IF($AJ168&lt;=DATE('ESTADO CONTABLE'!$B$2,12,5),VLOOKUP($B168,COSTOS!$A$2:$B1014,2,FALSE)-150,VLOOKUP($B168,COSTOS!$A$2:$B1014,2,FALSE)),"No encontrado o error"))</f>
        <v/>
      </c>
      <c r="AL168" s="395"/>
      <c r="AM168" s="254"/>
      <c r="AN168" s="255"/>
      <c r="AO168" s="256"/>
    </row>
    <row r="169" ht="22.5" customHeight="1">
      <c r="A169" s="431" t="str">
        <f>'BASE DE DATOSS'!A243</f>
        <v/>
      </c>
      <c r="B169" s="432" t="str">
        <f>'BASE DE DATOSS'!C243</f>
        <v/>
      </c>
      <c r="C169" s="263"/>
      <c r="D169" s="249"/>
      <c r="E169" s="250"/>
      <c r="F169" s="251"/>
      <c r="G169" s="262"/>
      <c r="H169" s="257"/>
      <c r="I169" s="249"/>
      <c r="J169" s="193" t="str">
        <f>IF(OR(ISBLANK($B169),ISBLANK($I169)),"",IFERROR(IF($I169&lt;=DATE('ESTADO CONTABLE'!$B$2,3,5),VLOOKUP($B169,COSTOS!$A$2:$B1014,2,FALSE)-150,VLOOKUP($B169,COSTOS!$A$2:$B1014,2,FALSE)),"No encontrado o error"))</f>
        <v/>
      </c>
      <c r="K169" s="264"/>
      <c r="L169" s="249"/>
      <c r="M169" s="189"/>
      <c r="N169" s="264"/>
      <c r="O169" s="249"/>
      <c r="P169" s="250"/>
      <c r="Q169" s="264"/>
      <c r="R169" s="249"/>
      <c r="S169" s="250"/>
      <c r="T169" s="264"/>
      <c r="U169" s="249"/>
      <c r="V169" s="250"/>
      <c r="W169" s="264"/>
      <c r="X169" s="394"/>
      <c r="Y169" s="429"/>
      <c r="Z169" s="395"/>
      <c r="AA169" s="394"/>
      <c r="AB169" s="118" t="str">
        <f>IF(OR(ISBLANK($B169),ISBLANK($AA169)),"",IFERROR(IF($AA169&lt;=DATE('ESTADO CONTABLE'!$B$2,9,5),VLOOKUP($B169,COSTOS!$A$2:$B1014,2,FALSE)-150,VLOOKUP($B169,COSTOS!$A$2:$B1014,2,FALSE)),"No encontrado o error"))</f>
        <v/>
      </c>
      <c r="AC169" s="395"/>
      <c r="AD169" s="394"/>
      <c r="AE169" s="429" t="str">
        <f>IF(OR(ISBLANK($B169),ISBLANK($AD169)),"",IFERROR(IF($AD169&lt;=DATE('ESTADO CONTABLE'!$B$2,10,5),VLOOKUP($B169,COSTOS!$A$2:$B1014,2,FALSE)-150,VLOOKUP($B169,COSTOS!$A$2:$B1014,2,FALSE)),"No encontrado o error"))</f>
        <v/>
      </c>
      <c r="AF169" s="395"/>
      <c r="AG169" s="394"/>
      <c r="AH169" s="429" t="str">
        <f>IF(OR(ISBLANK($B169),ISBLANK($AG169)),"",IFERROR(IF($AG169&lt;=DATE('ESTADO CONTABLE'!$B$2,11,5),VLOOKUP($B169,COSTOS!$A$2:$B1014,2,FALSE)-150,VLOOKUP($B169,COSTOS!$A$2:$B1014,2,FALSE)),"No encontrado o error"))</f>
        <v/>
      </c>
      <c r="AI169" s="395"/>
      <c r="AJ169" s="394"/>
      <c r="AK169" s="429" t="str">
        <f>IF(OR(ISBLANK($B169),ISBLANK($AJ169)),"",IFERROR(IF($AJ169&lt;=DATE('ESTADO CONTABLE'!$B$2,12,5),VLOOKUP($B169,COSTOS!$A$2:$B1014,2,FALSE)-150,VLOOKUP($B169,COSTOS!$A$2:$B1014,2,FALSE)),"No encontrado o error"))</f>
        <v/>
      </c>
      <c r="AL169" s="395"/>
      <c r="AM169" s="254"/>
      <c r="AN169" s="255"/>
      <c r="AO169" s="256"/>
    </row>
    <row r="170" ht="22.5" customHeight="1">
      <c r="A170" s="431" t="str">
        <f>'BASE DE DATOSS'!A244</f>
        <v/>
      </c>
      <c r="B170" s="432" t="str">
        <f>'BASE DE DATOSS'!C244</f>
        <v/>
      </c>
      <c r="C170" s="263"/>
      <c r="D170" s="249"/>
      <c r="E170" s="250"/>
      <c r="F170" s="251"/>
      <c r="G170" s="262"/>
      <c r="H170" s="257"/>
      <c r="I170" s="249"/>
      <c r="J170" s="193" t="str">
        <f>IF(OR(ISBLANK($B170),ISBLANK($I170)),"",IFERROR(IF($I170&lt;=DATE('ESTADO CONTABLE'!$B$2,3,5),VLOOKUP($B170,COSTOS!$A$2:$B1014,2,FALSE)-150,VLOOKUP($B170,COSTOS!$A$2:$B1014,2,FALSE)),"No encontrado o error"))</f>
        <v/>
      </c>
      <c r="K170" s="264"/>
      <c r="L170" s="249"/>
      <c r="M170" s="189"/>
      <c r="N170" s="264"/>
      <c r="O170" s="249"/>
      <c r="P170" s="250"/>
      <c r="Q170" s="264"/>
      <c r="R170" s="249"/>
      <c r="S170" s="250"/>
      <c r="T170" s="264"/>
      <c r="U170" s="249"/>
      <c r="V170" s="250"/>
      <c r="W170" s="264"/>
      <c r="X170" s="394"/>
      <c r="Y170" s="429"/>
      <c r="Z170" s="395"/>
      <c r="AA170" s="394"/>
      <c r="AB170" s="118" t="str">
        <f>IF(OR(ISBLANK($B170),ISBLANK($AA170)),"",IFERROR(IF($AA170&lt;=DATE('ESTADO CONTABLE'!$B$2,9,5),VLOOKUP($B170,COSTOS!$A$2:$B1014,2,FALSE)-150,VLOOKUP($B170,COSTOS!$A$2:$B1014,2,FALSE)),"No encontrado o error"))</f>
        <v/>
      </c>
      <c r="AC170" s="395"/>
      <c r="AD170" s="394"/>
      <c r="AE170" s="429" t="str">
        <f>IF(OR(ISBLANK($B170),ISBLANK($AD170)),"",IFERROR(IF($AD170&lt;=DATE('ESTADO CONTABLE'!$B$2,10,5),VLOOKUP($B170,COSTOS!$A$2:$B1014,2,FALSE)-150,VLOOKUP($B170,COSTOS!$A$2:$B1014,2,FALSE)),"No encontrado o error"))</f>
        <v/>
      </c>
      <c r="AF170" s="395"/>
      <c r="AG170" s="394"/>
      <c r="AH170" s="429" t="str">
        <f>IF(OR(ISBLANK($B170),ISBLANK($AG170)),"",IFERROR(IF($AG170&lt;=DATE('ESTADO CONTABLE'!$B$2,11,5),VLOOKUP($B170,COSTOS!$A$2:$B1014,2,FALSE)-150,VLOOKUP($B170,COSTOS!$A$2:$B1014,2,FALSE)),"No encontrado o error"))</f>
        <v/>
      </c>
      <c r="AI170" s="395"/>
      <c r="AJ170" s="394"/>
      <c r="AK170" s="429" t="str">
        <f>IF(OR(ISBLANK($B170),ISBLANK($AJ170)),"",IFERROR(IF($AJ170&lt;=DATE('ESTADO CONTABLE'!$B$2,12,5),VLOOKUP($B170,COSTOS!$A$2:$B1014,2,FALSE)-150,VLOOKUP($B170,COSTOS!$A$2:$B1014,2,FALSE)),"No encontrado o error"))</f>
        <v/>
      </c>
      <c r="AL170" s="395"/>
      <c r="AM170" s="254"/>
      <c r="AN170" s="255"/>
      <c r="AO170" s="256"/>
    </row>
    <row r="171" ht="22.5" customHeight="1">
      <c r="A171" s="431" t="str">
        <f>'BASE DE DATOSS'!A245</f>
        <v/>
      </c>
      <c r="B171" s="432" t="str">
        <f>'BASE DE DATOSS'!C245</f>
        <v/>
      </c>
      <c r="C171" s="263"/>
      <c r="D171" s="249"/>
      <c r="E171" s="250"/>
      <c r="F171" s="251"/>
      <c r="G171" s="262"/>
      <c r="H171" s="257"/>
      <c r="I171" s="249"/>
      <c r="J171" s="193" t="str">
        <f>IF(OR(ISBLANK($B171),ISBLANK($I171)),"",IFERROR(IF($I171&lt;=DATE('ESTADO CONTABLE'!$B$2,3,5),VLOOKUP($B171,COSTOS!$A$2:$B1014,2,FALSE)-150,VLOOKUP($B171,COSTOS!$A$2:$B1014,2,FALSE)),"No encontrado o error"))</f>
        <v/>
      </c>
      <c r="K171" s="264"/>
      <c r="L171" s="249"/>
      <c r="M171" s="189"/>
      <c r="N171" s="264"/>
      <c r="O171" s="249"/>
      <c r="P171" s="250"/>
      <c r="Q171" s="264"/>
      <c r="R171" s="249"/>
      <c r="S171" s="250"/>
      <c r="T171" s="264"/>
      <c r="U171" s="249"/>
      <c r="V171" s="250"/>
      <c r="W171" s="264"/>
      <c r="X171" s="394"/>
      <c r="Y171" s="429"/>
      <c r="Z171" s="395"/>
      <c r="AA171" s="394"/>
      <c r="AB171" s="118" t="str">
        <f>IF(OR(ISBLANK($B171),ISBLANK($AA171)),"",IFERROR(IF($AA171&lt;=DATE('ESTADO CONTABLE'!$B$2,9,5),VLOOKUP($B171,COSTOS!$A$2:$B1014,2,FALSE)-150,VLOOKUP($B171,COSTOS!$A$2:$B1014,2,FALSE)),"No encontrado o error"))</f>
        <v/>
      </c>
      <c r="AC171" s="395"/>
      <c r="AD171" s="394"/>
      <c r="AE171" s="429" t="str">
        <f>IF(OR(ISBLANK($B171),ISBLANK($AD171)),"",IFERROR(IF($AD171&lt;=DATE('ESTADO CONTABLE'!$B$2,10,5),VLOOKUP($B171,COSTOS!$A$2:$B1014,2,FALSE)-150,VLOOKUP($B171,COSTOS!$A$2:$B1014,2,FALSE)),"No encontrado o error"))</f>
        <v/>
      </c>
      <c r="AF171" s="395"/>
      <c r="AG171" s="394"/>
      <c r="AH171" s="429" t="str">
        <f>IF(OR(ISBLANK($B171),ISBLANK($AG171)),"",IFERROR(IF($AG171&lt;=DATE('ESTADO CONTABLE'!$B$2,11,5),VLOOKUP($B171,COSTOS!$A$2:$B1014,2,FALSE)-150,VLOOKUP($B171,COSTOS!$A$2:$B1014,2,FALSE)),"No encontrado o error"))</f>
        <v/>
      </c>
      <c r="AI171" s="395"/>
      <c r="AJ171" s="394"/>
      <c r="AK171" s="429" t="str">
        <f>IF(OR(ISBLANK($B171),ISBLANK($AJ171)),"",IFERROR(IF($AJ171&lt;=DATE('ESTADO CONTABLE'!$B$2,12,5),VLOOKUP($B171,COSTOS!$A$2:$B1014,2,FALSE)-150,VLOOKUP($B171,COSTOS!$A$2:$B1014,2,FALSE)),"No encontrado o error"))</f>
        <v/>
      </c>
      <c r="AL171" s="395"/>
      <c r="AM171" s="254"/>
      <c r="AN171" s="255"/>
      <c r="AO171" s="256"/>
    </row>
    <row r="172" ht="22.5" customHeight="1">
      <c r="A172" s="431" t="str">
        <f>'BASE DE DATOSS'!A246</f>
        <v/>
      </c>
      <c r="B172" s="432" t="str">
        <f>'BASE DE DATOSS'!C246</f>
        <v/>
      </c>
      <c r="C172" s="263"/>
      <c r="D172" s="249"/>
      <c r="E172" s="250"/>
      <c r="F172" s="251"/>
      <c r="G172" s="262"/>
      <c r="H172" s="257"/>
      <c r="I172" s="249"/>
      <c r="J172" s="193" t="str">
        <f>IF(OR(ISBLANK($B172),ISBLANK($I172)),"",IFERROR(IF($I172&lt;=DATE('ESTADO CONTABLE'!$B$2,3,5),VLOOKUP($B172,COSTOS!$A$2:$B1014,2,FALSE)-150,VLOOKUP($B172,COSTOS!$A$2:$B1014,2,FALSE)),"No encontrado o error"))</f>
        <v/>
      </c>
      <c r="K172" s="264"/>
      <c r="L172" s="249"/>
      <c r="M172" s="189"/>
      <c r="N172" s="264"/>
      <c r="O172" s="249"/>
      <c r="P172" s="250"/>
      <c r="Q172" s="264"/>
      <c r="R172" s="249"/>
      <c r="S172" s="250"/>
      <c r="T172" s="264"/>
      <c r="U172" s="249"/>
      <c r="V172" s="250"/>
      <c r="W172" s="264"/>
      <c r="X172" s="394"/>
      <c r="Y172" s="429"/>
      <c r="Z172" s="395"/>
      <c r="AA172" s="394"/>
      <c r="AB172" s="118" t="str">
        <f>IF(OR(ISBLANK($B172),ISBLANK($AA172)),"",IFERROR(IF($AA172&lt;=DATE('ESTADO CONTABLE'!$B$2,9,5),VLOOKUP($B172,COSTOS!$A$2:$B1014,2,FALSE)-150,VLOOKUP($B172,COSTOS!$A$2:$B1014,2,FALSE)),"No encontrado o error"))</f>
        <v/>
      </c>
      <c r="AC172" s="395"/>
      <c r="AD172" s="394"/>
      <c r="AE172" s="429" t="str">
        <f>IF(OR(ISBLANK($B172),ISBLANK($AD172)),"",IFERROR(IF($AD172&lt;=DATE('ESTADO CONTABLE'!$B$2,10,5),VLOOKUP($B172,COSTOS!$A$2:$B1014,2,FALSE)-150,VLOOKUP($B172,COSTOS!$A$2:$B1014,2,FALSE)),"No encontrado o error"))</f>
        <v/>
      </c>
      <c r="AF172" s="395"/>
      <c r="AG172" s="394"/>
      <c r="AH172" s="429" t="str">
        <f>IF(OR(ISBLANK($B172),ISBLANK($AG172)),"",IFERROR(IF($AG172&lt;=DATE('ESTADO CONTABLE'!$B$2,11,5),VLOOKUP($B172,COSTOS!$A$2:$B1014,2,FALSE)-150,VLOOKUP($B172,COSTOS!$A$2:$B1014,2,FALSE)),"No encontrado o error"))</f>
        <v/>
      </c>
      <c r="AI172" s="395"/>
      <c r="AJ172" s="394"/>
      <c r="AK172" s="429" t="str">
        <f>IF(OR(ISBLANK($B172),ISBLANK($AJ172)),"",IFERROR(IF($AJ172&lt;=DATE('ESTADO CONTABLE'!$B$2,12,5),VLOOKUP($B172,COSTOS!$A$2:$B1014,2,FALSE)-150,VLOOKUP($B172,COSTOS!$A$2:$B1014,2,FALSE)),"No encontrado o error"))</f>
        <v/>
      </c>
      <c r="AL172" s="395"/>
      <c r="AM172" s="254"/>
      <c r="AN172" s="255"/>
      <c r="AO172" s="256"/>
    </row>
    <row r="173" ht="22.5" customHeight="1">
      <c r="A173" s="431" t="str">
        <f>'BASE DE DATOSS'!A247</f>
        <v/>
      </c>
      <c r="B173" s="432" t="str">
        <f>'BASE DE DATOSS'!C247</f>
        <v/>
      </c>
      <c r="C173" s="263"/>
      <c r="D173" s="249"/>
      <c r="E173" s="250"/>
      <c r="F173" s="251"/>
      <c r="G173" s="262"/>
      <c r="H173" s="257"/>
      <c r="I173" s="249"/>
      <c r="J173" s="193" t="str">
        <f>IF(OR(ISBLANK($B173),ISBLANK($I173)),"",IFERROR(IF($I173&lt;=DATE('ESTADO CONTABLE'!$B$2,3,5),VLOOKUP($B173,COSTOS!$A$2:$B1014,2,FALSE)-150,VLOOKUP($B173,COSTOS!$A$2:$B1014,2,FALSE)),"No encontrado o error"))</f>
        <v/>
      </c>
      <c r="K173" s="264"/>
      <c r="L173" s="249"/>
      <c r="M173" s="189"/>
      <c r="N173" s="264"/>
      <c r="O173" s="249"/>
      <c r="P173" s="250"/>
      <c r="Q173" s="264"/>
      <c r="R173" s="249"/>
      <c r="S173" s="250"/>
      <c r="T173" s="264"/>
      <c r="U173" s="249"/>
      <c r="V173" s="250"/>
      <c r="W173" s="264"/>
      <c r="X173" s="394"/>
      <c r="Y173" s="429"/>
      <c r="Z173" s="395"/>
      <c r="AA173" s="394"/>
      <c r="AB173" s="118" t="str">
        <f>IF(OR(ISBLANK($B173),ISBLANK($AA173)),"",IFERROR(IF($AA173&lt;=DATE('ESTADO CONTABLE'!$B$2,9,5),VLOOKUP($B173,COSTOS!$A$2:$B1014,2,FALSE)-150,VLOOKUP($B173,COSTOS!$A$2:$B1014,2,FALSE)),"No encontrado o error"))</f>
        <v/>
      </c>
      <c r="AC173" s="395"/>
      <c r="AD173" s="394"/>
      <c r="AE173" s="429" t="str">
        <f>IF(OR(ISBLANK($B173),ISBLANK($AD173)),"",IFERROR(IF($AD173&lt;=DATE('ESTADO CONTABLE'!$B$2,10,5),VLOOKUP($B173,COSTOS!$A$2:$B1014,2,FALSE)-150,VLOOKUP($B173,COSTOS!$A$2:$B1014,2,FALSE)),"No encontrado o error"))</f>
        <v/>
      </c>
      <c r="AF173" s="395"/>
      <c r="AG173" s="394"/>
      <c r="AH173" s="429" t="str">
        <f>IF(OR(ISBLANK($B173),ISBLANK($AG173)),"",IFERROR(IF($AG173&lt;=DATE('ESTADO CONTABLE'!$B$2,11,5),VLOOKUP($B173,COSTOS!$A$2:$B1014,2,FALSE)-150,VLOOKUP($B173,COSTOS!$A$2:$B1014,2,FALSE)),"No encontrado o error"))</f>
        <v/>
      </c>
      <c r="AI173" s="395"/>
      <c r="AJ173" s="394"/>
      <c r="AK173" s="429" t="str">
        <f>IF(OR(ISBLANK($B173),ISBLANK($AJ173)),"",IFERROR(IF($AJ173&lt;=DATE('ESTADO CONTABLE'!$B$2,12,5),VLOOKUP($B173,COSTOS!$A$2:$B1014,2,FALSE)-150,VLOOKUP($B173,COSTOS!$A$2:$B1014,2,FALSE)),"No encontrado o error"))</f>
        <v/>
      </c>
      <c r="AL173" s="395"/>
      <c r="AM173" s="254"/>
      <c r="AN173" s="255"/>
      <c r="AO173" s="256"/>
    </row>
    <row r="174" ht="22.5" customHeight="1">
      <c r="A174" s="431" t="str">
        <f>'BASE DE DATOSS'!A248</f>
        <v/>
      </c>
      <c r="B174" s="432" t="str">
        <f>'BASE DE DATOSS'!C248</f>
        <v/>
      </c>
      <c r="C174" s="263"/>
      <c r="D174" s="249"/>
      <c r="E174" s="250"/>
      <c r="F174" s="251"/>
      <c r="G174" s="262"/>
      <c r="H174" s="257"/>
      <c r="I174" s="249"/>
      <c r="J174" s="193" t="str">
        <f>IF(OR(ISBLANK($B174),ISBLANK($I174)),"",IFERROR(IF($I174&lt;=DATE('ESTADO CONTABLE'!$B$2,3,5),VLOOKUP($B174,COSTOS!$A$2:$B1014,2,FALSE)-150,VLOOKUP($B174,COSTOS!$A$2:$B1014,2,FALSE)),"No encontrado o error"))</f>
        <v/>
      </c>
      <c r="K174" s="264"/>
      <c r="L174" s="249"/>
      <c r="M174" s="189"/>
      <c r="N174" s="264"/>
      <c r="O174" s="249"/>
      <c r="P174" s="250"/>
      <c r="Q174" s="264"/>
      <c r="R174" s="249"/>
      <c r="S174" s="250"/>
      <c r="T174" s="264"/>
      <c r="U174" s="249"/>
      <c r="V174" s="250"/>
      <c r="W174" s="264"/>
      <c r="X174" s="394"/>
      <c r="Y174" s="429"/>
      <c r="Z174" s="395"/>
      <c r="AA174" s="394"/>
      <c r="AB174" s="118" t="str">
        <f>IF(OR(ISBLANK($B174),ISBLANK($AA174)),"",IFERROR(IF($AA174&lt;=DATE('ESTADO CONTABLE'!$B$2,9,5),VLOOKUP($B174,COSTOS!$A$2:$B1014,2,FALSE)-150,VLOOKUP($B174,COSTOS!$A$2:$B1014,2,FALSE)),"No encontrado o error"))</f>
        <v/>
      </c>
      <c r="AC174" s="395"/>
      <c r="AD174" s="394"/>
      <c r="AE174" s="429" t="str">
        <f>IF(OR(ISBLANK($B174),ISBLANK($AD174)),"",IFERROR(IF($AD174&lt;=DATE('ESTADO CONTABLE'!$B$2,10,5),VLOOKUP($B174,COSTOS!$A$2:$B1014,2,FALSE)-150,VLOOKUP($B174,COSTOS!$A$2:$B1014,2,FALSE)),"No encontrado o error"))</f>
        <v/>
      </c>
      <c r="AF174" s="395"/>
      <c r="AG174" s="394"/>
      <c r="AH174" s="429" t="str">
        <f>IF(OR(ISBLANK($B174),ISBLANK($AG174)),"",IFERROR(IF($AG174&lt;=DATE('ESTADO CONTABLE'!$B$2,11,5),VLOOKUP($B174,COSTOS!$A$2:$B1014,2,FALSE)-150,VLOOKUP($B174,COSTOS!$A$2:$B1014,2,FALSE)),"No encontrado o error"))</f>
        <v/>
      </c>
      <c r="AI174" s="395"/>
      <c r="AJ174" s="394"/>
      <c r="AK174" s="429" t="str">
        <f>IF(OR(ISBLANK($B174),ISBLANK($AJ174)),"",IFERROR(IF($AJ174&lt;=DATE('ESTADO CONTABLE'!$B$2,12,5),VLOOKUP($B174,COSTOS!$A$2:$B1014,2,FALSE)-150,VLOOKUP($B174,COSTOS!$A$2:$B1014,2,FALSE)),"No encontrado o error"))</f>
        <v/>
      </c>
      <c r="AL174" s="395"/>
      <c r="AM174" s="254"/>
      <c r="AN174" s="255"/>
      <c r="AO174" s="256"/>
    </row>
    <row r="175" ht="22.5" customHeight="1">
      <c r="A175" s="431" t="str">
        <f>'BASE DE DATOSS'!A249</f>
        <v/>
      </c>
      <c r="B175" s="432" t="str">
        <f>'BASE DE DATOSS'!C249</f>
        <v/>
      </c>
      <c r="C175" s="263"/>
      <c r="D175" s="249"/>
      <c r="E175" s="250"/>
      <c r="F175" s="251"/>
      <c r="G175" s="262"/>
      <c r="H175" s="257"/>
      <c r="I175" s="249"/>
      <c r="J175" s="193" t="str">
        <f>IF(OR(ISBLANK($B175),ISBLANK($I175)),"",IFERROR(IF($I175&lt;=DATE('ESTADO CONTABLE'!$B$2,3,5),VLOOKUP($B175,COSTOS!$A$2:$B1014,2,FALSE)-150,VLOOKUP($B175,COSTOS!$A$2:$B1014,2,FALSE)),"No encontrado o error"))</f>
        <v/>
      </c>
      <c r="K175" s="264"/>
      <c r="L175" s="249"/>
      <c r="M175" s="189"/>
      <c r="N175" s="264"/>
      <c r="O175" s="249"/>
      <c r="P175" s="250"/>
      <c r="Q175" s="264"/>
      <c r="R175" s="249"/>
      <c r="S175" s="250"/>
      <c r="T175" s="264"/>
      <c r="U175" s="249"/>
      <c r="V175" s="250"/>
      <c r="W175" s="264"/>
      <c r="X175" s="394"/>
      <c r="Y175" s="429"/>
      <c r="Z175" s="395"/>
      <c r="AA175" s="394"/>
      <c r="AB175" s="118" t="str">
        <f>IF(OR(ISBLANK($B175),ISBLANK($AA175)),"",IFERROR(IF($AA175&lt;=DATE('ESTADO CONTABLE'!$B$2,9,5),VLOOKUP($B175,COSTOS!$A$2:$B1014,2,FALSE)-150,VLOOKUP($B175,COSTOS!$A$2:$B1014,2,FALSE)),"No encontrado o error"))</f>
        <v/>
      </c>
      <c r="AC175" s="395"/>
      <c r="AD175" s="394"/>
      <c r="AE175" s="429" t="str">
        <f>IF(OR(ISBLANK($B175),ISBLANK($AD175)),"",IFERROR(IF($AD175&lt;=DATE('ESTADO CONTABLE'!$B$2,10,5),VLOOKUP($B175,COSTOS!$A$2:$B1014,2,FALSE)-150,VLOOKUP($B175,COSTOS!$A$2:$B1014,2,FALSE)),"No encontrado o error"))</f>
        <v/>
      </c>
      <c r="AF175" s="395"/>
      <c r="AG175" s="394"/>
      <c r="AH175" s="429" t="str">
        <f>IF(OR(ISBLANK($B175),ISBLANK($AG175)),"",IFERROR(IF($AG175&lt;=DATE('ESTADO CONTABLE'!$B$2,11,5),VLOOKUP($B175,COSTOS!$A$2:$B1014,2,FALSE)-150,VLOOKUP($B175,COSTOS!$A$2:$B1014,2,FALSE)),"No encontrado o error"))</f>
        <v/>
      </c>
      <c r="AI175" s="395"/>
      <c r="AJ175" s="394"/>
      <c r="AK175" s="429" t="str">
        <f>IF(OR(ISBLANK($B175),ISBLANK($AJ175)),"",IFERROR(IF($AJ175&lt;=DATE('ESTADO CONTABLE'!$B$2,12,5),VLOOKUP($B175,COSTOS!$A$2:$B1014,2,FALSE)-150,VLOOKUP($B175,COSTOS!$A$2:$B1014,2,FALSE)),"No encontrado o error"))</f>
        <v/>
      </c>
      <c r="AL175" s="395"/>
      <c r="AM175" s="254"/>
      <c r="AN175" s="255"/>
      <c r="AO175" s="256"/>
    </row>
    <row r="176" ht="22.5" customHeight="1">
      <c r="A176" s="431" t="str">
        <f>'BASE DE DATOSS'!A250</f>
        <v/>
      </c>
      <c r="B176" s="432" t="str">
        <f>'BASE DE DATOSS'!C250</f>
        <v/>
      </c>
      <c r="C176" s="263"/>
      <c r="D176" s="249"/>
      <c r="E176" s="250"/>
      <c r="F176" s="251"/>
      <c r="G176" s="262"/>
      <c r="H176" s="257"/>
      <c r="I176" s="249"/>
      <c r="J176" s="193" t="str">
        <f>IF(OR(ISBLANK($B176),ISBLANK($I176)),"",IFERROR(IF($I176&lt;=DATE('ESTADO CONTABLE'!$B$2,3,5),VLOOKUP($B176,COSTOS!$A$2:$B1014,2,FALSE)-150,VLOOKUP($B176,COSTOS!$A$2:$B1014,2,FALSE)),"No encontrado o error"))</f>
        <v/>
      </c>
      <c r="K176" s="264"/>
      <c r="L176" s="249"/>
      <c r="M176" s="189"/>
      <c r="N176" s="264"/>
      <c r="O176" s="249"/>
      <c r="P176" s="250"/>
      <c r="Q176" s="264"/>
      <c r="R176" s="249"/>
      <c r="S176" s="250"/>
      <c r="T176" s="264"/>
      <c r="U176" s="249"/>
      <c r="V176" s="250"/>
      <c r="W176" s="264"/>
      <c r="X176" s="394"/>
      <c r="Y176" s="429"/>
      <c r="Z176" s="395"/>
      <c r="AA176" s="394"/>
      <c r="AB176" s="118" t="str">
        <f>IF(OR(ISBLANK($B176),ISBLANK($AA176)),"",IFERROR(IF($AA176&lt;=DATE('ESTADO CONTABLE'!$B$2,9,5),VLOOKUP($B176,COSTOS!$A$2:$B1014,2,FALSE)-150,VLOOKUP($B176,COSTOS!$A$2:$B1014,2,FALSE)),"No encontrado o error"))</f>
        <v/>
      </c>
      <c r="AC176" s="395"/>
      <c r="AD176" s="394"/>
      <c r="AE176" s="429" t="str">
        <f>IF(OR(ISBLANK($B176),ISBLANK($AD176)),"",IFERROR(IF($AD176&lt;=DATE('ESTADO CONTABLE'!$B$2,10,5),VLOOKUP($B176,COSTOS!$A$2:$B1014,2,FALSE)-150,VLOOKUP($B176,COSTOS!$A$2:$B1014,2,FALSE)),"No encontrado o error"))</f>
        <v/>
      </c>
      <c r="AF176" s="395"/>
      <c r="AG176" s="394"/>
      <c r="AH176" s="429" t="str">
        <f>IF(OR(ISBLANK($B176),ISBLANK($AG176)),"",IFERROR(IF($AG176&lt;=DATE('ESTADO CONTABLE'!$B$2,11,5),VLOOKUP($B176,COSTOS!$A$2:$B1014,2,FALSE)-150,VLOOKUP($B176,COSTOS!$A$2:$B1014,2,FALSE)),"No encontrado o error"))</f>
        <v/>
      </c>
      <c r="AI176" s="395"/>
      <c r="AJ176" s="394"/>
      <c r="AK176" s="429" t="str">
        <f>IF(OR(ISBLANK($B176),ISBLANK($AJ176)),"",IFERROR(IF($AJ176&lt;=DATE('ESTADO CONTABLE'!$B$2,12,5),VLOOKUP($B176,COSTOS!$A$2:$B1014,2,FALSE)-150,VLOOKUP($B176,COSTOS!$A$2:$B1014,2,FALSE)),"No encontrado o error"))</f>
        <v/>
      </c>
      <c r="AL176" s="395"/>
      <c r="AM176" s="254"/>
      <c r="AN176" s="255"/>
      <c r="AO176" s="256"/>
    </row>
    <row r="177" ht="22.5" customHeight="1">
      <c r="A177" s="431" t="str">
        <f>'BASE DE DATOSS'!A251</f>
        <v/>
      </c>
      <c r="B177" s="432" t="str">
        <f>'BASE DE DATOSS'!C251</f>
        <v/>
      </c>
      <c r="C177" s="263"/>
      <c r="D177" s="249"/>
      <c r="E177" s="250"/>
      <c r="F177" s="251"/>
      <c r="G177" s="262"/>
      <c r="H177" s="257"/>
      <c r="I177" s="249"/>
      <c r="J177" s="193" t="str">
        <f>IF(OR(ISBLANK($B177),ISBLANK($I177)),"",IFERROR(IF($I177&lt;=DATE('ESTADO CONTABLE'!$B$2,3,5),VLOOKUP($B177,COSTOS!$A$2:$B1014,2,FALSE)-150,VLOOKUP($B177,COSTOS!$A$2:$B1014,2,FALSE)),"No encontrado o error"))</f>
        <v/>
      </c>
      <c r="K177" s="264"/>
      <c r="L177" s="249"/>
      <c r="M177" s="189"/>
      <c r="N177" s="264"/>
      <c r="O177" s="249"/>
      <c r="P177" s="250"/>
      <c r="Q177" s="264"/>
      <c r="R177" s="249"/>
      <c r="S177" s="250"/>
      <c r="T177" s="264"/>
      <c r="U177" s="249"/>
      <c r="V177" s="250"/>
      <c r="W177" s="264"/>
      <c r="X177" s="394"/>
      <c r="Y177" s="429"/>
      <c r="Z177" s="395"/>
      <c r="AA177" s="394"/>
      <c r="AB177" s="118" t="str">
        <f>IF(OR(ISBLANK($B177),ISBLANK($AA177)),"",IFERROR(IF($AA177&lt;=DATE('ESTADO CONTABLE'!$B$2,9,5),VLOOKUP($B177,COSTOS!$A$2:$B1014,2,FALSE)-150,VLOOKUP($B177,COSTOS!$A$2:$B1014,2,FALSE)),"No encontrado o error"))</f>
        <v/>
      </c>
      <c r="AC177" s="395"/>
      <c r="AD177" s="394"/>
      <c r="AE177" s="429" t="str">
        <f>IF(OR(ISBLANK($B177),ISBLANK($AD177)),"",IFERROR(IF($AD177&lt;=DATE('ESTADO CONTABLE'!$B$2,10,5),VLOOKUP($B177,COSTOS!$A$2:$B1014,2,FALSE)-150,VLOOKUP($B177,COSTOS!$A$2:$B1014,2,FALSE)),"No encontrado o error"))</f>
        <v/>
      </c>
      <c r="AF177" s="395"/>
      <c r="AG177" s="394"/>
      <c r="AH177" s="429" t="str">
        <f>IF(OR(ISBLANK($B177),ISBLANK($AG177)),"",IFERROR(IF($AG177&lt;=DATE('ESTADO CONTABLE'!$B$2,11,5),VLOOKUP($B177,COSTOS!$A$2:$B1014,2,FALSE)-150,VLOOKUP($B177,COSTOS!$A$2:$B1014,2,FALSE)),"No encontrado o error"))</f>
        <v/>
      </c>
      <c r="AI177" s="395"/>
      <c r="AJ177" s="394"/>
      <c r="AK177" s="429" t="str">
        <f>IF(OR(ISBLANK($B177),ISBLANK($AJ177)),"",IFERROR(IF($AJ177&lt;=DATE('ESTADO CONTABLE'!$B$2,12,5),VLOOKUP($B177,COSTOS!$A$2:$B1014,2,FALSE)-150,VLOOKUP($B177,COSTOS!$A$2:$B1014,2,FALSE)),"No encontrado o error"))</f>
        <v/>
      </c>
      <c r="AL177" s="395"/>
      <c r="AM177" s="254"/>
      <c r="AN177" s="255"/>
      <c r="AO177" s="256"/>
    </row>
    <row r="178" ht="22.5" customHeight="1">
      <c r="A178" s="431" t="str">
        <f>'BASE DE DATOSS'!A252</f>
        <v/>
      </c>
      <c r="B178" s="432" t="str">
        <f>'BASE DE DATOSS'!C252</f>
        <v/>
      </c>
      <c r="C178" s="263"/>
      <c r="D178" s="249"/>
      <c r="E178" s="250"/>
      <c r="F178" s="251"/>
      <c r="G178" s="262"/>
      <c r="H178" s="257"/>
      <c r="I178" s="249"/>
      <c r="J178" s="193" t="str">
        <f>IF(OR(ISBLANK($B178),ISBLANK($I178)),"",IFERROR(IF($I178&lt;=DATE('ESTADO CONTABLE'!$B$2,3,5),VLOOKUP($B178,COSTOS!$A$2:$B1014,2,FALSE)-150,VLOOKUP($B178,COSTOS!$A$2:$B1014,2,FALSE)),"No encontrado o error"))</f>
        <v/>
      </c>
      <c r="K178" s="264"/>
      <c r="L178" s="249"/>
      <c r="M178" s="189"/>
      <c r="N178" s="264"/>
      <c r="O178" s="249"/>
      <c r="P178" s="250"/>
      <c r="Q178" s="264"/>
      <c r="R178" s="249"/>
      <c r="S178" s="250"/>
      <c r="T178" s="264"/>
      <c r="U178" s="249"/>
      <c r="V178" s="250"/>
      <c r="W178" s="264"/>
      <c r="X178" s="394"/>
      <c r="Y178" s="429"/>
      <c r="Z178" s="395"/>
      <c r="AA178" s="394"/>
      <c r="AB178" s="118" t="str">
        <f>IF(OR(ISBLANK($B178),ISBLANK($AA178)),"",IFERROR(IF($AA178&lt;=DATE('ESTADO CONTABLE'!$B$2,9,5),VLOOKUP($B178,COSTOS!$A$2:$B1014,2,FALSE)-150,VLOOKUP($B178,COSTOS!$A$2:$B1014,2,FALSE)),"No encontrado o error"))</f>
        <v/>
      </c>
      <c r="AC178" s="395"/>
      <c r="AD178" s="394"/>
      <c r="AE178" s="429" t="str">
        <f>IF(OR(ISBLANK($B178),ISBLANK($AD178)),"",IFERROR(IF($AD178&lt;=DATE('ESTADO CONTABLE'!$B$2,10,5),VLOOKUP($B178,COSTOS!$A$2:$B1014,2,FALSE)-150,VLOOKUP($B178,COSTOS!$A$2:$B1014,2,FALSE)),"No encontrado o error"))</f>
        <v/>
      </c>
      <c r="AF178" s="395"/>
      <c r="AG178" s="394"/>
      <c r="AH178" s="429" t="str">
        <f>IF(OR(ISBLANK($B178),ISBLANK($AG178)),"",IFERROR(IF($AG178&lt;=DATE('ESTADO CONTABLE'!$B$2,11,5),VLOOKUP($B178,COSTOS!$A$2:$B1014,2,FALSE)-150,VLOOKUP($B178,COSTOS!$A$2:$B1014,2,FALSE)),"No encontrado o error"))</f>
        <v/>
      </c>
      <c r="AI178" s="395"/>
      <c r="AJ178" s="394"/>
      <c r="AK178" s="429" t="str">
        <f>IF(OR(ISBLANK($B178),ISBLANK($AJ178)),"",IFERROR(IF($AJ178&lt;=DATE('ESTADO CONTABLE'!$B$2,12,5),VLOOKUP($B178,COSTOS!$A$2:$B1014,2,FALSE)-150,VLOOKUP($B178,COSTOS!$A$2:$B1014,2,FALSE)),"No encontrado o error"))</f>
        <v/>
      </c>
      <c r="AL178" s="395"/>
      <c r="AM178" s="254"/>
      <c r="AN178" s="255"/>
      <c r="AO178" s="256"/>
    </row>
    <row r="179" ht="22.5" customHeight="1">
      <c r="A179" s="431" t="str">
        <f>'BASE DE DATOSS'!A253</f>
        <v/>
      </c>
      <c r="B179" s="432" t="str">
        <f>'BASE DE DATOSS'!C253</f>
        <v/>
      </c>
      <c r="C179" s="263"/>
      <c r="D179" s="249"/>
      <c r="E179" s="250"/>
      <c r="F179" s="251"/>
      <c r="G179" s="262"/>
      <c r="H179" s="257"/>
      <c r="I179" s="249"/>
      <c r="J179" s="193" t="str">
        <f>IF(OR(ISBLANK($B179),ISBLANK($I179)),"",IFERROR(IF($I179&lt;=DATE('ESTADO CONTABLE'!$B$2,3,5),VLOOKUP($B179,COSTOS!$A$2:$B1014,2,FALSE)-150,VLOOKUP($B179,COSTOS!$A$2:$B1014,2,FALSE)),"No encontrado o error"))</f>
        <v/>
      </c>
      <c r="K179" s="264"/>
      <c r="L179" s="249"/>
      <c r="M179" s="189"/>
      <c r="N179" s="264"/>
      <c r="O179" s="249"/>
      <c r="P179" s="250"/>
      <c r="Q179" s="264"/>
      <c r="R179" s="249"/>
      <c r="S179" s="250"/>
      <c r="T179" s="264"/>
      <c r="U179" s="249"/>
      <c r="V179" s="250"/>
      <c r="W179" s="264"/>
      <c r="X179" s="394"/>
      <c r="Y179" s="429"/>
      <c r="Z179" s="395"/>
      <c r="AA179" s="394"/>
      <c r="AB179" s="118" t="str">
        <f>IF(OR(ISBLANK($B179),ISBLANK($AA179)),"",IFERROR(IF($AA179&lt;=DATE('ESTADO CONTABLE'!$B$2,9,5),VLOOKUP($B179,COSTOS!$A$2:$B1014,2,FALSE)-150,VLOOKUP($B179,COSTOS!$A$2:$B1014,2,FALSE)),"No encontrado o error"))</f>
        <v/>
      </c>
      <c r="AC179" s="395"/>
      <c r="AD179" s="394"/>
      <c r="AE179" s="429" t="str">
        <f>IF(OR(ISBLANK($B179),ISBLANK($AD179)),"",IFERROR(IF($AD179&lt;=DATE('ESTADO CONTABLE'!$B$2,10,5),VLOOKUP($B179,COSTOS!$A$2:$B1014,2,FALSE)-150,VLOOKUP($B179,COSTOS!$A$2:$B1014,2,FALSE)),"No encontrado o error"))</f>
        <v/>
      </c>
      <c r="AF179" s="395"/>
      <c r="AG179" s="394"/>
      <c r="AH179" s="429" t="str">
        <f>IF(OR(ISBLANK($B179),ISBLANK($AG179)),"",IFERROR(IF($AG179&lt;=DATE('ESTADO CONTABLE'!$B$2,11,5),VLOOKUP($B179,COSTOS!$A$2:$B1014,2,FALSE)-150,VLOOKUP($B179,COSTOS!$A$2:$B1014,2,FALSE)),"No encontrado o error"))</f>
        <v/>
      </c>
      <c r="AI179" s="395"/>
      <c r="AJ179" s="394"/>
      <c r="AK179" s="429" t="str">
        <f>IF(OR(ISBLANK($B179),ISBLANK($AJ179)),"",IFERROR(IF($AJ179&lt;=DATE('ESTADO CONTABLE'!$B$2,12,5),VLOOKUP($B179,COSTOS!$A$2:$B1014,2,FALSE)-150,VLOOKUP($B179,COSTOS!$A$2:$B1014,2,FALSE)),"No encontrado o error"))</f>
        <v/>
      </c>
      <c r="AL179" s="395"/>
      <c r="AM179" s="254"/>
      <c r="AN179" s="255"/>
      <c r="AO179" s="256"/>
    </row>
    <row r="180" ht="22.5" customHeight="1">
      <c r="A180" s="431" t="str">
        <f>'BASE DE DATOSS'!A254</f>
        <v/>
      </c>
      <c r="B180" s="432" t="str">
        <f>'BASE DE DATOSS'!C254</f>
        <v/>
      </c>
      <c r="C180" s="263"/>
      <c r="D180" s="249"/>
      <c r="E180" s="250"/>
      <c r="F180" s="251"/>
      <c r="G180" s="262"/>
      <c r="H180" s="257"/>
      <c r="I180" s="249"/>
      <c r="J180" s="193" t="str">
        <f>IF(OR(ISBLANK($B180),ISBLANK($I180)),"",IFERROR(IF($I180&lt;=DATE('ESTADO CONTABLE'!$B$2,3,5),VLOOKUP($B180,COSTOS!$A$2:$B1014,2,FALSE)-150,VLOOKUP($B180,COSTOS!$A$2:$B1014,2,FALSE)),"No encontrado o error"))</f>
        <v/>
      </c>
      <c r="K180" s="264"/>
      <c r="L180" s="249"/>
      <c r="M180" s="189"/>
      <c r="N180" s="264"/>
      <c r="O180" s="249"/>
      <c r="P180" s="250"/>
      <c r="Q180" s="264"/>
      <c r="R180" s="249"/>
      <c r="S180" s="250"/>
      <c r="T180" s="264"/>
      <c r="U180" s="249"/>
      <c r="V180" s="250"/>
      <c r="W180" s="264"/>
      <c r="X180" s="394"/>
      <c r="Y180" s="429"/>
      <c r="Z180" s="395"/>
      <c r="AA180" s="394"/>
      <c r="AB180" s="118" t="str">
        <f>IF(OR(ISBLANK($B180),ISBLANK($AA180)),"",IFERROR(IF($AA180&lt;=DATE('ESTADO CONTABLE'!$B$2,9,5),VLOOKUP($B180,COSTOS!$A$2:$B1014,2,FALSE)-150,VLOOKUP($B180,COSTOS!$A$2:$B1014,2,FALSE)),"No encontrado o error"))</f>
        <v/>
      </c>
      <c r="AC180" s="395"/>
      <c r="AD180" s="394"/>
      <c r="AE180" s="429" t="str">
        <f>IF(OR(ISBLANK($B180),ISBLANK($AD180)),"",IFERROR(IF($AD180&lt;=DATE('ESTADO CONTABLE'!$B$2,10,5),VLOOKUP($B180,COSTOS!$A$2:$B1014,2,FALSE)-150,VLOOKUP($B180,COSTOS!$A$2:$B1014,2,FALSE)),"No encontrado o error"))</f>
        <v/>
      </c>
      <c r="AF180" s="395"/>
      <c r="AG180" s="394"/>
      <c r="AH180" s="429" t="str">
        <f>IF(OR(ISBLANK($B180),ISBLANK($AG180)),"",IFERROR(IF($AG180&lt;=DATE('ESTADO CONTABLE'!$B$2,11,5),VLOOKUP($B180,COSTOS!$A$2:$B1014,2,FALSE)-150,VLOOKUP($B180,COSTOS!$A$2:$B1014,2,FALSE)),"No encontrado o error"))</f>
        <v/>
      </c>
      <c r="AI180" s="395"/>
      <c r="AJ180" s="394"/>
      <c r="AK180" s="429" t="str">
        <f>IF(OR(ISBLANK($B180),ISBLANK($AJ180)),"",IFERROR(IF($AJ180&lt;=DATE('ESTADO CONTABLE'!$B$2,12,5),VLOOKUP($B180,COSTOS!$A$2:$B1014,2,FALSE)-150,VLOOKUP($B180,COSTOS!$A$2:$B1014,2,FALSE)),"No encontrado o error"))</f>
        <v/>
      </c>
      <c r="AL180" s="395"/>
      <c r="AM180" s="254"/>
      <c r="AN180" s="255"/>
      <c r="AO180" s="256"/>
    </row>
    <row r="181" ht="22.5" customHeight="1">
      <c r="A181" s="431" t="str">
        <f>'BASE DE DATOSS'!A255</f>
        <v/>
      </c>
      <c r="B181" s="432" t="str">
        <f>'BASE DE DATOSS'!C255</f>
        <v/>
      </c>
      <c r="C181" s="263"/>
      <c r="D181" s="249"/>
      <c r="E181" s="250"/>
      <c r="F181" s="251"/>
      <c r="G181" s="262"/>
      <c r="H181" s="257"/>
      <c r="I181" s="249"/>
      <c r="J181" s="193" t="str">
        <f>IF(OR(ISBLANK($B181),ISBLANK($I181)),"",IFERROR(IF($I181&lt;=DATE('ESTADO CONTABLE'!$B$2,3,5),VLOOKUP($B181,COSTOS!$A$2:$B1014,2,FALSE)-150,VLOOKUP($B181,COSTOS!$A$2:$B1014,2,FALSE)),"No encontrado o error"))</f>
        <v/>
      </c>
      <c r="K181" s="264"/>
      <c r="L181" s="249"/>
      <c r="M181" s="189"/>
      <c r="N181" s="264"/>
      <c r="O181" s="249"/>
      <c r="P181" s="250"/>
      <c r="Q181" s="264"/>
      <c r="R181" s="249"/>
      <c r="S181" s="250"/>
      <c r="T181" s="264"/>
      <c r="U181" s="249"/>
      <c r="V181" s="250"/>
      <c r="W181" s="264"/>
      <c r="X181" s="394"/>
      <c r="Y181" s="429"/>
      <c r="Z181" s="395"/>
      <c r="AA181" s="394"/>
      <c r="AB181" s="118" t="str">
        <f>IF(OR(ISBLANK($B181),ISBLANK($AA181)),"",IFERROR(IF($AA181&lt;=DATE('ESTADO CONTABLE'!$B$2,9,5),VLOOKUP($B181,COSTOS!$A$2:$B1014,2,FALSE)-150,VLOOKUP($B181,COSTOS!$A$2:$B1014,2,FALSE)),"No encontrado o error"))</f>
        <v/>
      </c>
      <c r="AC181" s="395"/>
      <c r="AD181" s="394"/>
      <c r="AE181" s="429" t="str">
        <f>IF(OR(ISBLANK($B181),ISBLANK($AD181)),"",IFERROR(IF($AD181&lt;=DATE('ESTADO CONTABLE'!$B$2,10,5),VLOOKUP($B181,COSTOS!$A$2:$B1014,2,FALSE)-150,VLOOKUP($B181,COSTOS!$A$2:$B1014,2,FALSE)),"No encontrado o error"))</f>
        <v/>
      </c>
      <c r="AF181" s="395"/>
      <c r="AG181" s="394"/>
      <c r="AH181" s="429" t="str">
        <f>IF(OR(ISBLANK($B181),ISBLANK($AG181)),"",IFERROR(IF($AG181&lt;=DATE('ESTADO CONTABLE'!$B$2,11,5),VLOOKUP($B181,COSTOS!$A$2:$B1014,2,FALSE)-150,VLOOKUP($B181,COSTOS!$A$2:$B1014,2,FALSE)),"No encontrado o error"))</f>
        <v/>
      </c>
      <c r="AI181" s="395"/>
      <c r="AJ181" s="394"/>
      <c r="AK181" s="429" t="str">
        <f>IF(OR(ISBLANK($B181),ISBLANK($AJ181)),"",IFERROR(IF($AJ181&lt;=DATE('ESTADO CONTABLE'!$B$2,12,5),VLOOKUP($B181,COSTOS!$A$2:$B1014,2,FALSE)-150,VLOOKUP($B181,COSTOS!$A$2:$B1014,2,FALSE)),"No encontrado o error"))</f>
        <v/>
      </c>
      <c r="AL181" s="395"/>
      <c r="AM181" s="254"/>
      <c r="AN181" s="255"/>
      <c r="AO181" s="256"/>
    </row>
    <row r="182" ht="22.5" customHeight="1">
      <c r="A182" s="431" t="str">
        <f>'BASE DE DATOSS'!A256</f>
        <v/>
      </c>
      <c r="B182" s="432" t="str">
        <f>'BASE DE DATOSS'!C256</f>
        <v/>
      </c>
      <c r="C182" s="263"/>
      <c r="D182" s="249"/>
      <c r="E182" s="250"/>
      <c r="F182" s="251"/>
      <c r="G182" s="262"/>
      <c r="H182" s="257"/>
      <c r="I182" s="249"/>
      <c r="J182" s="193" t="str">
        <f>IF(OR(ISBLANK($B182),ISBLANK($I182)),"",IFERROR(IF($I182&lt;=DATE('ESTADO CONTABLE'!$B$2,3,5),VLOOKUP($B182,COSTOS!$A$2:$B1014,2,FALSE)-150,VLOOKUP($B182,COSTOS!$A$2:$B1014,2,FALSE)),"No encontrado o error"))</f>
        <v/>
      </c>
      <c r="K182" s="264"/>
      <c r="L182" s="249"/>
      <c r="M182" s="189"/>
      <c r="N182" s="264"/>
      <c r="O182" s="249"/>
      <c r="P182" s="250"/>
      <c r="Q182" s="264"/>
      <c r="R182" s="249"/>
      <c r="S182" s="250"/>
      <c r="T182" s="264"/>
      <c r="U182" s="249"/>
      <c r="V182" s="250"/>
      <c r="W182" s="264"/>
      <c r="X182" s="394"/>
      <c r="Y182" s="429"/>
      <c r="Z182" s="395"/>
      <c r="AA182" s="394"/>
      <c r="AB182" s="118" t="str">
        <f>IF(OR(ISBLANK($B182),ISBLANK($AA182)),"",IFERROR(IF($AA182&lt;=DATE('ESTADO CONTABLE'!$B$2,9,5),VLOOKUP($B182,COSTOS!$A$2:$B1014,2,FALSE)-150,VLOOKUP($B182,COSTOS!$A$2:$B1014,2,FALSE)),"No encontrado o error"))</f>
        <v/>
      </c>
      <c r="AC182" s="395"/>
      <c r="AD182" s="394"/>
      <c r="AE182" s="429" t="str">
        <f>IF(OR(ISBLANK($B182),ISBLANK($AD182)),"",IFERROR(IF($AD182&lt;=DATE('ESTADO CONTABLE'!$B$2,10,5),VLOOKUP($B182,COSTOS!$A$2:$B1014,2,FALSE)-150,VLOOKUP($B182,COSTOS!$A$2:$B1014,2,FALSE)),"No encontrado o error"))</f>
        <v/>
      </c>
      <c r="AF182" s="395"/>
      <c r="AG182" s="394"/>
      <c r="AH182" s="429" t="str">
        <f>IF(OR(ISBLANK($B182),ISBLANK($AG182)),"",IFERROR(IF($AG182&lt;=DATE('ESTADO CONTABLE'!$B$2,11,5),VLOOKUP($B182,COSTOS!$A$2:$B1014,2,FALSE)-150,VLOOKUP($B182,COSTOS!$A$2:$B1014,2,FALSE)),"No encontrado o error"))</f>
        <v/>
      </c>
      <c r="AI182" s="395"/>
      <c r="AJ182" s="394"/>
      <c r="AK182" s="429" t="str">
        <f>IF(OR(ISBLANK($B182),ISBLANK($AJ182)),"",IFERROR(IF($AJ182&lt;=DATE('ESTADO CONTABLE'!$B$2,12,5),VLOOKUP($B182,COSTOS!$A$2:$B1014,2,FALSE)-150,VLOOKUP($B182,COSTOS!$A$2:$B1014,2,FALSE)),"No encontrado o error"))</f>
        <v/>
      </c>
      <c r="AL182" s="395"/>
      <c r="AM182" s="254"/>
      <c r="AN182" s="255"/>
      <c r="AO182" s="256"/>
    </row>
    <row r="183" ht="22.5" customHeight="1">
      <c r="A183" s="431" t="str">
        <f>'BASE DE DATOSS'!A257</f>
        <v/>
      </c>
      <c r="B183" s="432" t="str">
        <f>'BASE DE DATOSS'!C257</f>
        <v/>
      </c>
      <c r="C183" s="263"/>
      <c r="D183" s="249"/>
      <c r="E183" s="250"/>
      <c r="F183" s="251"/>
      <c r="G183" s="262"/>
      <c r="H183" s="257"/>
      <c r="I183" s="249"/>
      <c r="J183" s="193" t="str">
        <f>IF(OR(ISBLANK($B183),ISBLANK($I183)),"",IFERROR(IF($I183&lt;=DATE('ESTADO CONTABLE'!$B$2,3,5),VLOOKUP($B183,COSTOS!$A$2:$B1014,2,FALSE)-150,VLOOKUP($B183,COSTOS!$A$2:$B1014,2,FALSE)),"No encontrado o error"))</f>
        <v/>
      </c>
      <c r="K183" s="264"/>
      <c r="L183" s="249"/>
      <c r="M183" s="189"/>
      <c r="N183" s="264"/>
      <c r="O183" s="249"/>
      <c r="P183" s="250"/>
      <c r="Q183" s="264"/>
      <c r="R183" s="249"/>
      <c r="S183" s="250"/>
      <c r="T183" s="264"/>
      <c r="U183" s="249"/>
      <c r="V183" s="250"/>
      <c r="W183" s="264"/>
      <c r="X183" s="394"/>
      <c r="Y183" s="429"/>
      <c r="Z183" s="395"/>
      <c r="AA183" s="394"/>
      <c r="AB183" s="118" t="str">
        <f>IF(OR(ISBLANK($B183),ISBLANK($AA183)),"",IFERROR(IF($AA183&lt;=DATE('ESTADO CONTABLE'!$B$2,9,5),VLOOKUP($B183,COSTOS!$A$2:$B1014,2,FALSE)-150,VLOOKUP($B183,COSTOS!$A$2:$B1014,2,FALSE)),"No encontrado o error"))</f>
        <v/>
      </c>
      <c r="AC183" s="395"/>
      <c r="AD183" s="394"/>
      <c r="AE183" s="429" t="str">
        <f>IF(OR(ISBLANK($B183),ISBLANK($AD183)),"",IFERROR(IF($AD183&lt;=DATE('ESTADO CONTABLE'!$B$2,10,5),VLOOKUP($B183,COSTOS!$A$2:$B1014,2,FALSE)-150,VLOOKUP($B183,COSTOS!$A$2:$B1014,2,FALSE)),"No encontrado o error"))</f>
        <v/>
      </c>
      <c r="AF183" s="395"/>
      <c r="AG183" s="394"/>
      <c r="AH183" s="429" t="str">
        <f>IF(OR(ISBLANK($B183),ISBLANK($AG183)),"",IFERROR(IF($AG183&lt;=DATE('ESTADO CONTABLE'!$B$2,11,5),VLOOKUP($B183,COSTOS!$A$2:$B1014,2,FALSE)-150,VLOOKUP($B183,COSTOS!$A$2:$B1014,2,FALSE)),"No encontrado o error"))</f>
        <v/>
      </c>
      <c r="AI183" s="395"/>
      <c r="AJ183" s="394"/>
      <c r="AK183" s="429" t="str">
        <f>IF(OR(ISBLANK($B183),ISBLANK($AJ183)),"",IFERROR(IF($AJ183&lt;=DATE('ESTADO CONTABLE'!$B$2,12,5),VLOOKUP($B183,COSTOS!$A$2:$B1014,2,FALSE)-150,VLOOKUP($B183,COSTOS!$A$2:$B1014,2,FALSE)),"No encontrado o error"))</f>
        <v/>
      </c>
      <c r="AL183" s="395"/>
      <c r="AM183" s="254"/>
      <c r="AN183" s="255"/>
      <c r="AO183" s="256"/>
    </row>
    <row r="184" ht="22.5" customHeight="1">
      <c r="A184" s="431" t="str">
        <f>'BASE DE DATOSS'!A258</f>
        <v/>
      </c>
      <c r="B184" s="432" t="str">
        <f>'BASE DE DATOSS'!C258</f>
        <v/>
      </c>
      <c r="C184" s="263"/>
      <c r="D184" s="249"/>
      <c r="E184" s="250"/>
      <c r="F184" s="251"/>
      <c r="G184" s="262"/>
      <c r="H184" s="257"/>
      <c r="I184" s="249"/>
      <c r="J184" s="193" t="str">
        <f>IF(OR(ISBLANK($B184),ISBLANK($I184)),"",IFERROR(IF($I184&lt;=DATE('ESTADO CONTABLE'!$B$2,3,5),VLOOKUP($B184,COSTOS!$A$2:$B1014,2,FALSE)-150,VLOOKUP($B184,COSTOS!$A$2:$B1014,2,FALSE)),"No encontrado o error"))</f>
        <v/>
      </c>
      <c r="K184" s="264"/>
      <c r="L184" s="249"/>
      <c r="M184" s="189"/>
      <c r="N184" s="264"/>
      <c r="O184" s="249"/>
      <c r="P184" s="250"/>
      <c r="Q184" s="264"/>
      <c r="R184" s="249"/>
      <c r="S184" s="250"/>
      <c r="T184" s="264"/>
      <c r="U184" s="249"/>
      <c r="V184" s="250"/>
      <c r="W184" s="264"/>
      <c r="X184" s="394"/>
      <c r="Y184" s="429"/>
      <c r="Z184" s="395"/>
      <c r="AA184" s="394"/>
      <c r="AB184" s="118" t="str">
        <f>IF(OR(ISBLANK($B184),ISBLANK($AA184)),"",IFERROR(IF($AA184&lt;=DATE('ESTADO CONTABLE'!$B$2,9,5),VLOOKUP($B184,COSTOS!$A$2:$B1014,2,FALSE)-150,VLOOKUP($B184,COSTOS!$A$2:$B1014,2,FALSE)),"No encontrado o error"))</f>
        <v/>
      </c>
      <c r="AC184" s="395"/>
      <c r="AD184" s="394"/>
      <c r="AE184" s="429" t="str">
        <f>IF(OR(ISBLANK($B184),ISBLANK($AD184)),"",IFERROR(IF($AD184&lt;=DATE('ESTADO CONTABLE'!$B$2,10,5),VLOOKUP($B184,COSTOS!$A$2:$B1014,2,FALSE)-150,VLOOKUP($B184,COSTOS!$A$2:$B1014,2,FALSE)),"No encontrado o error"))</f>
        <v/>
      </c>
      <c r="AF184" s="395"/>
      <c r="AG184" s="394"/>
      <c r="AH184" s="429" t="str">
        <f>IF(OR(ISBLANK($B184),ISBLANK($AG184)),"",IFERROR(IF($AG184&lt;=DATE('ESTADO CONTABLE'!$B$2,11,5),VLOOKUP($B184,COSTOS!$A$2:$B1014,2,FALSE)-150,VLOOKUP($B184,COSTOS!$A$2:$B1014,2,FALSE)),"No encontrado o error"))</f>
        <v/>
      </c>
      <c r="AI184" s="395"/>
      <c r="AJ184" s="394"/>
      <c r="AK184" s="429" t="str">
        <f>IF(OR(ISBLANK($B184),ISBLANK($AJ184)),"",IFERROR(IF($AJ184&lt;=DATE('ESTADO CONTABLE'!$B$2,12,5),VLOOKUP($B184,COSTOS!$A$2:$B1014,2,FALSE)-150,VLOOKUP($B184,COSTOS!$A$2:$B1014,2,FALSE)),"No encontrado o error"))</f>
        <v/>
      </c>
      <c r="AL184" s="395"/>
      <c r="AM184" s="254"/>
      <c r="AN184" s="255"/>
      <c r="AO184" s="256"/>
    </row>
    <row r="185" ht="22.5" customHeight="1">
      <c r="A185" s="431" t="str">
        <f>'BASE DE DATOSS'!A259</f>
        <v/>
      </c>
      <c r="B185" s="432" t="str">
        <f>'BASE DE DATOSS'!C259</f>
        <v/>
      </c>
      <c r="C185" s="263"/>
      <c r="D185" s="249"/>
      <c r="E185" s="250"/>
      <c r="F185" s="251"/>
      <c r="G185" s="262"/>
      <c r="H185" s="257"/>
      <c r="I185" s="249"/>
      <c r="J185" s="193" t="str">
        <f>IF(OR(ISBLANK($B185),ISBLANK($I185)),"",IFERROR(IF($I185&lt;=DATE('ESTADO CONTABLE'!$B$2,3,5),VLOOKUP($B185,COSTOS!$A$2:$B1014,2,FALSE)-150,VLOOKUP($B185,COSTOS!$A$2:$B1014,2,FALSE)),"No encontrado o error"))</f>
        <v/>
      </c>
      <c r="K185" s="264"/>
      <c r="L185" s="249"/>
      <c r="M185" s="189"/>
      <c r="N185" s="264"/>
      <c r="O185" s="249"/>
      <c r="P185" s="250"/>
      <c r="Q185" s="264"/>
      <c r="R185" s="249"/>
      <c r="S185" s="250"/>
      <c r="T185" s="264"/>
      <c r="U185" s="249"/>
      <c r="V185" s="250"/>
      <c r="W185" s="264"/>
      <c r="X185" s="394"/>
      <c r="Y185" s="429"/>
      <c r="Z185" s="395"/>
      <c r="AA185" s="394"/>
      <c r="AB185" s="118" t="str">
        <f>IF(OR(ISBLANK($B185),ISBLANK($AA185)),"",IFERROR(IF($AA185&lt;=DATE('ESTADO CONTABLE'!$B$2,9,5),VLOOKUP($B185,COSTOS!$A$2:$B1014,2,FALSE)-150,VLOOKUP($B185,COSTOS!$A$2:$B1014,2,FALSE)),"No encontrado o error"))</f>
        <v/>
      </c>
      <c r="AC185" s="395"/>
      <c r="AD185" s="394"/>
      <c r="AE185" s="429" t="str">
        <f>IF(OR(ISBLANK($B185),ISBLANK($AD185)),"",IFERROR(IF($AD185&lt;=DATE('ESTADO CONTABLE'!$B$2,10,5),VLOOKUP($B185,COSTOS!$A$2:$B1014,2,FALSE)-150,VLOOKUP($B185,COSTOS!$A$2:$B1014,2,FALSE)),"No encontrado o error"))</f>
        <v/>
      </c>
      <c r="AF185" s="395"/>
      <c r="AG185" s="394"/>
      <c r="AH185" s="429" t="str">
        <f>IF(OR(ISBLANK($B185),ISBLANK($AG185)),"",IFERROR(IF($AG185&lt;=DATE('ESTADO CONTABLE'!$B$2,11,5),VLOOKUP($B185,COSTOS!$A$2:$B1014,2,FALSE)-150,VLOOKUP($B185,COSTOS!$A$2:$B1014,2,FALSE)),"No encontrado o error"))</f>
        <v/>
      </c>
      <c r="AI185" s="395"/>
      <c r="AJ185" s="394"/>
      <c r="AK185" s="429" t="str">
        <f>IF(OR(ISBLANK($B185),ISBLANK($AJ185)),"",IFERROR(IF($AJ185&lt;=DATE('ESTADO CONTABLE'!$B$2,12,5),VLOOKUP($B185,COSTOS!$A$2:$B1014,2,FALSE)-150,VLOOKUP($B185,COSTOS!$A$2:$B1014,2,FALSE)),"No encontrado o error"))</f>
        <v/>
      </c>
      <c r="AL185" s="395"/>
      <c r="AM185" s="254"/>
      <c r="AN185" s="255"/>
      <c r="AO185" s="256"/>
    </row>
    <row r="186" ht="22.5" customHeight="1">
      <c r="A186" s="431" t="str">
        <f>'BASE DE DATOSS'!A260</f>
        <v/>
      </c>
      <c r="B186" s="432" t="str">
        <f>'BASE DE DATOSS'!C260</f>
        <v/>
      </c>
      <c r="C186" s="263"/>
      <c r="D186" s="249"/>
      <c r="E186" s="250"/>
      <c r="F186" s="251"/>
      <c r="G186" s="262"/>
      <c r="H186" s="257"/>
      <c r="I186" s="249"/>
      <c r="J186" s="193" t="str">
        <f>IF(OR(ISBLANK($B186),ISBLANK($I186)),"",IFERROR(IF($I186&lt;=DATE('ESTADO CONTABLE'!$B$2,3,5),VLOOKUP($B186,COSTOS!$A$2:$B1014,2,FALSE)-150,VLOOKUP($B186,COSTOS!$A$2:$B1014,2,FALSE)),"No encontrado o error"))</f>
        <v/>
      </c>
      <c r="K186" s="264"/>
      <c r="L186" s="249"/>
      <c r="M186" s="189"/>
      <c r="N186" s="264"/>
      <c r="O186" s="249"/>
      <c r="P186" s="250"/>
      <c r="Q186" s="264"/>
      <c r="R186" s="249"/>
      <c r="S186" s="250"/>
      <c r="T186" s="264"/>
      <c r="U186" s="249"/>
      <c r="V186" s="250"/>
      <c r="W186" s="264"/>
      <c r="X186" s="394"/>
      <c r="Y186" s="429"/>
      <c r="Z186" s="395"/>
      <c r="AA186" s="394"/>
      <c r="AB186" s="118" t="str">
        <f>IF(OR(ISBLANK($B186),ISBLANK($AA186)),"",IFERROR(IF($AA186&lt;=DATE('ESTADO CONTABLE'!$B$2,9,5),VLOOKUP($B186,COSTOS!$A$2:$B1014,2,FALSE)-150,VLOOKUP($B186,COSTOS!$A$2:$B1014,2,FALSE)),"No encontrado o error"))</f>
        <v/>
      </c>
      <c r="AC186" s="395"/>
      <c r="AD186" s="394"/>
      <c r="AE186" s="429" t="str">
        <f>IF(OR(ISBLANK($B186),ISBLANK($AD186)),"",IFERROR(IF($AD186&lt;=DATE('ESTADO CONTABLE'!$B$2,10,5),VLOOKUP($B186,COSTOS!$A$2:$B1014,2,FALSE)-150,VLOOKUP($B186,COSTOS!$A$2:$B1014,2,FALSE)),"No encontrado o error"))</f>
        <v/>
      </c>
      <c r="AF186" s="395"/>
      <c r="AG186" s="394"/>
      <c r="AH186" s="429" t="str">
        <f>IF(OR(ISBLANK($B186),ISBLANK($AG186)),"",IFERROR(IF($AG186&lt;=DATE('ESTADO CONTABLE'!$B$2,11,5),VLOOKUP($B186,COSTOS!$A$2:$B1014,2,FALSE)-150,VLOOKUP($B186,COSTOS!$A$2:$B1014,2,FALSE)),"No encontrado o error"))</f>
        <v/>
      </c>
      <c r="AI186" s="395"/>
      <c r="AJ186" s="394"/>
      <c r="AK186" s="429" t="str">
        <f>IF(OR(ISBLANK($B186),ISBLANK($AJ186)),"",IFERROR(IF($AJ186&lt;=DATE('ESTADO CONTABLE'!$B$2,12,5),VLOOKUP($B186,COSTOS!$A$2:$B1014,2,FALSE)-150,VLOOKUP($B186,COSTOS!$A$2:$B1014,2,FALSE)),"No encontrado o error"))</f>
        <v/>
      </c>
      <c r="AL186" s="395"/>
      <c r="AM186" s="254"/>
      <c r="AN186" s="255"/>
      <c r="AO186" s="256"/>
    </row>
    <row r="187" ht="22.5" customHeight="1">
      <c r="A187" s="431" t="str">
        <f>'BASE DE DATOSS'!A261</f>
        <v/>
      </c>
      <c r="B187" s="432" t="str">
        <f>'BASE DE DATOSS'!C261</f>
        <v/>
      </c>
      <c r="C187" s="263"/>
      <c r="D187" s="249"/>
      <c r="E187" s="250"/>
      <c r="F187" s="251"/>
      <c r="G187" s="262"/>
      <c r="H187" s="257"/>
      <c r="I187" s="249"/>
      <c r="J187" s="193" t="str">
        <f>IF(OR(ISBLANK($B187),ISBLANK($I187)),"",IFERROR(IF($I187&lt;=DATE('ESTADO CONTABLE'!$B$2,3,5),VLOOKUP($B187,COSTOS!$A$2:$B1014,2,FALSE)-150,VLOOKUP($B187,COSTOS!$A$2:$B1014,2,FALSE)),"No encontrado o error"))</f>
        <v/>
      </c>
      <c r="K187" s="264"/>
      <c r="L187" s="249"/>
      <c r="M187" s="189"/>
      <c r="N187" s="264"/>
      <c r="O187" s="249"/>
      <c r="P187" s="250"/>
      <c r="Q187" s="264"/>
      <c r="R187" s="249"/>
      <c r="S187" s="250"/>
      <c r="T187" s="264"/>
      <c r="U187" s="249"/>
      <c r="V187" s="250"/>
      <c r="W187" s="264"/>
      <c r="X187" s="394"/>
      <c r="Y187" s="429"/>
      <c r="Z187" s="395"/>
      <c r="AA187" s="394"/>
      <c r="AB187" s="118" t="str">
        <f>IF(OR(ISBLANK($B187),ISBLANK($AA187)),"",IFERROR(IF($AA187&lt;=DATE('ESTADO CONTABLE'!$B$2,9,5),VLOOKUP($B187,COSTOS!$A$2:$B1014,2,FALSE)-150,VLOOKUP($B187,COSTOS!$A$2:$B1014,2,FALSE)),"No encontrado o error"))</f>
        <v/>
      </c>
      <c r="AC187" s="395"/>
      <c r="AD187" s="394"/>
      <c r="AE187" s="429" t="str">
        <f>IF(OR(ISBLANK($B187),ISBLANK($AD187)),"",IFERROR(IF($AD187&lt;=DATE('ESTADO CONTABLE'!$B$2,10,5),VLOOKUP($B187,COSTOS!$A$2:$B1014,2,FALSE)-150,VLOOKUP($B187,COSTOS!$A$2:$B1014,2,FALSE)),"No encontrado o error"))</f>
        <v/>
      </c>
      <c r="AF187" s="395"/>
      <c r="AG187" s="394"/>
      <c r="AH187" s="429" t="str">
        <f>IF(OR(ISBLANK($B187),ISBLANK($AG187)),"",IFERROR(IF($AG187&lt;=DATE('ESTADO CONTABLE'!$B$2,11,5),VLOOKUP($B187,COSTOS!$A$2:$B1014,2,FALSE)-150,VLOOKUP($B187,COSTOS!$A$2:$B1014,2,FALSE)),"No encontrado o error"))</f>
        <v/>
      </c>
      <c r="AI187" s="395"/>
      <c r="AJ187" s="394"/>
      <c r="AK187" s="429" t="str">
        <f>IF(OR(ISBLANK($B187),ISBLANK($AJ187)),"",IFERROR(IF($AJ187&lt;=DATE('ESTADO CONTABLE'!$B$2,12,5),VLOOKUP($B187,COSTOS!$A$2:$B1014,2,FALSE)-150,VLOOKUP($B187,COSTOS!$A$2:$B1014,2,FALSE)),"No encontrado o error"))</f>
        <v/>
      </c>
      <c r="AL187" s="395"/>
      <c r="AM187" s="254"/>
      <c r="AN187" s="255"/>
      <c r="AO187" s="256"/>
    </row>
    <row r="188" ht="22.5" customHeight="1">
      <c r="A188" s="431" t="str">
        <f>'BASE DE DATOSS'!A262</f>
        <v/>
      </c>
      <c r="B188" s="432" t="str">
        <f>'BASE DE DATOSS'!C262</f>
        <v/>
      </c>
      <c r="C188" s="263"/>
      <c r="D188" s="249"/>
      <c r="E188" s="250"/>
      <c r="F188" s="251"/>
      <c r="G188" s="262"/>
      <c r="H188" s="257"/>
      <c r="I188" s="249"/>
      <c r="J188" s="193" t="str">
        <f>IF(OR(ISBLANK($B188),ISBLANK($I188)),"",IFERROR(IF($I188&lt;=DATE('ESTADO CONTABLE'!$B$2,3,5),VLOOKUP($B188,COSTOS!$A$2:$B1014,2,FALSE)-150,VLOOKUP($B188,COSTOS!$A$2:$B1014,2,FALSE)),"No encontrado o error"))</f>
        <v/>
      </c>
      <c r="K188" s="264"/>
      <c r="L188" s="249"/>
      <c r="M188" s="189"/>
      <c r="N188" s="264"/>
      <c r="O188" s="249"/>
      <c r="P188" s="250"/>
      <c r="Q188" s="264"/>
      <c r="R188" s="249"/>
      <c r="S188" s="250"/>
      <c r="T188" s="264"/>
      <c r="U188" s="249"/>
      <c r="V188" s="250"/>
      <c r="W188" s="264"/>
      <c r="X188" s="394"/>
      <c r="Y188" s="429"/>
      <c r="Z188" s="395"/>
      <c r="AA188" s="394"/>
      <c r="AB188" s="118" t="str">
        <f>IF(OR(ISBLANK($B188),ISBLANK($AA188)),"",IFERROR(IF($AA188&lt;=DATE('ESTADO CONTABLE'!$B$2,9,5),VLOOKUP($B188,COSTOS!$A$2:$B1014,2,FALSE)-150,VLOOKUP($B188,COSTOS!$A$2:$B1014,2,FALSE)),"No encontrado o error"))</f>
        <v/>
      </c>
      <c r="AC188" s="395"/>
      <c r="AD188" s="394"/>
      <c r="AE188" s="429" t="str">
        <f>IF(OR(ISBLANK($B188),ISBLANK($AD188)),"",IFERROR(IF($AD188&lt;=DATE('ESTADO CONTABLE'!$B$2,10,5),VLOOKUP($B188,COSTOS!$A$2:$B1014,2,FALSE)-150,VLOOKUP($B188,COSTOS!$A$2:$B1014,2,FALSE)),"No encontrado o error"))</f>
        <v/>
      </c>
      <c r="AF188" s="395"/>
      <c r="AG188" s="394"/>
      <c r="AH188" s="429" t="str">
        <f>IF(OR(ISBLANK($B188),ISBLANK($AG188)),"",IFERROR(IF($AG188&lt;=DATE('ESTADO CONTABLE'!$B$2,11,5),VLOOKUP($B188,COSTOS!$A$2:$B1014,2,FALSE)-150,VLOOKUP($B188,COSTOS!$A$2:$B1014,2,FALSE)),"No encontrado o error"))</f>
        <v/>
      </c>
      <c r="AI188" s="395"/>
      <c r="AJ188" s="394"/>
      <c r="AK188" s="429" t="str">
        <f>IF(OR(ISBLANK($B188),ISBLANK($AJ188)),"",IFERROR(IF($AJ188&lt;=DATE('ESTADO CONTABLE'!$B$2,12,5),VLOOKUP($B188,COSTOS!$A$2:$B1014,2,FALSE)-150,VLOOKUP($B188,COSTOS!$A$2:$B1014,2,FALSE)),"No encontrado o error"))</f>
        <v/>
      </c>
      <c r="AL188" s="395"/>
      <c r="AM188" s="254"/>
      <c r="AN188" s="255"/>
      <c r="AO188" s="256"/>
    </row>
    <row r="189" ht="22.5" customHeight="1">
      <c r="A189" s="431" t="str">
        <f>'BASE DE DATOSS'!A263</f>
        <v/>
      </c>
      <c r="B189" s="432" t="str">
        <f>'BASE DE DATOSS'!C263</f>
        <v/>
      </c>
      <c r="C189" s="263"/>
      <c r="D189" s="249"/>
      <c r="E189" s="250"/>
      <c r="F189" s="251"/>
      <c r="G189" s="262"/>
      <c r="H189" s="257"/>
      <c r="I189" s="249"/>
      <c r="J189" s="193" t="str">
        <f>IF(OR(ISBLANK($B189),ISBLANK($I189)),"",IFERROR(IF($I189&lt;=DATE('ESTADO CONTABLE'!$B$2,3,5),VLOOKUP($B189,COSTOS!$A$2:$B1014,2,FALSE)-150,VLOOKUP($B189,COSTOS!$A$2:$B1014,2,FALSE)),"No encontrado o error"))</f>
        <v/>
      </c>
      <c r="K189" s="264"/>
      <c r="L189" s="249"/>
      <c r="M189" s="189"/>
      <c r="N189" s="264"/>
      <c r="O189" s="249"/>
      <c r="P189" s="250"/>
      <c r="Q189" s="264"/>
      <c r="R189" s="249"/>
      <c r="S189" s="250"/>
      <c r="T189" s="264"/>
      <c r="U189" s="249"/>
      <c r="V189" s="250"/>
      <c r="W189" s="264"/>
      <c r="X189" s="394"/>
      <c r="Y189" s="429"/>
      <c r="Z189" s="395"/>
      <c r="AA189" s="394"/>
      <c r="AB189" s="118" t="str">
        <f>IF(OR(ISBLANK($B189),ISBLANK($AA189)),"",IFERROR(IF($AA189&lt;=DATE('ESTADO CONTABLE'!$B$2,9,5),VLOOKUP($B189,COSTOS!$A$2:$B1014,2,FALSE)-150,VLOOKUP($B189,COSTOS!$A$2:$B1014,2,FALSE)),"No encontrado o error"))</f>
        <v/>
      </c>
      <c r="AC189" s="395"/>
      <c r="AD189" s="394"/>
      <c r="AE189" s="429" t="str">
        <f>IF(OR(ISBLANK($B189),ISBLANK($AD189)),"",IFERROR(IF($AD189&lt;=DATE('ESTADO CONTABLE'!$B$2,10,5),VLOOKUP($B189,COSTOS!$A$2:$B1014,2,FALSE)-150,VLOOKUP($B189,COSTOS!$A$2:$B1014,2,FALSE)),"No encontrado o error"))</f>
        <v/>
      </c>
      <c r="AF189" s="395"/>
      <c r="AG189" s="394"/>
      <c r="AH189" s="429" t="str">
        <f>IF(OR(ISBLANK($B189),ISBLANK($AG189)),"",IFERROR(IF($AG189&lt;=DATE('ESTADO CONTABLE'!$B$2,11,5),VLOOKUP($B189,COSTOS!$A$2:$B1014,2,FALSE)-150,VLOOKUP($B189,COSTOS!$A$2:$B1014,2,FALSE)),"No encontrado o error"))</f>
        <v/>
      </c>
      <c r="AI189" s="395"/>
      <c r="AJ189" s="394"/>
      <c r="AK189" s="429" t="str">
        <f>IF(OR(ISBLANK($B189),ISBLANK($AJ189)),"",IFERROR(IF($AJ189&lt;=DATE('ESTADO CONTABLE'!$B$2,12,5),VLOOKUP($B189,COSTOS!$A$2:$B1014,2,FALSE)-150,VLOOKUP($B189,COSTOS!$A$2:$B1014,2,FALSE)),"No encontrado o error"))</f>
        <v/>
      </c>
      <c r="AL189" s="395"/>
      <c r="AM189" s="254"/>
      <c r="AN189" s="255"/>
      <c r="AO189" s="256"/>
    </row>
    <row r="190" ht="22.5" customHeight="1">
      <c r="A190" s="431" t="str">
        <f>'BASE DE DATOSS'!A264</f>
        <v/>
      </c>
      <c r="B190" s="432" t="str">
        <f>'BASE DE DATOSS'!C264</f>
        <v/>
      </c>
      <c r="C190" s="263"/>
      <c r="D190" s="249"/>
      <c r="E190" s="250"/>
      <c r="F190" s="251"/>
      <c r="G190" s="262"/>
      <c r="H190" s="257"/>
      <c r="I190" s="249"/>
      <c r="J190" s="193" t="str">
        <f>IF(OR(ISBLANK($B190),ISBLANK($I190)),"",IFERROR(IF($I190&lt;=DATE('ESTADO CONTABLE'!$B$2,3,5),VLOOKUP($B190,COSTOS!$A$2:$B1014,2,FALSE)-150,VLOOKUP($B190,COSTOS!$A$2:$B1014,2,FALSE)),"No encontrado o error"))</f>
        <v/>
      </c>
      <c r="K190" s="264"/>
      <c r="L190" s="249"/>
      <c r="M190" s="189"/>
      <c r="N190" s="264"/>
      <c r="O190" s="249"/>
      <c r="P190" s="250"/>
      <c r="Q190" s="264"/>
      <c r="R190" s="249"/>
      <c r="S190" s="250"/>
      <c r="T190" s="264"/>
      <c r="U190" s="249"/>
      <c r="V190" s="250"/>
      <c r="W190" s="264"/>
      <c r="X190" s="394"/>
      <c r="Y190" s="429"/>
      <c r="Z190" s="395"/>
      <c r="AA190" s="394"/>
      <c r="AB190" s="118" t="str">
        <f>IF(OR(ISBLANK($B190),ISBLANK($AA190)),"",IFERROR(IF($AA190&lt;=DATE('ESTADO CONTABLE'!$B$2,9,5),VLOOKUP($B190,COSTOS!$A$2:$B1014,2,FALSE)-150,VLOOKUP($B190,COSTOS!$A$2:$B1014,2,FALSE)),"No encontrado o error"))</f>
        <v/>
      </c>
      <c r="AC190" s="395"/>
      <c r="AD190" s="394"/>
      <c r="AE190" s="429" t="str">
        <f>IF(OR(ISBLANK($B190),ISBLANK($AD190)),"",IFERROR(IF($AD190&lt;=DATE('ESTADO CONTABLE'!$B$2,10,5),VLOOKUP($B190,COSTOS!$A$2:$B1014,2,FALSE)-150,VLOOKUP($B190,COSTOS!$A$2:$B1014,2,FALSE)),"No encontrado o error"))</f>
        <v/>
      </c>
      <c r="AF190" s="395"/>
      <c r="AG190" s="394"/>
      <c r="AH190" s="429" t="str">
        <f>IF(OR(ISBLANK($B190),ISBLANK($AG190)),"",IFERROR(IF($AG190&lt;=DATE('ESTADO CONTABLE'!$B$2,11,5),VLOOKUP($B190,COSTOS!$A$2:$B1014,2,FALSE)-150,VLOOKUP($B190,COSTOS!$A$2:$B1014,2,FALSE)),"No encontrado o error"))</f>
        <v/>
      </c>
      <c r="AI190" s="395"/>
      <c r="AJ190" s="394"/>
      <c r="AK190" s="429" t="str">
        <f>IF(OR(ISBLANK($B190),ISBLANK($AJ190)),"",IFERROR(IF($AJ190&lt;=DATE('ESTADO CONTABLE'!$B$2,12,5),VLOOKUP($B190,COSTOS!$A$2:$B1014,2,FALSE)-150,VLOOKUP($B190,COSTOS!$A$2:$B1014,2,FALSE)),"No encontrado o error"))</f>
        <v/>
      </c>
      <c r="AL190" s="395"/>
      <c r="AM190" s="254"/>
      <c r="AN190" s="255"/>
      <c r="AO190" s="256"/>
    </row>
    <row r="191" ht="22.5" customHeight="1">
      <c r="A191" s="431" t="str">
        <f>'BASE DE DATOSS'!A265</f>
        <v/>
      </c>
      <c r="B191" s="432" t="str">
        <f>'BASE DE DATOSS'!C265</f>
        <v/>
      </c>
      <c r="C191" s="263"/>
      <c r="D191" s="249"/>
      <c r="E191" s="250"/>
      <c r="F191" s="251"/>
      <c r="G191" s="262"/>
      <c r="H191" s="257"/>
      <c r="I191" s="249"/>
      <c r="J191" s="193" t="str">
        <f>IF(OR(ISBLANK($B191),ISBLANK($I191)),"",IFERROR(IF($I191&lt;=DATE('ESTADO CONTABLE'!$B$2,3,5),VLOOKUP($B191,COSTOS!$A$2:$B1014,2,FALSE)-150,VLOOKUP($B191,COSTOS!$A$2:$B1014,2,FALSE)),"No encontrado o error"))</f>
        <v/>
      </c>
      <c r="K191" s="264"/>
      <c r="L191" s="249"/>
      <c r="M191" s="189"/>
      <c r="N191" s="264"/>
      <c r="O191" s="249"/>
      <c r="P191" s="250"/>
      <c r="Q191" s="264"/>
      <c r="R191" s="249"/>
      <c r="S191" s="250"/>
      <c r="T191" s="264"/>
      <c r="U191" s="249"/>
      <c r="V191" s="250"/>
      <c r="W191" s="264"/>
      <c r="X191" s="394"/>
      <c r="Y191" s="429"/>
      <c r="Z191" s="395"/>
      <c r="AA191" s="394"/>
      <c r="AB191" s="118" t="str">
        <f>IF(OR(ISBLANK($B191),ISBLANK($AA191)),"",IFERROR(IF($AA191&lt;=DATE('ESTADO CONTABLE'!$B$2,9,5),VLOOKUP($B191,COSTOS!$A$2:$B1014,2,FALSE)-150,VLOOKUP($B191,COSTOS!$A$2:$B1014,2,FALSE)),"No encontrado o error"))</f>
        <v/>
      </c>
      <c r="AC191" s="395"/>
      <c r="AD191" s="394"/>
      <c r="AE191" s="429" t="str">
        <f>IF(OR(ISBLANK($B191),ISBLANK($AD191)),"",IFERROR(IF($AD191&lt;=DATE('ESTADO CONTABLE'!$B$2,10,5),VLOOKUP($B191,COSTOS!$A$2:$B1014,2,FALSE)-150,VLOOKUP($B191,COSTOS!$A$2:$B1014,2,FALSE)),"No encontrado o error"))</f>
        <v/>
      </c>
      <c r="AF191" s="395"/>
      <c r="AG191" s="394"/>
      <c r="AH191" s="429" t="str">
        <f>IF(OR(ISBLANK($B191),ISBLANK($AG191)),"",IFERROR(IF($AG191&lt;=DATE('ESTADO CONTABLE'!$B$2,11,5),VLOOKUP($B191,COSTOS!$A$2:$B1014,2,FALSE)-150,VLOOKUP($B191,COSTOS!$A$2:$B1014,2,FALSE)),"No encontrado o error"))</f>
        <v/>
      </c>
      <c r="AI191" s="395"/>
      <c r="AJ191" s="394"/>
      <c r="AK191" s="429" t="str">
        <f>IF(OR(ISBLANK($B191),ISBLANK($AJ191)),"",IFERROR(IF($AJ191&lt;=DATE('ESTADO CONTABLE'!$B$2,12,5),VLOOKUP($B191,COSTOS!$A$2:$B1014,2,FALSE)-150,VLOOKUP($B191,COSTOS!$A$2:$B1014,2,FALSE)),"No encontrado o error"))</f>
        <v/>
      </c>
      <c r="AL191" s="395"/>
      <c r="AM191" s="254"/>
      <c r="AN191" s="255"/>
      <c r="AO191" s="256"/>
    </row>
    <row r="192" ht="22.5" customHeight="1">
      <c r="A192" s="431" t="str">
        <f>'BASE DE DATOSS'!A266</f>
        <v/>
      </c>
      <c r="B192" s="432" t="str">
        <f>'BASE DE DATOSS'!C266</f>
        <v/>
      </c>
      <c r="C192" s="263"/>
      <c r="D192" s="249"/>
      <c r="E192" s="250"/>
      <c r="F192" s="251"/>
      <c r="G192" s="262"/>
      <c r="H192" s="257"/>
      <c r="I192" s="249"/>
      <c r="J192" s="193" t="str">
        <f>IF(OR(ISBLANK($B192),ISBLANK($I192)),"",IFERROR(IF($I192&lt;=DATE('ESTADO CONTABLE'!$B$2,3,5),VLOOKUP($B192,COSTOS!$A$2:$B1014,2,FALSE)-150,VLOOKUP($B192,COSTOS!$A$2:$B1014,2,FALSE)),"No encontrado o error"))</f>
        <v/>
      </c>
      <c r="K192" s="264"/>
      <c r="L192" s="249"/>
      <c r="M192" s="189"/>
      <c r="N192" s="264"/>
      <c r="O192" s="249"/>
      <c r="P192" s="250"/>
      <c r="Q192" s="264"/>
      <c r="R192" s="249"/>
      <c r="S192" s="250"/>
      <c r="T192" s="264"/>
      <c r="U192" s="249"/>
      <c r="V192" s="250"/>
      <c r="W192" s="264"/>
      <c r="X192" s="394"/>
      <c r="Y192" s="429"/>
      <c r="Z192" s="395"/>
      <c r="AA192" s="394"/>
      <c r="AB192" s="118" t="str">
        <f>IF(OR(ISBLANK($B192),ISBLANK($AA192)),"",IFERROR(IF($AA192&lt;=DATE('ESTADO CONTABLE'!$B$2,9,5),VLOOKUP($B192,COSTOS!$A$2:$B1014,2,FALSE)-150,VLOOKUP($B192,COSTOS!$A$2:$B1014,2,FALSE)),"No encontrado o error"))</f>
        <v/>
      </c>
      <c r="AC192" s="395"/>
      <c r="AD192" s="394"/>
      <c r="AE192" s="429" t="str">
        <f>IF(OR(ISBLANK($B192),ISBLANK($AD192)),"",IFERROR(IF($AD192&lt;=DATE('ESTADO CONTABLE'!$B$2,10,5),VLOOKUP($B192,COSTOS!$A$2:$B1014,2,FALSE)-150,VLOOKUP($B192,COSTOS!$A$2:$B1014,2,FALSE)),"No encontrado o error"))</f>
        <v/>
      </c>
      <c r="AF192" s="395"/>
      <c r="AG192" s="394"/>
      <c r="AH192" s="429" t="str">
        <f>IF(OR(ISBLANK($B192),ISBLANK($AG192)),"",IFERROR(IF($AG192&lt;=DATE('ESTADO CONTABLE'!$B$2,11,5),VLOOKUP($B192,COSTOS!$A$2:$B1014,2,FALSE)-150,VLOOKUP($B192,COSTOS!$A$2:$B1014,2,FALSE)),"No encontrado o error"))</f>
        <v/>
      </c>
      <c r="AI192" s="395"/>
      <c r="AJ192" s="394"/>
      <c r="AK192" s="429" t="str">
        <f>IF(OR(ISBLANK($B192),ISBLANK($AJ192)),"",IFERROR(IF($AJ192&lt;=DATE('ESTADO CONTABLE'!$B$2,12,5),VLOOKUP($B192,COSTOS!$A$2:$B1014,2,FALSE)-150,VLOOKUP($B192,COSTOS!$A$2:$B1014,2,FALSE)),"No encontrado o error"))</f>
        <v/>
      </c>
      <c r="AL192" s="395"/>
      <c r="AM192" s="254"/>
      <c r="AN192" s="255"/>
      <c r="AO192" s="256"/>
    </row>
    <row r="193" ht="22.5" customHeight="1">
      <c r="A193" s="431" t="str">
        <f>'BASE DE DATOSS'!A267</f>
        <v/>
      </c>
      <c r="B193" s="432" t="str">
        <f>'BASE DE DATOSS'!C267</f>
        <v/>
      </c>
      <c r="C193" s="263"/>
      <c r="D193" s="249"/>
      <c r="E193" s="250"/>
      <c r="F193" s="251"/>
      <c r="G193" s="262"/>
      <c r="H193" s="257"/>
      <c r="I193" s="249"/>
      <c r="J193" s="193" t="str">
        <f>IF(OR(ISBLANK($B193),ISBLANK($I193)),"",IFERROR(IF($I193&lt;=DATE('ESTADO CONTABLE'!$B$2,3,5),VLOOKUP($B193,COSTOS!$A$2:$B1014,2,FALSE)-150,VLOOKUP($B193,COSTOS!$A$2:$B1014,2,FALSE)),"No encontrado o error"))</f>
        <v/>
      </c>
      <c r="K193" s="264"/>
      <c r="L193" s="249"/>
      <c r="M193" s="189"/>
      <c r="N193" s="264"/>
      <c r="O193" s="249"/>
      <c r="P193" s="250"/>
      <c r="Q193" s="264"/>
      <c r="R193" s="249"/>
      <c r="S193" s="250"/>
      <c r="T193" s="264"/>
      <c r="U193" s="249"/>
      <c r="V193" s="250"/>
      <c r="W193" s="264"/>
      <c r="X193" s="394"/>
      <c r="Y193" s="429"/>
      <c r="Z193" s="395"/>
      <c r="AA193" s="394"/>
      <c r="AB193" s="118" t="str">
        <f>IF(OR(ISBLANK($B193),ISBLANK($AA193)),"",IFERROR(IF($AA193&lt;=DATE('ESTADO CONTABLE'!$B$2,9,5),VLOOKUP($B193,COSTOS!$A$2:$B1014,2,FALSE)-150,VLOOKUP($B193,COSTOS!$A$2:$B1014,2,FALSE)),"No encontrado o error"))</f>
        <v/>
      </c>
      <c r="AC193" s="395"/>
      <c r="AD193" s="394"/>
      <c r="AE193" s="429" t="str">
        <f>IF(OR(ISBLANK($B193),ISBLANK($AD193)),"",IFERROR(IF($AD193&lt;=DATE('ESTADO CONTABLE'!$B$2,10,5),VLOOKUP($B193,COSTOS!$A$2:$B1014,2,FALSE)-150,VLOOKUP($B193,COSTOS!$A$2:$B1014,2,FALSE)),"No encontrado o error"))</f>
        <v/>
      </c>
      <c r="AF193" s="395"/>
      <c r="AG193" s="394"/>
      <c r="AH193" s="429" t="str">
        <f>IF(OR(ISBLANK($B193),ISBLANK($AG193)),"",IFERROR(IF($AG193&lt;=DATE('ESTADO CONTABLE'!$B$2,11,5),VLOOKUP($B193,COSTOS!$A$2:$B1014,2,FALSE)-150,VLOOKUP($B193,COSTOS!$A$2:$B1014,2,FALSE)),"No encontrado o error"))</f>
        <v/>
      </c>
      <c r="AI193" s="395"/>
      <c r="AJ193" s="394"/>
      <c r="AK193" s="429" t="str">
        <f>IF(OR(ISBLANK($B193),ISBLANK($AJ193)),"",IFERROR(IF($AJ193&lt;=DATE('ESTADO CONTABLE'!$B$2,12,5),VLOOKUP($B193,COSTOS!$A$2:$B1014,2,FALSE)-150,VLOOKUP($B193,COSTOS!$A$2:$B1014,2,FALSE)),"No encontrado o error"))</f>
        <v/>
      </c>
      <c r="AL193" s="395"/>
      <c r="AM193" s="254"/>
      <c r="AN193" s="255"/>
      <c r="AO193" s="256"/>
    </row>
    <row r="194" ht="22.5" customHeight="1">
      <c r="A194" s="431" t="str">
        <f>'BASE DE DATOSS'!A268</f>
        <v/>
      </c>
      <c r="B194" s="432" t="str">
        <f>'BASE DE DATOSS'!C268</f>
        <v/>
      </c>
      <c r="C194" s="263"/>
      <c r="D194" s="249"/>
      <c r="E194" s="250"/>
      <c r="F194" s="251"/>
      <c r="G194" s="262"/>
      <c r="H194" s="257"/>
      <c r="I194" s="249"/>
      <c r="J194" s="193" t="str">
        <f>IF(OR(ISBLANK($B194),ISBLANK($I194)),"",IFERROR(IF($I194&lt;=DATE('ESTADO CONTABLE'!$B$2,3,5),VLOOKUP($B194,COSTOS!$A$2:$B1014,2,FALSE)-150,VLOOKUP($B194,COSTOS!$A$2:$B1014,2,FALSE)),"No encontrado o error"))</f>
        <v/>
      </c>
      <c r="K194" s="264"/>
      <c r="L194" s="249"/>
      <c r="M194" s="189"/>
      <c r="N194" s="264"/>
      <c r="O194" s="249"/>
      <c r="P194" s="250"/>
      <c r="Q194" s="264"/>
      <c r="R194" s="249"/>
      <c r="S194" s="250"/>
      <c r="T194" s="264"/>
      <c r="U194" s="249"/>
      <c r="V194" s="250"/>
      <c r="W194" s="264"/>
      <c r="X194" s="394"/>
      <c r="Y194" s="429"/>
      <c r="Z194" s="395"/>
      <c r="AA194" s="394"/>
      <c r="AB194" s="118" t="str">
        <f>IF(OR(ISBLANK($B194),ISBLANK($AA194)),"",IFERROR(IF($AA194&lt;=DATE('ESTADO CONTABLE'!$B$2,9,5),VLOOKUP($B194,COSTOS!$A$2:$B1014,2,FALSE)-150,VLOOKUP($B194,COSTOS!$A$2:$B1014,2,FALSE)),"No encontrado o error"))</f>
        <v/>
      </c>
      <c r="AC194" s="395"/>
      <c r="AD194" s="394"/>
      <c r="AE194" s="429" t="str">
        <f>IF(OR(ISBLANK($B194),ISBLANK($AD194)),"",IFERROR(IF($AD194&lt;=DATE('ESTADO CONTABLE'!$B$2,10,5),VLOOKUP($B194,COSTOS!$A$2:$B1014,2,FALSE)-150,VLOOKUP($B194,COSTOS!$A$2:$B1014,2,FALSE)),"No encontrado o error"))</f>
        <v/>
      </c>
      <c r="AF194" s="395"/>
      <c r="AG194" s="394"/>
      <c r="AH194" s="429" t="str">
        <f>IF(OR(ISBLANK($B194),ISBLANK($AG194)),"",IFERROR(IF($AG194&lt;=DATE('ESTADO CONTABLE'!$B$2,11,5),VLOOKUP($B194,COSTOS!$A$2:$B1014,2,FALSE)-150,VLOOKUP($B194,COSTOS!$A$2:$B1014,2,FALSE)),"No encontrado o error"))</f>
        <v/>
      </c>
      <c r="AI194" s="395"/>
      <c r="AJ194" s="394"/>
      <c r="AK194" s="429" t="str">
        <f>IF(OR(ISBLANK($B194),ISBLANK($AJ194)),"",IFERROR(IF($AJ194&lt;=DATE('ESTADO CONTABLE'!$B$2,12,5),VLOOKUP($B194,COSTOS!$A$2:$B1014,2,FALSE)-150,VLOOKUP($B194,COSTOS!$A$2:$B1014,2,FALSE)),"No encontrado o error"))</f>
        <v/>
      </c>
      <c r="AL194" s="395"/>
      <c r="AM194" s="254"/>
      <c r="AN194" s="255"/>
      <c r="AO194" s="256"/>
    </row>
    <row r="195" ht="22.5" customHeight="1">
      <c r="A195" s="431" t="str">
        <f>'BASE DE DATOSS'!A269</f>
        <v/>
      </c>
      <c r="B195" s="432" t="str">
        <f>'BASE DE DATOSS'!C269</f>
        <v/>
      </c>
      <c r="C195" s="263"/>
      <c r="D195" s="249"/>
      <c r="E195" s="250"/>
      <c r="F195" s="251"/>
      <c r="G195" s="262"/>
      <c r="H195" s="257"/>
      <c r="I195" s="249"/>
      <c r="J195" s="193" t="str">
        <f>IF(OR(ISBLANK($B195),ISBLANK($I195)),"",IFERROR(IF($I195&lt;=DATE('ESTADO CONTABLE'!$B$2,3,5),VLOOKUP($B195,COSTOS!$A$2:$B1014,2,FALSE)-150,VLOOKUP($B195,COSTOS!$A$2:$B1014,2,FALSE)),"No encontrado o error"))</f>
        <v/>
      </c>
      <c r="K195" s="264"/>
      <c r="L195" s="249"/>
      <c r="M195" s="189"/>
      <c r="N195" s="264"/>
      <c r="O195" s="249"/>
      <c r="P195" s="250"/>
      <c r="Q195" s="264"/>
      <c r="R195" s="249"/>
      <c r="S195" s="250"/>
      <c r="T195" s="264"/>
      <c r="U195" s="249"/>
      <c r="V195" s="250"/>
      <c r="W195" s="264"/>
      <c r="X195" s="394"/>
      <c r="Y195" s="429"/>
      <c r="Z195" s="395"/>
      <c r="AA195" s="394"/>
      <c r="AB195" s="118" t="str">
        <f>IF(OR(ISBLANK($B195),ISBLANK($AA195)),"",IFERROR(IF($AA195&lt;=DATE('ESTADO CONTABLE'!$B$2,9,5),VLOOKUP($B195,COSTOS!$A$2:$B1014,2,FALSE)-150,VLOOKUP($B195,COSTOS!$A$2:$B1014,2,FALSE)),"No encontrado o error"))</f>
        <v/>
      </c>
      <c r="AC195" s="395"/>
      <c r="AD195" s="394"/>
      <c r="AE195" s="429" t="str">
        <f>IF(OR(ISBLANK($B195),ISBLANK($AD195)),"",IFERROR(IF($AD195&lt;=DATE('ESTADO CONTABLE'!$B$2,10,5),VLOOKUP($B195,COSTOS!$A$2:$B1014,2,FALSE)-150,VLOOKUP($B195,COSTOS!$A$2:$B1014,2,FALSE)),"No encontrado o error"))</f>
        <v/>
      </c>
      <c r="AF195" s="395"/>
      <c r="AG195" s="394"/>
      <c r="AH195" s="429" t="str">
        <f>IF(OR(ISBLANK($B195),ISBLANK($AG195)),"",IFERROR(IF($AG195&lt;=DATE('ESTADO CONTABLE'!$B$2,11,5),VLOOKUP($B195,COSTOS!$A$2:$B1014,2,FALSE)-150,VLOOKUP($B195,COSTOS!$A$2:$B1014,2,FALSE)),"No encontrado o error"))</f>
        <v/>
      </c>
      <c r="AI195" s="395"/>
      <c r="AJ195" s="394"/>
      <c r="AK195" s="429" t="str">
        <f>IF(OR(ISBLANK($B195),ISBLANK($AJ195)),"",IFERROR(IF($AJ195&lt;=DATE('ESTADO CONTABLE'!$B$2,12,5),VLOOKUP($B195,COSTOS!$A$2:$B1014,2,FALSE)-150,VLOOKUP($B195,COSTOS!$A$2:$B1014,2,FALSE)),"No encontrado o error"))</f>
        <v/>
      </c>
      <c r="AL195" s="395"/>
      <c r="AM195" s="254"/>
      <c r="AN195" s="255"/>
      <c r="AO195" s="256"/>
    </row>
    <row r="196" ht="22.5" customHeight="1">
      <c r="A196" s="431" t="str">
        <f>'BASE DE DATOSS'!A270</f>
        <v/>
      </c>
      <c r="B196" s="432" t="str">
        <f>'BASE DE DATOSS'!C270</f>
        <v/>
      </c>
      <c r="C196" s="263"/>
      <c r="D196" s="249"/>
      <c r="E196" s="250"/>
      <c r="F196" s="251"/>
      <c r="G196" s="262"/>
      <c r="H196" s="257"/>
      <c r="I196" s="249"/>
      <c r="J196" s="193" t="str">
        <f>IF(OR(ISBLANK($B196),ISBLANK($I196)),"",IFERROR(IF($I196&lt;=DATE('ESTADO CONTABLE'!$B$2,3,5),VLOOKUP($B196,COSTOS!$A$2:$B1014,2,FALSE)-150,VLOOKUP($B196,COSTOS!$A$2:$B1014,2,FALSE)),"No encontrado o error"))</f>
        <v/>
      </c>
      <c r="K196" s="264"/>
      <c r="L196" s="249"/>
      <c r="M196" s="189"/>
      <c r="N196" s="264"/>
      <c r="O196" s="249"/>
      <c r="P196" s="250"/>
      <c r="Q196" s="264"/>
      <c r="R196" s="249"/>
      <c r="S196" s="250"/>
      <c r="T196" s="264"/>
      <c r="U196" s="249"/>
      <c r="V196" s="250"/>
      <c r="W196" s="264"/>
      <c r="X196" s="394"/>
      <c r="Y196" s="429"/>
      <c r="Z196" s="395"/>
      <c r="AA196" s="394"/>
      <c r="AB196" s="118" t="str">
        <f>IF(OR(ISBLANK($B196),ISBLANK($AA196)),"",IFERROR(IF($AA196&lt;=DATE('ESTADO CONTABLE'!$B$2,9,5),VLOOKUP($B196,COSTOS!$A$2:$B1014,2,FALSE)-150,VLOOKUP($B196,COSTOS!$A$2:$B1014,2,FALSE)),"No encontrado o error"))</f>
        <v/>
      </c>
      <c r="AC196" s="395"/>
      <c r="AD196" s="394"/>
      <c r="AE196" s="429" t="str">
        <f>IF(OR(ISBLANK($B196),ISBLANK($AD196)),"",IFERROR(IF($AD196&lt;=DATE('ESTADO CONTABLE'!$B$2,10,5),VLOOKUP($B196,COSTOS!$A$2:$B1014,2,FALSE)-150,VLOOKUP($B196,COSTOS!$A$2:$B1014,2,FALSE)),"No encontrado o error"))</f>
        <v/>
      </c>
      <c r="AF196" s="395"/>
      <c r="AG196" s="394"/>
      <c r="AH196" s="429" t="str">
        <f>IF(OR(ISBLANK($B196),ISBLANK($AG196)),"",IFERROR(IF($AG196&lt;=DATE('ESTADO CONTABLE'!$B$2,11,5),VLOOKUP($B196,COSTOS!$A$2:$B1014,2,FALSE)-150,VLOOKUP($B196,COSTOS!$A$2:$B1014,2,FALSE)),"No encontrado o error"))</f>
        <v/>
      </c>
      <c r="AI196" s="395"/>
      <c r="AJ196" s="394"/>
      <c r="AK196" s="429" t="str">
        <f>IF(OR(ISBLANK($B196),ISBLANK($AJ196)),"",IFERROR(IF($AJ196&lt;=DATE('ESTADO CONTABLE'!$B$2,12,5),VLOOKUP($B196,COSTOS!$A$2:$B1014,2,FALSE)-150,VLOOKUP($B196,COSTOS!$A$2:$B1014,2,FALSE)),"No encontrado o error"))</f>
        <v/>
      </c>
      <c r="AL196" s="395"/>
      <c r="AM196" s="254"/>
      <c r="AN196" s="255"/>
      <c r="AO196" s="256"/>
    </row>
    <row r="197" ht="22.5" customHeight="1">
      <c r="A197" s="431" t="str">
        <f>'BASE DE DATOSS'!A271</f>
        <v/>
      </c>
      <c r="B197" s="432" t="str">
        <f>'BASE DE DATOSS'!C271</f>
        <v/>
      </c>
      <c r="C197" s="263"/>
      <c r="D197" s="249"/>
      <c r="E197" s="250"/>
      <c r="F197" s="251"/>
      <c r="G197" s="262"/>
      <c r="H197" s="257"/>
      <c r="I197" s="249"/>
      <c r="J197" s="193" t="str">
        <f>IF(OR(ISBLANK($B197),ISBLANK($I197)),"",IFERROR(IF($I197&lt;=DATE('ESTADO CONTABLE'!$B$2,3,5),VLOOKUP($B197,COSTOS!$A$2:$B1014,2,FALSE)-150,VLOOKUP($B197,COSTOS!$A$2:$B1014,2,FALSE)),"No encontrado o error"))</f>
        <v/>
      </c>
      <c r="K197" s="264"/>
      <c r="L197" s="249"/>
      <c r="M197" s="189"/>
      <c r="N197" s="264"/>
      <c r="O197" s="249"/>
      <c r="P197" s="250"/>
      <c r="Q197" s="264"/>
      <c r="R197" s="249"/>
      <c r="S197" s="250"/>
      <c r="T197" s="264"/>
      <c r="U197" s="249"/>
      <c r="V197" s="250"/>
      <c r="W197" s="264"/>
      <c r="X197" s="394"/>
      <c r="Y197" s="429"/>
      <c r="Z197" s="395"/>
      <c r="AA197" s="394"/>
      <c r="AB197" s="118" t="str">
        <f>IF(OR(ISBLANK($B197),ISBLANK($AA197)),"",IFERROR(IF($AA197&lt;=DATE('ESTADO CONTABLE'!$B$2,9,5),VLOOKUP($B197,COSTOS!$A$2:$B1014,2,FALSE)-150,VLOOKUP($B197,COSTOS!$A$2:$B1014,2,FALSE)),"No encontrado o error"))</f>
        <v/>
      </c>
      <c r="AC197" s="395"/>
      <c r="AD197" s="394"/>
      <c r="AE197" s="429" t="str">
        <f>IF(OR(ISBLANK($B197),ISBLANK($AD197)),"",IFERROR(IF($AD197&lt;=DATE('ESTADO CONTABLE'!$B$2,10,5),VLOOKUP($B197,COSTOS!$A$2:$B1014,2,FALSE)-150,VLOOKUP($B197,COSTOS!$A$2:$B1014,2,FALSE)),"No encontrado o error"))</f>
        <v/>
      </c>
      <c r="AF197" s="395"/>
      <c r="AG197" s="394"/>
      <c r="AH197" s="429" t="str">
        <f>IF(OR(ISBLANK($B197),ISBLANK($AG197)),"",IFERROR(IF($AG197&lt;=DATE('ESTADO CONTABLE'!$B$2,11,5),VLOOKUP($B197,COSTOS!$A$2:$B1014,2,FALSE)-150,VLOOKUP($B197,COSTOS!$A$2:$B1014,2,FALSE)),"No encontrado o error"))</f>
        <v/>
      </c>
      <c r="AI197" s="395"/>
      <c r="AJ197" s="394"/>
      <c r="AK197" s="429" t="str">
        <f>IF(OR(ISBLANK($B197),ISBLANK($AJ197)),"",IFERROR(IF($AJ197&lt;=DATE('ESTADO CONTABLE'!$B$2,12,5),VLOOKUP($B197,COSTOS!$A$2:$B1014,2,FALSE)-150,VLOOKUP($B197,COSTOS!$A$2:$B1014,2,FALSE)),"No encontrado o error"))</f>
        <v/>
      </c>
      <c r="AL197" s="395"/>
      <c r="AM197" s="254"/>
      <c r="AN197" s="255"/>
      <c r="AO197" s="256"/>
    </row>
    <row r="198" ht="22.5" customHeight="1">
      <c r="A198" s="431" t="str">
        <f>'BASE DE DATOSS'!A272</f>
        <v/>
      </c>
      <c r="B198" s="432" t="str">
        <f>'BASE DE DATOSS'!C272</f>
        <v/>
      </c>
      <c r="C198" s="263"/>
      <c r="D198" s="249"/>
      <c r="E198" s="250"/>
      <c r="F198" s="251"/>
      <c r="G198" s="262"/>
      <c r="H198" s="257"/>
      <c r="I198" s="249"/>
      <c r="J198" s="193" t="str">
        <f>IF(OR(ISBLANK($B198),ISBLANK($I198)),"",IFERROR(IF($I198&lt;=DATE('ESTADO CONTABLE'!$B$2,3,5),VLOOKUP($B198,COSTOS!$A$2:$B1014,2,FALSE)-150,VLOOKUP($B198,COSTOS!$A$2:$B1014,2,FALSE)),"No encontrado o error"))</f>
        <v/>
      </c>
      <c r="K198" s="264"/>
      <c r="L198" s="249"/>
      <c r="M198" s="189"/>
      <c r="N198" s="264"/>
      <c r="O198" s="249"/>
      <c r="P198" s="250"/>
      <c r="Q198" s="264"/>
      <c r="R198" s="249"/>
      <c r="S198" s="250"/>
      <c r="T198" s="264"/>
      <c r="U198" s="249"/>
      <c r="V198" s="250"/>
      <c r="W198" s="264"/>
      <c r="X198" s="394"/>
      <c r="Y198" s="429"/>
      <c r="Z198" s="395"/>
      <c r="AA198" s="394"/>
      <c r="AB198" s="118" t="str">
        <f>IF(OR(ISBLANK($B198),ISBLANK($AA198)),"",IFERROR(IF($AA198&lt;=DATE('ESTADO CONTABLE'!$B$2,9,5),VLOOKUP($B198,COSTOS!$A$2:$B1014,2,FALSE)-150,VLOOKUP($B198,COSTOS!$A$2:$B1014,2,FALSE)),"No encontrado o error"))</f>
        <v/>
      </c>
      <c r="AC198" s="395"/>
      <c r="AD198" s="394"/>
      <c r="AE198" s="429" t="str">
        <f>IF(OR(ISBLANK($B198),ISBLANK($AD198)),"",IFERROR(IF($AD198&lt;=DATE('ESTADO CONTABLE'!$B$2,10,5),VLOOKUP($B198,COSTOS!$A$2:$B1014,2,FALSE)-150,VLOOKUP($B198,COSTOS!$A$2:$B1014,2,FALSE)),"No encontrado o error"))</f>
        <v/>
      </c>
      <c r="AF198" s="395"/>
      <c r="AG198" s="394"/>
      <c r="AH198" s="429" t="str">
        <f>IF(OR(ISBLANK($B198),ISBLANK($AG198)),"",IFERROR(IF($AG198&lt;=DATE('ESTADO CONTABLE'!$B$2,11,5),VLOOKUP($B198,COSTOS!$A$2:$B1014,2,FALSE)-150,VLOOKUP($B198,COSTOS!$A$2:$B1014,2,FALSE)),"No encontrado o error"))</f>
        <v/>
      </c>
      <c r="AI198" s="395"/>
      <c r="AJ198" s="394"/>
      <c r="AK198" s="429" t="str">
        <f>IF(OR(ISBLANK($B198),ISBLANK($AJ198)),"",IFERROR(IF($AJ198&lt;=DATE('ESTADO CONTABLE'!$B$2,12,5),VLOOKUP($B198,COSTOS!$A$2:$B1014,2,FALSE)-150,VLOOKUP($B198,COSTOS!$A$2:$B1014,2,FALSE)),"No encontrado o error"))</f>
        <v/>
      </c>
      <c r="AL198" s="395"/>
      <c r="AM198" s="254"/>
      <c r="AN198" s="255"/>
      <c r="AO198" s="256"/>
    </row>
    <row r="199" ht="22.5" customHeight="1">
      <c r="A199" s="431" t="str">
        <f>'BASE DE DATOSS'!A273</f>
        <v/>
      </c>
      <c r="B199" s="432" t="str">
        <f>'BASE DE DATOSS'!C273</f>
        <v/>
      </c>
      <c r="C199" s="263"/>
      <c r="D199" s="249"/>
      <c r="E199" s="250"/>
      <c r="F199" s="251"/>
      <c r="G199" s="262"/>
      <c r="H199" s="257"/>
      <c r="I199" s="249"/>
      <c r="J199" s="193" t="str">
        <f>IF(OR(ISBLANK($B199),ISBLANK($I199)),"",IFERROR(IF($I199&lt;=DATE('ESTADO CONTABLE'!$B$2,3,5),VLOOKUP($B199,COSTOS!$A$2:$B1014,2,FALSE)-150,VLOOKUP($B199,COSTOS!$A$2:$B1014,2,FALSE)),"No encontrado o error"))</f>
        <v/>
      </c>
      <c r="K199" s="264"/>
      <c r="L199" s="249"/>
      <c r="M199" s="189"/>
      <c r="N199" s="264"/>
      <c r="O199" s="249"/>
      <c r="P199" s="250"/>
      <c r="Q199" s="264"/>
      <c r="R199" s="249"/>
      <c r="S199" s="250"/>
      <c r="T199" s="264"/>
      <c r="U199" s="249"/>
      <c r="V199" s="250"/>
      <c r="W199" s="264"/>
      <c r="X199" s="394"/>
      <c r="Y199" s="429"/>
      <c r="Z199" s="395"/>
      <c r="AA199" s="394"/>
      <c r="AB199" s="118" t="str">
        <f>IF(OR(ISBLANK($B199),ISBLANK($AA199)),"",IFERROR(IF($AA199&lt;=DATE('ESTADO CONTABLE'!$B$2,9,5),VLOOKUP($B199,COSTOS!$A$2:$B1014,2,FALSE)-150,VLOOKUP($B199,COSTOS!$A$2:$B1014,2,FALSE)),"No encontrado o error"))</f>
        <v/>
      </c>
      <c r="AC199" s="395"/>
      <c r="AD199" s="394"/>
      <c r="AE199" s="429" t="str">
        <f>IF(OR(ISBLANK($B199),ISBLANK($AD199)),"",IFERROR(IF($AD199&lt;=DATE('ESTADO CONTABLE'!$B$2,10,5),VLOOKUP($B199,COSTOS!$A$2:$B1014,2,FALSE)-150,VLOOKUP($B199,COSTOS!$A$2:$B1014,2,FALSE)),"No encontrado o error"))</f>
        <v/>
      </c>
      <c r="AF199" s="395"/>
      <c r="AG199" s="394"/>
      <c r="AH199" s="429" t="str">
        <f>IF(OR(ISBLANK($B199),ISBLANK($AG199)),"",IFERROR(IF($AG199&lt;=DATE('ESTADO CONTABLE'!$B$2,11,5),VLOOKUP($B199,COSTOS!$A$2:$B1014,2,FALSE)-150,VLOOKUP($B199,COSTOS!$A$2:$B1014,2,FALSE)),"No encontrado o error"))</f>
        <v/>
      </c>
      <c r="AI199" s="395"/>
      <c r="AJ199" s="394"/>
      <c r="AK199" s="429" t="str">
        <f>IF(OR(ISBLANK($B199),ISBLANK($AJ199)),"",IFERROR(IF($AJ199&lt;=DATE('ESTADO CONTABLE'!$B$2,12,5),VLOOKUP($B199,COSTOS!$A$2:$B1014,2,FALSE)-150,VLOOKUP($B199,COSTOS!$A$2:$B1014,2,FALSE)),"No encontrado o error"))</f>
        <v/>
      </c>
      <c r="AL199" s="395"/>
      <c r="AM199" s="254"/>
      <c r="AN199" s="255"/>
      <c r="AO199" s="256"/>
    </row>
    <row r="200" ht="22.5" customHeight="1">
      <c r="A200" s="431" t="str">
        <f>'BASE DE DATOSS'!A274</f>
        <v/>
      </c>
      <c r="B200" s="432" t="str">
        <f>'BASE DE DATOSS'!C274</f>
        <v/>
      </c>
      <c r="C200" s="263"/>
      <c r="D200" s="249"/>
      <c r="E200" s="250"/>
      <c r="F200" s="251"/>
      <c r="G200" s="262"/>
      <c r="H200" s="257"/>
      <c r="I200" s="249"/>
      <c r="J200" s="193" t="str">
        <f>IF(OR(ISBLANK($B200),ISBLANK($I200)),"",IFERROR(IF($I200&lt;=DATE('ESTADO CONTABLE'!$B$2,3,5),VLOOKUP($B200,COSTOS!$A$2:$B1014,2,FALSE)-150,VLOOKUP($B200,COSTOS!$A$2:$B1014,2,FALSE)),"No encontrado o error"))</f>
        <v/>
      </c>
      <c r="K200" s="264"/>
      <c r="L200" s="249"/>
      <c r="M200" s="189"/>
      <c r="N200" s="264"/>
      <c r="O200" s="249"/>
      <c r="P200" s="250"/>
      <c r="Q200" s="264"/>
      <c r="R200" s="249"/>
      <c r="S200" s="250"/>
      <c r="T200" s="264"/>
      <c r="U200" s="249"/>
      <c r="V200" s="250"/>
      <c r="W200" s="264"/>
      <c r="X200" s="394"/>
      <c r="Y200" s="429"/>
      <c r="Z200" s="395"/>
      <c r="AA200" s="394"/>
      <c r="AB200" s="118" t="str">
        <f>IF(OR(ISBLANK($B200),ISBLANK($AA200)),"",IFERROR(IF($AA200&lt;=DATE('ESTADO CONTABLE'!$B$2,9,5),VLOOKUP($B200,COSTOS!$A$2:$B1014,2,FALSE)-150,VLOOKUP($B200,COSTOS!$A$2:$B1014,2,FALSE)),"No encontrado o error"))</f>
        <v/>
      </c>
      <c r="AC200" s="395"/>
      <c r="AD200" s="394"/>
      <c r="AE200" s="429" t="str">
        <f>IF(OR(ISBLANK($B200),ISBLANK($AD200)),"",IFERROR(IF($AD200&lt;=DATE('ESTADO CONTABLE'!$B$2,10,5),VLOOKUP($B200,COSTOS!$A$2:$B1014,2,FALSE)-150,VLOOKUP($B200,COSTOS!$A$2:$B1014,2,FALSE)),"No encontrado o error"))</f>
        <v/>
      </c>
      <c r="AF200" s="395"/>
      <c r="AG200" s="394"/>
      <c r="AH200" s="429" t="str">
        <f>IF(OR(ISBLANK($B200),ISBLANK($AG200)),"",IFERROR(IF($AG200&lt;=DATE('ESTADO CONTABLE'!$B$2,11,5),VLOOKUP($B200,COSTOS!$A$2:$B1014,2,FALSE)-150,VLOOKUP($B200,COSTOS!$A$2:$B1014,2,FALSE)),"No encontrado o error"))</f>
        <v/>
      </c>
      <c r="AI200" s="395"/>
      <c r="AJ200" s="394"/>
      <c r="AK200" s="429" t="str">
        <f>IF(OR(ISBLANK($B200),ISBLANK($AJ200)),"",IFERROR(IF($AJ200&lt;=DATE('ESTADO CONTABLE'!$B$2,12,5),VLOOKUP($B200,COSTOS!$A$2:$B1014,2,FALSE)-150,VLOOKUP($B200,COSTOS!$A$2:$B1014,2,FALSE)),"No encontrado o error"))</f>
        <v/>
      </c>
      <c r="AL200" s="395"/>
      <c r="AM200" s="254"/>
      <c r="AN200" s="255"/>
      <c r="AO200" s="256"/>
    </row>
    <row r="201" ht="22.5" customHeight="1">
      <c r="A201" s="431" t="str">
        <f>'BASE DE DATOSS'!A275</f>
        <v/>
      </c>
      <c r="B201" s="432" t="str">
        <f>'BASE DE DATOSS'!C275</f>
        <v/>
      </c>
      <c r="C201" s="263"/>
      <c r="D201" s="249"/>
      <c r="E201" s="250"/>
      <c r="F201" s="251"/>
      <c r="G201" s="262"/>
      <c r="H201" s="257"/>
      <c r="I201" s="249"/>
      <c r="J201" s="193" t="str">
        <f>IF(OR(ISBLANK($B201),ISBLANK($I201)),"",IFERROR(IF($I201&lt;=DATE('ESTADO CONTABLE'!$B$2,3,5),VLOOKUP($B201,COSTOS!$A$2:$B1014,2,FALSE)-150,VLOOKUP($B201,COSTOS!$A$2:$B1014,2,FALSE)),"No encontrado o error"))</f>
        <v/>
      </c>
      <c r="K201" s="264"/>
      <c r="L201" s="249"/>
      <c r="M201" s="189"/>
      <c r="N201" s="264"/>
      <c r="O201" s="249"/>
      <c r="P201" s="250"/>
      <c r="Q201" s="264"/>
      <c r="R201" s="249"/>
      <c r="S201" s="250"/>
      <c r="T201" s="264"/>
      <c r="U201" s="249"/>
      <c r="V201" s="250"/>
      <c r="W201" s="264"/>
      <c r="X201" s="394"/>
      <c r="Y201" s="429"/>
      <c r="Z201" s="395"/>
      <c r="AA201" s="394"/>
      <c r="AB201" s="118" t="str">
        <f>IF(OR(ISBLANK($B201),ISBLANK($AA201)),"",IFERROR(IF($AA201&lt;=DATE('ESTADO CONTABLE'!$B$2,9,5),VLOOKUP($B201,COSTOS!$A$2:$B1014,2,FALSE)-150,VLOOKUP($B201,COSTOS!$A$2:$B1014,2,FALSE)),"No encontrado o error"))</f>
        <v/>
      </c>
      <c r="AC201" s="395"/>
      <c r="AD201" s="394"/>
      <c r="AE201" s="429" t="str">
        <f>IF(OR(ISBLANK($B201),ISBLANK($AD201)),"",IFERROR(IF($AD201&lt;=DATE('ESTADO CONTABLE'!$B$2,10,5),VLOOKUP($B201,COSTOS!$A$2:$B1014,2,FALSE)-150,VLOOKUP($B201,COSTOS!$A$2:$B1014,2,FALSE)),"No encontrado o error"))</f>
        <v/>
      </c>
      <c r="AF201" s="395"/>
      <c r="AG201" s="394"/>
      <c r="AH201" s="429" t="str">
        <f>IF(OR(ISBLANK($B201),ISBLANK($AG201)),"",IFERROR(IF($AG201&lt;=DATE('ESTADO CONTABLE'!$B$2,11,5),VLOOKUP($B201,COSTOS!$A$2:$B1014,2,FALSE)-150,VLOOKUP($B201,COSTOS!$A$2:$B1014,2,FALSE)),"No encontrado o error"))</f>
        <v/>
      </c>
      <c r="AI201" s="395"/>
      <c r="AJ201" s="394"/>
      <c r="AK201" s="429" t="str">
        <f>IF(OR(ISBLANK($B201),ISBLANK($AJ201)),"",IFERROR(IF($AJ201&lt;=DATE('ESTADO CONTABLE'!$B$2,12,5),VLOOKUP($B201,COSTOS!$A$2:$B1014,2,FALSE)-150,VLOOKUP($B201,COSTOS!$A$2:$B1014,2,FALSE)),"No encontrado o error"))</f>
        <v/>
      </c>
      <c r="AL201" s="395"/>
      <c r="AM201" s="254"/>
      <c r="AN201" s="255"/>
      <c r="AO201" s="256"/>
    </row>
    <row r="202" ht="22.5" customHeight="1">
      <c r="A202" s="431" t="str">
        <f>'BASE DE DATOSS'!A276</f>
        <v/>
      </c>
      <c r="B202" s="432" t="str">
        <f>'BASE DE DATOSS'!C276</f>
        <v/>
      </c>
      <c r="C202" s="263"/>
      <c r="D202" s="249"/>
      <c r="E202" s="250"/>
      <c r="F202" s="251"/>
      <c r="G202" s="262"/>
      <c r="H202" s="257"/>
      <c r="I202" s="249"/>
      <c r="J202" s="193" t="str">
        <f>IF(OR(ISBLANK($B202),ISBLANK($I202)),"",IFERROR(IF($I202&lt;=DATE('ESTADO CONTABLE'!$B$2,3,5),VLOOKUP($B202,COSTOS!$A$2:$B1014,2,FALSE)-150,VLOOKUP($B202,COSTOS!$A$2:$B1014,2,FALSE)),"No encontrado o error"))</f>
        <v/>
      </c>
      <c r="K202" s="264"/>
      <c r="L202" s="249"/>
      <c r="M202" s="189"/>
      <c r="N202" s="264"/>
      <c r="O202" s="249"/>
      <c r="P202" s="250"/>
      <c r="Q202" s="264"/>
      <c r="R202" s="249"/>
      <c r="S202" s="250"/>
      <c r="T202" s="264"/>
      <c r="U202" s="249"/>
      <c r="V202" s="250"/>
      <c r="W202" s="264"/>
      <c r="X202" s="394"/>
      <c r="Y202" s="429"/>
      <c r="Z202" s="395"/>
      <c r="AA202" s="394"/>
      <c r="AB202" s="118" t="str">
        <f>IF(OR(ISBLANK($B202),ISBLANK($AA202)),"",IFERROR(IF($AA202&lt;=DATE('ESTADO CONTABLE'!$B$2,9,5),VLOOKUP($B202,COSTOS!$A$2:$B1014,2,FALSE)-150,VLOOKUP($B202,COSTOS!$A$2:$B1014,2,FALSE)),"No encontrado o error"))</f>
        <v/>
      </c>
      <c r="AC202" s="395"/>
      <c r="AD202" s="394"/>
      <c r="AE202" s="429" t="str">
        <f>IF(OR(ISBLANK($B202),ISBLANK($AD202)),"",IFERROR(IF($AD202&lt;=DATE('ESTADO CONTABLE'!$B$2,10,5),VLOOKUP($B202,COSTOS!$A$2:$B1014,2,FALSE)-150,VLOOKUP($B202,COSTOS!$A$2:$B1014,2,FALSE)),"No encontrado o error"))</f>
        <v/>
      </c>
      <c r="AF202" s="395"/>
      <c r="AG202" s="394"/>
      <c r="AH202" s="429" t="str">
        <f>IF(OR(ISBLANK($B202),ISBLANK($AG202)),"",IFERROR(IF($AG202&lt;=DATE('ESTADO CONTABLE'!$B$2,11,5),VLOOKUP($B202,COSTOS!$A$2:$B1014,2,FALSE)-150,VLOOKUP($B202,COSTOS!$A$2:$B1014,2,FALSE)),"No encontrado o error"))</f>
        <v/>
      </c>
      <c r="AI202" s="395"/>
      <c r="AJ202" s="394"/>
      <c r="AK202" s="429" t="str">
        <f>IF(OR(ISBLANK($B202),ISBLANK($AJ202)),"",IFERROR(IF($AJ202&lt;=DATE('ESTADO CONTABLE'!$B$2,12,5),VLOOKUP($B202,COSTOS!$A$2:$B1014,2,FALSE)-150,VLOOKUP($B202,COSTOS!$A$2:$B1014,2,FALSE)),"No encontrado o error"))</f>
        <v/>
      </c>
      <c r="AL202" s="395"/>
      <c r="AM202" s="254"/>
      <c r="AN202" s="255"/>
      <c r="AO202" s="256"/>
    </row>
    <row r="203" ht="22.5" customHeight="1">
      <c r="A203" s="431" t="str">
        <f>'BASE DE DATOSS'!A277</f>
        <v/>
      </c>
      <c r="B203" s="432" t="str">
        <f>'BASE DE DATOSS'!C277</f>
        <v/>
      </c>
      <c r="C203" s="263"/>
      <c r="D203" s="249"/>
      <c r="E203" s="250"/>
      <c r="F203" s="251"/>
      <c r="G203" s="262"/>
      <c r="H203" s="257"/>
      <c r="I203" s="249"/>
      <c r="J203" s="193" t="str">
        <f>IF(OR(ISBLANK($B203),ISBLANK($I203)),"",IFERROR(IF($I203&lt;=DATE('ESTADO CONTABLE'!$B$2,3,5),VLOOKUP($B203,COSTOS!$A$2:$B1014,2,FALSE)-150,VLOOKUP($B203,COSTOS!$A$2:$B1014,2,FALSE)),"No encontrado o error"))</f>
        <v/>
      </c>
      <c r="K203" s="264"/>
      <c r="L203" s="249"/>
      <c r="M203" s="189"/>
      <c r="N203" s="264"/>
      <c r="O203" s="249"/>
      <c r="P203" s="250"/>
      <c r="Q203" s="264"/>
      <c r="R203" s="249"/>
      <c r="S203" s="250"/>
      <c r="T203" s="264"/>
      <c r="U203" s="249"/>
      <c r="V203" s="250"/>
      <c r="W203" s="264"/>
      <c r="X203" s="394"/>
      <c r="Y203" s="429"/>
      <c r="Z203" s="395"/>
      <c r="AA203" s="394"/>
      <c r="AB203" s="118" t="str">
        <f>IF(OR(ISBLANK($B203),ISBLANK($AA203)),"",IFERROR(IF($AA203&lt;=DATE('ESTADO CONTABLE'!$B$2,9,5),VLOOKUP($B203,COSTOS!$A$2:$B1014,2,FALSE)-150,VLOOKUP($B203,COSTOS!$A$2:$B1014,2,FALSE)),"No encontrado o error"))</f>
        <v/>
      </c>
      <c r="AC203" s="395"/>
      <c r="AD203" s="394"/>
      <c r="AE203" s="429" t="str">
        <f>IF(OR(ISBLANK($B203),ISBLANK($AD203)),"",IFERROR(IF($AD203&lt;=DATE('ESTADO CONTABLE'!$B$2,10,5),VLOOKUP($B203,COSTOS!$A$2:$B1014,2,FALSE)-150,VLOOKUP($B203,COSTOS!$A$2:$B1014,2,FALSE)),"No encontrado o error"))</f>
        <v/>
      </c>
      <c r="AF203" s="395"/>
      <c r="AG203" s="394"/>
      <c r="AH203" s="429" t="str">
        <f>IF(OR(ISBLANK($B203),ISBLANK($AG203)),"",IFERROR(IF($AG203&lt;=DATE('ESTADO CONTABLE'!$B$2,11,5),VLOOKUP($B203,COSTOS!$A$2:$B1014,2,FALSE)-150,VLOOKUP($B203,COSTOS!$A$2:$B1014,2,FALSE)),"No encontrado o error"))</f>
        <v/>
      </c>
      <c r="AI203" s="395"/>
      <c r="AJ203" s="394"/>
      <c r="AK203" s="429" t="str">
        <f>IF(OR(ISBLANK($B203),ISBLANK($AJ203)),"",IFERROR(IF($AJ203&lt;=DATE('ESTADO CONTABLE'!$B$2,12,5),VLOOKUP($B203,COSTOS!$A$2:$B1014,2,FALSE)-150,VLOOKUP($B203,COSTOS!$A$2:$B1014,2,FALSE)),"No encontrado o error"))</f>
        <v/>
      </c>
      <c r="AL203" s="395"/>
      <c r="AM203" s="254"/>
      <c r="AN203" s="255"/>
      <c r="AO203" s="256"/>
    </row>
    <row r="204" ht="22.5" customHeight="1">
      <c r="A204" s="431" t="str">
        <f>'BASE DE DATOSS'!A278</f>
        <v/>
      </c>
      <c r="B204" s="432" t="str">
        <f>'BASE DE DATOSS'!C278</f>
        <v/>
      </c>
      <c r="C204" s="263"/>
      <c r="D204" s="249"/>
      <c r="E204" s="250"/>
      <c r="F204" s="251"/>
      <c r="G204" s="262"/>
      <c r="H204" s="257"/>
      <c r="I204" s="249"/>
      <c r="J204" s="193" t="str">
        <f>IF(OR(ISBLANK($B204),ISBLANK($I204)),"",IFERROR(IF($I204&lt;=DATE('ESTADO CONTABLE'!$B$2,3,5),VLOOKUP($B204,COSTOS!$A$2:$B1014,2,FALSE)-150,VLOOKUP($B204,COSTOS!$A$2:$B1014,2,FALSE)),"No encontrado o error"))</f>
        <v/>
      </c>
      <c r="K204" s="264"/>
      <c r="L204" s="249"/>
      <c r="M204" s="189"/>
      <c r="N204" s="264"/>
      <c r="O204" s="249"/>
      <c r="P204" s="250"/>
      <c r="Q204" s="264"/>
      <c r="R204" s="249"/>
      <c r="S204" s="250"/>
      <c r="T204" s="264"/>
      <c r="U204" s="249"/>
      <c r="V204" s="250"/>
      <c r="W204" s="264"/>
      <c r="X204" s="394"/>
      <c r="Y204" s="429"/>
      <c r="Z204" s="395"/>
      <c r="AA204" s="394"/>
      <c r="AB204" s="118" t="str">
        <f>IF(OR(ISBLANK($B204),ISBLANK($AA204)),"",IFERROR(IF($AA204&lt;=DATE('ESTADO CONTABLE'!$B$2,9,5),VLOOKUP($B204,COSTOS!$A$2:$B1014,2,FALSE)-150,VLOOKUP($B204,COSTOS!$A$2:$B1014,2,FALSE)),"No encontrado o error"))</f>
        <v/>
      </c>
      <c r="AC204" s="395"/>
      <c r="AD204" s="394"/>
      <c r="AE204" s="429" t="str">
        <f>IF(OR(ISBLANK($B204),ISBLANK($AD204)),"",IFERROR(IF($AD204&lt;=DATE('ESTADO CONTABLE'!$B$2,10,5),VLOOKUP($B204,COSTOS!$A$2:$B1014,2,FALSE)-150,VLOOKUP($B204,COSTOS!$A$2:$B1014,2,FALSE)),"No encontrado o error"))</f>
        <v/>
      </c>
      <c r="AF204" s="395"/>
      <c r="AG204" s="394"/>
      <c r="AH204" s="429" t="str">
        <f>IF(OR(ISBLANK($B204),ISBLANK($AG204)),"",IFERROR(IF($AG204&lt;=DATE('ESTADO CONTABLE'!$B$2,11,5),VLOOKUP($B204,COSTOS!$A$2:$B1014,2,FALSE)-150,VLOOKUP($B204,COSTOS!$A$2:$B1014,2,FALSE)),"No encontrado o error"))</f>
        <v/>
      </c>
      <c r="AI204" s="395"/>
      <c r="AJ204" s="394"/>
      <c r="AK204" s="429" t="str">
        <f>IF(OR(ISBLANK($B204),ISBLANK($AJ204)),"",IFERROR(IF($AJ204&lt;=DATE('ESTADO CONTABLE'!$B$2,12,5),VLOOKUP($B204,COSTOS!$A$2:$B1014,2,FALSE)-150,VLOOKUP($B204,COSTOS!$A$2:$B1014,2,FALSE)),"No encontrado o error"))</f>
        <v/>
      </c>
      <c r="AL204" s="395"/>
      <c r="AM204" s="254"/>
      <c r="AN204" s="255"/>
      <c r="AO204" s="256"/>
    </row>
    <row r="205" ht="22.5" customHeight="1">
      <c r="A205" s="431" t="str">
        <f>'BASE DE DATOSS'!A279</f>
        <v/>
      </c>
      <c r="B205" s="432" t="str">
        <f>'BASE DE DATOSS'!C279</f>
        <v/>
      </c>
      <c r="C205" s="263"/>
      <c r="D205" s="249"/>
      <c r="E205" s="250"/>
      <c r="F205" s="251"/>
      <c r="G205" s="262"/>
      <c r="H205" s="257"/>
      <c r="I205" s="249"/>
      <c r="J205" s="193" t="str">
        <f>IF(OR(ISBLANK($B205),ISBLANK($I205)),"",IFERROR(IF($I205&lt;=DATE('ESTADO CONTABLE'!$B$2,3,5),VLOOKUP($B205,COSTOS!$A$2:$B1014,2,FALSE)-150,VLOOKUP($B205,COSTOS!$A$2:$B1014,2,FALSE)),"No encontrado o error"))</f>
        <v/>
      </c>
      <c r="K205" s="264"/>
      <c r="L205" s="249"/>
      <c r="M205" s="189"/>
      <c r="N205" s="264"/>
      <c r="O205" s="249"/>
      <c r="P205" s="250"/>
      <c r="Q205" s="264"/>
      <c r="R205" s="249"/>
      <c r="S205" s="250"/>
      <c r="T205" s="264"/>
      <c r="U205" s="249"/>
      <c r="V205" s="250"/>
      <c r="W205" s="264"/>
      <c r="X205" s="394"/>
      <c r="Y205" s="429"/>
      <c r="Z205" s="395"/>
      <c r="AA205" s="394"/>
      <c r="AB205" s="118" t="str">
        <f>IF(OR(ISBLANK($B205),ISBLANK($AA205)),"",IFERROR(IF($AA205&lt;=DATE('ESTADO CONTABLE'!$B$2,9,5),VLOOKUP($B205,COSTOS!$A$2:$B1014,2,FALSE)-150,VLOOKUP($B205,COSTOS!$A$2:$B1014,2,FALSE)),"No encontrado o error"))</f>
        <v/>
      </c>
      <c r="AC205" s="395"/>
      <c r="AD205" s="394"/>
      <c r="AE205" s="429" t="str">
        <f>IF(OR(ISBLANK($B205),ISBLANK($AD205)),"",IFERROR(IF($AD205&lt;=DATE('ESTADO CONTABLE'!$B$2,10,5),VLOOKUP($B205,COSTOS!$A$2:$B1014,2,FALSE)-150,VLOOKUP($B205,COSTOS!$A$2:$B1014,2,FALSE)),"No encontrado o error"))</f>
        <v/>
      </c>
      <c r="AF205" s="395"/>
      <c r="AG205" s="394"/>
      <c r="AH205" s="429" t="str">
        <f>IF(OR(ISBLANK($B205),ISBLANK($AG205)),"",IFERROR(IF($AG205&lt;=DATE('ESTADO CONTABLE'!$B$2,11,5),VLOOKUP($B205,COSTOS!$A$2:$B1014,2,FALSE)-150,VLOOKUP($B205,COSTOS!$A$2:$B1014,2,FALSE)),"No encontrado o error"))</f>
        <v/>
      </c>
      <c r="AI205" s="395"/>
      <c r="AJ205" s="394"/>
      <c r="AK205" s="429" t="str">
        <f>IF(OR(ISBLANK($B205),ISBLANK($AJ205)),"",IFERROR(IF($AJ205&lt;=DATE('ESTADO CONTABLE'!$B$2,12,5),VLOOKUP($B205,COSTOS!$A$2:$B1014,2,FALSE)-150,VLOOKUP($B205,COSTOS!$A$2:$B1014,2,FALSE)),"No encontrado o error"))</f>
        <v/>
      </c>
      <c r="AL205" s="395"/>
      <c r="AM205" s="254"/>
      <c r="AN205" s="255"/>
      <c r="AO205" s="256"/>
    </row>
    <row r="206" ht="22.5" customHeight="1">
      <c r="A206" s="431" t="str">
        <f>'BASE DE DATOSS'!A280</f>
        <v/>
      </c>
      <c r="B206" s="432" t="str">
        <f>'BASE DE DATOSS'!C280</f>
        <v/>
      </c>
      <c r="C206" s="263"/>
      <c r="D206" s="249"/>
      <c r="E206" s="250"/>
      <c r="F206" s="251"/>
      <c r="G206" s="262"/>
      <c r="H206" s="257"/>
      <c r="I206" s="249"/>
      <c r="J206" s="193" t="str">
        <f>IF(OR(ISBLANK($B206),ISBLANK($I206)),"",IFERROR(IF($I206&lt;=DATE('ESTADO CONTABLE'!$B$2,3,5),VLOOKUP($B206,COSTOS!$A$2:$B1014,2,FALSE)-150,VLOOKUP($B206,COSTOS!$A$2:$B1014,2,FALSE)),"No encontrado o error"))</f>
        <v/>
      </c>
      <c r="K206" s="264"/>
      <c r="L206" s="249"/>
      <c r="M206" s="189"/>
      <c r="N206" s="264"/>
      <c r="O206" s="249"/>
      <c r="P206" s="250"/>
      <c r="Q206" s="264"/>
      <c r="R206" s="249"/>
      <c r="S206" s="250"/>
      <c r="T206" s="264"/>
      <c r="U206" s="249"/>
      <c r="V206" s="250"/>
      <c r="W206" s="264"/>
      <c r="X206" s="394"/>
      <c r="Y206" s="429"/>
      <c r="Z206" s="395"/>
      <c r="AA206" s="394"/>
      <c r="AB206" s="118" t="str">
        <f>IF(OR(ISBLANK($B206),ISBLANK($AA206)),"",IFERROR(IF($AA206&lt;=DATE('ESTADO CONTABLE'!$B$2,9,5),VLOOKUP($B206,COSTOS!$A$2:$B1014,2,FALSE)-150,VLOOKUP($B206,COSTOS!$A$2:$B1014,2,FALSE)),"No encontrado o error"))</f>
        <v/>
      </c>
      <c r="AC206" s="395"/>
      <c r="AD206" s="394"/>
      <c r="AE206" s="429" t="str">
        <f>IF(OR(ISBLANK($B206),ISBLANK($AD206)),"",IFERROR(IF($AD206&lt;=DATE('ESTADO CONTABLE'!$B$2,10,5),VLOOKUP($B206,COSTOS!$A$2:$B1014,2,FALSE)-150,VLOOKUP($B206,COSTOS!$A$2:$B1014,2,FALSE)),"No encontrado o error"))</f>
        <v/>
      </c>
      <c r="AF206" s="395"/>
      <c r="AG206" s="394"/>
      <c r="AH206" s="429" t="str">
        <f>IF(OR(ISBLANK($B206),ISBLANK($AG206)),"",IFERROR(IF($AG206&lt;=DATE('ESTADO CONTABLE'!$B$2,11,5),VLOOKUP($B206,COSTOS!$A$2:$B1014,2,FALSE)-150,VLOOKUP($B206,COSTOS!$A$2:$B1014,2,FALSE)),"No encontrado o error"))</f>
        <v/>
      </c>
      <c r="AI206" s="395"/>
      <c r="AJ206" s="394"/>
      <c r="AK206" s="429" t="str">
        <f>IF(OR(ISBLANK($B206),ISBLANK($AJ206)),"",IFERROR(IF($AJ206&lt;=DATE('ESTADO CONTABLE'!$B$2,12,5),VLOOKUP($B206,COSTOS!$A$2:$B1014,2,FALSE)-150,VLOOKUP($B206,COSTOS!$A$2:$B1014,2,FALSE)),"No encontrado o error"))</f>
        <v/>
      </c>
      <c r="AL206" s="395"/>
      <c r="AM206" s="254"/>
      <c r="AN206" s="255"/>
      <c r="AO206" s="256"/>
    </row>
    <row r="207" ht="22.5" customHeight="1">
      <c r="A207" s="431" t="str">
        <f>'BASE DE DATOSS'!A281</f>
        <v/>
      </c>
      <c r="B207" s="432" t="str">
        <f>'BASE DE DATOSS'!C281</f>
        <v/>
      </c>
      <c r="C207" s="263"/>
      <c r="D207" s="249"/>
      <c r="E207" s="250"/>
      <c r="F207" s="251"/>
      <c r="G207" s="262"/>
      <c r="H207" s="257"/>
      <c r="I207" s="249"/>
      <c r="J207" s="193" t="str">
        <f>IF(OR(ISBLANK($B207),ISBLANK($I207)),"",IFERROR(IF($I207&lt;=DATE('ESTADO CONTABLE'!$B$2,3,5),VLOOKUP($B207,COSTOS!$A$2:$B1014,2,FALSE)-150,VLOOKUP($B207,COSTOS!$A$2:$B1014,2,FALSE)),"No encontrado o error"))</f>
        <v/>
      </c>
      <c r="K207" s="264"/>
      <c r="L207" s="249"/>
      <c r="M207" s="189"/>
      <c r="N207" s="264"/>
      <c r="O207" s="249"/>
      <c r="P207" s="250"/>
      <c r="Q207" s="264"/>
      <c r="R207" s="249"/>
      <c r="S207" s="250"/>
      <c r="T207" s="264"/>
      <c r="U207" s="249"/>
      <c r="V207" s="250"/>
      <c r="W207" s="264"/>
      <c r="X207" s="394"/>
      <c r="Y207" s="429"/>
      <c r="Z207" s="395"/>
      <c r="AA207" s="394"/>
      <c r="AB207" s="118" t="str">
        <f>IF(OR(ISBLANK($B207),ISBLANK($AA207)),"",IFERROR(IF($AA207&lt;=DATE('ESTADO CONTABLE'!$B$2,9,5),VLOOKUP($B207,COSTOS!$A$2:$B1014,2,FALSE)-150,VLOOKUP($B207,COSTOS!$A$2:$B1014,2,FALSE)),"No encontrado o error"))</f>
        <v/>
      </c>
      <c r="AC207" s="395"/>
      <c r="AD207" s="394"/>
      <c r="AE207" s="429" t="str">
        <f>IF(OR(ISBLANK($B207),ISBLANK($AD207)),"",IFERROR(IF($AD207&lt;=DATE('ESTADO CONTABLE'!$B$2,10,5),VLOOKUP($B207,COSTOS!$A$2:$B1014,2,FALSE)-150,VLOOKUP($B207,COSTOS!$A$2:$B1014,2,FALSE)),"No encontrado o error"))</f>
        <v/>
      </c>
      <c r="AF207" s="395"/>
      <c r="AG207" s="394"/>
      <c r="AH207" s="429" t="str">
        <f>IF(OR(ISBLANK($B207),ISBLANK($AG207)),"",IFERROR(IF($AG207&lt;=DATE('ESTADO CONTABLE'!$B$2,11,5),VLOOKUP($B207,COSTOS!$A$2:$B1014,2,FALSE)-150,VLOOKUP($B207,COSTOS!$A$2:$B1014,2,FALSE)),"No encontrado o error"))</f>
        <v/>
      </c>
      <c r="AI207" s="395"/>
      <c r="AJ207" s="394"/>
      <c r="AK207" s="429" t="str">
        <f>IF(OR(ISBLANK($B207),ISBLANK($AJ207)),"",IFERROR(IF($AJ207&lt;=DATE('ESTADO CONTABLE'!$B$2,12,5),VLOOKUP($B207,COSTOS!$A$2:$B1014,2,FALSE)-150,VLOOKUP($B207,COSTOS!$A$2:$B1014,2,FALSE)),"No encontrado o error"))</f>
        <v/>
      </c>
      <c r="AL207" s="395"/>
      <c r="AM207" s="254"/>
      <c r="AN207" s="255"/>
      <c r="AO207" s="256"/>
    </row>
    <row r="208" ht="22.5" customHeight="1">
      <c r="A208" s="431" t="str">
        <f>'BASE DE DATOSS'!A282</f>
        <v/>
      </c>
      <c r="B208" s="432" t="str">
        <f>'BASE DE DATOSS'!C282</f>
        <v/>
      </c>
      <c r="C208" s="263"/>
      <c r="D208" s="249"/>
      <c r="E208" s="250"/>
      <c r="F208" s="251"/>
      <c r="G208" s="262"/>
      <c r="H208" s="257"/>
      <c r="I208" s="249"/>
      <c r="J208" s="193" t="str">
        <f>IF(OR(ISBLANK($B208),ISBLANK($I208)),"",IFERROR(IF($I208&lt;=DATE('ESTADO CONTABLE'!$B$2,3,5),VLOOKUP($B208,COSTOS!$A$2:$B1014,2,FALSE)-150,VLOOKUP($B208,COSTOS!$A$2:$B1014,2,FALSE)),"No encontrado o error"))</f>
        <v/>
      </c>
      <c r="K208" s="264"/>
      <c r="L208" s="249"/>
      <c r="M208" s="189"/>
      <c r="N208" s="264"/>
      <c r="O208" s="249"/>
      <c r="P208" s="250"/>
      <c r="Q208" s="264"/>
      <c r="R208" s="249"/>
      <c r="S208" s="250"/>
      <c r="T208" s="264"/>
      <c r="U208" s="249"/>
      <c r="V208" s="250"/>
      <c r="W208" s="264"/>
      <c r="X208" s="394"/>
      <c r="Y208" s="429"/>
      <c r="Z208" s="395"/>
      <c r="AA208" s="394"/>
      <c r="AB208" s="118" t="str">
        <f>IF(OR(ISBLANK($B208),ISBLANK($AA208)),"",IFERROR(IF($AA208&lt;=DATE('ESTADO CONTABLE'!$B$2,9,5),VLOOKUP($B208,COSTOS!$A$2:$B1014,2,FALSE)-150,VLOOKUP($B208,COSTOS!$A$2:$B1014,2,FALSE)),"No encontrado o error"))</f>
        <v/>
      </c>
      <c r="AC208" s="395"/>
      <c r="AD208" s="394"/>
      <c r="AE208" s="429" t="str">
        <f>IF(OR(ISBLANK($B208),ISBLANK($AD208)),"",IFERROR(IF($AD208&lt;=DATE('ESTADO CONTABLE'!$B$2,10,5),VLOOKUP($B208,COSTOS!$A$2:$B1014,2,FALSE)-150,VLOOKUP($B208,COSTOS!$A$2:$B1014,2,FALSE)),"No encontrado o error"))</f>
        <v/>
      </c>
      <c r="AF208" s="395"/>
      <c r="AG208" s="394"/>
      <c r="AH208" s="429" t="str">
        <f>IF(OR(ISBLANK($B208),ISBLANK($AG208)),"",IFERROR(IF($AG208&lt;=DATE('ESTADO CONTABLE'!$B$2,11,5),VLOOKUP($B208,COSTOS!$A$2:$B1014,2,FALSE)-150,VLOOKUP($B208,COSTOS!$A$2:$B1014,2,FALSE)),"No encontrado o error"))</f>
        <v/>
      </c>
      <c r="AI208" s="395"/>
      <c r="AJ208" s="394"/>
      <c r="AK208" s="429" t="str">
        <f>IF(OR(ISBLANK($B208),ISBLANK($AJ208)),"",IFERROR(IF($AJ208&lt;=DATE('ESTADO CONTABLE'!$B$2,12,5),VLOOKUP($B208,COSTOS!$A$2:$B1014,2,FALSE)-150,VLOOKUP($B208,COSTOS!$A$2:$B1014,2,FALSE)),"No encontrado o error"))</f>
        <v/>
      </c>
      <c r="AL208" s="395"/>
      <c r="AM208" s="254"/>
      <c r="AN208" s="255"/>
      <c r="AO208" s="256"/>
    </row>
    <row r="209" ht="22.5" customHeight="1">
      <c r="A209" s="431" t="str">
        <f>'BASE DE DATOSS'!A283</f>
        <v/>
      </c>
      <c r="B209" s="432" t="str">
        <f>'BASE DE DATOSS'!C283</f>
        <v/>
      </c>
      <c r="C209" s="263"/>
      <c r="D209" s="249"/>
      <c r="E209" s="250"/>
      <c r="F209" s="251"/>
      <c r="G209" s="262"/>
      <c r="H209" s="257"/>
      <c r="I209" s="249"/>
      <c r="J209" s="193" t="str">
        <f>IF(OR(ISBLANK($B209),ISBLANK($I209)),"",IFERROR(IF($I209&lt;=DATE('ESTADO CONTABLE'!$B$2,3,5),VLOOKUP($B209,COSTOS!$A$2:$B1014,2,FALSE)-150,VLOOKUP($B209,COSTOS!$A$2:$B1014,2,FALSE)),"No encontrado o error"))</f>
        <v/>
      </c>
      <c r="K209" s="264"/>
      <c r="L209" s="249"/>
      <c r="M209" s="189"/>
      <c r="N209" s="264"/>
      <c r="O209" s="249"/>
      <c r="P209" s="250"/>
      <c r="Q209" s="264"/>
      <c r="R209" s="249"/>
      <c r="S209" s="250"/>
      <c r="T209" s="264"/>
      <c r="U209" s="249"/>
      <c r="V209" s="250"/>
      <c r="W209" s="264"/>
      <c r="X209" s="394"/>
      <c r="Y209" s="429"/>
      <c r="Z209" s="395"/>
      <c r="AA209" s="394"/>
      <c r="AB209" s="118" t="str">
        <f>IF(OR(ISBLANK($B209),ISBLANK($AA209)),"",IFERROR(IF($AA209&lt;=DATE('ESTADO CONTABLE'!$B$2,9,5),VLOOKUP($B209,COSTOS!$A$2:$B1014,2,FALSE)-150,VLOOKUP($B209,COSTOS!$A$2:$B1014,2,FALSE)),"No encontrado o error"))</f>
        <v/>
      </c>
      <c r="AC209" s="395"/>
      <c r="AD209" s="394"/>
      <c r="AE209" s="429" t="str">
        <f>IF(OR(ISBLANK($B209),ISBLANK($AD209)),"",IFERROR(IF($AD209&lt;=DATE('ESTADO CONTABLE'!$B$2,10,5),VLOOKUP($B209,COSTOS!$A$2:$B1014,2,FALSE)-150,VLOOKUP($B209,COSTOS!$A$2:$B1014,2,FALSE)),"No encontrado o error"))</f>
        <v/>
      </c>
      <c r="AF209" s="395"/>
      <c r="AG209" s="394"/>
      <c r="AH209" s="429" t="str">
        <f>IF(OR(ISBLANK($B209),ISBLANK($AG209)),"",IFERROR(IF($AG209&lt;=DATE('ESTADO CONTABLE'!$B$2,11,5),VLOOKUP($B209,COSTOS!$A$2:$B1014,2,FALSE)-150,VLOOKUP($B209,COSTOS!$A$2:$B1014,2,FALSE)),"No encontrado o error"))</f>
        <v/>
      </c>
      <c r="AI209" s="395"/>
      <c r="AJ209" s="394"/>
      <c r="AK209" s="429" t="str">
        <f>IF(OR(ISBLANK($B209),ISBLANK($AJ209)),"",IFERROR(IF($AJ209&lt;=DATE('ESTADO CONTABLE'!$B$2,12,5),VLOOKUP($B209,COSTOS!$A$2:$B1014,2,FALSE)-150,VLOOKUP($B209,COSTOS!$A$2:$B1014,2,FALSE)),"No encontrado o error"))</f>
        <v/>
      </c>
      <c r="AL209" s="395"/>
      <c r="AM209" s="254"/>
      <c r="AN209" s="255"/>
      <c r="AO209" s="256"/>
    </row>
    <row r="210" ht="22.5" customHeight="1">
      <c r="A210" s="431" t="str">
        <f>'BASE DE DATOSS'!A284</f>
        <v/>
      </c>
      <c r="B210" s="432" t="str">
        <f>'BASE DE DATOSS'!C284</f>
        <v/>
      </c>
      <c r="C210" s="263"/>
      <c r="D210" s="249"/>
      <c r="E210" s="250"/>
      <c r="F210" s="251"/>
      <c r="G210" s="262"/>
      <c r="H210" s="257"/>
      <c r="I210" s="249"/>
      <c r="J210" s="193" t="str">
        <f>IF(OR(ISBLANK($B210),ISBLANK($I210)),"",IFERROR(IF($I210&lt;=DATE('ESTADO CONTABLE'!$B$2,3,5),VLOOKUP($B210,COSTOS!$A$2:$B1014,2,FALSE)-150,VLOOKUP($B210,COSTOS!$A$2:$B1014,2,FALSE)),"No encontrado o error"))</f>
        <v/>
      </c>
      <c r="K210" s="264"/>
      <c r="L210" s="249"/>
      <c r="M210" s="189"/>
      <c r="N210" s="264"/>
      <c r="O210" s="249"/>
      <c r="P210" s="250"/>
      <c r="Q210" s="264"/>
      <c r="R210" s="249"/>
      <c r="S210" s="250"/>
      <c r="T210" s="264"/>
      <c r="U210" s="249"/>
      <c r="V210" s="250"/>
      <c r="W210" s="264"/>
      <c r="X210" s="394"/>
      <c r="Y210" s="429"/>
      <c r="Z210" s="395"/>
      <c r="AA210" s="394"/>
      <c r="AB210" s="118" t="str">
        <f>IF(OR(ISBLANK($B210),ISBLANK($AA210)),"",IFERROR(IF($AA210&lt;=DATE('ESTADO CONTABLE'!$B$2,9,5),VLOOKUP($B210,COSTOS!$A$2:$B1014,2,FALSE)-150,VLOOKUP($B210,COSTOS!$A$2:$B1014,2,FALSE)),"No encontrado o error"))</f>
        <v/>
      </c>
      <c r="AC210" s="395"/>
      <c r="AD210" s="394"/>
      <c r="AE210" s="429" t="str">
        <f>IF(OR(ISBLANK($B210),ISBLANK($AD210)),"",IFERROR(IF($AD210&lt;=DATE('ESTADO CONTABLE'!$B$2,10,5),VLOOKUP($B210,COSTOS!$A$2:$B1014,2,FALSE)-150,VLOOKUP($B210,COSTOS!$A$2:$B1014,2,FALSE)),"No encontrado o error"))</f>
        <v/>
      </c>
      <c r="AF210" s="395"/>
      <c r="AG210" s="394"/>
      <c r="AH210" s="429" t="str">
        <f>IF(OR(ISBLANK($B210),ISBLANK($AG210)),"",IFERROR(IF($AG210&lt;=DATE('ESTADO CONTABLE'!$B$2,11,5),VLOOKUP($B210,COSTOS!$A$2:$B1014,2,FALSE)-150,VLOOKUP($B210,COSTOS!$A$2:$B1014,2,FALSE)),"No encontrado o error"))</f>
        <v/>
      </c>
      <c r="AI210" s="395"/>
      <c r="AJ210" s="394"/>
      <c r="AK210" s="429" t="str">
        <f>IF(OR(ISBLANK($B210),ISBLANK($AJ210)),"",IFERROR(IF($AJ210&lt;=DATE('ESTADO CONTABLE'!$B$2,12,5),VLOOKUP($B210,COSTOS!$A$2:$B1014,2,FALSE)-150,VLOOKUP($B210,COSTOS!$A$2:$B1014,2,FALSE)),"No encontrado o error"))</f>
        <v/>
      </c>
      <c r="AL210" s="395"/>
      <c r="AM210" s="254"/>
      <c r="AN210" s="255"/>
      <c r="AO210" s="256"/>
    </row>
    <row r="211" ht="22.5" customHeight="1">
      <c r="A211" s="431" t="str">
        <f>'BASE DE DATOSS'!A285</f>
        <v/>
      </c>
      <c r="B211" s="432" t="str">
        <f>'BASE DE DATOSS'!C285</f>
        <v/>
      </c>
      <c r="C211" s="263"/>
      <c r="D211" s="249"/>
      <c r="E211" s="250"/>
      <c r="F211" s="251"/>
      <c r="G211" s="262"/>
      <c r="H211" s="257"/>
      <c r="I211" s="249"/>
      <c r="J211" s="193" t="str">
        <f>IF(OR(ISBLANK($B211),ISBLANK($I211)),"",IFERROR(IF($I211&lt;=DATE('ESTADO CONTABLE'!$B$2,3,5),VLOOKUP($B211,COSTOS!$A$2:$B1014,2,FALSE)-150,VLOOKUP($B211,COSTOS!$A$2:$B1014,2,FALSE)),"No encontrado o error"))</f>
        <v/>
      </c>
      <c r="K211" s="264"/>
      <c r="L211" s="249"/>
      <c r="M211" s="189"/>
      <c r="N211" s="264"/>
      <c r="O211" s="249"/>
      <c r="P211" s="250"/>
      <c r="Q211" s="264"/>
      <c r="R211" s="249"/>
      <c r="S211" s="250"/>
      <c r="T211" s="264"/>
      <c r="U211" s="249"/>
      <c r="V211" s="250"/>
      <c r="W211" s="264"/>
      <c r="X211" s="394"/>
      <c r="Y211" s="429"/>
      <c r="Z211" s="395"/>
      <c r="AA211" s="394"/>
      <c r="AB211" s="118" t="str">
        <f>IF(OR(ISBLANK($B211),ISBLANK($AA211)),"",IFERROR(IF($AA211&lt;=DATE('ESTADO CONTABLE'!$B$2,9,5),VLOOKUP($B211,COSTOS!$A$2:$B1014,2,FALSE)-150,VLOOKUP($B211,COSTOS!$A$2:$B1014,2,FALSE)),"No encontrado o error"))</f>
        <v/>
      </c>
      <c r="AC211" s="395"/>
      <c r="AD211" s="394"/>
      <c r="AE211" s="429" t="str">
        <f>IF(OR(ISBLANK($B211),ISBLANK($AD211)),"",IFERROR(IF($AD211&lt;=DATE('ESTADO CONTABLE'!$B$2,10,5),VLOOKUP($B211,COSTOS!$A$2:$B1014,2,FALSE)-150,VLOOKUP($B211,COSTOS!$A$2:$B1014,2,FALSE)),"No encontrado o error"))</f>
        <v/>
      </c>
      <c r="AF211" s="395"/>
      <c r="AG211" s="394"/>
      <c r="AH211" s="429" t="str">
        <f>IF(OR(ISBLANK($B211),ISBLANK($AG211)),"",IFERROR(IF($AG211&lt;=DATE('ESTADO CONTABLE'!$B$2,11,5),VLOOKUP($B211,COSTOS!$A$2:$B1014,2,FALSE)-150,VLOOKUP($B211,COSTOS!$A$2:$B1014,2,FALSE)),"No encontrado o error"))</f>
        <v/>
      </c>
      <c r="AI211" s="395"/>
      <c r="AJ211" s="394"/>
      <c r="AK211" s="429" t="str">
        <f>IF(OR(ISBLANK($B211),ISBLANK($AJ211)),"",IFERROR(IF($AJ211&lt;=DATE('ESTADO CONTABLE'!$B$2,12,5),VLOOKUP($B211,COSTOS!$A$2:$B1014,2,FALSE)-150,VLOOKUP($B211,COSTOS!$A$2:$B1014,2,FALSE)),"No encontrado o error"))</f>
        <v/>
      </c>
      <c r="AL211" s="395"/>
      <c r="AM211" s="254"/>
      <c r="AN211" s="255"/>
      <c r="AO211" s="256"/>
    </row>
    <row r="212" ht="22.5" customHeight="1">
      <c r="A212" s="431" t="str">
        <f>'BASE DE DATOSS'!A286</f>
        <v/>
      </c>
      <c r="B212" s="432" t="str">
        <f>'BASE DE DATOSS'!C286</f>
        <v/>
      </c>
      <c r="C212" s="263"/>
      <c r="D212" s="249"/>
      <c r="E212" s="250"/>
      <c r="F212" s="251"/>
      <c r="G212" s="262"/>
      <c r="H212" s="257"/>
      <c r="I212" s="249"/>
      <c r="J212" s="193" t="str">
        <f>IF(OR(ISBLANK($B212),ISBLANK($I212)),"",IFERROR(IF($I212&lt;=DATE('ESTADO CONTABLE'!$B$2,3,5),VLOOKUP($B212,COSTOS!$A$2:$B1014,2,FALSE)-150,VLOOKUP($B212,COSTOS!$A$2:$B1014,2,FALSE)),"No encontrado o error"))</f>
        <v/>
      </c>
      <c r="K212" s="264"/>
      <c r="L212" s="249"/>
      <c r="M212" s="189"/>
      <c r="N212" s="264"/>
      <c r="O212" s="249"/>
      <c r="P212" s="250"/>
      <c r="Q212" s="264"/>
      <c r="R212" s="249"/>
      <c r="S212" s="250"/>
      <c r="T212" s="264"/>
      <c r="U212" s="249"/>
      <c r="V212" s="250"/>
      <c r="W212" s="264"/>
      <c r="X212" s="394"/>
      <c r="Y212" s="429"/>
      <c r="Z212" s="395"/>
      <c r="AA212" s="394"/>
      <c r="AB212" s="118" t="str">
        <f>IF(OR(ISBLANK($B212),ISBLANK($AA212)),"",IFERROR(IF($AA212&lt;=DATE('ESTADO CONTABLE'!$B$2,9,5),VLOOKUP($B212,COSTOS!$A$2:$B1014,2,FALSE)-150,VLOOKUP($B212,COSTOS!$A$2:$B1014,2,FALSE)),"No encontrado o error"))</f>
        <v/>
      </c>
      <c r="AC212" s="395"/>
      <c r="AD212" s="394"/>
      <c r="AE212" s="429" t="str">
        <f>IF(OR(ISBLANK($B212),ISBLANK($AD212)),"",IFERROR(IF($AD212&lt;=DATE('ESTADO CONTABLE'!$B$2,10,5),VLOOKUP($B212,COSTOS!$A$2:$B1014,2,FALSE)-150,VLOOKUP($B212,COSTOS!$A$2:$B1014,2,FALSE)),"No encontrado o error"))</f>
        <v/>
      </c>
      <c r="AF212" s="395"/>
      <c r="AG212" s="394"/>
      <c r="AH212" s="429" t="str">
        <f>IF(OR(ISBLANK($B212),ISBLANK($AG212)),"",IFERROR(IF($AG212&lt;=DATE('ESTADO CONTABLE'!$B$2,11,5),VLOOKUP($B212,COSTOS!$A$2:$B1014,2,FALSE)-150,VLOOKUP($B212,COSTOS!$A$2:$B1014,2,FALSE)),"No encontrado o error"))</f>
        <v/>
      </c>
      <c r="AI212" s="395"/>
      <c r="AJ212" s="394"/>
      <c r="AK212" s="429" t="str">
        <f>IF(OR(ISBLANK($B212),ISBLANK($AJ212)),"",IFERROR(IF($AJ212&lt;=DATE('ESTADO CONTABLE'!$B$2,12,5),VLOOKUP($B212,COSTOS!$A$2:$B1014,2,FALSE)-150,VLOOKUP($B212,COSTOS!$A$2:$B1014,2,FALSE)),"No encontrado o error"))</f>
        <v/>
      </c>
      <c r="AL212" s="395"/>
      <c r="AM212" s="254"/>
      <c r="AN212" s="255"/>
      <c r="AO212" s="256"/>
    </row>
    <row r="213" ht="22.5" customHeight="1">
      <c r="A213" s="431" t="str">
        <f>'BASE DE DATOSS'!A287</f>
        <v/>
      </c>
      <c r="B213" s="432" t="str">
        <f>'BASE DE DATOSS'!C287</f>
        <v/>
      </c>
      <c r="C213" s="263"/>
      <c r="D213" s="249"/>
      <c r="E213" s="250"/>
      <c r="F213" s="251"/>
      <c r="G213" s="262"/>
      <c r="H213" s="257"/>
      <c r="I213" s="249"/>
      <c r="J213" s="193" t="str">
        <f>IF(OR(ISBLANK($B213),ISBLANK($I213)),"",IFERROR(IF($I213&lt;=DATE('ESTADO CONTABLE'!$B$2,3,5),VLOOKUP($B213,COSTOS!$A$2:$B1014,2,FALSE)-150,VLOOKUP($B213,COSTOS!$A$2:$B1014,2,FALSE)),"No encontrado o error"))</f>
        <v/>
      </c>
      <c r="K213" s="264"/>
      <c r="L213" s="249"/>
      <c r="M213" s="189"/>
      <c r="N213" s="264"/>
      <c r="O213" s="249"/>
      <c r="P213" s="250"/>
      <c r="Q213" s="264"/>
      <c r="R213" s="249"/>
      <c r="S213" s="250"/>
      <c r="T213" s="264"/>
      <c r="U213" s="249"/>
      <c r="V213" s="250"/>
      <c r="W213" s="264"/>
      <c r="X213" s="394"/>
      <c r="Y213" s="429"/>
      <c r="Z213" s="395"/>
      <c r="AA213" s="394"/>
      <c r="AB213" s="118" t="str">
        <f>IF(OR(ISBLANK($B213),ISBLANK($AA213)),"",IFERROR(IF($AA213&lt;=DATE('ESTADO CONTABLE'!$B$2,9,5),VLOOKUP($B213,COSTOS!$A$2:$B1014,2,FALSE)-150,VLOOKUP($B213,COSTOS!$A$2:$B1014,2,FALSE)),"No encontrado o error"))</f>
        <v/>
      </c>
      <c r="AC213" s="395"/>
      <c r="AD213" s="394"/>
      <c r="AE213" s="429" t="str">
        <f>IF(OR(ISBLANK($B213),ISBLANK($AD213)),"",IFERROR(IF($AD213&lt;=DATE('ESTADO CONTABLE'!$B$2,10,5),VLOOKUP($B213,COSTOS!$A$2:$B1014,2,FALSE)-150,VLOOKUP($B213,COSTOS!$A$2:$B1014,2,FALSE)),"No encontrado o error"))</f>
        <v/>
      </c>
      <c r="AF213" s="395"/>
      <c r="AG213" s="394"/>
      <c r="AH213" s="429" t="str">
        <f>IF(OR(ISBLANK($B213),ISBLANK($AG213)),"",IFERROR(IF($AG213&lt;=DATE('ESTADO CONTABLE'!$B$2,11,5),VLOOKUP($B213,COSTOS!$A$2:$B1014,2,FALSE)-150,VLOOKUP($B213,COSTOS!$A$2:$B1014,2,FALSE)),"No encontrado o error"))</f>
        <v/>
      </c>
      <c r="AI213" s="395"/>
      <c r="AJ213" s="394"/>
      <c r="AK213" s="429" t="str">
        <f>IF(OR(ISBLANK($B213),ISBLANK($AJ213)),"",IFERROR(IF($AJ213&lt;=DATE('ESTADO CONTABLE'!$B$2,12,5),VLOOKUP($B213,COSTOS!$A$2:$B1014,2,FALSE)-150,VLOOKUP($B213,COSTOS!$A$2:$B1014,2,FALSE)),"No encontrado o error"))</f>
        <v/>
      </c>
      <c r="AL213" s="395"/>
      <c r="AM213" s="254"/>
      <c r="AN213" s="255"/>
      <c r="AO213" s="256"/>
    </row>
    <row r="214" ht="22.5" customHeight="1">
      <c r="A214" s="431" t="str">
        <f>'BASE DE DATOSS'!A288</f>
        <v/>
      </c>
      <c r="B214" s="432" t="str">
        <f>'BASE DE DATOSS'!C288</f>
        <v/>
      </c>
      <c r="C214" s="263"/>
      <c r="D214" s="249"/>
      <c r="E214" s="250"/>
      <c r="F214" s="251"/>
      <c r="G214" s="262"/>
      <c r="H214" s="257"/>
      <c r="I214" s="249"/>
      <c r="J214" s="193" t="str">
        <f>IF(OR(ISBLANK($B214),ISBLANK($I214)),"",IFERROR(IF($I214&lt;=DATE('ESTADO CONTABLE'!$B$2,3,5),VLOOKUP($B214,COSTOS!$A$2:$B1014,2,FALSE)-150,VLOOKUP($B214,COSTOS!$A$2:$B1014,2,FALSE)),"No encontrado o error"))</f>
        <v/>
      </c>
      <c r="K214" s="264"/>
      <c r="L214" s="249"/>
      <c r="M214" s="189"/>
      <c r="N214" s="264"/>
      <c r="O214" s="249"/>
      <c r="P214" s="250"/>
      <c r="Q214" s="264"/>
      <c r="R214" s="249"/>
      <c r="S214" s="250"/>
      <c r="T214" s="264"/>
      <c r="U214" s="249"/>
      <c r="V214" s="250"/>
      <c r="W214" s="264"/>
      <c r="X214" s="394"/>
      <c r="Y214" s="429"/>
      <c r="Z214" s="395"/>
      <c r="AA214" s="394"/>
      <c r="AB214" s="118" t="str">
        <f>IF(OR(ISBLANK($B214),ISBLANK($AA214)),"",IFERROR(IF($AA214&lt;=DATE('ESTADO CONTABLE'!$B$2,9,5),VLOOKUP($B214,COSTOS!$A$2:$B1014,2,FALSE)-150,VLOOKUP($B214,COSTOS!$A$2:$B1014,2,FALSE)),"No encontrado o error"))</f>
        <v/>
      </c>
      <c r="AC214" s="395"/>
      <c r="AD214" s="394"/>
      <c r="AE214" s="429" t="str">
        <f>IF(OR(ISBLANK($B214),ISBLANK($AD214)),"",IFERROR(IF($AD214&lt;=DATE('ESTADO CONTABLE'!$B$2,10,5),VLOOKUP($B214,COSTOS!$A$2:$B1014,2,FALSE)-150,VLOOKUP($B214,COSTOS!$A$2:$B1014,2,FALSE)),"No encontrado o error"))</f>
        <v/>
      </c>
      <c r="AF214" s="395"/>
      <c r="AG214" s="394"/>
      <c r="AH214" s="429" t="str">
        <f>IF(OR(ISBLANK($B214),ISBLANK($AG214)),"",IFERROR(IF($AG214&lt;=DATE('ESTADO CONTABLE'!$B$2,11,5),VLOOKUP($B214,COSTOS!$A$2:$B1014,2,FALSE)-150,VLOOKUP($B214,COSTOS!$A$2:$B1014,2,FALSE)),"No encontrado o error"))</f>
        <v/>
      </c>
      <c r="AI214" s="395"/>
      <c r="AJ214" s="394"/>
      <c r="AK214" s="429" t="str">
        <f>IF(OR(ISBLANK($B214),ISBLANK($AJ214)),"",IFERROR(IF($AJ214&lt;=DATE('ESTADO CONTABLE'!$B$2,12,5),VLOOKUP($B214,COSTOS!$A$2:$B1014,2,FALSE)-150,VLOOKUP($B214,COSTOS!$A$2:$B1014,2,FALSE)),"No encontrado o error"))</f>
        <v/>
      </c>
      <c r="AL214" s="395"/>
      <c r="AM214" s="254"/>
      <c r="AN214" s="255"/>
      <c r="AO214" s="256"/>
    </row>
    <row r="215" ht="22.5" customHeight="1">
      <c r="A215" s="431" t="str">
        <f>'BASE DE DATOSS'!A289</f>
        <v/>
      </c>
      <c r="B215" s="432" t="str">
        <f>'BASE DE DATOSS'!C289</f>
        <v/>
      </c>
      <c r="C215" s="263"/>
      <c r="D215" s="249"/>
      <c r="E215" s="250"/>
      <c r="F215" s="251"/>
      <c r="G215" s="262"/>
      <c r="H215" s="257"/>
      <c r="I215" s="249"/>
      <c r="J215" s="193" t="str">
        <f>IF(OR(ISBLANK($B215),ISBLANK($I215)),"",IFERROR(IF($I215&lt;=DATE('ESTADO CONTABLE'!$B$2,3,5),VLOOKUP($B215,COSTOS!$A$2:$B1014,2,FALSE)-150,VLOOKUP($B215,COSTOS!$A$2:$B1014,2,FALSE)),"No encontrado o error"))</f>
        <v/>
      </c>
      <c r="K215" s="264"/>
      <c r="L215" s="249"/>
      <c r="M215" s="189"/>
      <c r="N215" s="264"/>
      <c r="O215" s="249"/>
      <c r="P215" s="250"/>
      <c r="Q215" s="264"/>
      <c r="R215" s="249"/>
      <c r="S215" s="250"/>
      <c r="T215" s="264"/>
      <c r="U215" s="249"/>
      <c r="V215" s="250"/>
      <c r="W215" s="264"/>
      <c r="X215" s="394"/>
      <c r="Y215" s="429"/>
      <c r="Z215" s="395"/>
      <c r="AA215" s="394"/>
      <c r="AB215" s="118" t="str">
        <f>IF(OR(ISBLANK($B215),ISBLANK($AA215)),"",IFERROR(IF($AA215&lt;=DATE('ESTADO CONTABLE'!$B$2,9,5),VLOOKUP($B215,COSTOS!$A$2:$B1014,2,FALSE)-150,VLOOKUP($B215,COSTOS!$A$2:$B1014,2,FALSE)),"No encontrado o error"))</f>
        <v/>
      </c>
      <c r="AC215" s="395"/>
      <c r="AD215" s="394"/>
      <c r="AE215" s="429" t="str">
        <f>IF(OR(ISBLANK($B215),ISBLANK($AD215)),"",IFERROR(IF($AD215&lt;=DATE('ESTADO CONTABLE'!$B$2,10,5),VLOOKUP($B215,COSTOS!$A$2:$B1014,2,FALSE)-150,VLOOKUP($B215,COSTOS!$A$2:$B1014,2,FALSE)),"No encontrado o error"))</f>
        <v/>
      </c>
      <c r="AF215" s="395"/>
      <c r="AG215" s="394"/>
      <c r="AH215" s="429" t="str">
        <f>IF(OR(ISBLANK($B215),ISBLANK($AG215)),"",IFERROR(IF($AG215&lt;=DATE('ESTADO CONTABLE'!$B$2,11,5),VLOOKUP($B215,COSTOS!$A$2:$B1014,2,FALSE)-150,VLOOKUP($B215,COSTOS!$A$2:$B1014,2,FALSE)),"No encontrado o error"))</f>
        <v/>
      </c>
      <c r="AI215" s="395"/>
      <c r="AJ215" s="394"/>
      <c r="AK215" s="429" t="str">
        <f>IF(OR(ISBLANK($B215),ISBLANK($AJ215)),"",IFERROR(IF($AJ215&lt;=DATE('ESTADO CONTABLE'!$B$2,12,5),VLOOKUP($B215,COSTOS!$A$2:$B1014,2,FALSE)-150,VLOOKUP($B215,COSTOS!$A$2:$B1014,2,FALSE)),"No encontrado o error"))</f>
        <v/>
      </c>
      <c r="AL215" s="395"/>
      <c r="AM215" s="254"/>
      <c r="AN215" s="255"/>
      <c r="AO215" s="256"/>
    </row>
    <row r="216" ht="22.5" customHeight="1">
      <c r="A216" s="431" t="str">
        <f>'BASE DE DATOSS'!A290</f>
        <v/>
      </c>
      <c r="B216" s="432" t="str">
        <f>'BASE DE DATOSS'!C290</f>
        <v/>
      </c>
      <c r="C216" s="263"/>
      <c r="D216" s="249"/>
      <c r="E216" s="250"/>
      <c r="F216" s="251"/>
      <c r="G216" s="262"/>
      <c r="H216" s="257"/>
      <c r="I216" s="249"/>
      <c r="J216" s="193" t="str">
        <f>IF(OR(ISBLANK($B216),ISBLANK($I216)),"",IFERROR(IF($I216&lt;=DATE('ESTADO CONTABLE'!$B$2,3,5),VLOOKUP($B216,COSTOS!$A$2:$B1014,2,FALSE)-150,VLOOKUP($B216,COSTOS!$A$2:$B1014,2,FALSE)),"No encontrado o error"))</f>
        <v/>
      </c>
      <c r="K216" s="264"/>
      <c r="L216" s="249"/>
      <c r="M216" s="189"/>
      <c r="N216" s="264"/>
      <c r="O216" s="249"/>
      <c r="P216" s="250"/>
      <c r="Q216" s="264"/>
      <c r="R216" s="249"/>
      <c r="S216" s="250"/>
      <c r="T216" s="264"/>
      <c r="U216" s="249"/>
      <c r="V216" s="250"/>
      <c r="W216" s="264"/>
      <c r="X216" s="394"/>
      <c r="Y216" s="429"/>
      <c r="Z216" s="395"/>
      <c r="AA216" s="394"/>
      <c r="AB216" s="118" t="str">
        <f>IF(OR(ISBLANK($B216),ISBLANK($AA216)),"",IFERROR(IF($AA216&lt;=DATE('ESTADO CONTABLE'!$B$2,9,5),VLOOKUP($B216,COSTOS!$A$2:$B1014,2,FALSE)-150,VLOOKUP($B216,COSTOS!$A$2:$B1014,2,FALSE)),"No encontrado o error"))</f>
        <v/>
      </c>
      <c r="AC216" s="395"/>
      <c r="AD216" s="394"/>
      <c r="AE216" s="429" t="str">
        <f>IF(OR(ISBLANK($B216),ISBLANK($AD216)),"",IFERROR(IF($AD216&lt;=DATE('ESTADO CONTABLE'!$B$2,10,5),VLOOKUP($B216,COSTOS!$A$2:$B1014,2,FALSE)-150,VLOOKUP($B216,COSTOS!$A$2:$B1014,2,FALSE)),"No encontrado o error"))</f>
        <v/>
      </c>
      <c r="AF216" s="395"/>
      <c r="AG216" s="394"/>
      <c r="AH216" s="429" t="str">
        <f>IF(OR(ISBLANK($B216),ISBLANK($AG216)),"",IFERROR(IF($AG216&lt;=DATE('ESTADO CONTABLE'!$B$2,11,5),VLOOKUP($B216,COSTOS!$A$2:$B1014,2,FALSE)-150,VLOOKUP($B216,COSTOS!$A$2:$B1014,2,FALSE)),"No encontrado o error"))</f>
        <v/>
      </c>
      <c r="AI216" s="395"/>
      <c r="AJ216" s="394"/>
      <c r="AK216" s="429" t="str">
        <f>IF(OR(ISBLANK($B216),ISBLANK($AJ216)),"",IFERROR(IF($AJ216&lt;=DATE('ESTADO CONTABLE'!$B$2,12,5),VLOOKUP($B216,COSTOS!$A$2:$B1014,2,FALSE)-150,VLOOKUP($B216,COSTOS!$A$2:$B1014,2,FALSE)),"No encontrado o error"))</f>
        <v/>
      </c>
      <c r="AL216" s="395"/>
      <c r="AM216" s="254"/>
      <c r="AN216" s="255"/>
      <c r="AO216" s="256"/>
    </row>
    <row r="217" ht="22.5" customHeight="1">
      <c r="A217" s="431" t="str">
        <f>'BASE DE DATOSS'!A291</f>
        <v/>
      </c>
      <c r="B217" s="432" t="str">
        <f>'BASE DE DATOSS'!C291</f>
        <v/>
      </c>
      <c r="C217" s="263"/>
      <c r="D217" s="249"/>
      <c r="E217" s="250"/>
      <c r="F217" s="251"/>
      <c r="G217" s="262"/>
      <c r="H217" s="257"/>
      <c r="I217" s="249"/>
      <c r="J217" s="193" t="str">
        <f>IF(OR(ISBLANK($B217),ISBLANK($I217)),"",IFERROR(IF($I217&lt;=DATE('ESTADO CONTABLE'!$B$2,3,5),VLOOKUP($B217,COSTOS!$A$2:$B1014,2,FALSE)-150,VLOOKUP($B217,COSTOS!$A$2:$B1014,2,FALSE)),"No encontrado o error"))</f>
        <v/>
      </c>
      <c r="K217" s="264"/>
      <c r="L217" s="249"/>
      <c r="M217" s="189"/>
      <c r="N217" s="264"/>
      <c r="O217" s="249"/>
      <c r="P217" s="250"/>
      <c r="Q217" s="264"/>
      <c r="R217" s="249"/>
      <c r="S217" s="250"/>
      <c r="T217" s="264"/>
      <c r="U217" s="249"/>
      <c r="V217" s="250"/>
      <c r="W217" s="264"/>
      <c r="X217" s="394"/>
      <c r="Y217" s="429"/>
      <c r="Z217" s="395"/>
      <c r="AA217" s="394"/>
      <c r="AB217" s="118" t="str">
        <f>IF(OR(ISBLANK($B217),ISBLANK($AA217)),"",IFERROR(IF($AA217&lt;=DATE('ESTADO CONTABLE'!$B$2,9,5),VLOOKUP($B217,COSTOS!$A$2:$B1014,2,FALSE)-150,VLOOKUP($B217,COSTOS!$A$2:$B1014,2,FALSE)),"No encontrado o error"))</f>
        <v/>
      </c>
      <c r="AC217" s="395"/>
      <c r="AD217" s="394"/>
      <c r="AE217" s="429" t="str">
        <f>IF(OR(ISBLANK($B217),ISBLANK($AD217)),"",IFERROR(IF($AD217&lt;=DATE('ESTADO CONTABLE'!$B$2,10,5),VLOOKUP($B217,COSTOS!$A$2:$B1014,2,FALSE)-150,VLOOKUP($B217,COSTOS!$A$2:$B1014,2,FALSE)),"No encontrado o error"))</f>
        <v/>
      </c>
      <c r="AF217" s="395"/>
      <c r="AG217" s="394"/>
      <c r="AH217" s="429" t="str">
        <f>IF(OR(ISBLANK($B217),ISBLANK($AG217)),"",IFERROR(IF($AG217&lt;=DATE('ESTADO CONTABLE'!$B$2,11,5),VLOOKUP($B217,COSTOS!$A$2:$B1014,2,FALSE)-150,VLOOKUP($B217,COSTOS!$A$2:$B1014,2,FALSE)),"No encontrado o error"))</f>
        <v/>
      </c>
      <c r="AI217" s="395"/>
      <c r="AJ217" s="394"/>
      <c r="AK217" s="429" t="str">
        <f>IF(OR(ISBLANK($B217),ISBLANK($AJ217)),"",IFERROR(IF($AJ217&lt;=DATE('ESTADO CONTABLE'!$B$2,12,5),VLOOKUP($B217,COSTOS!$A$2:$B1014,2,FALSE)-150,VLOOKUP($B217,COSTOS!$A$2:$B1014,2,FALSE)),"No encontrado o error"))</f>
        <v/>
      </c>
      <c r="AL217" s="395"/>
      <c r="AM217" s="254"/>
      <c r="AN217" s="255"/>
      <c r="AO217" s="256"/>
    </row>
    <row r="218" ht="22.5" customHeight="1">
      <c r="A218" s="431" t="str">
        <f>'BASE DE DATOSS'!A292</f>
        <v/>
      </c>
      <c r="B218" s="432" t="str">
        <f>'BASE DE DATOSS'!C292</f>
        <v/>
      </c>
      <c r="C218" s="263"/>
      <c r="D218" s="249"/>
      <c r="E218" s="250"/>
      <c r="F218" s="251"/>
      <c r="G218" s="262"/>
      <c r="H218" s="257"/>
      <c r="I218" s="249"/>
      <c r="J218" s="193" t="str">
        <f>IF(OR(ISBLANK($B218),ISBLANK($I218)),"",IFERROR(IF($I218&lt;=DATE('ESTADO CONTABLE'!$B$2,3,5),VLOOKUP($B218,COSTOS!$A$2:$B1014,2,FALSE)-150,VLOOKUP($B218,COSTOS!$A$2:$B1014,2,FALSE)),"No encontrado o error"))</f>
        <v/>
      </c>
      <c r="K218" s="264"/>
      <c r="L218" s="249"/>
      <c r="M218" s="189"/>
      <c r="N218" s="264"/>
      <c r="O218" s="249"/>
      <c r="P218" s="250"/>
      <c r="Q218" s="264"/>
      <c r="R218" s="249"/>
      <c r="S218" s="250"/>
      <c r="T218" s="264"/>
      <c r="U218" s="249"/>
      <c r="V218" s="250"/>
      <c r="W218" s="264"/>
      <c r="X218" s="394"/>
      <c r="Y218" s="429"/>
      <c r="Z218" s="395"/>
      <c r="AA218" s="394"/>
      <c r="AB218" s="118" t="str">
        <f>IF(OR(ISBLANK($B218),ISBLANK($AA218)),"",IFERROR(IF($AA218&lt;=DATE('ESTADO CONTABLE'!$B$2,9,5),VLOOKUP($B218,COSTOS!$A$2:$B1014,2,FALSE)-150,VLOOKUP($B218,COSTOS!$A$2:$B1014,2,FALSE)),"No encontrado o error"))</f>
        <v/>
      </c>
      <c r="AC218" s="395"/>
      <c r="AD218" s="394"/>
      <c r="AE218" s="429" t="str">
        <f>IF(OR(ISBLANK($B218),ISBLANK($AD218)),"",IFERROR(IF($AD218&lt;=DATE('ESTADO CONTABLE'!$B$2,10,5),VLOOKUP($B218,COSTOS!$A$2:$B1014,2,FALSE)-150,VLOOKUP($B218,COSTOS!$A$2:$B1014,2,FALSE)),"No encontrado o error"))</f>
        <v/>
      </c>
      <c r="AF218" s="395"/>
      <c r="AG218" s="394"/>
      <c r="AH218" s="429" t="str">
        <f>IF(OR(ISBLANK($B218),ISBLANK($AG218)),"",IFERROR(IF($AG218&lt;=DATE('ESTADO CONTABLE'!$B$2,11,5),VLOOKUP($B218,COSTOS!$A$2:$B1014,2,FALSE)-150,VLOOKUP($B218,COSTOS!$A$2:$B1014,2,FALSE)),"No encontrado o error"))</f>
        <v/>
      </c>
      <c r="AI218" s="395"/>
      <c r="AJ218" s="394"/>
      <c r="AK218" s="429" t="str">
        <f>IF(OR(ISBLANK($B218),ISBLANK($AJ218)),"",IFERROR(IF($AJ218&lt;=DATE('ESTADO CONTABLE'!$B$2,12,5),VLOOKUP($B218,COSTOS!$A$2:$B1014,2,FALSE)-150,VLOOKUP($B218,COSTOS!$A$2:$B1014,2,FALSE)),"No encontrado o error"))</f>
        <v/>
      </c>
      <c r="AL218" s="395"/>
      <c r="AM218" s="254"/>
      <c r="AN218" s="255"/>
      <c r="AO218" s="256"/>
    </row>
    <row r="219" ht="22.5" customHeight="1">
      <c r="A219" s="431" t="str">
        <f>'BASE DE DATOSS'!A293</f>
        <v/>
      </c>
      <c r="B219" s="432" t="str">
        <f>'BASE DE DATOSS'!C293</f>
        <v/>
      </c>
      <c r="C219" s="263"/>
      <c r="D219" s="249"/>
      <c r="E219" s="250"/>
      <c r="F219" s="251"/>
      <c r="G219" s="262"/>
      <c r="H219" s="257"/>
      <c r="I219" s="249"/>
      <c r="J219" s="193" t="str">
        <f>IF(OR(ISBLANK($B219),ISBLANK($I219)),"",IFERROR(IF($I219&lt;=DATE('ESTADO CONTABLE'!$B$2,3,5),VLOOKUP($B219,COSTOS!$A$2:$B1014,2,FALSE)-150,VLOOKUP($B219,COSTOS!$A$2:$B1014,2,FALSE)),"No encontrado o error"))</f>
        <v/>
      </c>
      <c r="K219" s="264"/>
      <c r="L219" s="249"/>
      <c r="M219" s="189"/>
      <c r="N219" s="264"/>
      <c r="O219" s="249"/>
      <c r="P219" s="250"/>
      <c r="Q219" s="264"/>
      <c r="R219" s="249"/>
      <c r="S219" s="250"/>
      <c r="T219" s="264"/>
      <c r="U219" s="249"/>
      <c r="V219" s="250"/>
      <c r="W219" s="264"/>
      <c r="X219" s="394"/>
      <c r="Y219" s="429"/>
      <c r="Z219" s="395"/>
      <c r="AA219" s="394"/>
      <c r="AB219" s="118" t="str">
        <f>IF(OR(ISBLANK($B219),ISBLANK($AA219)),"",IFERROR(IF($AA219&lt;=DATE('ESTADO CONTABLE'!$B$2,9,5),VLOOKUP($B219,COSTOS!$A$2:$B1014,2,FALSE)-150,VLOOKUP($B219,COSTOS!$A$2:$B1014,2,FALSE)),"No encontrado o error"))</f>
        <v/>
      </c>
      <c r="AC219" s="395"/>
      <c r="AD219" s="394"/>
      <c r="AE219" s="429" t="str">
        <f>IF(OR(ISBLANK($B219),ISBLANK($AD219)),"",IFERROR(IF($AD219&lt;=DATE('ESTADO CONTABLE'!$B$2,10,5),VLOOKUP($B219,COSTOS!$A$2:$B1014,2,FALSE)-150,VLOOKUP($B219,COSTOS!$A$2:$B1014,2,FALSE)),"No encontrado o error"))</f>
        <v/>
      </c>
      <c r="AF219" s="395"/>
      <c r="AG219" s="394"/>
      <c r="AH219" s="429" t="str">
        <f>IF(OR(ISBLANK($B219),ISBLANK($AG219)),"",IFERROR(IF($AG219&lt;=DATE('ESTADO CONTABLE'!$B$2,11,5),VLOOKUP($B219,COSTOS!$A$2:$B1014,2,FALSE)-150,VLOOKUP($B219,COSTOS!$A$2:$B1014,2,FALSE)),"No encontrado o error"))</f>
        <v/>
      </c>
      <c r="AI219" s="395"/>
      <c r="AJ219" s="394"/>
      <c r="AK219" s="429" t="str">
        <f>IF(OR(ISBLANK($B219),ISBLANK($AJ219)),"",IFERROR(IF($AJ219&lt;=DATE('ESTADO CONTABLE'!$B$2,12,5),VLOOKUP($B219,COSTOS!$A$2:$B1014,2,FALSE)-150,VLOOKUP($B219,COSTOS!$A$2:$B1014,2,FALSE)),"No encontrado o error"))</f>
        <v/>
      </c>
      <c r="AL219" s="395"/>
      <c r="AM219" s="254"/>
      <c r="AN219" s="255"/>
      <c r="AO219" s="256"/>
    </row>
    <row r="220" ht="22.5" customHeight="1">
      <c r="A220" s="431" t="str">
        <f>'BASE DE DATOSS'!A294</f>
        <v/>
      </c>
      <c r="B220" s="432" t="str">
        <f>'BASE DE DATOSS'!C294</f>
        <v/>
      </c>
      <c r="C220" s="263"/>
      <c r="D220" s="249"/>
      <c r="E220" s="250"/>
      <c r="F220" s="251"/>
      <c r="G220" s="262"/>
      <c r="H220" s="257"/>
      <c r="I220" s="249"/>
      <c r="J220" s="193" t="str">
        <f>IF(OR(ISBLANK($B220),ISBLANK($I220)),"",IFERROR(IF($I220&lt;=DATE('ESTADO CONTABLE'!$B$2,3,5),VLOOKUP($B220,COSTOS!$A$2:$B1014,2,FALSE)-150,VLOOKUP($B220,COSTOS!$A$2:$B1014,2,FALSE)),"No encontrado o error"))</f>
        <v/>
      </c>
      <c r="K220" s="264"/>
      <c r="L220" s="249"/>
      <c r="M220" s="189"/>
      <c r="N220" s="264"/>
      <c r="O220" s="249"/>
      <c r="P220" s="250"/>
      <c r="Q220" s="264"/>
      <c r="R220" s="249"/>
      <c r="S220" s="250"/>
      <c r="T220" s="264"/>
      <c r="U220" s="249"/>
      <c r="V220" s="250"/>
      <c r="W220" s="264"/>
      <c r="X220" s="394"/>
      <c r="Y220" s="429"/>
      <c r="Z220" s="395"/>
      <c r="AA220" s="394"/>
      <c r="AB220" s="118" t="str">
        <f>IF(OR(ISBLANK($B220),ISBLANK($AA220)),"",IFERROR(IF($AA220&lt;=DATE('ESTADO CONTABLE'!$B$2,9,5),VLOOKUP($B220,COSTOS!$A$2:$B1014,2,FALSE)-150,VLOOKUP($B220,COSTOS!$A$2:$B1014,2,FALSE)),"No encontrado o error"))</f>
        <v/>
      </c>
      <c r="AC220" s="395"/>
      <c r="AD220" s="394"/>
      <c r="AE220" s="429" t="str">
        <f>IF(OR(ISBLANK($B220),ISBLANK($AD220)),"",IFERROR(IF($AD220&lt;=DATE('ESTADO CONTABLE'!$B$2,10,5),VLOOKUP($B220,COSTOS!$A$2:$B1014,2,FALSE)-150,VLOOKUP($B220,COSTOS!$A$2:$B1014,2,FALSE)),"No encontrado o error"))</f>
        <v/>
      </c>
      <c r="AF220" s="395"/>
      <c r="AG220" s="394"/>
      <c r="AH220" s="429" t="str">
        <f>IF(OR(ISBLANK($B220),ISBLANK($AG220)),"",IFERROR(IF($AG220&lt;=DATE('ESTADO CONTABLE'!$B$2,11,5),VLOOKUP($B220,COSTOS!$A$2:$B1014,2,FALSE)-150,VLOOKUP($B220,COSTOS!$A$2:$B1014,2,FALSE)),"No encontrado o error"))</f>
        <v/>
      </c>
      <c r="AI220" s="395"/>
      <c r="AJ220" s="394"/>
      <c r="AK220" s="429" t="str">
        <f>IF(OR(ISBLANK($B220),ISBLANK($AJ220)),"",IFERROR(IF($AJ220&lt;=DATE('ESTADO CONTABLE'!$B$2,12,5),VLOOKUP($B220,COSTOS!$A$2:$B1014,2,FALSE)-150,VLOOKUP($B220,COSTOS!$A$2:$B1014,2,FALSE)),"No encontrado o error"))</f>
        <v/>
      </c>
      <c r="AL220" s="395"/>
      <c r="AM220" s="254"/>
      <c r="AN220" s="255"/>
      <c r="AO220" s="256"/>
    </row>
    <row r="221" ht="22.5" customHeight="1">
      <c r="A221" s="431" t="str">
        <f>'BASE DE DATOSS'!A295</f>
        <v/>
      </c>
      <c r="B221" s="432" t="str">
        <f>'BASE DE DATOSS'!C295</f>
        <v/>
      </c>
      <c r="C221" s="263"/>
      <c r="D221" s="249"/>
      <c r="E221" s="250"/>
      <c r="F221" s="251"/>
      <c r="G221" s="262"/>
      <c r="H221" s="257"/>
      <c r="I221" s="249"/>
      <c r="J221" s="193" t="str">
        <f>IF(OR(ISBLANK($B221),ISBLANK($I221)),"",IFERROR(IF($I221&lt;=DATE('ESTADO CONTABLE'!$B$2,3,5),VLOOKUP($B221,COSTOS!$A$2:$B1014,2,FALSE)-150,VLOOKUP($B221,COSTOS!$A$2:$B1014,2,FALSE)),"No encontrado o error"))</f>
        <v/>
      </c>
      <c r="K221" s="264"/>
      <c r="L221" s="249"/>
      <c r="M221" s="189"/>
      <c r="N221" s="264"/>
      <c r="O221" s="249"/>
      <c r="P221" s="250"/>
      <c r="Q221" s="264"/>
      <c r="R221" s="249"/>
      <c r="S221" s="250"/>
      <c r="T221" s="264"/>
      <c r="U221" s="249"/>
      <c r="V221" s="250"/>
      <c r="W221" s="264"/>
      <c r="X221" s="394"/>
      <c r="Y221" s="429"/>
      <c r="Z221" s="395"/>
      <c r="AA221" s="394"/>
      <c r="AB221" s="118" t="str">
        <f>IF(OR(ISBLANK($B221),ISBLANK($AA221)),"",IFERROR(IF($AA221&lt;=DATE('ESTADO CONTABLE'!$B$2,9,5),VLOOKUP($B221,COSTOS!$A$2:$B1014,2,FALSE)-150,VLOOKUP($B221,COSTOS!$A$2:$B1014,2,FALSE)),"No encontrado o error"))</f>
        <v/>
      </c>
      <c r="AC221" s="395"/>
      <c r="AD221" s="394"/>
      <c r="AE221" s="429" t="str">
        <f>IF(OR(ISBLANK($B221),ISBLANK($AD221)),"",IFERROR(IF($AD221&lt;=DATE('ESTADO CONTABLE'!$B$2,10,5),VLOOKUP($B221,COSTOS!$A$2:$B1014,2,FALSE)-150,VLOOKUP($B221,COSTOS!$A$2:$B1014,2,FALSE)),"No encontrado o error"))</f>
        <v/>
      </c>
      <c r="AF221" s="395"/>
      <c r="AG221" s="394"/>
      <c r="AH221" s="429" t="str">
        <f>IF(OR(ISBLANK($B221),ISBLANK($AG221)),"",IFERROR(IF($AG221&lt;=DATE('ESTADO CONTABLE'!$B$2,11,5),VLOOKUP($B221,COSTOS!$A$2:$B1014,2,FALSE)-150,VLOOKUP($B221,COSTOS!$A$2:$B1014,2,FALSE)),"No encontrado o error"))</f>
        <v/>
      </c>
      <c r="AI221" s="395"/>
      <c r="AJ221" s="394"/>
      <c r="AK221" s="429" t="str">
        <f>IF(OR(ISBLANK($B221),ISBLANK($AJ221)),"",IFERROR(IF($AJ221&lt;=DATE('ESTADO CONTABLE'!$B$2,12,5),VLOOKUP($B221,COSTOS!$A$2:$B1014,2,FALSE)-150,VLOOKUP($B221,COSTOS!$A$2:$B1014,2,FALSE)),"No encontrado o error"))</f>
        <v/>
      </c>
      <c r="AL221" s="395"/>
      <c r="AM221" s="254"/>
      <c r="AN221" s="255"/>
      <c r="AO221" s="256"/>
    </row>
    <row r="222" ht="22.5" customHeight="1">
      <c r="A222" s="431" t="str">
        <f>'BASE DE DATOSS'!A296</f>
        <v/>
      </c>
      <c r="B222" s="432" t="str">
        <f>'BASE DE DATOSS'!C296</f>
        <v/>
      </c>
      <c r="C222" s="263"/>
      <c r="D222" s="249"/>
      <c r="E222" s="250"/>
      <c r="F222" s="251"/>
      <c r="G222" s="262"/>
      <c r="H222" s="257"/>
      <c r="I222" s="249"/>
      <c r="J222" s="193" t="str">
        <f>IF(OR(ISBLANK($B222),ISBLANK($I222)),"",IFERROR(IF($I222&lt;=DATE('ESTADO CONTABLE'!$B$2,3,5),VLOOKUP($B222,COSTOS!$A$2:$B1014,2,FALSE)-150,VLOOKUP($B222,COSTOS!$A$2:$B1014,2,FALSE)),"No encontrado o error"))</f>
        <v/>
      </c>
      <c r="K222" s="264"/>
      <c r="L222" s="249"/>
      <c r="M222" s="189"/>
      <c r="N222" s="264"/>
      <c r="O222" s="249"/>
      <c r="P222" s="250"/>
      <c r="Q222" s="264"/>
      <c r="R222" s="249"/>
      <c r="S222" s="250"/>
      <c r="T222" s="264"/>
      <c r="U222" s="249"/>
      <c r="V222" s="250"/>
      <c r="W222" s="264"/>
      <c r="X222" s="394"/>
      <c r="Y222" s="429"/>
      <c r="Z222" s="395"/>
      <c r="AA222" s="394"/>
      <c r="AB222" s="118" t="str">
        <f>IF(OR(ISBLANK($B222),ISBLANK($AA222)),"",IFERROR(IF($AA222&lt;=DATE('ESTADO CONTABLE'!$B$2,9,5),VLOOKUP($B222,COSTOS!$A$2:$B1014,2,FALSE)-150,VLOOKUP($B222,COSTOS!$A$2:$B1014,2,FALSE)),"No encontrado o error"))</f>
        <v/>
      </c>
      <c r="AC222" s="395"/>
      <c r="AD222" s="394"/>
      <c r="AE222" s="429" t="str">
        <f>IF(OR(ISBLANK($B222),ISBLANK($AD222)),"",IFERROR(IF($AD222&lt;=DATE('ESTADO CONTABLE'!$B$2,10,5),VLOOKUP($B222,COSTOS!$A$2:$B1014,2,FALSE)-150,VLOOKUP($B222,COSTOS!$A$2:$B1014,2,FALSE)),"No encontrado o error"))</f>
        <v/>
      </c>
      <c r="AF222" s="395"/>
      <c r="AG222" s="394"/>
      <c r="AH222" s="429" t="str">
        <f>IF(OR(ISBLANK($B222),ISBLANK($AG222)),"",IFERROR(IF($AG222&lt;=DATE('ESTADO CONTABLE'!$B$2,11,5),VLOOKUP($B222,COSTOS!$A$2:$B1014,2,FALSE)-150,VLOOKUP($B222,COSTOS!$A$2:$B1014,2,FALSE)),"No encontrado o error"))</f>
        <v/>
      </c>
      <c r="AI222" s="395"/>
      <c r="AJ222" s="394"/>
      <c r="AK222" s="429" t="str">
        <f>IF(OR(ISBLANK($B222),ISBLANK($AJ222)),"",IFERROR(IF($AJ222&lt;=DATE('ESTADO CONTABLE'!$B$2,12,5),VLOOKUP($B222,COSTOS!$A$2:$B1014,2,FALSE)-150,VLOOKUP($B222,COSTOS!$A$2:$B1014,2,FALSE)),"No encontrado o error"))</f>
        <v/>
      </c>
      <c r="AL222" s="395"/>
      <c r="AM222" s="254"/>
      <c r="AN222" s="255"/>
      <c r="AO222" s="256"/>
    </row>
    <row r="223" ht="22.5" customHeight="1">
      <c r="A223" s="431" t="str">
        <f>'BASE DE DATOSS'!A297</f>
        <v/>
      </c>
      <c r="B223" s="432" t="str">
        <f>'BASE DE DATOSS'!C297</f>
        <v/>
      </c>
      <c r="C223" s="263"/>
      <c r="D223" s="249"/>
      <c r="E223" s="250"/>
      <c r="F223" s="251"/>
      <c r="G223" s="262"/>
      <c r="H223" s="257"/>
      <c r="I223" s="249"/>
      <c r="J223" s="193" t="str">
        <f>IF(OR(ISBLANK($B223),ISBLANK($I223)),"",IFERROR(IF($I223&lt;=DATE('ESTADO CONTABLE'!$B$2,3,5),VLOOKUP($B223,COSTOS!$A$2:$B1014,2,FALSE)-150,VLOOKUP($B223,COSTOS!$A$2:$B1014,2,FALSE)),"No encontrado o error"))</f>
        <v/>
      </c>
      <c r="K223" s="264"/>
      <c r="L223" s="249"/>
      <c r="M223" s="189"/>
      <c r="N223" s="264"/>
      <c r="O223" s="249"/>
      <c r="P223" s="250"/>
      <c r="Q223" s="264"/>
      <c r="R223" s="249"/>
      <c r="S223" s="250"/>
      <c r="T223" s="264"/>
      <c r="U223" s="249"/>
      <c r="V223" s="250"/>
      <c r="W223" s="264"/>
      <c r="X223" s="394"/>
      <c r="Y223" s="429"/>
      <c r="Z223" s="395"/>
      <c r="AA223" s="394"/>
      <c r="AB223" s="118" t="str">
        <f>IF(OR(ISBLANK($B223),ISBLANK($AA223)),"",IFERROR(IF($AA223&lt;=DATE('ESTADO CONTABLE'!$B$2,9,5),VLOOKUP($B223,COSTOS!$A$2:$B1014,2,FALSE)-150,VLOOKUP($B223,COSTOS!$A$2:$B1014,2,FALSE)),"No encontrado o error"))</f>
        <v/>
      </c>
      <c r="AC223" s="395"/>
      <c r="AD223" s="394"/>
      <c r="AE223" s="429" t="str">
        <f>IF(OR(ISBLANK($B223),ISBLANK($AD223)),"",IFERROR(IF($AD223&lt;=DATE('ESTADO CONTABLE'!$B$2,10,5),VLOOKUP($B223,COSTOS!$A$2:$B1014,2,FALSE)-150,VLOOKUP($B223,COSTOS!$A$2:$B1014,2,FALSE)),"No encontrado o error"))</f>
        <v/>
      </c>
      <c r="AF223" s="395"/>
      <c r="AG223" s="394"/>
      <c r="AH223" s="429" t="str">
        <f>IF(OR(ISBLANK($B223),ISBLANK($AG223)),"",IFERROR(IF($AG223&lt;=DATE('ESTADO CONTABLE'!$B$2,11,5),VLOOKUP($B223,COSTOS!$A$2:$B1014,2,FALSE)-150,VLOOKUP($B223,COSTOS!$A$2:$B1014,2,FALSE)),"No encontrado o error"))</f>
        <v/>
      </c>
      <c r="AI223" s="395"/>
      <c r="AJ223" s="394"/>
      <c r="AK223" s="429" t="str">
        <f>IF(OR(ISBLANK($B223),ISBLANK($AJ223)),"",IFERROR(IF($AJ223&lt;=DATE('ESTADO CONTABLE'!$B$2,12,5),VLOOKUP($B223,COSTOS!$A$2:$B1014,2,FALSE)-150,VLOOKUP($B223,COSTOS!$A$2:$B1014,2,FALSE)),"No encontrado o error"))</f>
        <v/>
      </c>
      <c r="AL223" s="395"/>
      <c r="AM223" s="254"/>
      <c r="AN223" s="255"/>
      <c r="AO223" s="256"/>
    </row>
    <row r="224" ht="22.5" customHeight="1">
      <c r="A224" s="431" t="str">
        <f>'BASE DE DATOSS'!A298</f>
        <v/>
      </c>
      <c r="B224" s="432" t="str">
        <f>'BASE DE DATOSS'!C298</f>
        <v/>
      </c>
      <c r="C224" s="263"/>
      <c r="D224" s="249"/>
      <c r="E224" s="250"/>
      <c r="F224" s="251"/>
      <c r="G224" s="262"/>
      <c r="H224" s="257"/>
      <c r="I224" s="249"/>
      <c r="J224" s="193" t="str">
        <f>IF(OR(ISBLANK($B224),ISBLANK($I224)),"",IFERROR(IF($I224&lt;=DATE('ESTADO CONTABLE'!$B$2,3,5),VLOOKUP($B224,COSTOS!$A$2:$B1014,2,FALSE)-150,VLOOKUP($B224,COSTOS!$A$2:$B1014,2,FALSE)),"No encontrado o error"))</f>
        <v/>
      </c>
      <c r="K224" s="264"/>
      <c r="L224" s="249"/>
      <c r="M224" s="189"/>
      <c r="N224" s="264"/>
      <c r="O224" s="249"/>
      <c r="P224" s="250"/>
      <c r="Q224" s="264"/>
      <c r="R224" s="249"/>
      <c r="S224" s="250"/>
      <c r="T224" s="264"/>
      <c r="U224" s="249"/>
      <c r="V224" s="250"/>
      <c r="W224" s="264"/>
      <c r="X224" s="394"/>
      <c r="Y224" s="429"/>
      <c r="Z224" s="395"/>
      <c r="AA224" s="394"/>
      <c r="AB224" s="118" t="str">
        <f>IF(OR(ISBLANK($B224),ISBLANK($AA224)),"",IFERROR(IF($AA224&lt;=DATE('ESTADO CONTABLE'!$B$2,9,5),VLOOKUP($B224,COSTOS!$A$2:$B1014,2,FALSE)-150,VLOOKUP($B224,COSTOS!$A$2:$B1014,2,FALSE)),"No encontrado o error"))</f>
        <v/>
      </c>
      <c r="AC224" s="395"/>
      <c r="AD224" s="394"/>
      <c r="AE224" s="429" t="str">
        <f>IF(OR(ISBLANK($B224),ISBLANK($AD224)),"",IFERROR(IF($AD224&lt;=DATE('ESTADO CONTABLE'!$B$2,10,5),VLOOKUP($B224,COSTOS!$A$2:$B1014,2,FALSE)-150,VLOOKUP($B224,COSTOS!$A$2:$B1014,2,FALSE)),"No encontrado o error"))</f>
        <v/>
      </c>
      <c r="AF224" s="395"/>
      <c r="AG224" s="394"/>
      <c r="AH224" s="429" t="str">
        <f>IF(OR(ISBLANK($B224),ISBLANK($AG224)),"",IFERROR(IF($AG224&lt;=DATE('ESTADO CONTABLE'!$B$2,11,5),VLOOKUP($B224,COSTOS!$A$2:$B1014,2,FALSE)-150,VLOOKUP($B224,COSTOS!$A$2:$B1014,2,FALSE)),"No encontrado o error"))</f>
        <v/>
      </c>
      <c r="AI224" s="395"/>
      <c r="AJ224" s="394"/>
      <c r="AK224" s="429" t="str">
        <f>IF(OR(ISBLANK($B224),ISBLANK($AJ224)),"",IFERROR(IF($AJ224&lt;=DATE('ESTADO CONTABLE'!$B$2,12,5),VLOOKUP($B224,COSTOS!$A$2:$B1014,2,FALSE)-150,VLOOKUP($B224,COSTOS!$A$2:$B1014,2,FALSE)),"No encontrado o error"))</f>
        <v/>
      </c>
      <c r="AL224" s="395"/>
      <c r="AM224" s="254"/>
      <c r="AN224" s="255"/>
      <c r="AO224" s="256"/>
    </row>
    <row r="225" ht="22.5" customHeight="1">
      <c r="A225" s="431" t="str">
        <f>'BASE DE DATOSS'!A299</f>
        <v/>
      </c>
      <c r="B225" s="432" t="str">
        <f>'BASE DE DATOSS'!C299</f>
        <v/>
      </c>
      <c r="C225" s="263"/>
      <c r="D225" s="249"/>
      <c r="E225" s="250"/>
      <c r="F225" s="251"/>
      <c r="G225" s="262"/>
      <c r="H225" s="257"/>
      <c r="I225" s="249"/>
      <c r="J225" s="193" t="str">
        <f>IF(OR(ISBLANK($B225),ISBLANK($I225)),"",IFERROR(IF($I225&lt;=DATE('ESTADO CONTABLE'!$B$2,3,5),VLOOKUP($B225,COSTOS!$A$2:$B1014,2,FALSE)-150,VLOOKUP($B225,COSTOS!$A$2:$B1014,2,FALSE)),"No encontrado o error"))</f>
        <v/>
      </c>
      <c r="K225" s="264"/>
      <c r="L225" s="249"/>
      <c r="M225" s="189"/>
      <c r="N225" s="264"/>
      <c r="O225" s="249"/>
      <c r="P225" s="250"/>
      <c r="Q225" s="264"/>
      <c r="R225" s="249"/>
      <c r="S225" s="250"/>
      <c r="T225" s="264"/>
      <c r="U225" s="249"/>
      <c r="V225" s="250"/>
      <c r="W225" s="264"/>
      <c r="X225" s="394"/>
      <c r="Y225" s="429"/>
      <c r="Z225" s="395"/>
      <c r="AA225" s="394"/>
      <c r="AB225" s="118" t="str">
        <f>IF(OR(ISBLANK($B225),ISBLANK($AA225)),"",IFERROR(IF($AA225&lt;=DATE('ESTADO CONTABLE'!$B$2,9,5),VLOOKUP($B225,COSTOS!$A$2:$B1014,2,FALSE)-150,VLOOKUP($B225,COSTOS!$A$2:$B1014,2,FALSE)),"No encontrado o error"))</f>
        <v/>
      </c>
      <c r="AC225" s="395"/>
      <c r="AD225" s="394"/>
      <c r="AE225" s="429" t="str">
        <f>IF(OR(ISBLANK($B225),ISBLANK($AD225)),"",IFERROR(IF($AD225&lt;=DATE('ESTADO CONTABLE'!$B$2,10,5),VLOOKUP($B225,COSTOS!$A$2:$B1014,2,FALSE)-150,VLOOKUP($B225,COSTOS!$A$2:$B1014,2,FALSE)),"No encontrado o error"))</f>
        <v/>
      </c>
      <c r="AF225" s="395"/>
      <c r="AG225" s="394"/>
      <c r="AH225" s="429" t="str">
        <f>IF(OR(ISBLANK($B225),ISBLANK($AG225)),"",IFERROR(IF($AG225&lt;=DATE('ESTADO CONTABLE'!$B$2,11,5),VLOOKUP($B225,COSTOS!$A$2:$B1014,2,FALSE)-150,VLOOKUP($B225,COSTOS!$A$2:$B1014,2,FALSE)),"No encontrado o error"))</f>
        <v/>
      </c>
      <c r="AI225" s="395"/>
      <c r="AJ225" s="394"/>
      <c r="AK225" s="429" t="str">
        <f>IF(OR(ISBLANK($B225),ISBLANK($AJ225)),"",IFERROR(IF($AJ225&lt;=DATE('ESTADO CONTABLE'!$B$2,12,5),VLOOKUP($B225,COSTOS!$A$2:$B1014,2,FALSE)-150,VLOOKUP($B225,COSTOS!$A$2:$B1014,2,FALSE)),"No encontrado o error"))</f>
        <v/>
      </c>
      <c r="AL225" s="395"/>
      <c r="AM225" s="254"/>
      <c r="AN225" s="255"/>
      <c r="AO225" s="256"/>
    </row>
    <row r="226" ht="22.5" customHeight="1">
      <c r="A226" s="431" t="str">
        <f>'BASE DE DATOSS'!A300</f>
        <v/>
      </c>
      <c r="B226" s="432" t="str">
        <f>'BASE DE DATOSS'!C300</f>
        <v/>
      </c>
      <c r="C226" s="263"/>
      <c r="D226" s="249"/>
      <c r="E226" s="250"/>
      <c r="F226" s="251"/>
      <c r="G226" s="262"/>
      <c r="H226" s="257"/>
      <c r="I226" s="249"/>
      <c r="J226" s="193" t="str">
        <f>IF(OR(ISBLANK($B226),ISBLANK($I226)),"",IFERROR(IF($I226&lt;=DATE('ESTADO CONTABLE'!$B$2,3,5),VLOOKUP($B226,COSTOS!$A$2:$B1014,2,FALSE)-150,VLOOKUP($B226,COSTOS!$A$2:$B1014,2,FALSE)),"No encontrado o error"))</f>
        <v/>
      </c>
      <c r="K226" s="264"/>
      <c r="L226" s="249"/>
      <c r="M226" s="189"/>
      <c r="N226" s="264"/>
      <c r="O226" s="249"/>
      <c r="P226" s="250"/>
      <c r="Q226" s="264"/>
      <c r="R226" s="249"/>
      <c r="S226" s="250"/>
      <c r="T226" s="264"/>
      <c r="U226" s="249"/>
      <c r="V226" s="250"/>
      <c r="W226" s="264"/>
      <c r="X226" s="394"/>
      <c r="Y226" s="429"/>
      <c r="Z226" s="395"/>
      <c r="AA226" s="394"/>
      <c r="AB226" s="118" t="str">
        <f>IF(OR(ISBLANK($B226),ISBLANK($AA226)),"",IFERROR(IF($AA226&lt;=DATE('ESTADO CONTABLE'!$B$2,9,5),VLOOKUP($B226,COSTOS!$A$2:$B1014,2,FALSE)-150,VLOOKUP($B226,COSTOS!$A$2:$B1014,2,FALSE)),"No encontrado o error"))</f>
        <v/>
      </c>
      <c r="AC226" s="395"/>
      <c r="AD226" s="394"/>
      <c r="AE226" s="429" t="str">
        <f>IF(OR(ISBLANK($B226),ISBLANK($AD226)),"",IFERROR(IF($AD226&lt;=DATE('ESTADO CONTABLE'!$B$2,10,5),VLOOKUP($B226,COSTOS!$A$2:$B1014,2,FALSE)-150,VLOOKUP($B226,COSTOS!$A$2:$B1014,2,FALSE)),"No encontrado o error"))</f>
        <v/>
      </c>
      <c r="AF226" s="395"/>
      <c r="AG226" s="394"/>
      <c r="AH226" s="429" t="str">
        <f>IF(OR(ISBLANK($B226),ISBLANK($AG226)),"",IFERROR(IF($AG226&lt;=DATE('ESTADO CONTABLE'!$B$2,11,5),VLOOKUP($B226,COSTOS!$A$2:$B1014,2,FALSE)-150,VLOOKUP($B226,COSTOS!$A$2:$B1014,2,FALSE)),"No encontrado o error"))</f>
        <v/>
      </c>
      <c r="AI226" s="395"/>
      <c r="AJ226" s="394"/>
      <c r="AK226" s="429" t="str">
        <f>IF(OR(ISBLANK($B226),ISBLANK($AJ226)),"",IFERROR(IF($AJ226&lt;=DATE('ESTADO CONTABLE'!$B$2,12,5),VLOOKUP($B226,COSTOS!$A$2:$B1014,2,FALSE)-150,VLOOKUP($B226,COSTOS!$A$2:$B1014,2,FALSE)),"No encontrado o error"))</f>
        <v/>
      </c>
      <c r="AL226" s="395"/>
      <c r="AM226" s="254"/>
      <c r="AN226" s="255"/>
      <c r="AO226" s="256"/>
    </row>
    <row r="227" ht="22.5" customHeight="1">
      <c r="A227" s="431" t="str">
        <f>'BASE DE DATOSS'!A301</f>
        <v/>
      </c>
      <c r="B227" s="432" t="str">
        <f>'BASE DE DATOSS'!C301</f>
        <v/>
      </c>
      <c r="C227" s="263"/>
      <c r="D227" s="249"/>
      <c r="E227" s="250"/>
      <c r="F227" s="251"/>
      <c r="G227" s="262"/>
      <c r="H227" s="257"/>
      <c r="I227" s="249"/>
      <c r="J227" s="193" t="str">
        <f>IF(OR(ISBLANK($B227),ISBLANK($I227)),"",IFERROR(IF($I227&lt;=DATE('ESTADO CONTABLE'!$B$2,3,5),VLOOKUP($B227,COSTOS!$A$2:$B1014,2,FALSE)-150,VLOOKUP($B227,COSTOS!$A$2:$B1014,2,FALSE)),"No encontrado o error"))</f>
        <v/>
      </c>
      <c r="K227" s="264"/>
      <c r="L227" s="249"/>
      <c r="M227" s="189"/>
      <c r="N227" s="264"/>
      <c r="O227" s="249"/>
      <c r="P227" s="250"/>
      <c r="Q227" s="264"/>
      <c r="R227" s="249"/>
      <c r="S227" s="250"/>
      <c r="T227" s="264"/>
      <c r="U227" s="249"/>
      <c r="V227" s="250"/>
      <c r="W227" s="264"/>
      <c r="X227" s="394"/>
      <c r="Y227" s="429"/>
      <c r="Z227" s="395"/>
      <c r="AA227" s="394"/>
      <c r="AB227" s="118" t="str">
        <f>IF(OR(ISBLANK($B227),ISBLANK($AA227)),"",IFERROR(IF($AA227&lt;=DATE('ESTADO CONTABLE'!$B$2,9,5),VLOOKUP($B227,COSTOS!$A$2:$B1014,2,FALSE)-150,VLOOKUP($B227,COSTOS!$A$2:$B1014,2,FALSE)),"No encontrado o error"))</f>
        <v/>
      </c>
      <c r="AC227" s="395"/>
      <c r="AD227" s="394"/>
      <c r="AE227" s="429" t="str">
        <f>IF(OR(ISBLANK($B227),ISBLANK($AD227)),"",IFERROR(IF($AD227&lt;=DATE('ESTADO CONTABLE'!$B$2,10,5),VLOOKUP($B227,COSTOS!$A$2:$B1014,2,FALSE)-150,VLOOKUP($B227,COSTOS!$A$2:$B1014,2,FALSE)),"No encontrado o error"))</f>
        <v/>
      </c>
      <c r="AF227" s="395"/>
      <c r="AG227" s="394"/>
      <c r="AH227" s="429" t="str">
        <f>IF(OR(ISBLANK($B227),ISBLANK($AG227)),"",IFERROR(IF($AG227&lt;=DATE('ESTADO CONTABLE'!$B$2,11,5),VLOOKUP($B227,COSTOS!$A$2:$B1014,2,FALSE)-150,VLOOKUP($B227,COSTOS!$A$2:$B1014,2,FALSE)),"No encontrado o error"))</f>
        <v/>
      </c>
      <c r="AI227" s="395"/>
      <c r="AJ227" s="394"/>
      <c r="AK227" s="429" t="str">
        <f>IF(OR(ISBLANK($B227),ISBLANK($AJ227)),"",IFERROR(IF($AJ227&lt;=DATE('ESTADO CONTABLE'!$B$2,12,5),VLOOKUP($B227,COSTOS!$A$2:$B1014,2,FALSE)-150,VLOOKUP($B227,COSTOS!$A$2:$B1014,2,FALSE)),"No encontrado o error"))</f>
        <v/>
      </c>
      <c r="AL227" s="395"/>
      <c r="AM227" s="254"/>
      <c r="AN227" s="255"/>
      <c r="AO227" s="256"/>
    </row>
    <row r="228" ht="22.5" customHeight="1">
      <c r="A228" s="431" t="str">
        <f>'BASE DE DATOSS'!A302</f>
        <v/>
      </c>
      <c r="B228" s="432" t="str">
        <f>'BASE DE DATOSS'!C302</f>
        <v/>
      </c>
      <c r="C228" s="263"/>
      <c r="D228" s="249"/>
      <c r="E228" s="250"/>
      <c r="F228" s="251"/>
      <c r="G228" s="262"/>
      <c r="H228" s="257"/>
      <c r="I228" s="249"/>
      <c r="J228" s="193" t="str">
        <f>IF(OR(ISBLANK($B228),ISBLANK($I228)),"",IFERROR(IF($I228&lt;=DATE('ESTADO CONTABLE'!$B$2,3,5),VLOOKUP($B228,COSTOS!$A$2:$B1014,2,FALSE)-150,VLOOKUP($B228,COSTOS!$A$2:$B1014,2,FALSE)),"No encontrado o error"))</f>
        <v/>
      </c>
      <c r="K228" s="264"/>
      <c r="L228" s="249"/>
      <c r="M228" s="189"/>
      <c r="N228" s="264"/>
      <c r="O228" s="249"/>
      <c r="P228" s="250"/>
      <c r="Q228" s="264"/>
      <c r="R228" s="249"/>
      <c r="S228" s="250"/>
      <c r="T228" s="264"/>
      <c r="U228" s="249"/>
      <c r="V228" s="250"/>
      <c r="W228" s="264"/>
      <c r="X228" s="394"/>
      <c r="Y228" s="429"/>
      <c r="Z228" s="395"/>
      <c r="AA228" s="394"/>
      <c r="AB228" s="118" t="str">
        <f>IF(OR(ISBLANK($B228),ISBLANK($AA228)),"",IFERROR(IF($AA228&lt;=DATE('ESTADO CONTABLE'!$B$2,9,5),VLOOKUP($B228,COSTOS!$A$2:$B1014,2,FALSE)-150,VLOOKUP($B228,COSTOS!$A$2:$B1014,2,FALSE)),"No encontrado o error"))</f>
        <v/>
      </c>
      <c r="AC228" s="395"/>
      <c r="AD228" s="394"/>
      <c r="AE228" s="429" t="str">
        <f>IF(OR(ISBLANK($B228),ISBLANK($AD228)),"",IFERROR(IF($AD228&lt;=DATE('ESTADO CONTABLE'!$B$2,10,5),VLOOKUP($B228,COSTOS!$A$2:$B1014,2,FALSE)-150,VLOOKUP($B228,COSTOS!$A$2:$B1014,2,FALSE)),"No encontrado o error"))</f>
        <v/>
      </c>
      <c r="AF228" s="395"/>
      <c r="AG228" s="394"/>
      <c r="AH228" s="429" t="str">
        <f>IF(OR(ISBLANK($B228),ISBLANK($AG228)),"",IFERROR(IF($AG228&lt;=DATE('ESTADO CONTABLE'!$B$2,11,5),VLOOKUP($B228,COSTOS!$A$2:$B1014,2,FALSE)-150,VLOOKUP($B228,COSTOS!$A$2:$B1014,2,FALSE)),"No encontrado o error"))</f>
        <v/>
      </c>
      <c r="AI228" s="395"/>
      <c r="AJ228" s="394"/>
      <c r="AK228" s="429" t="str">
        <f>IF(OR(ISBLANK($B228),ISBLANK($AJ228)),"",IFERROR(IF($AJ228&lt;=DATE('ESTADO CONTABLE'!$B$2,12,5),VLOOKUP($B228,COSTOS!$A$2:$B1014,2,FALSE)-150,VLOOKUP($B228,COSTOS!$A$2:$B1014,2,FALSE)),"No encontrado o error"))</f>
        <v/>
      </c>
      <c r="AL228" s="395"/>
      <c r="AM228" s="254"/>
      <c r="AN228" s="255"/>
      <c r="AO228" s="256"/>
    </row>
    <row r="229" ht="22.5" customHeight="1">
      <c r="A229" s="431" t="str">
        <f>'BASE DE DATOSS'!A303</f>
        <v/>
      </c>
      <c r="B229" s="432" t="str">
        <f>'BASE DE DATOSS'!C303</f>
        <v/>
      </c>
      <c r="C229" s="263"/>
      <c r="D229" s="249"/>
      <c r="E229" s="250"/>
      <c r="F229" s="251"/>
      <c r="G229" s="262"/>
      <c r="H229" s="257"/>
      <c r="I229" s="249"/>
      <c r="J229" s="193" t="str">
        <f>IF(OR(ISBLANK($B229),ISBLANK($I229)),"",IFERROR(IF($I229&lt;=DATE('ESTADO CONTABLE'!$B$2,3,5),VLOOKUP($B229,COSTOS!$A$2:$B1014,2,FALSE)-150,VLOOKUP($B229,COSTOS!$A$2:$B1014,2,FALSE)),"No encontrado o error"))</f>
        <v/>
      </c>
      <c r="K229" s="264"/>
      <c r="L229" s="249"/>
      <c r="M229" s="189"/>
      <c r="N229" s="264"/>
      <c r="O229" s="249"/>
      <c r="P229" s="250"/>
      <c r="Q229" s="264"/>
      <c r="R229" s="249"/>
      <c r="S229" s="250"/>
      <c r="T229" s="264"/>
      <c r="U229" s="249"/>
      <c r="V229" s="250"/>
      <c r="W229" s="264"/>
      <c r="X229" s="394"/>
      <c r="Y229" s="429"/>
      <c r="Z229" s="395"/>
      <c r="AA229" s="394"/>
      <c r="AB229" s="118" t="str">
        <f>IF(OR(ISBLANK($B229),ISBLANK($AA229)),"",IFERROR(IF($AA229&lt;=DATE('ESTADO CONTABLE'!$B$2,9,5),VLOOKUP($B229,COSTOS!$A$2:$B1014,2,FALSE)-150,VLOOKUP($B229,COSTOS!$A$2:$B1014,2,FALSE)),"No encontrado o error"))</f>
        <v/>
      </c>
      <c r="AC229" s="395"/>
      <c r="AD229" s="394"/>
      <c r="AE229" s="429" t="str">
        <f>IF(OR(ISBLANK($B229),ISBLANK($AD229)),"",IFERROR(IF($AD229&lt;=DATE('ESTADO CONTABLE'!$B$2,10,5),VLOOKUP($B229,COSTOS!$A$2:$B1014,2,FALSE)-150,VLOOKUP($B229,COSTOS!$A$2:$B1014,2,FALSE)),"No encontrado o error"))</f>
        <v/>
      </c>
      <c r="AF229" s="395"/>
      <c r="AG229" s="394"/>
      <c r="AH229" s="429" t="str">
        <f>IF(OR(ISBLANK($B229),ISBLANK($AG229)),"",IFERROR(IF($AG229&lt;=DATE('ESTADO CONTABLE'!$B$2,11,5),VLOOKUP($B229,COSTOS!$A$2:$B1014,2,FALSE)-150,VLOOKUP($B229,COSTOS!$A$2:$B1014,2,FALSE)),"No encontrado o error"))</f>
        <v/>
      </c>
      <c r="AI229" s="395"/>
      <c r="AJ229" s="394"/>
      <c r="AK229" s="429" t="str">
        <f>IF(OR(ISBLANK($B229),ISBLANK($AJ229)),"",IFERROR(IF($AJ229&lt;=DATE('ESTADO CONTABLE'!$B$2,12,5),VLOOKUP($B229,COSTOS!$A$2:$B1014,2,FALSE)-150,VLOOKUP($B229,COSTOS!$A$2:$B1014,2,FALSE)),"No encontrado o error"))</f>
        <v/>
      </c>
      <c r="AL229" s="395"/>
      <c r="AM229" s="254"/>
      <c r="AN229" s="255"/>
      <c r="AO229" s="256"/>
    </row>
    <row r="230" ht="22.5" customHeight="1">
      <c r="A230" s="431" t="str">
        <f>'BASE DE DATOSS'!A304</f>
        <v/>
      </c>
      <c r="B230" s="432" t="str">
        <f>'BASE DE DATOSS'!C304</f>
        <v/>
      </c>
      <c r="C230" s="263"/>
      <c r="D230" s="249"/>
      <c r="E230" s="250"/>
      <c r="F230" s="251"/>
      <c r="G230" s="262"/>
      <c r="H230" s="257"/>
      <c r="I230" s="249"/>
      <c r="J230" s="193" t="str">
        <f>IF(OR(ISBLANK($B230),ISBLANK($I230)),"",IFERROR(IF($I230&lt;=DATE('ESTADO CONTABLE'!$B$2,3,5),VLOOKUP($B230,COSTOS!$A$2:$B1014,2,FALSE)-150,VLOOKUP($B230,COSTOS!$A$2:$B1014,2,FALSE)),"No encontrado o error"))</f>
        <v/>
      </c>
      <c r="K230" s="264"/>
      <c r="L230" s="249"/>
      <c r="M230" s="189"/>
      <c r="N230" s="264"/>
      <c r="O230" s="249"/>
      <c r="P230" s="250"/>
      <c r="Q230" s="264"/>
      <c r="R230" s="249"/>
      <c r="S230" s="250"/>
      <c r="T230" s="264"/>
      <c r="U230" s="249"/>
      <c r="V230" s="250"/>
      <c r="W230" s="264"/>
      <c r="X230" s="394"/>
      <c r="Y230" s="429"/>
      <c r="Z230" s="395"/>
      <c r="AA230" s="394"/>
      <c r="AB230" s="118" t="str">
        <f>IF(OR(ISBLANK($B230),ISBLANK($AA230)),"",IFERROR(IF($AA230&lt;=DATE('ESTADO CONTABLE'!$B$2,9,5),VLOOKUP($B230,COSTOS!$A$2:$B1014,2,FALSE)-150,VLOOKUP($B230,COSTOS!$A$2:$B1014,2,FALSE)),"No encontrado o error"))</f>
        <v/>
      </c>
      <c r="AC230" s="395"/>
      <c r="AD230" s="394"/>
      <c r="AE230" s="429" t="str">
        <f>IF(OR(ISBLANK($B230),ISBLANK($AD230)),"",IFERROR(IF($AD230&lt;=DATE('ESTADO CONTABLE'!$B$2,10,5),VLOOKUP($B230,COSTOS!$A$2:$B1014,2,FALSE)-150,VLOOKUP($B230,COSTOS!$A$2:$B1014,2,FALSE)),"No encontrado o error"))</f>
        <v/>
      </c>
      <c r="AF230" s="395"/>
      <c r="AG230" s="394"/>
      <c r="AH230" s="429" t="str">
        <f>IF(OR(ISBLANK($B230),ISBLANK($AG230)),"",IFERROR(IF($AG230&lt;=DATE('ESTADO CONTABLE'!$B$2,11,5),VLOOKUP($B230,COSTOS!$A$2:$B1014,2,FALSE)-150,VLOOKUP($B230,COSTOS!$A$2:$B1014,2,FALSE)),"No encontrado o error"))</f>
        <v/>
      </c>
      <c r="AI230" s="395"/>
      <c r="AJ230" s="394"/>
      <c r="AK230" s="429" t="str">
        <f>IF(OR(ISBLANK($B230),ISBLANK($AJ230)),"",IFERROR(IF($AJ230&lt;=DATE('ESTADO CONTABLE'!$B$2,12,5),VLOOKUP($B230,COSTOS!$A$2:$B1014,2,FALSE)-150,VLOOKUP($B230,COSTOS!$A$2:$B1014,2,FALSE)),"No encontrado o error"))</f>
        <v/>
      </c>
      <c r="AL230" s="395"/>
      <c r="AM230" s="254"/>
      <c r="AN230" s="255"/>
      <c r="AO230" s="256"/>
    </row>
    <row r="231" ht="22.5" customHeight="1">
      <c r="A231" s="431" t="str">
        <f>'BASE DE DATOSS'!A305</f>
        <v/>
      </c>
      <c r="B231" s="432" t="str">
        <f>'BASE DE DATOSS'!C305</f>
        <v/>
      </c>
      <c r="C231" s="263"/>
      <c r="D231" s="249"/>
      <c r="E231" s="250"/>
      <c r="F231" s="251"/>
      <c r="G231" s="262"/>
      <c r="H231" s="257"/>
      <c r="I231" s="249"/>
      <c r="J231" s="193" t="str">
        <f>IF(OR(ISBLANK($B231),ISBLANK($I231)),"",IFERROR(IF($I231&lt;=DATE('ESTADO CONTABLE'!$B$2,3,5),VLOOKUP($B231,COSTOS!$A$2:$B1014,2,FALSE)-150,VLOOKUP($B231,COSTOS!$A$2:$B1014,2,FALSE)),"No encontrado o error"))</f>
        <v/>
      </c>
      <c r="K231" s="264"/>
      <c r="L231" s="249"/>
      <c r="M231" s="189"/>
      <c r="N231" s="264"/>
      <c r="O231" s="249"/>
      <c r="P231" s="250"/>
      <c r="Q231" s="264"/>
      <c r="R231" s="249"/>
      <c r="S231" s="250"/>
      <c r="T231" s="264"/>
      <c r="U231" s="249"/>
      <c r="V231" s="250"/>
      <c r="W231" s="264"/>
      <c r="X231" s="394"/>
      <c r="Y231" s="429"/>
      <c r="Z231" s="395"/>
      <c r="AA231" s="394"/>
      <c r="AB231" s="118" t="str">
        <f>IF(OR(ISBLANK($B231),ISBLANK($AA231)),"",IFERROR(IF($AA231&lt;=DATE('ESTADO CONTABLE'!$B$2,9,5),VLOOKUP($B231,COSTOS!$A$2:$B1014,2,FALSE)-150,VLOOKUP($B231,COSTOS!$A$2:$B1014,2,FALSE)),"No encontrado o error"))</f>
        <v/>
      </c>
      <c r="AC231" s="395"/>
      <c r="AD231" s="394"/>
      <c r="AE231" s="429" t="str">
        <f>IF(OR(ISBLANK($B231),ISBLANK($AD231)),"",IFERROR(IF($AD231&lt;=DATE('ESTADO CONTABLE'!$B$2,10,5),VLOOKUP($B231,COSTOS!$A$2:$B1014,2,FALSE)-150,VLOOKUP($B231,COSTOS!$A$2:$B1014,2,FALSE)),"No encontrado o error"))</f>
        <v/>
      </c>
      <c r="AF231" s="395"/>
      <c r="AG231" s="394"/>
      <c r="AH231" s="429" t="str">
        <f>IF(OR(ISBLANK($B231),ISBLANK($AG231)),"",IFERROR(IF($AG231&lt;=DATE('ESTADO CONTABLE'!$B$2,11,5),VLOOKUP($B231,COSTOS!$A$2:$B1014,2,FALSE)-150,VLOOKUP($B231,COSTOS!$A$2:$B1014,2,FALSE)),"No encontrado o error"))</f>
        <v/>
      </c>
      <c r="AI231" s="395"/>
      <c r="AJ231" s="394"/>
      <c r="AK231" s="429" t="str">
        <f>IF(OR(ISBLANK($B231),ISBLANK($AJ231)),"",IFERROR(IF($AJ231&lt;=DATE('ESTADO CONTABLE'!$B$2,12,5),VLOOKUP($B231,COSTOS!$A$2:$B1014,2,FALSE)-150,VLOOKUP($B231,COSTOS!$A$2:$B1014,2,FALSE)),"No encontrado o error"))</f>
        <v/>
      </c>
      <c r="AL231" s="395"/>
      <c r="AM231" s="254"/>
      <c r="AN231" s="255"/>
      <c r="AO231" s="256"/>
    </row>
    <row r="232" ht="22.5" customHeight="1">
      <c r="A232" s="431" t="str">
        <f>'BASE DE DATOSS'!A306</f>
        <v/>
      </c>
      <c r="B232" s="432" t="str">
        <f>'BASE DE DATOSS'!C306</f>
        <v/>
      </c>
      <c r="C232" s="263"/>
      <c r="D232" s="249"/>
      <c r="E232" s="250"/>
      <c r="F232" s="251"/>
      <c r="G232" s="262"/>
      <c r="H232" s="257"/>
      <c r="I232" s="249"/>
      <c r="J232" s="193" t="str">
        <f>IF(OR(ISBLANK($B232),ISBLANK($I232)),"",IFERROR(IF($I232&lt;=DATE('ESTADO CONTABLE'!$B$2,3,5),VLOOKUP($B232,COSTOS!$A$2:$B1014,2,FALSE)-150,VLOOKUP($B232,COSTOS!$A$2:$B1014,2,FALSE)),"No encontrado o error"))</f>
        <v/>
      </c>
      <c r="K232" s="264"/>
      <c r="L232" s="249"/>
      <c r="M232" s="189"/>
      <c r="N232" s="264"/>
      <c r="O232" s="249"/>
      <c r="P232" s="250"/>
      <c r="Q232" s="264"/>
      <c r="R232" s="249"/>
      <c r="S232" s="250"/>
      <c r="T232" s="264"/>
      <c r="U232" s="249"/>
      <c r="V232" s="250"/>
      <c r="W232" s="264"/>
      <c r="X232" s="394"/>
      <c r="Y232" s="429"/>
      <c r="Z232" s="395"/>
      <c r="AA232" s="394"/>
      <c r="AB232" s="118" t="str">
        <f>IF(OR(ISBLANK($B232),ISBLANK($AA232)),"",IFERROR(IF($AA232&lt;=DATE('ESTADO CONTABLE'!$B$2,9,5),VLOOKUP($B232,COSTOS!$A$2:$B1014,2,FALSE)-150,VLOOKUP($B232,COSTOS!$A$2:$B1014,2,FALSE)),"No encontrado o error"))</f>
        <v/>
      </c>
      <c r="AC232" s="395"/>
      <c r="AD232" s="394"/>
      <c r="AE232" s="429" t="str">
        <f>IF(OR(ISBLANK($B232),ISBLANK($AD232)),"",IFERROR(IF($AD232&lt;=DATE('ESTADO CONTABLE'!$B$2,10,5),VLOOKUP($B232,COSTOS!$A$2:$B1014,2,FALSE)-150,VLOOKUP($B232,COSTOS!$A$2:$B1014,2,FALSE)),"No encontrado o error"))</f>
        <v/>
      </c>
      <c r="AF232" s="395"/>
      <c r="AG232" s="394"/>
      <c r="AH232" s="429" t="str">
        <f>IF(OR(ISBLANK($B232),ISBLANK($AG232)),"",IFERROR(IF($AG232&lt;=DATE('ESTADO CONTABLE'!$B$2,11,5),VLOOKUP($B232,COSTOS!$A$2:$B1014,2,FALSE)-150,VLOOKUP($B232,COSTOS!$A$2:$B1014,2,FALSE)),"No encontrado o error"))</f>
        <v/>
      </c>
      <c r="AI232" s="395"/>
      <c r="AJ232" s="394"/>
      <c r="AK232" s="429" t="str">
        <f>IF(OR(ISBLANK($B232),ISBLANK($AJ232)),"",IFERROR(IF($AJ232&lt;=DATE('ESTADO CONTABLE'!$B$2,12,5),VLOOKUP($B232,COSTOS!$A$2:$B1014,2,FALSE)-150,VLOOKUP($B232,COSTOS!$A$2:$B1014,2,FALSE)),"No encontrado o error"))</f>
        <v/>
      </c>
      <c r="AL232" s="395"/>
      <c r="AM232" s="254"/>
      <c r="AN232" s="255"/>
      <c r="AO232" s="256"/>
    </row>
    <row r="233" ht="22.5" customHeight="1">
      <c r="A233" s="431" t="str">
        <f>'BASE DE DATOSS'!A307</f>
        <v/>
      </c>
      <c r="B233" s="432" t="str">
        <f>'BASE DE DATOSS'!C307</f>
        <v/>
      </c>
      <c r="C233" s="263"/>
      <c r="D233" s="249"/>
      <c r="E233" s="250"/>
      <c r="F233" s="251"/>
      <c r="G233" s="262"/>
      <c r="H233" s="257"/>
      <c r="I233" s="249"/>
      <c r="J233" s="193" t="str">
        <f>IF(OR(ISBLANK($B233),ISBLANK($I233)),"",IFERROR(IF($I233&lt;=DATE('ESTADO CONTABLE'!$B$2,3,5),VLOOKUP($B233,COSTOS!$A$2:$B1014,2,FALSE)-150,VLOOKUP($B233,COSTOS!$A$2:$B1014,2,FALSE)),"No encontrado o error"))</f>
        <v/>
      </c>
      <c r="K233" s="264"/>
      <c r="L233" s="249"/>
      <c r="M233" s="189"/>
      <c r="N233" s="264"/>
      <c r="O233" s="249"/>
      <c r="P233" s="250"/>
      <c r="Q233" s="264"/>
      <c r="R233" s="249"/>
      <c r="S233" s="250"/>
      <c r="T233" s="264"/>
      <c r="U233" s="249"/>
      <c r="V233" s="250"/>
      <c r="W233" s="264"/>
      <c r="X233" s="394"/>
      <c r="Y233" s="429"/>
      <c r="Z233" s="395"/>
      <c r="AA233" s="394"/>
      <c r="AB233" s="118" t="str">
        <f>IF(OR(ISBLANK($B233),ISBLANK($AA233)),"",IFERROR(IF($AA233&lt;=DATE('ESTADO CONTABLE'!$B$2,9,5),VLOOKUP($B233,COSTOS!$A$2:$B1014,2,FALSE)-150,VLOOKUP($B233,COSTOS!$A$2:$B1014,2,FALSE)),"No encontrado o error"))</f>
        <v/>
      </c>
      <c r="AC233" s="395"/>
      <c r="AD233" s="394"/>
      <c r="AE233" s="429" t="str">
        <f>IF(OR(ISBLANK($B233),ISBLANK($AD233)),"",IFERROR(IF($AD233&lt;=DATE('ESTADO CONTABLE'!$B$2,10,5),VLOOKUP($B233,COSTOS!$A$2:$B1014,2,FALSE)-150,VLOOKUP($B233,COSTOS!$A$2:$B1014,2,FALSE)),"No encontrado o error"))</f>
        <v/>
      </c>
      <c r="AF233" s="395"/>
      <c r="AG233" s="394"/>
      <c r="AH233" s="429" t="str">
        <f>IF(OR(ISBLANK($B233),ISBLANK($AG233)),"",IFERROR(IF($AG233&lt;=DATE('ESTADO CONTABLE'!$B$2,11,5),VLOOKUP($B233,COSTOS!$A$2:$B1014,2,FALSE)-150,VLOOKUP($B233,COSTOS!$A$2:$B1014,2,FALSE)),"No encontrado o error"))</f>
        <v/>
      </c>
      <c r="AI233" s="395"/>
      <c r="AJ233" s="394"/>
      <c r="AK233" s="429" t="str">
        <f>IF(OR(ISBLANK($B233),ISBLANK($AJ233)),"",IFERROR(IF($AJ233&lt;=DATE('ESTADO CONTABLE'!$B$2,12,5),VLOOKUP($B233,COSTOS!$A$2:$B1014,2,FALSE)-150,VLOOKUP($B233,COSTOS!$A$2:$B1014,2,FALSE)),"No encontrado o error"))</f>
        <v/>
      </c>
      <c r="AL233" s="395"/>
      <c r="AM233" s="254"/>
      <c r="AN233" s="255"/>
      <c r="AO233" s="256"/>
    </row>
    <row r="234" ht="22.5" customHeight="1">
      <c r="A234" s="431" t="str">
        <f>'BASE DE DATOSS'!A308</f>
        <v/>
      </c>
      <c r="B234" s="432" t="str">
        <f>'BASE DE DATOSS'!C308</f>
        <v/>
      </c>
      <c r="C234" s="263"/>
      <c r="D234" s="249"/>
      <c r="E234" s="250"/>
      <c r="F234" s="251"/>
      <c r="G234" s="262"/>
      <c r="H234" s="257"/>
      <c r="I234" s="249"/>
      <c r="J234" s="193" t="str">
        <f>IF(OR(ISBLANK($B234),ISBLANK($I234)),"",IFERROR(IF($I234&lt;=DATE('ESTADO CONTABLE'!$B$2,3,5),VLOOKUP($B234,COSTOS!$A$2:$B1014,2,FALSE)-150,VLOOKUP($B234,COSTOS!$A$2:$B1014,2,FALSE)),"No encontrado o error"))</f>
        <v/>
      </c>
      <c r="K234" s="264"/>
      <c r="L234" s="249"/>
      <c r="M234" s="189"/>
      <c r="N234" s="264"/>
      <c r="O234" s="249"/>
      <c r="P234" s="250"/>
      <c r="Q234" s="264"/>
      <c r="R234" s="249"/>
      <c r="S234" s="250"/>
      <c r="T234" s="264"/>
      <c r="U234" s="249"/>
      <c r="V234" s="250"/>
      <c r="W234" s="264"/>
      <c r="X234" s="394"/>
      <c r="Y234" s="429"/>
      <c r="Z234" s="395"/>
      <c r="AA234" s="394"/>
      <c r="AB234" s="118" t="str">
        <f>IF(OR(ISBLANK($B234),ISBLANK($AA234)),"",IFERROR(IF($AA234&lt;=DATE('ESTADO CONTABLE'!$B$2,9,5),VLOOKUP($B234,COSTOS!$A$2:$B1014,2,FALSE)-150,VLOOKUP($B234,COSTOS!$A$2:$B1014,2,FALSE)),"No encontrado o error"))</f>
        <v/>
      </c>
      <c r="AC234" s="395"/>
      <c r="AD234" s="394"/>
      <c r="AE234" s="429" t="str">
        <f>IF(OR(ISBLANK($B234),ISBLANK($AD234)),"",IFERROR(IF($AD234&lt;=DATE('ESTADO CONTABLE'!$B$2,10,5),VLOOKUP($B234,COSTOS!$A$2:$B1014,2,FALSE)-150,VLOOKUP($B234,COSTOS!$A$2:$B1014,2,FALSE)),"No encontrado o error"))</f>
        <v/>
      </c>
      <c r="AF234" s="395"/>
      <c r="AG234" s="394"/>
      <c r="AH234" s="429" t="str">
        <f>IF(OR(ISBLANK($B234),ISBLANK($AG234)),"",IFERROR(IF($AG234&lt;=DATE('ESTADO CONTABLE'!$B$2,11,5),VLOOKUP($B234,COSTOS!$A$2:$B1014,2,FALSE)-150,VLOOKUP($B234,COSTOS!$A$2:$B1014,2,FALSE)),"No encontrado o error"))</f>
        <v/>
      </c>
      <c r="AI234" s="395"/>
      <c r="AJ234" s="394"/>
      <c r="AK234" s="429" t="str">
        <f>IF(OR(ISBLANK($B234),ISBLANK($AJ234)),"",IFERROR(IF($AJ234&lt;=DATE('ESTADO CONTABLE'!$B$2,12,5),VLOOKUP($B234,COSTOS!$A$2:$B1014,2,FALSE)-150,VLOOKUP($B234,COSTOS!$A$2:$B1014,2,FALSE)),"No encontrado o error"))</f>
        <v/>
      </c>
      <c r="AL234" s="395"/>
      <c r="AM234" s="254"/>
      <c r="AN234" s="255"/>
      <c r="AO234" s="256"/>
    </row>
    <row r="235" ht="22.5" customHeight="1">
      <c r="A235" s="431" t="str">
        <f>'BASE DE DATOSS'!A309</f>
        <v/>
      </c>
      <c r="B235" s="432" t="str">
        <f>'BASE DE DATOSS'!C309</f>
        <v/>
      </c>
      <c r="C235" s="263"/>
      <c r="D235" s="249"/>
      <c r="E235" s="250"/>
      <c r="F235" s="251"/>
      <c r="G235" s="262"/>
      <c r="H235" s="257"/>
      <c r="I235" s="249"/>
      <c r="J235" s="193" t="str">
        <f>IF(OR(ISBLANK($B235),ISBLANK($I235)),"",IFERROR(IF($I235&lt;=DATE('ESTADO CONTABLE'!$B$2,3,5),VLOOKUP($B235,COSTOS!$A$2:$B1014,2,FALSE)-150,VLOOKUP($B235,COSTOS!$A$2:$B1014,2,FALSE)),"No encontrado o error"))</f>
        <v/>
      </c>
      <c r="K235" s="264"/>
      <c r="L235" s="249"/>
      <c r="M235" s="189"/>
      <c r="N235" s="264"/>
      <c r="O235" s="249"/>
      <c r="P235" s="250"/>
      <c r="Q235" s="264"/>
      <c r="R235" s="249"/>
      <c r="S235" s="250"/>
      <c r="T235" s="264"/>
      <c r="U235" s="249"/>
      <c r="V235" s="250"/>
      <c r="W235" s="264"/>
      <c r="X235" s="394"/>
      <c r="Y235" s="429"/>
      <c r="Z235" s="395"/>
      <c r="AA235" s="394"/>
      <c r="AB235" s="118" t="str">
        <f>IF(OR(ISBLANK($B235),ISBLANK($AA235)),"",IFERROR(IF($AA235&lt;=DATE('ESTADO CONTABLE'!$B$2,9,5),VLOOKUP($B235,COSTOS!$A$2:$B1014,2,FALSE)-150,VLOOKUP($B235,COSTOS!$A$2:$B1014,2,FALSE)),"No encontrado o error"))</f>
        <v/>
      </c>
      <c r="AC235" s="395"/>
      <c r="AD235" s="394"/>
      <c r="AE235" s="429" t="str">
        <f>IF(OR(ISBLANK($B235),ISBLANK($AD235)),"",IFERROR(IF($AD235&lt;=DATE('ESTADO CONTABLE'!$B$2,10,5),VLOOKUP($B235,COSTOS!$A$2:$B1014,2,FALSE)-150,VLOOKUP($B235,COSTOS!$A$2:$B1014,2,FALSE)),"No encontrado o error"))</f>
        <v/>
      </c>
      <c r="AF235" s="395"/>
      <c r="AG235" s="394"/>
      <c r="AH235" s="429" t="str">
        <f>IF(OR(ISBLANK($B235),ISBLANK($AG235)),"",IFERROR(IF($AG235&lt;=DATE('ESTADO CONTABLE'!$B$2,11,5),VLOOKUP($B235,COSTOS!$A$2:$B1014,2,FALSE)-150,VLOOKUP($B235,COSTOS!$A$2:$B1014,2,FALSE)),"No encontrado o error"))</f>
        <v/>
      </c>
      <c r="AI235" s="395"/>
      <c r="AJ235" s="394"/>
      <c r="AK235" s="429" t="str">
        <f>IF(OR(ISBLANK($B235),ISBLANK($AJ235)),"",IFERROR(IF($AJ235&lt;=DATE('ESTADO CONTABLE'!$B$2,12,5),VLOOKUP($B235,COSTOS!$A$2:$B1014,2,FALSE)-150,VLOOKUP($B235,COSTOS!$A$2:$B1014,2,FALSE)),"No encontrado o error"))</f>
        <v/>
      </c>
      <c r="AL235" s="395"/>
      <c r="AM235" s="254"/>
      <c r="AN235" s="255"/>
      <c r="AO235" s="256"/>
    </row>
    <row r="236" ht="22.5" customHeight="1">
      <c r="A236" s="431" t="str">
        <f>'BASE DE DATOSS'!A310</f>
        <v/>
      </c>
      <c r="B236" s="432" t="str">
        <f>'BASE DE DATOSS'!C310</f>
        <v/>
      </c>
      <c r="C236" s="263"/>
      <c r="D236" s="249"/>
      <c r="E236" s="250"/>
      <c r="F236" s="251"/>
      <c r="G236" s="262"/>
      <c r="H236" s="257"/>
      <c r="I236" s="249"/>
      <c r="J236" s="193" t="str">
        <f>IF(OR(ISBLANK($B236),ISBLANK($I236)),"",IFERROR(IF($I236&lt;=DATE('ESTADO CONTABLE'!$B$2,3,5),VLOOKUP($B236,COSTOS!$A$2:$B1014,2,FALSE)-150,VLOOKUP($B236,COSTOS!$A$2:$B1014,2,FALSE)),"No encontrado o error"))</f>
        <v/>
      </c>
      <c r="K236" s="264"/>
      <c r="L236" s="249"/>
      <c r="M236" s="189"/>
      <c r="N236" s="264"/>
      <c r="O236" s="249"/>
      <c r="P236" s="250"/>
      <c r="Q236" s="264"/>
      <c r="R236" s="249"/>
      <c r="S236" s="250"/>
      <c r="T236" s="264"/>
      <c r="U236" s="249"/>
      <c r="V236" s="250"/>
      <c r="W236" s="264"/>
      <c r="X236" s="394"/>
      <c r="Y236" s="429"/>
      <c r="Z236" s="395"/>
      <c r="AA236" s="394"/>
      <c r="AB236" s="118" t="str">
        <f>IF(OR(ISBLANK($B236),ISBLANK($AA236)),"",IFERROR(IF($AA236&lt;=DATE('ESTADO CONTABLE'!$B$2,9,5),VLOOKUP($B236,COSTOS!$A$2:$B1014,2,FALSE)-150,VLOOKUP($B236,COSTOS!$A$2:$B1014,2,FALSE)),"No encontrado o error"))</f>
        <v/>
      </c>
      <c r="AC236" s="395"/>
      <c r="AD236" s="394"/>
      <c r="AE236" s="429" t="str">
        <f>IF(OR(ISBLANK($B236),ISBLANK($AD236)),"",IFERROR(IF($AD236&lt;=DATE('ESTADO CONTABLE'!$B$2,10,5),VLOOKUP($B236,COSTOS!$A$2:$B1014,2,FALSE)-150,VLOOKUP($B236,COSTOS!$A$2:$B1014,2,FALSE)),"No encontrado o error"))</f>
        <v/>
      </c>
      <c r="AF236" s="395"/>
      <c r="AG236" s="394"/>
      <c r="AH236" s="429" t="str">
        <f>IF(OR(ISBLANK($B236),ISBLANK($AG236)),"",IFERROR(IF($AG236&lt;=DATE('ESTADO CONTABLE'!$B$2,11,5),VLOOKUP($B236,COSTOS!$A$2:$B1014,2,FALSE)-150,VLOOKUP($B236,COSTOS!$A$2:$B1014,2,FALSE)),"No encontrado o error"))</f>
        <v/>
      </c>
      <c r="AI236" s="395"/>
      <c r="AJ236" s="394"/>
      <c r="AK236" s="429" t="str">
        <f>IF(OR(ISBLANK($B236),ISBLANK($AJ236)),"",IFERROR(IF($AJ236&lt;=DATE('ESTADO CONTABLE'!$B$2,12,5),VLOOKUP($B236,COSTOS!$A$2:$B1014,2,FALSE)-150,VLOOKUP($B236,COSTOS!$A$2:$B1014,2,FALSE)),"No encontrado o error"))</f>
        <v/>
      </c>
      <c r="AL236" s="395"/>
      <c r="AM236" s="254"/>
      <c r="AN236" s="255"/>
      <c r="AO236" s="256"/>
    </row>
    <row r="237" ht="22.5" customHeight="1">
      <c r="A237" s="431" t="str">
        <f>'BASE DE DATOSS'!A311</f>
        <v/>
      </c>
      <c r="B237" s="432" t="str">
        <f>'BASE DE DATOSS'!C311</f>
        <v/>
      </c>
      <c r="C237" s="263"/>
      <c r="D237" s="249"/>
      <c r="E237" s="250"/>
      <c r="F237" s="251"/>
      <c r="G237" s="262"/>
      <c r="H237" s="257"/>
      <c r="I237" s="249"/>
      <c r="J237" s="193" t="str">
        <f>IF(OR(ISBLANK($B237),ISBLANK($I237)),"",IFERROR(IF($I237&lt;=DATE('ESTADO CONTABLE'!$B$2,3,5),VLOOKUP($B237,COSTOS!$A$2:$B1014,2,FALSE)-150,VLOOKUP($B237,COSTOS!$A$2:$B1014,2,FALSE)),"No encontrado o error"))</f>
        <v/>
      </c>
      <c r="K237" s="264"/>
      <c r="L237" s="249"/>
      <c r="M237" s="189"/>
      <c r="N237" s="264"/>
      <c r="O237" s="249"/>
      <c r="P237" s="250"/>
      <c r="Q237" s="264"/>
      <c r="R237" s="249"/>
      <c r="S237" s="250"/>
      <c r="T237" s="264"/>
      <c r="U237" s="249"/>
      <c r="V237" s="250"/>
      <c r="W237" s="264"/>
      <c r="X237" s="394"/>
      <c r="Y237" s="429"/>
      <c r="Z237" s="395"/>
      <c r="AA237" s="394"/>
      <c r="AB237" s="118" t="str">
        <f>IF(OR(ISBLANK($B237),ISBLANK($AA237)),"",IFERROR(IF($AA237&lt;=DATE('ESTADO CONTABLE'!$B$2,9,5),VLOOKUP($B237,COSTOS!$A$2:$B1014,2,FALSE)-150,VLOOKUP($B237,COSTOS!$A$2:$B1014,2,FALSE)),"No encontrado o error"))</f>
        <v/>
      </c>
      <c r="AC237" s="395"/>
      <c r="AD237" s="394"/>
      <c r="AE237" s="429" t="str">
        <f>IF(OR(ISBLANK($B237),ISBLANK($AD237)),"",IFERROR(IF($AD237&lt;=DATE('ESTADO CONTABLE'!$B$2,10,5),VLOOKUP($B237,COSTOS!$A$2:$B1014,2,FALSE)-150,VLOOKUP($B237,COSTOS!$A$2:$B1014,2,FALSE)),"No encontrado o error"))</f>
        <v/>
      </c>
      <c r="AF237" s="395"/>
      <c r="AG237" s="394"/>
      <c r="AH237" s="429" t="str">
        <f>IF(OR(ISBLANK($B237),ISBLANK($AG237)),"",IFERROR(IF($AG237&lt;=DATE('ESTADO CONTABLE'!$B$2,11,5),VLOOKUP($B237,COSTOS!$A$2:$B1014,2,FALSE)-150,VLOOKUP($B237,COSTOS!$A$2:$B1014,2,FALSE)),"No encontrado o error"))</f>
        <v/>
      </c>
      <c r="AI237" s="395"/>
      <c r="AJ237" s="394"/>
      <c r="AK237" s="429" t="str">
        <f>IF(OR(ISBLANK($B237),ISBLANK($AJ237)),"",IFERROR(IF($AJ237&lt;=DATE('ESTADO CONTABLE'!$B$2,12,5),VLOOKUP($B237,COSTOS!$A$2:$B1014,2,FALSE)-150,VLOOKUP($B237,COSTOS!$A$2:$B1014,2,FALSE)),"No encontrado o error"))</f>
        <v/>
      </c>
      <c r="AL237" s="395"/>
      <c r="AM237" s="254"/>
      <c r="AN237" s="255"/>
      <c r="AO237" s="256"/>
    </row>
    <row r="238" ht="22.5" customHeight="1">
      <c r="A238" s="431" t="str">
        <f>'BASE DE DATOSS'!A312</f>
        <v/>
      </c>
      <c r="B238" s="432" t="str">
        <f>'BASE DE DATOSS'!C312</f>
        <v/>
      </c>
      <c r="C238" s="263"/>
      <c r="D238" s="249"/>
      <c r="E238" s="250"/>
      <c r="F238" s="251"/>
      <c r="G238" s="262"/>
      <c r="H238" s="257"/>
      <c r="I238" s="249"/>
      <c r="J238" s="193" t="str">
        <f>IF(OR(ISBLANK($B238),ISBLANK($I238)),"",IFERROR(IF($I238&lt;=DATE('ESTADO CONTABLE'!$B$2,3,5),VLOOKUP($B238,COSTOS!$A$2:$B1014,2,FALSE)-150,VLOOKUP($B238,COSTOS!$A$2:$B1014,2,FALSE)),"No encontrado o error"))</f>
        <v/>
      </c>
      <c r="K238" s="264"/>
      <c r="L238" s="249"/>
      <c r="M238" s="189"/>
      <c r="N238" s="264"/>
      <c r="O238" s="249"/>
      <c r="P238" s="250"/>
      <c r="Q238" s="264"/>
      <c r="R238" s="249"/>
      <c r="S238" s="250"/>
      <c r="T238" s="264"/>
      <c r="U238" s="249"/>
      <c r="V238" s="250"/>
      <c r="W238" s="264"/>
      <c r="X238" s="394"/>
      <c r="Y238" s="429"/>
      <c r="Z238" s="395"/>
      <c r="AA238" s="394"/>
      <c r="AB238" s="118" t="str">
        <f>IF(OR(ISBLANK($B238),ISBLANK($AA238)),"",IFERROR(IF($AA238&lt;=DATE('ESTADO CONTABLE'!$B$2,9,5),VLOOKUP($B238,COSTOS!$A$2:$B1014,2,FALSE)-150,VLOOKUP($B238,COSTOS!$A$2:$B1014,2,FALSE)),"No encontrado o error"))</f>
        <v/>
      </c>
      <c r="AC238" s="395"/>
      <c r="AD238" s="394"/>
      <c r="AE238" s="429" t="str">
        <f>IF(OR(ISBLANK($B238),ISBLANK($AD238)),"",IFERROR(IF($AD238&lt;=DATE('ESTADO CONTABLE'!$B$2,10,5),VLOOKUP($B238,COSTOS!$A$2:$B1014,2,FALSE)-150,VLOOKUP($B238,COSTOS!$A$2:$B1014,2,FALSE)),"No encontrado o error"))</f>
        <v/>
      </c>
      <c r="AF238" s="395"/>
      <c r="AG238" s="394"/>
      <c r="AH238" s="429" t="str">
        <f>IF(OR(ISBLANK($B238),ISBLANK($AG238)),"",IFERROR(IF($AG238&lt;=DATE('ESTADO CONTABLE'!$B$2,11,5),VLOOKUP($B238,COSTOS!$A$2:$B1014,2,FALSE)-150,VLOOKUP($B238,COSTOS!$A$2:$B1014,2,FALSE)),"No encontrado o error"))</f>
        <v/>
      </c>
      <c r="AI238" s="395"/>
      <c r="AJ238" s="394"/>
      <c r="AK238" s="429" t="str">
        <f>IF(OR(ISBLANK($B238),ISBLANK($AJ238)),"",IFERROR(IF($AJ238&lt;=DATE('ESTADO CONTABLE'!$B$2,12,5),VLOOKUP($B238,COSTOS!$A$2:$B1014,2,FALSE)-150,VLOOKUP($B238,COSTOS!$A$2:$B1014,2,FALSE)),"No encontrado o error"))</f>
        <v/>
      </c>
      <c r="AL238" s="395"/>
      <c r="AM238" s="254"/>
      <c r="AN238" s="255"/>
      <c r="AO238" s="256"/>
    </row>
    <row r="239" ht="22.5" customHeight="1">
      <c r="A239" s="431" t="str">
        <f>'BASE DE DATOSS'!A313</f>
        <v/>
      </c>
      <c r="B239" s="432" t="str">
        <f>'BASE DE DATOSS'!C313</f>
        <v/>
      </c>
      <c r="C239" s="263"/>
      <c r="D239" s="249"/>
      <c r="E239" s="250"/>
      <c r="F239" s="251"/>
      <c r="G239" s="262"/>
      <c r="H239" s="257"/>
      <c r="I239" s="249"/>
      <c r="J239" s="193" t="str">
        <f>IF(OR(ISBLANK($B239),ISBLANK($I239)),"",IFERROR(IF($I239&lt;=DATE('ESTADO CONTABLE'!$B$2,3,5),VLOOKUP($B239,COSTOS!$A$2:$B1014,2,FALSE)-150,VLOOKUP($B239,COSTOS!$A$2:$B1014,2,FALSE)),"No encontrado o error"))</f>
        <v/>
      </c>
      <c r="K239" s="264"/>
      <c r="L239" s="249"/>
      <c r="M239" s="189"/>
      <c r="N239" s="264"/>
      <c r="O239" s="249"/>
      <c r="P239" s="250"/>
      <c r="Q239" s="264"/>
      <c r="R239" s="249"/>
      <c r="S239" s="250"/>
      <c r="T239" s="264"/>
      <c r="U239" s="249"/>
      <c r="V239" s="250"/>
      <c r="W239" s="264"/>
      <c r="X239" s="394"/>
      <c r="Y239" s="429"/>
      <c r="Z239" s="395"/>
      <c r="AA239" s="394"/>
      <c r="AB239" s="118" t="str">
        <f>IF(OR(ISBLANK($B239),ISBLANK($AA239)),"",IFERROR(IF($AA239&lt;=DATE('ESTADO CONTABLE'!$B$2,9,5),VLOOKUP($B239,COSTOS!$A$2:$B1014,2,FALSE)-150,VLOOKUP($B239,COSTOS!$A$2:$B1014,2,FALSE)),"No encontrado o error"))</f>
        <v/>
      </c>
      <c r="AC239" s="395"/>
      <c r="AD239" s="394"/>
      <c r="AE239" s="429" t="str">
        <f>IF(OR(ISBLANK($B239),ISBLANK($AD239)),"",IFERROR(IF($AD239&lt;=DATE('ESTADO CONTABLE'!$B$2,10,5),VLOOKUP($B239,COSTOS!$A$2:$B1014,2,FALSE)-150,VLOOKUP($B239,COSTOS!$A$2:$B1014,2,FALSE)),"No encontrado o error"))</f>
        <v/>
      </c>
      <c r="AF239" s="395"/>
      <c r="AG239" s="394"/>
      <c r="AH239" s="429" t="str">
        <f>IF(OR(ISBLANK($B239),ISBLANK($AG239)),"",IFERROR(IF($AG239&lt;=DATE('ESTADO CONTABLE'!$B$2,11,5),VLOOKUP($B239,COSTOS!$A$2:$B1014,2,FALSE)-150,VLOOKUP($B239,COSTOS!$A$2:$B1014,2,FALSE)),"No encontrado o error"))</f>
        <v/>
      </c>
      <c r="AI239" s="395"/>
      <c r="AJ239" s="394"/>
      <c r="AK239" s="429" t="str">
        <f>IF(OR(ISBLANK($B239),ISBLANK($AJ239)),"",IFERROR(IF($AJ239&lt;=DATE('ESTADO CONTABLE'!$B$2,12,5),VLOOKUP($B239,COSTOS!$A$2:$B1014,2,FALSE)-150,VLOOKUP($B239,COSTOS!$A$2:$B1014,2,FALSE)),"No encontrado o error"))</f>
        <v/>
      </c>
      <c r="AL239" s="395"/>
      <c r="AM239" s="254"/>
      <c r="AN239" s="255"/>
      <c r="AO239" s="256"/>
    </row>
    <row r="240" ht="22.5" customHeight="1">
      <c r="A240" s="431" t="str">
        <f>'BASE DE DATOSS'!A314</f>
        <v/>
      </c>
      <c r="B240" s="432" t="str">
        <f>'BASE DE DATOSS'!C314</f>
        <v/>
      </c>
      <c r="C240" s="263"/>
      <c r="D240" s="249"/>
      <c r="E240" s="250"/>
      <c r="F240" s="251"/>
      <c r="G240" s="262"/>
      <c r="H240" s="257"/>
      <c r="I240" s="249"/>
      <c r="J240" s="193" t="str">
        <f>IF(OR(ISBLANK($B240),ISBLANK($I240)),"",IFERROR(IF($I240&lt;=DATE('ESTADO CONTABLE'!$B$2,3,5),VLOOKUP($B240,COSTOS!$A$2:$B1014,2,FALSE)-150,VLOOKUP($B240,COSTOS!$A$2:$B1014,2,FALSE)),"No encontrado o error"))</f>
        <v/>
      </c>
      <c r="K240" s="264"/>
      <c r="L240" s="249"/>
      <c r="M240" s="189"/>
      <c r="N240" s="264"/>
      <c r="O240" s="249"/>
      <c r="P240" s="250"/>
      <c r="Q240" s="264"/>
      <c r="R240" s="249"/>
      <c r="S240" s="250"/>
      <c r="T240" s="264"/>
      <c r="U240" s="249"/>
      <c r="V240" s="250"/>
      <c r="W240" s="264"/>
      <c r="X240" s="394"/>
      <c r="Y240" s="429"/>
      <c r="Z240" s="395"/>
      <c r="AA240" s="394"/>
      <c r="AB240" s="118" t="str">
        <f>IF(OR(ISBLANK($B240),ISBLANK($AA240)),"",IFERROR(IF($AA240&lt;=DATE('ESTADO CONTABLE'!$B$2,9,5),VLOOKUP($B240,COSTOS!$A$2:$B1014,2,FALSE)-150,VLOOKUP($B240,COSTOS!$A$2:$B1014,2,FALSE)),"No encontrado o error"))</f>
        <v/>
      </c>
      <c r="AC240" s="395"/>
      <c r="AD240" s="394"/>
      <c r="AE240" s="429" t="str">
        <f>IF(OR(ISBLANK($B240),ISBLANK($AD240)),"",IFERROR(IF($AD240&lt;=DATE('ESTADO CONTABLE'!$B$2,10,5),VLOOKUP($B240,COSTOS!$A$2:$B1014,2,FALSE)-150,VLOOKUP($B240,COSTOS!$A$2:$B1014,2,FALSE)),"No encontrado o error"))</f>
        <v/>
      </c>
      <c r="AF240" s="395"/>
      <c r="AG240" s="394"/>
      <c r="AH240" s="429" t="str">
        <f>IF(OR(ISBLANK($B240),ISBLANK($AG240)),"",IFERROR(IF($AG240&lt;=DATE('ESTADO CONTABLE'!$B$2,11,5),VLOOKUP($B240,COSTOS!$A$2:$B1014,2,FALSE)-150,VLOOKUP($B240,COSTOS!$A$2:$B1014,2,FALSE)),"No encontrado o error"))</f>
        <v/>
      </c>
      <c r="AI240" s="395"/>
      <c r="AJ240" s="394"/>
      <c r="AK240" s="429" t="str">
        <f>IF(OR(ISBLANK($B240),ISBLANK($AJ240)),"",IFERROR(IF($AJ240&lt;=DATE('ESTADO CONTABLE'!$B$2,12,5),VLOOKUP($B240,COSTOS!$A$2:$B1014,2,FALSE)-150,VLOOKUP($B240,COSTOS!$A$2:$B1014,2,FALSE)),"No encontrado o error"))</f>
        <v/>
      </c>
      <c r="AL240" s="395"/>
      <c r="AM240" s="254"/>
      <c r="AN240" s="255"/>
      <c r="AO240" s="256"/>
    </row>
    <row r="241" ht="22.5" customHeight="1">
      <c r="A241" s="431" t="str">
        <f>'BASE DE DATOSS'!A315</f>
        <v/>
      </c>
      <c r="B241" s="432" t="str">
        <f>'BASE DE DATOSS'!C315</f>
        <v/>
      </c>
      <c r="C241" s="263"/>
      <c r="D241" s="249"/>
      <c r="E241" s="250"/>
      <c r="F241" s="251"/>
      <c r="G241" s="262"/>
      <c r="H241" s="257"/>
      <c r="I241" s="249"/>
      <c r="J241" s="193" t="str">
        <f>IF(OR(ISBLANK($B241),ISBLANK($I241)),"",IFERROR(IF($I241&lt;=DATE('ESTADO CONTABLE'!$B$2,3,5),VLOOKUP($B241,COSTOS!$A$2:$B1014,2,FALSE)-150,VLOOKUP($B241,COSTOS!$A$2:$B1014,2,FALSE)),"No encontrado o error"))</f>
        <v/>
      </c>
      <c r="K241" s="264"/>
      <c r="L241" s="249"/>
      <c r="M241" s="189"/>
      <c r="N241" s="264"/>
      <c r="O241" s="249"/>
      <c r="P241" s="250"/>
      <c r="Q241" s="264"/>
      <c r="R241" s="249"/>
      <c r="S241" s="250"/>
      <c r="T241" s="264"/>
      <c r="U241" s="249"/>
      <c r="V241" s="250"/>
      <c r="W241" s="264"/>
      <c r="X241" s="394"/>
      <c r="Y241" s="429"/>
      <c r="Z241" s="395"/>
      <c r="AA241" s="394"/>
      <c r="AB241" s="118" t="str">
        <f>IF(OR(ISBLANK($B241),ISBLANK($AA241)),"",IFERROR(IF($AA241&lt;=DATE('ESTADO CONTABLE'!$B$2,9,5),VLOOKUP($B241,COSTOS!$A$2:$B1014,2,FALSE)-150,VLOOKUP($B241,COSTOS!$A$2:$B1014,2,FALSE)),"No encontrado o error"))</f>
        <v/>
      </c>
      <c r="AC241" s="395"/>
      <c r="AD241" s="394"/>
      <c r="AE241" s="429" t="str">
        <f>IF(OR(ISBLANK($B241),ISBLANK($AD241)),"",IFERROR(IF($AD241&lt;=DATE('ESTADO CONTABLE'!$B$2,10,5),VLOOKUP($B241,COSTOS!$A$2:$B1014,2,FALSE)-150,VLOOKUP($B241,COSTOS!$A$2:$B1014,2,FALSE)),"No encontrado o error"))</f>
        <v/>
      </c>
      <c r="AF241" s="395"/>
      <c r="AG241" s="394"/>
      <c r="AH241" s="429" t="str">
        <f>IF(OR(ISBLANK($B241),ISBLANK($AG241)),"",IFERROR(IF($AG241&lt;=DATE('ESTADO CONTABLE'!$B$2,11,5),VLOOKUP($B241,COSTOS!$A$2:$B1014,2,FALSE)-150,VLOOKUP($B241,COSTOS!$A$2:$B1014,2,FALSE)),"No encontrado o error"))</f>
        <v/>
      </c>
      <c r="AI241" s="395"/>
      <c r="AJ241" s="394"/>
      <c r="AK241" s="429" t="str">
        <f>IF(OR(ISBLANK($B241),ISBLANK($AJ241)),"",IFERROR(IF($AJ241&lt;=DATE('ESTADO CONTABLE'!$B$2,12,5),VLOOKUP($B241,COSTOS!$A$2:$B1014,2,FALSE)-150,VLOOKUP($B241,COSTOS!$A$2:$B1014,2,FALSE)),"No encontrado o error"))</f>
        <v/>
      </c>
      <c r="AL241" s="395"/>
      <c r="AM241" s="254"/>
      <c r="AN241" s="255"/>
      <c r="AO241" s="256"/>
    </row>
    <row r="242" ht="22.5" customHeight="1">
      <c r="A242" s="431" t="str">
        <f>'BASE DE DATOSS'!A316</f>
        <v/>
      </c>
      <c r="B242" s="432" t="str">
        <f>'BASE DE DATOSS'!C316</f>
        <v/>
      </c>
      <c r="C242" s="263"/>
      <c r="D242" s="249"/>
      <c r="E242" s="250"/>
      <c r="F242" s="251"/>
      <c r="G242" s="262"/>
      <c r="H242" s="257"/>
      <c r="I242" s="249"/>
      <c r="J242" s="193" t="str">
        <f>IF(OR(ISBLANK($B242),ISBLANK($I242)),"",IFERROR(IF($I242&lt;=DATE('ESTADO CONTABLE'!$B$2,3,5),VLOOKUP($B242,COSTOS!$A$2:$B1014,2,FALSE)-150,VLOOKUP($B242,COSTOS!$A$2:$B1014,2,FALSE)),"No encontrado o error"))</f>
        <v/>
      </c>
      <c r="K242" s="264"/>
      <c r="L242" s="249"/>
      <c r="M242" s="189"/>
      <c r="N242" s="264"/>
      <c r="O242" s="249"/>
      <c r="P242" s="250"/>
      <c r="Q242" s="264"/>
      <c r="R242" s="249"/>
      <c r="S242" s="250"/>
      <c r="T242" s="264"/>
      <c r="U242" s="249"/>
      <c r="V242" s="250"/>
      <c r="W242" s="264"/>
      <c r="X242" s="394"/>
      <c r="Y242" s="429"/>
      <c r="Z242" s="395"/>
      <c r="AA242" s="394"/>
      <c r="AB242" s="118" t="str">
        <f>IF(OR(ISBLANK($B242),ISBLANK($AA242)),"",IFERROR(IF($AA242&lt;=DATE('ESTADO CONTABLE'!$B$2,9,5),VLOOKUP($B242,COSTOS!$A$2:$B1014,2,FALSE)-150,VLOOKUP($B242,COSTOS!$A$2:$B1014,2,FALSE)),"No encontrado o error"))</f>
        <v/>
      </c>
      <c r="AC242" s="395"/>
      <c r="AD242" s="394"/>
      <c r="AE242" s="429" t="str">
        <f>IF(OR(ISBLANK($B242),ISBLANK($AD242)),"",IFERROR(IF($AD242&lt;=DATE('ESTADO CONTABLE'!$B$2,10,5),VLOOKUP($B242,COSTOS!$A$2:$B1014,2,FALSE)-150,VLOOKUP($B242,COSTOS!$A$2:$B1014,2,FALSE)),"No encontrado o error"))</f>
        <v/>
      </c>
      <c r="AF242" s="395"/>
      <c r="AG242" s="394"/>
      <c r="AH242" s="429" t="str">
        <f>IF(OR(ISBLANK($B242),ISBLANK($AG242)),"",IFERROR(IF($AG242&lt;=DATE('ESTADO CONTABLE'!$B$2,11,5),VLOOKUP($B242,COSTOS!$A$2:$B1014,2,FALSE)-150,VLOOKUP($B242,COSTOS!$A$2:$B1014,2,FALSE)),"No encontrado o error"))</f>
        <v/>
      </c>
      <c r="AI242" s="395"/>
      <c r="AJ242" s="394"/>
      <c r="AK242" s="429" t="str">
        <f>IF(OR(ISBLANK($B242),ISBLANK($AJ242)),"",IFERROR(IF($AJ242&lt;=DATE('ESTADO CONTABLE'!$B$2,12,5),VLOOKUP($B242,COSTOS!$A$2:$B1014,2,FALSE)-150,VLOOKUP($B242,COSTOS!$A$2:$B1014,2,FALSE)),"No encontrado o error"))</f>
        <v/>
      </c>
      <c r="AL242" s="395"/>
      <c r="AM242" s="254"/>
      <c r="AN242" s="255"/>
      <c r="AO242" s="256"/>
    </row>
    <row r="243" ht="22.5" customHeight="1">
      <c r="A243" s="431" t="str">
        <f>'BASE DE DATOSS'!A317</f>
        <v/>
      </c>
      <c r="B243" s="432" t="str">
        <f>'BASE DE DATOSS'!C317</f>
        <v/>
      </c>
      <c r="C243" s="263"/>
      <c r="D243" s="249"/>
      <c r="E243" s="250"/>
      <c r="F243" s="251"/>
      <c r="G243" s="262"/>
      <c r="H243" s="257"/>
      <c r="I243" s="249"/>
      <c r="J243" s="193" t="str">
        <f>IF(OR(ISBLANK($B243),ISBLANK($I243)),"",IFERROR(IF($I243&lt;=DATE('ESTADO CONTABLE'!$B$2,3,5),VLOOKUP($B243,COSTOS!$A$2:$B1014,2,FALSE)-150,VLOOKUP($B243,COSTOS!$A$2:$B1014,2,FALSE)),"No encontrado o error"))</f>
        <v/>
      </c>
      <c r="K243" s="264"/>
      <c r="L243" s="249"/>
      <c r="M243" s="189"/>
      <c r="N243" s="264"/>
      <c r="O243" s="249"/>
      <c r="P243" s="250"/>
      <c r="Q243" s="264"/>
      <c r="R243" s="249"/>
      <c r="S243" s="250"/>
      <c r="T243" s="264"/>
      <c r="U243" s="249"/>
      <c r="V243" s="250"/>
      <c r="W243" s="264"/>
      <c r="X243" s="394"/>
      <c r="Y243" s="429"/>
      <c r="Z243" s="395"/>
      <c r="AA243" s="394"/>
      <c r="AB243" s="118" t="str">
        <f>IF(OR(ISBLANK($B243),ISBLANK($AA243)),"",IFERROR(IF($AA243&lt;=DATE('ESTADO CONTABLE'!$B$2,9,5),VLOOKUP($B243,COSTOS!$A$2:$B1014,2,FALSE)-150,VLOOKUP($B243,COSTOS!$A$2:$B1014,2,FALSE)),"No encontrado o error"))</f>
        <v/>
      </c>
      <c r="AC243" s="395"/>
      <c r="AD243" s="394"/>
      <c r="AE243" s="429" t="str">
        <f>IF(OR(ISBLANK($B243),ISBLANK($AD243)),"",IFERROR(IF($AD243&lt;=DATE('ESTADO CONTABLE'!$B$2,10,5),VLOOKUP($B243,COSTOS!$A$2:$B1014,2,FALSE)-150,VLOOKUP($B243,COSTOS!$A$2:$B1014,2,FALSE)),"No encontrado o error"))</f>
        <v/>
      </c>
      <c r="AF243" s="395"/>
      <c r="AG243" s="394"/>
      <c r="AH243" s="429" t="str">
        <f>IF(OR(ISBLANK($B243),ISBLANK($AG243)),"",IFERROR(IF($AG243&lt;=DATE('ESTADO CONTABLE'!$B$2,11,5),VLOOKUP($B243,COSTOS!$A$2:$B1014,2,FALSE)-150,VLOOKUP($B243,COSTOS!$A$2:$B1014,2,FALSE)),"No encontrado o error"))</f>
        <v/>
      </c>
      <c r="AI243" s="395"/>
      <c r="AJ243" s="394"/>
      <c r="AK243" s="429" t="str">
        <f>IF(OR(ISBLANK($B243),ISBLANK($AJ243)),"",IFERROR(IF($AJ243&lt;=DATE('ESTADO CONTABLE'!$B$2,12,5),VLOOKUP($B243,COSTOS!$A$2:$B1014,2,FALSE)-150,VLOOKUP($B243,COSTOS!$A$2:$B1014,2,FALSE)),"No encontrado o error"))</f>
        <v/>
      </c>
      <c r="AL243" s="395"/>
      <c r="AM243" s="254"/>
      <c r="AN243" s="255"/>
      <c r="AO243" s="256"/>
    </row>
    <row r="244" ht="22.5" customHeight="1">
      <c r="A244" s="431" t="str">
        <f>'BASE DE DATOSS'!A318</f>
        <v/>
      </c>
      <c r="B244" s="432" t="str">
        <f>'BASE DE DATOSS'!C318</f>
        <v/>
      </c>
      <c r="C244" s="263"/>
      <c r="D244" s="249"/>
      <c r="E244" s="250"/>
      <c r="F244" s="251"/>
      <c r="G244" s="262"/>
      <c r="H244" s="257"/>
      <c r="I244" s="249"/>
      <c r="J244" s="193" t="str">
        <f>IF(OR(ISBLANK($B244),ISBLANK($I244)),"",IFERROR(IF($I244&lt;=DATE('ESTADO CONTABLE'!$B$2,3,5),VLOOKUP($B244,COSTOS!$A$2:$B1014,2,FALSE)-150,VLOOKUP($B244,COSTOS!$A$2:$B1014,2,FALSE)),"No encontrado o error"))</f>
        <v/>
      </c>
      <c r="K244" s="264"/>
      <c r="L244" s="249"/>
      <c r="M244" s="189"/>
      <c r="N244" s="264"/>
      <c r="O244" s="249"/>
      <c r="P244" s="250"/>
      <c r="Q244" s="264"/>
      <c r="R244" s="249"/>
      <c r="S244" s="250"/>
      <c r="T244" s="264"/>
      <c r="U244" s="249"/>
      <c r="V244" s="250"/>
      <c r="W244" s="264"/>
      <c r="X244" s="394"/>
      <c r="Y244" s="429"/>
      <c r="Z244" s="395"/>
      <c r="AA244" s="394"/>
      <c r="AB244" s="118" t="str">
        <f>IF(OR(ISBLANK($B244),ISBLANK($AA244)),"",IFERROR(IF($AA244&lt;=DATE('ESTADO CONTABLE'!$B$2,9,5),VLOOKUP($B244,COSTOS!$A$2:$B1014,2,FALSE)-150,VLOOKUP($B244,COSTOS!$A$2:$B1014,2,FALSE)),"No encontrado o error"))</f>
        <v/>
      </c>
      <c r="AC244" s="395"/>
      <c r="AD244" s="394"/>
      <c r="AE244" s="429" t="str">
        <f>IF(OR(ISBLANK($B244),ISBLANK($AD244)),"",IFERROR(IF($AD244&lt;=DATE('ESTADO CONTABLE'!$B$2,10,5),VLOOKUP($B244,COSTOS!$A$2:$B1014,2,FALSE)-150,VLOOKUP($B244,COSTOS!$A$2:$B1014,2,FALSE)),"No encontrado o error"))</f>
        <v/>
      </c>
      <c r="AF244" s="395"/>
      <c r="AG244" s="394"/>
      <c r="AH244" s="429" t="str">
        <f>IF(OR(ISBLANK($B244),ISBLANK($AG244)),"",IFERROR(IF($AG244&lt;=DATE('ESTADO CONTABLE'!$B$2,11,5),VLOOKUP($B244,COSTOS!$A$2:$B1014,2,FALSE)-150,VLOOKUP($B244,COSTOS!$A$2:$B1014,2,FALSE)),"No encontrado o error"))</f>
        <v/>
      </c>
      <c r="AI244" s="395"/>
      <c r="AJ244" s="394"/>
      <c r="AK244" s="429" t="str">
        <f>IF(OR(ISBLANK($B244),ISBLANK($AJ244)),"",IFERROR(IF($AJ244&lt;=DATE('ESTADO CONTABLE'!$B$2,12,5),VLOOKUP($B244,COSTOS!$A$2:$B1014,2,FALSE)-150,VLOOKUP($B244,COSTOS!$A$2:$B1014,2,FALSE)),"No encontrado o error"))</f>
        <v/>
      </c>
      <c r="AL244" s="395"/>
      <c r="AM244" s="254"/>
      <c r="AN244" s="255"/>
      <c r="AO244" s="256"/>
    </row>
    <row r="245" ht="22.5" customHeight="1">
      <c r="A245" s="431" t="str">
        <f>'BASE DE DATOSS'!A319</f>
        <v/>
      </c>
      <c r="B245" s="432" t="str">
        <f>'BASE DE DATOSS'!C319</f>
        <v/>
      </c>
      <c r="C245" s="263"/>
      <c r="D245" s="249"/>
      <c r="E245" s="250"/>
      <c r="F245" s="251"/>
      <c r="G245" s="262"/>
      <c r="H245" s="257"/>
      <c r="I245" s="249"/>
      <c r="J245" s="193" t="str">
        <f>IF(OR(ISBLANK($B245),ISBLANK($I245)),"",IFERROR(IF($I245&lt;=DATE('ESTADO CONTABLE'!$B$2,3,5),VLOOKUP($B245,COSTOS!$A$2:$B1014,2,FALSE)-150,VLOOKUP($B245,COSTOS!$A$2:$B1014,2,FALSE)),"No encontrado o error"))</f>
        <v/>
      </c>
      <c r="K245" s="264"/>
      <c r="L245" s="249"/>
      <c r="M245" s="189"/>
      <c r="N245" s="264"/>
      <c r="O245" s="249"/>
      <c r="P245" s="250"/>
      <c r="Q245" s="264"/>
      <c r="R245" s="249"/>
      <c r="S245" s="250"/>
      <c r="T245" s="264"/>
      <c r="U245" s="249"/>
      <c r="V245" s="250"/>
      <c r="W245" s="264"/>
      <c r="X245" s="394"/>
      <c r="Y245" s="429"/>
      <c r="Z245" s="395"/>
      <c r="AA245" s="394"/>
      <c r="AB245" s="118" t="str">
        <f>IF(OR(ISBLANK($B245),ISBLANK($AA245)),"",IFERROR(IF($AA245&lt;=DATE('ESTADO CONTABLE'!$B$2,9,5),VLOOKUP($B245,COSTOS!$A$2:$B1014,2,FALSE)-150,VLOOKUP($B245,COSTOS!$A$2:$B1014,2,FALSE)),"No encontrado o error"))</f>
        <v/>
      </c>
      <c r="AC245" s="395"/>
      <c r="AD245" s="394"/>
      <c r="AE245" s="429" t="str">
        <f>IF(OR(ISBLANK($B245),ISBLANK($AD245)),"",IFERROR(IF($AD245&lt;=DATE('ESTADO CONTABLE'!$B$2,10,5),VLOOKUP($B245,COSTOS!$A$2:$B1014,2,FALSE)-150,VLOOKUP($B245,COSTOS!$A$2:$B1014,2,FALSE)),"No encontrado o error"))</f>
        <v/>
      </c>
      <c r="AF245" s="395"/>
      <c r="AG245" s="394"/>
      <c r="AH245" s="429" t="str">
        <f>IF(OR(ISBLANK($B245),ISBLANK($AG245)),"",IFERROR(IF($AG245&lt;=DATE('ESTADO CONTABLE'!$B$2,11,5),VLOOKUP($B245,COSTOS!$A$2:$B1014,2,FALSE)-150,VLOOKUP($B245,COSTOS!$A$2:$B1014,2,FALSE)),"No encontrado o error"))</f>
        <v/>
      </c>
      <c r="AI245" s="395"/>
      <c r="AJ245" s="394"/>
      <c r="AK245" s="429" t="str">
        <f>IF(OR(ISBLANK($B245),ISBLANK($AJ245)),"",IFERROR(IF($AJ245&lt;=DATE('ESTADO CONTABLE'!$B$2,12,5),VLOOKUP($B245,COSTOS!$A$2:$B1014,2,FALSE)-150,VLOOKUP($B245,COSTOS!$A$2:$B1014,2,FALSE)),"No encontrado o error"))</f>
        <v/>
      </c>
      <c r="AL245" s="395"/>
      <c r="AM245" s="254"/>
      <c r="AN245" s="255"/>
      <c r="AO245" s="256"/>
    </row>
    <row r="246" ht="22.5" customHeight="1">
      <c r="A246" s="431" t="str">
        <f>'BASE DE DATOSS'!A320</f>
        <v/>
      </c>
      <c r="B246" s="432" t="str">
        <f>'BASE DE DATOSS'!C320</f>
        <v/>
      </c>
      <c r="C246" s="263"/>
      <c r="D246" s="249"/>
      <c r="E246" s="250"/>
      <c r="F246" s="251"/>
      <c r="G246" s="262"/>
      <c r="H246" s="257"/>
      <c r="I246" s="249"/>
      <c r="J246" s="193" t="str">
        <f>IF(OR(ISBLANK($B246),ISBLANK($I246)),"",IFERROR(IF($I246&lt;=DATE('ESTADO CONTABLE'!$B$2,3,5),VLOOKUP($B246,COSTOS!$A$2:$B1014,2,FALSE)-150,VLOOKUP($B246,COSTOS!$A$2:$B1014,2,FALSE)),"No encontrado o error"))</f>
        <v/>
      </c>
      <c r="K246" s="264"/>
      <c r="L246" s="249"/>
      <c r="M246" s="189"/>
      <c r="N246" s="264"/>
      <c r="O246" s="249"/>
      <c r="P246" s="250"/>
      <c r="Q246" s="264"/>
      <c r="R246" s="249"/>
      <c r="S246" s="250"/>
      <c r="T246" s="264"/>
      <c r="U246" s="249"/>
      <c r="V246" s="250"/>
      <c r="W246" s="264"/>
      <c r="X246" s="394"/>
      <c r="Y246" s="429"/>
      <c r="Z246" s="395"/>
      <c r="AA246" s="394"/>
      <c r="AB246" s="118" t="str">
        <f>IF(OR(ISBLANK($B246),ISBLANK($AA246)),"",IFERROR(IF($AA246&lt;=DATE('ESTADO CONTABLE'!$B$2,9,5),VLOOKUP($B246,COSTOS!$A$2:$B1014,2,FALSE)-150,VLOOKUP($B246,COSTOS!$A$2:$B1014,2,FALSE)),"No encontrado o error"))</f>
        <v/>
      </c>
      <c r="AC246" s="395"/>
      <c r="AD246" s="394"/>
      <c r="AE246" s="429" t="str">
        <f>IF(OR(ISBLANK($B246),ISBLANK($AD246)),"",IFERROR(IF($AD246&lt;=DATE('ESTADO CONTABLE'!$B$2,10,5),VLOOKUP($B246,COSTOS!$A$2:$B1014,2,FALSE)-150,VLOOKUP($B246,COSTOS!$A$2:$B1014,2,FALSE)),"No encontrado o error"))</f>
        <v/>
      </c>
      <c r="AF246" s="395"/>
      <c r="AG246" s="394"/>
      <c r="AH246" s="429" t="str">
        <f>IF(OR(ISBLANK($B246),ISBLANK($AG246)),"",IFERROR(IF($AG246&lt;=DATE('ESTADO CONTABLE'!$B$2,11,5),VLOOKUP($B246,COSTOS!$A$2:$B1014,2,FALSE)-150,VLOOKUP($B246,COSTOS!$A$2:$B1014,2,FALSE)),"No encontrado o error"))</f>
        <v/>
      </c>
      <c r="AI246" s="395"/>
      <c r="AJ246" s="394"/>
      <c r="AK246" s="429" t="str">
        <f>IF(OR(ISBLANK($B246),ISBLANK($AJ246)),"",IFERROR(IF($AJ246&lt;=DATE('ESTADO CONTABLE'!$B$2,12,5),VLOOKUP($B246,COSTOS!$A$2:$B1014,2,FALSE)-150,VLOOKUP($B246,COSTOS!$A$2:$B1014,2,FALSE)),"No encontrado o error"))</f>
        <v/>
      </c>
      <c r="AL246" s="395"/>
      <c r="AM246" s="254"/>
      <c r="AN246" s="255"/>
      <c r="AO246" s="256"/>
    </row>
    <row r="247" ht="22.5" customHeight="1">
      <c r="A247" s="431" t="str">
        <f>'BASE DE DATOSS'!A321</f>
        <v/>
      </c>
      <c r="B247" s="432" t="str">
        <f>'BASE DE DATOSS'!C321</f>
        <v/>
      </c>
      <c r="C247" s="263"/>
      <c r="D247" s="249"/>
      <c r="E247" s="250"/>
      <c r="F247" s="251"/>
      <c r="G247" s="262"/>
      <c r="H247" s="257"/>
      <c r="I247" s="249"/>
      <c r="J247" s="193" t="str">
        <f>IF(OR(ISBLANK($B247),ISBLANK($I247)),"",IFERROR(IF($I247&lt;=DATE('ESTADO CONTABLE'!$B$2,3,5),VLOOKUP($B247,COSTOS!$A$2:$B1014,2,FALSE)-150,VLOOKUP($B247,COSTOS!$A$2:$B1014,2,FALSE)),"No encontrado o error"))</f>
        <v/>
      </c>
      <c r="K247" s="264"/>
      <c r="L247" s="249"/>
      <c r="M247" s="189"/>
      <c r="N247" s="264"/>
      <c r="O247" s="249"/>
      <c r="P247" s="250"/>
      <c r="Q247" s="264"/>
      <c r="R247" s="249"/>
      <c r="S247" s="250"/>
      <c r="T247" s="264"/>
      <c r="U247" s="249"/>
      <c r="V247" s="250"/>
      <c r="W247" s="264"/>
      <c r="X247" s="394"/>
      <c r="Y247" s="429"/>
      <c r="Z247" s="395"/>
      <c r="AA247" s="394"/>
      <c r="AB247" s="118" t="str">
        <f>IF(OR(ISBLANK($B247),ISBLANK($AA247)),"",IFERROR(IF($AA247&lt;=DATE('ESTADO CONTABLE'!$B$2,9,5),VLOOKUP($B247,COSTOS!$A$2:$B1014,2,FALSE)-150,VLOOKUP($B247,COSTOS!$A$2:$B1014,2,FALSE)),"No encontrado o error"))</f>
        <v/>
      </c>
      <c r="AC247" s="395"/>
      <c r="AD247" s="394"/>
      <c r="AE247" s="429" t="str">
        <f>IF(OR(ISBLANK($B247),ISBLANK($AD247)),"",IFERROR(IF($AD247&lt;=DATE('ESTADO CONTABLE'!$B$2,10,5),VLOOKUP($B247,COSTOS!$A$2:$B1014,2,FALSE)-150,VLOOKUP($B247,COSTOS!$A$2:$B1014,2,FALSE)),"No encontrado o error"))</f>
        <v/>
      </c>
      <c r="AF247" s="395"/>
      <c r="AG247" s="394"/>
      <c r="AH247" s="429" t="str">
        <f>IF(OR(ISBLANK($B247),ISBLANK($AG247)),"",IFERROR(IF($AG247&lt;=DATE('ESTADO CONTABLE'!$B$2,11,5),VLOOKUP($B247,COSTOS!$A$2:$B1014,2,FALSE)-150,VLOOKUP($B247,COSTOS!$A$2:$B1014,2,FALSE)),"No encontrado o error"))</f>
        <v/>
      </c>
      <c r="AI247" s="395"/>
      <c r="AJ247" s="394"/>
      <c r="AK247" s="429" t="str">
        <f>IF(OR(ISBLANK($B247),ISBLANK($AJ247)),"",IFERROR(IF($AJ247&lt;=DATE('ESTADO CONTABLE'!$B$2,12,5),VLOOKUP($B247,COSTOS!$A$2:$B1014,2,FALSE)-150,VLOOKUP($B247,COSTOS!$A$2:$B1014,2,FALSE)),"No encontrado o error"))</f>
        <v/>
      </c>
      <c r="AL247" s="395"/>
      <c r="AM247" s="254"/>
      <c r="AN247" s="255"/>
      <c r="AO247" s="256"/>
    </row>
    <row r="248" ht="22.5" customHeight="1">
      <c r="A248" s="431" t="str">
        <f>'BASE DE DATOSS'!A322</f>
        <v/>
      </c>
      <c r="B248" s="432" t="str">
        <f>'BASE DE DATOSS'!C322</f>
        <v/>
      </c>
      <c r="C248" s="263"/>
      <c r="D248" s="249"/>
      <c r="E248" s="250"/>
      <c r="F248" s="251"/>
      <c r="G248" s="262"/>
      <c r="H248" s="257"/>
      <c r="I248" s="249"/>
      <c r="J248" s="193" t="str">
        <f>IF(OR(ISBLANK($B248),ISBLANK($I248)),"",IFERROR(IF($I248&lt;=DATE('ESTADO CONTABLE'!$B$2,3,5),VLOOKUP($B248,COSTOS!$A$2:$B1014,2,FALSE)-150,VLOOKUP($B248,COSTOS!$A$2:$B1014,2,FALSE)),"No encontrado o error"))</f>
        <v/>
      </c>
      <c r="K248" s="264"/>
      <c r="L248" s="249"/>
      <c r="M248" s="189"/>
      <c r="N248" s="264"/>
      <c r="O248" s="249"/>
      <c r="P248" s="250"/>
      <c r="Q248" s="264"/>
      <c r="R248" s="249"/>
      <c r="S248" s="250"/>
      <c r="T248" s="264"/>
      <c r="U248" s="249"/>
      <c r="V248" s="250"/>
      <c r="W248" s="264"/>
      <c r="X248" s="394"/>
      <c r="Y248" s="429"/>
      <c r="Z248" s="395"/>
      <c r="AA248" s="394"/>
      <c r="AB248" s="118" t="str">
        <f>IF(OR(ISBLANK($B248),ISBLANK($AA248)),"",IFERROR(IF($AA248&lt;=DATE('ESTADO CONTABLE'!$B$2,9,5),VLOOKUP($B248,COSTOS!$A$2:$B1014,2,FALSE)-150,VLOOKUP($B248,COSTOS!$A$2:$B1014,2,FALSE)),"No encontrado o error"))</f>
        <v/>
      </c>
      <c r="AC248" s="395"/>
      <c r="AD248" s="394"/>
      <c r="AE248" s="429" t="str">
        <f>IF(OR(ISBLANK($B248),ISBLANK($AD248)),"",IFERROR(IF($AD248&lt;=DATE('ESTADO CONTABLE'!$B$2,10,5),VLOOKUP($B248,COSTOS!$A$2:$B1014,2,FALSE)-150,VLOOKUP($B248,COSTOS!$A$2:$B1014,2,FALSE)),"No encontrado o error"))</f>
        <v/>
      </c>
      <c r="AF248" s="395"/>
      <c r="AG248" s="394"/>
      <c r="AH248" s="429" t="str">
        <f>IF(OR(ISBLANK($B248),ISBLANK($AG248)),"",IFERROR(IF($AG248&lt;=DATE('ESTADO CONTABLE'!$B$2,11,5),VLOOKUP($B248,COSTOS!$A$2:$B1014,2,FALSE)-150,VLOOKUP($B248,COSTOS!$A$2:$B1014,2,FALSE)),"No encontrado o error"))</f>
        <v/>
      </c>
      <c r="AI248" s="395"/>
      <c r="AJ248" s="394"/>
      <c r="AK248" s="429" t="str">
        <f>IF(OR(ISBLANK($B248),ISBLANK($AJ248)),"",IFERROR(IF($AJ248&lt;=DATE('ESTADO CONTABLE'!$B$2,12,5),VLOOKUP($B248,COSTOS!$A$2:$B1014,2,FALSE)-150,VLOOKUP($B248,COSTOS!$A$2:$B1014,2,FALSE)),"No encontrado o error"))</f>
        <v/>
      </c>
      <c r="AL248" s="395"/>
      <c r="AM248" s="254"/>
      <c r="AN248" s="255"/>
      <c r="AO248" s="256"/>
    </row>
    <row r="249" ht="22.5" customHeight="1">
      <c r="A249" s="431" t="str">
        <f>'BASE DE DATOSS'!A323</f>
        <v/>
      </c>
      <c r="B249" s="432" t="str">
        <f>'BASE DE DATOSS'!C323</f>
        <v/>
      </c>
      <c r="C249" s="263"/>
      <c r="D249" s="249"/>
      <c r="E249" s="250"/>
      <c r="F249" s="251"/>
      <c r="G249" s="262"/>
      <c r="H249" s="257"/>
      <c r="I249" s="249"/>
      <c r="J249" s="193" t="str">
        <f>IF(OR(ISBLANK($B249),ISBLANK($I249)),"",IFERROR(IF($I249&lt;=DATE('ESTADO CONTABLE'!$B$2,3,5),VLOOKUP($B249,COSTOS!$A$2:$B1014,2,FALSE)-150,VLOOKUP($B249,COSTOS!$A$2:$B1014,2,FALSE)),"No encontrado o error"))</f>
        <v/>
      </c>
      <c r="K249" s="264"/>
      <c r="L249" s="249"/>
      <c r="M249" s="189"/>
      <c r="N249" s="264"/>
      <c r="O249" s="249"/>
      <c r="P249" s="250"/>
      <c r="Q249" s="264"/>
      <c r="R249" s="249"/>
      <c r="S249" s="250"/>
      <c r="T249" s="264"/>
      <c r="U249" s="249"/>
      <c r="V249" s="250"/>
      <c r="W249" s="264"/>
      <c r="X249" s="394"/>
      <c r="Y249" s="429"/>
      <c r="Z249" s="395"/>
      <c r="AA249" s="394"/>
      <c r="AB249" s="118" t="str">
        <f>IF(OR(ISBLANK($B249),ISBLANK($AA249)),"",IFERROR(IF($AA249&lt;=DATE('ESTADO CONTABLE'!$B$2,9,5),VLOOKUP($B249,COSTOS!$A$2:$B1014,2,FALSE)-150,VLOOKUP($B249,COSTOS!$A$2:$B1014,2,FALSE)),"No encontrado o error"))</f>
        <v/>
      </c>
      <c r="AC249" s="395"/>
      <c r="AD249" s="394"/>
      <c r="AE249" s="429" t="str">
        <f>IF(OR(ISBLANK($B249),ISBLANK($AD249)),"",IFERROR(IF($AD249&lt;=DATE('ESTADO CONTABLE'!$B$2,10,5),VLOOKUP($B249,COSTOS!$A$2:$B1014,2,FALSE)-150,VLOOKUP($B249,COSTOS!$A$2:$B1014,2,FALSE)),"No encontrado o error"))</f>
        <v/>
      </c>
      <c r="AF249" s="395"/>
      <c r="AG249" s="394"/>
      <c r="AH249" s="429" t="str">
        <f>IF(OR(ISBLANK($B249),ISBLANK($AG249)),"",IFERROR(IF($AG249&lt;=DATE('ESTADO CONTABLE'!$B$2,11,5),VLOOKUP($B249,COSTOS!$A$2:$B1014,2,FALSE)-150,VLOOKUP($B249,COSTOS!$A$2:$B1014,2,FALSE)),"No encontrado o error"))</f>
        <v/>
      </c>
      <c r="AI249" s="395"/>
      <c r="AJ249" s="394"/>
      <c r="AK249" s="429" t="str">
        <f>IF(OR(ISBLANK($B249),ISBLANK($AJ249)),"",IFERROR(IF($AJ249&lt;=DATE('ESTADO CONTABLE'!$B$2,12,5),VLOOKUP($B249,COSTOS!$A$2:$B1014,2,FALSE)-150,VLOOKUP($B249,COSTOS!$A$2:$B1014,2,FALSE)),"No encontrado o error"))</f>
        <v/>
      </c>
      <c r="AL249" s="395"/>
      <c r="AM249" s="254"/>
      <c r="AN249" s="255"/>
      <c r="AO249" s="256"/>
    </row>
    <row r="250" ht="22.5" customHeight="1">
      <c r="A250" s="431" t="str">
        <f>'BASE DE DATOSS'!A324</f>
        <v/>
      </c>
      <c r="B250" s="432" t="str">
        <f>'BASE DE DATOSS'!C324</f>
        <v/>
      </c>
      <c r="C250" s="263"/>
      <c r="D250" s="249"/>
      <c r="E250" s="250"/>
      <c r="F250" s="251"/>
      <c r="G250" s="262"/>
      <c r="H250" s="257"/>
      <c r="I250" s="249"/>
      <c r="J250" s="193" t="str">
        <f>IF(OR(ISBLANK($B250),ISBLANK($I250)),"",IFERROR(IF($I250&lt;=DATE('ESTADO CONTABLE'!$B$2,3,5),VLOOKUP($B250,COSTOS!$A$2:$B1014,2,FALSE)-150,VLOOKUP($B250,COSTOS!$A$2:$B1014,2,FALSE)),"No encontrado o error"))</f>
        <v/>
      </c>
      <c r="K250" s="264"/>
      <c r="L250" s="249"/>
      <c r="M250" s="189"/>
      <c r="N250" s="264"/>
      <c r="O250" s="249"/>
      <c r="P250" s="250"/>
      <c r="Q250" s="264"/>
      <c r="R250" s="249"/>
      <c r="S250" s="250"/>
      <c r="T250" s="264"/>
      <c r="U250" s="249"/>
      <c r="V250" s="250"/>
      <c r="W250" s="264"/>
      <c r="X250" s="394"/>
      <c r="Y250" s="429"/>
      <c r="Z250" s="395"/>
      <c r="AA250" s="394"/>
      <c r="AB250" s="118" t="str">
        <f>IF(OR(ISBLANK($B250),ISBLANK($AA250)),"",IFERROR(IF($AA250&lt;=DATE('ESTADO CONTABLE'!$B$2,9,5),VLOOKUP($B250,COSTOS!$A$2:$B1014,2,FALSE)-150,VLOOKUP($B250,COSTOS!$A$2:$B1014,2,FALSE)),"No encontrado o error"))</f>
        <v/>
      </c>
      <c r="AC250" s="395"/>
      <c r="AD250" s="394"/>
      <c r="AE250" s="429" t="str">
        <f>IF(OR(ISBLANK($B250),ISBLANK($AD250)),"",IFERROR(IF($AD250&lt;=DATE('ESTADO CONTABLE'!$B$2,10,5),VLOOKUP($B250,COSTOS!$A$2:$B1014,2,FALSE)-150,VLOOKUP($B250,COSTOS!$A$2:$B1014,2,FALSE)),"No encontrado o error"))</f>
        <v/>
      </c>
      <c r="AF250" s="395"/>
      <c r="AG250" s="394"/>
      <c r="AH250" s="429" t="str">
        <f>IF(OR(ISBLANK($B250),ISBLANK($AG250)),"",IFERROR(IF($AG250&lt;=DATE('ESTADO CONTABLE'!$B$2,11,5),VLOOKUP($B250,COSTOS!$A$2:$B1014,2,FALSE)-150,VLOOKUP($B250,COSTOS!$A$2:$B1014,2,FALSE)),"No encontrado o error"))</f>
        <v/>
      </c>
      <c r="AI250" s="395"/>
      <c r="AJ250" s="394"/>
      <c r="AK250" s="429" t="str">
        <f>IF(OR(ISBLANK($B250),ISBLANK($AJ250)),"",IFERROR(IF($AJ250&lt;=DATE('ESTADO CONTABLE'!$B$2,12,5),VLOOKUP($B250,COSTOS!$A$2:$B1014,2,FALSE)-150,VLOOKUP($B250,COSTOS!$A$2:$B1014,2,FALSE)),"No encontrado o error"))</f>
        <v/>
      </c>
      <c r="AL250" s="395"/>
      <c r="AM250" s="254"/>
      <c r="AN250" s="255"/>
      <c r="AO250" s="256"/>
    </row>
    <row r="251" ht="22.5" customHeight="1">
      <c r="A251" s="431" t="str">
        <f>'BASE DE DATOSS'!A325</f>
        <v/>
      </c>
      <c r="B251" s="432" t="str">
        <f>'BASE DE DATOSS'!C325</f>
        <v/>
      </c>
      <c r="C251" s="263"/>
      <c r="D251" s="249"/>
      <c r="E251" s="250"/>
      <c r="F251" s="251"/>
      <c r="G251" s="262"/>
      <c r="H251" s="257"/>
      <c r="I251" s="249"/>
      <c r="J251" s="193" t="str">
        <f>IF(OR(ISBLANK($B251),ISBLANK($I251)),"",IFERROR(IF($I251&lt;=DATE('ESTADO CONTABLE'!$B$2,3,5),VLOOKUP($B251,COSTOS!$A$2:$B1014,2,FALSE)-150,VLOOKUP($B251,COSTOS!$A$2:$B1014,2,FALSE)),"No encontrado o error"))</f>
        <v/>
      </c>
      <c r="K251" s="264"/>
      <c r="L251" s="249"/>
      <c r="M251" s="189"/>
      <c r="N251" s="264"/>
      <c r="O251" s="249"/>
      <c r="P251" s="250"/>
      <c r="Q251" s="264"/>
      <c r="R251" s="249"/>
      <c r="S251" s="250"/>
      <c r="T251" s="264"/>
      <c r="U251" s="249"/>
      <c r="V251" s="250"/>
      <c r="W251" s="264"/>
      <c r="X251" s="394"/>
      <c r="Y251" s="429"/>
      <c r="Z251" s="395"/>
      <c r="AA251" s="394"/>
      <c r="AB251" s="118" t="str">
        <f>IF(OR(ISBLANK($B251),ISBLANK($AA251)),"",IFERROR(IF($AA251&lt;=DATE('ESTADO CONTABLE'!$B$2,9,5),VLOOKUP($B251,COSTOS!$A$2:$B1014,2,FALSE)-150,VLOOKUP($B251,COSTOS!$A$2:$B1014,2,FALSE)),"No encontrado o error"))</f>
        <v/>
      </c>
      <c r="AC251" s="395"/>
      <c r="AD251" s="394"/>
      <c r="AE251" s="429" t="str">
        <f>IF(OR(ISBLANK($B251),ISBLANK($AD251)),"",IFERROR(IF($AD251&lt;=DATE('ESTADO CONTABLE'!$B$2,10,5),VLOOKUP($B251,COSTOS!$A$2:$B1014,2,FALSE)-150,VLOOKUP($B251,COSTOS!$A$2:$B1014,2,FALSE)),"No encontrado o error"))</f>
        <v/>
      </c>
      <c r="AF251" s="395"/>
      <c r="AG251" s="394"/>
      <c r="AH251" s="429" t="str">
        <f>IF(OR(ISBLANK($B251),ISBLANK($AG251)),"",IFERROR(IF($AG251&lt;=DATE('ESTADO CONTABLE'!$B$2,11,5),VLOOKUP($B251,COSTOS!$A$2:$B1014,2,FALSE)-150,VLOOKUP($B251,COSTOS!$A$2:$B1014,2,FALSE)),"No encontrado o error"))</f>
        <v/>
      </c>
      <c r="AI251" s="395"/>
      <c r="AJ251" s="394"/>
      <c r="AK251" s="429" t="str">
        <f>IF(OR(ISBLANK($B251),ISBLANK($AJ251)),"",IFERROR(IF($AJ251&lt;=DATE('ESTADO CONTABLE'!$B$2,12,5),VLOOKUP($B251,COSTOS!$A$2:$B1014,2,FALSE)-150,VLOOKUP($B251,COSTOS!$A$2:$B1014,2,FALSE)),"No encontrado o error"))</f>
        <v/>
      </c>
      <c r="AL251" s="395"/>
      <c r="AM251" s="254"/>
      <c r="AN251" s="255"/>
      <c r="AO251" s="256"/>
    </row>
    <row r="252" ht="22.5" customHeight="1">
      <c r="A252" s="431" t="str">
        <f>'BASE DE DATOSS'!A326</f>
        <v/>
      </c>
      <c r="B252" s="432" t="str">
        <f>'BASE DE DATOSS'!C326</f>
        <v/>
      </c>
      <c r="C252" s="263"/>
      <c r="D252" s="249"/>
      <c r="E252" s="250"/>
      <c r="F252" s="251"/>
      <c r="G252" s="262"/>
      <c r="H252" s="257"/>
      <c r="I252" s="249"/>
      <c r="J252" s="193" t="str">
        <f>IF(OR(ISBLANK($B252),ISBLANK($I252)),"",IFERROR(IF($I252&lt;=DATE('ESTADO CONTABLE'!$B$2,3,5),VLOOKUP($B252,COSTOS!$A$2:$B1014,2,FALSE)-150,VLOOKUP($B252,COSTOS!$A$2:$B1014,2,FALSE)),"No encontrado o error"))</f>
        <v/>
      </c>
      <c r="K252" s="264"/>
      <c r="L252" s="249"/>
      <c r="M252" s="189"/>
      <c r="N252" s="264"/>
      <c r="O252" s="249"/>
      <c r="P252" s="250"/>
      <c r="Q252" s="264"/>
      <c r="R252" s="249"/>
      <c r="S252" s="250"/>
      <c r="T252" s="264"/>
      <c r="U252" s="249"/>
      <c r="V252" s="250"/>
      <c r="W252" s="264"/>
      <c r="X252" s="394"/>
      <c r="Y252" s="429"/>
      <c r="Z252" s="395"/>
      <c r="AA252" s="394"/>
      <c r="AB252" s="118" t="str">
        <f>IF(OR(ISBLANK($B252),ISBLANK($AA252)),"",IFERROR(IF($AA252&lt;=DATE('ESTADO CONTABLE'!$B$2,9,5),VLOOKUP($B252,COSTOS!$A$2:$B1014,2,FALSE)-150,VLOOKUP($B252,COSTOS!$A$2:$B1014,2,FALSE)),"No encontrado o error"))</f>
        <v/>
      </c>
      <c r="AC252" s="395"/>
      <c r="AD252" s="394"/>
      <c r="AE252" s="429" t="str">
        <f>IF(OR(ISBLANK($B252),ISBLANK($AD252)),"",IFERROR(IF($AD252&lt;=DATE('ESTADO CONTABLE'!$B$2,10,5),VLOOKUP($B252,COSTOS!$A$2:$B1014,2,FALSE)-150,VLOOKUP($B252,COSTOS!$A$2:$B1014,2,FALSE)),"No encontrado o error"))</f>
        <v/>
      </c>
      <c r="AF252" s="395"/>
      <c r="AG252" s="394"/>
      <c r="AH252" s="429" t="str">
        <f>IF(OR(ISBLANK($B252),ISBLANK($AG252)),"",IFERROR(IF($AG252&lt;=DATE('ESTADO CONTABLE'!$B$2,11,5),VLOOKUP($B252,COSTOS!$A$2:$B1014,2,FALSE)-150,VLOOKUP($B252,COSTOS!$A$2:$B1014,2,FALSE)),"No encontrado o error"))</f>
        <v/>
      </c>
      <c r="AI252" s="395"/>
      <c r="AJ252" s="394"/>
      <c r="AK252" s="429" t="str">
        <f>IF(OR(ISBLANK($B252),ISBLANK($AJ252)),"",IFERROR(IF($AJ252&lt;=DATE('ESTADO CONTABLE'!$B$2,12,5),VLOOKUP($B252,COSTOS!$A$2:$B1014,2,FALSE)-150,VLOOKUP($B252,COSTOS!$A$2:$B1014,2,FALSE)),"No encontrado o error"))</f>
        <v/>
      </c>
      <c r="AL252" s="395"/>
      <c r="AM252" s="254"/>
      <c r="AN252" s="255"/>
      <c r="AO252" s="256"/>
    </row>
    <row r="253" ht="22.5" customHeight="1">
      <c r="A253" s="431" t="str">
        <f>'BASE DE DATOSS'!A327</f>
        <v/>
      </c>
      <c r="B253" s="432" t="str">
        <f>'BASE DE DATOSS'!C327</f>
        <v/>
      </c>
      <c r="C253" s="263"/>
      <c r="D253" s="249"/>
      <c r="E253" s="250"/>
      <c r="F253" s="251"/>
      <c r="G253" s="262"/>
      <c r="H253" s="257"/>
      <c r="I253" s="249"/>
      <c r="J253" s="193" t="str">
        <f>IF(OR(ISBLANK($B253),ISBLANK($I253)),"",IFERROR(IF($I253&lt;=DATE('ESTADO CONTABLE'!$B$2,3,5),VLOOKUP($B253,COSTOS!$A$2:$B1014,2,FALSE)-150,VLOOKUP($B253,COSTOS!$A$2:$B1014,2,FALSE)),"No encontrado o error"))</f>
        <v/>
      </c>
      <c r="K253" s="264"/>
      <c r="L253" s="249"/>
      <c r="M253" s="189"/>
      <c r="N253" s="264"/>
      <c r="O253" s="249"/>
      <c r="P253" s="250"/>
      <c r="Q253" s="264"/>
      <c r="R253" s="249"/>
      <c r="S253" s="250"/>
      <c r="T253" s="264"/>
      <c r="U253" s="249"/>
      <c r="V253" s="250"/>
      <c r="W253" s="264"/>
      <c r="X253" s="394"/>
      <c r="Y253" s="429"/>
      <c r="Z253" s="395"/>
      <c r="AA253" s="394"/>
      <c r="AB253" s="118" t="str">
        <f>IF(OR(ISBLANK($B253),ISBLANK($AA253)),"",IFERROR(IF($AA253&lt;=DATE('ESTADO CONTABLE'!$B$2,9,5),VLOOKUP($B253,COSTOS!$A$2:$B1014,2,FALSE)-150,VLOOKUP($B253,COSTOS!$A$2:$B1014,2,FALSE)),"No encontrado o error"))</f>
        <v/>
      </c>
      <c r="AC253" s="395"/>
      <c r="AD253" s="394"/>
      <c r="AE253" s="429" t="str">
        <f>IF(OR(ISBLANK($B253),ISBLANK($AD253)),"",IFERROR(IF($AD253&lt;=DATE('ESTADO CONTABLE'!$B$2,10,5),VLOOKUP($B253,COSTOS!$A$2:$B1014,2,FALSE)-150,VLOOKUP($B253,COSTOS!$A$2:$B1014,2,FALSE)),"No encontrado o error"))</f>
        <v/>
      </c>
      <c r="AF253" s="395"/>
      <c r="AG253" s="394"/>
      <c r="AH253" s="429" t="str">
        <f>IF(OR(ISBLANK($B253),ISBLANK($AG253)),"",IFERROR(IF($AG253&lt;=DATE('ESTADO CONTABLE'!$B$2,11,5),VLOOKUP($B253,COSTOS!$A$2:$B1014,2,FALSE)-150,VLOOKUP($B253,COSTOS!$A$2:$B1014,2,FALSE)),"No encontrado o error"))</f>
        <v/>
      </c>
      <c r="AI253" s="395"/>
      <c r="AJ253" s="394"/>
      <c r="AK253" s="429" t="str">
        <f>IF(OR(ISBLANK($B253),ISBLANK($AJ253)),"",IFERROR(IF($AJ253&lt;=DATE('ESTADO CONTABLE'!$B$2,12,5),VLOOKUP($B253,COSTOS!$A$2:$B1014,2,FALSE)-150,VLOOKUP($B253,COSTOS!$A$2:$B1014,2,FALSE)),"No encontrado o error"))</f>
        <v/>
      </c>
      <c r="AL253" s="395"/>
      <c r="AM253" s="254"/>
      <c r="AN253" s="255"/>
      <c r="AO253" s="256"/>
    </row>
    <row r="254" ht="22.5" customHeight="1">
      <c r="A254" s="431" t="str">
        <f>'BASE DE DATOSS'!A328</f>
        <v/>
      </c>
      <c r="B254" s="432" t="str">
        <f>'BASE DE DATOSS'!C328</f>
        <v/>
      </c>
      <c r="C254" s="263"/>
      <c r="D254" s="249"/>
      <c r="E254" s="250"/>
      <c r="F254" s="251"/>
      <c r="G254" s="262"/>
      <c r="H254" s="257"/>
      <c r="I254" s="249"/>
      <c r="J254" s="193" t="str">
        <f>IF(OR(ISBLANK($B254),ISBLANK($I254)),"",IFERROR(IF($I254&lt;=DATE('ESTADO CONTABLE'!$B$2,3,5),VLOOKUP($B254,COSTOS!$A$2:$B1014,2,FALSE)-150,VLOOKUP($B254,COSTOS!$A$2:$B1014,2,FALSE)),"No encontrado o error"))</f>
        <v/>
      </c>
      <c r="K254" s="264"/>
      <c r="L254" s="249"/>
      <c r="M254" s="189"/>
      <c r="N254" s="264"/>
      <c r="O254" s="249"/>
      <c r="P254" s="250"/>
      <c r="Q254" s="264"/>
      <c r="R254" s="249"/>
      <c r="S254" s="250"/>
      <c r="T254" s="264"/>
      <c r="U254" s="249"/>
      <c r="V254" s="250"/>
      <c r="W254" s="264"/>
      <c r="X254" s="394"/>
      <c r="Y254" s="429"/>
      <c r="Z254" s="395"/>
      <c r="AA254" s="394"/>
      <c r="AB254" s="118" t="str">
        <f>IF(OR(ISBLANK($B254),ISBLANK($AA254)),"",IFERROR(IF($AA254&lt;=DATE('ESTADO CONTABLE'!$B$2,9,5),VLOOKUP($B254,COSTOS!$A$2:$B1014,2,FALSE)-150,VLOOKUP($B254,COSTOS!$A$2:$B1014,2,FALSE)),"No encontrado o error"))</f>
        <v/>
      </c>
      <c r="AC254" s="395"/>
      <c r="AD254" s="394"/>
      <c r="AE254" s="429" t="str">
        <f>IF(OR(ISBLANK($B254),ISBLANK($AD254)),"",IFERROR(IF($AD254&lt;=DATE('ESTADO CONTABLE'!$B$2,10,5),VLOOKUP($B254,COSTOS!$A$2:$B1014,2,FALSE)-150,VLOOKUP($B254,COSTOS!$A$2:$B1014,2,FALSE)),"No encontrado o error"))</f>
        <v/>
      </c>
      <c r="AF254" s="395"/>
      <c r="AG254" s="394"/>
      <c r="AH254" s="429" t="str">
        <f>IF(OR(ISBLANK($B254),ISBLANK($AG254)),"",IFERROR(IF($AG254&lt;=DATE('ESTADO CONTABLE'!$B$2,11,5),VLOOKUP($B254,COSTOS!$A$2:$B1014,2,FALSE)-150,VLOOKUP($B254,COSTOS!$A$2:$B1014,2,FALSE)),"No encontrado o error"))</f>
        <v/>
      </c>
      <c r="AI254" s="395"/>
      <c r="AJ254" s="394"/>
      <c r="AK254" s="429" t="str">
        <f>IF(OR(ISBLANK($B254),ISBLANK($AJ254)),"",IFERROR(IF($AJ254&lt;=DATE('ESTADO CONTABLE'!$B$2,12,5),VLOOKUP($B254,COSTOS!$A$2:$B1014,2,FALSE)-150,VLOOKUP($B254,COSTOS!$A$2:$B1014,2,FALSE)),"No encontrado o error"))</f>
        <v/>
      </c>
      <c r="AL254" s="395"/>
      <c r="AM254" s="254"/>
      <c r="AN254" s="255"/>
      <c r="AO254" s="256"/>
    </row>
    <row r="255" ht="22.5" customHeight="1">
      <c r="A255" s="431" t="str">
        <f>'BASE DE DATOSS'!A329</f>
        <v/>
      </c>
      <c r="B255" s="432" t="str">
        <f>'BASE DE DATOSS'!C329</f>
        <v/>
      </c>
      <c r="C255" s="263"/>
      <c r="D255" s="249"/>
      <c r="E255" s="250"/>
      <c r="F255" s="251"/>
      <c r="G255" s="262"/>
      <c r="H255" s="257"/>
      <c r="I255" s="249"/>
      <c r="J255" s="193" t="str">
        <f>IF(OR(ISBLANK($B255),ISBLANK($I255)),"",IFERROR(IF($I255&lt;=DATE('ESTADO CONTABLE'!$B$2,3,5),VLOOKUP($B255,COSTOS!$A$2:$B1014,2,FALSE)-150,VLOOKUP($B255,COSTOS!$A$2:$B1014,2,FALSE)),"No encontrado o error"))</f>
        <v/>
      </c>
      <c r="K255" s="264"/>
      <c r="L255" s="249"/>
      <c r="M255" s="189"/>
      <c r="N255" s="264"/>
      <c r="O255" s="249"/>
      <c r="P255" s="250"/>
      <c r="Q255" s="264"/>
      <c r="R255" s="249"/>
      <c r="S255" s="250"/>
      <c r="T255" s="264"/>
      <c r="U255" s="249"/>
      <c r="V255" s="250"/>
      <c r="W255" s="264"/>
      <c r="X255" s="394"/>
      <c r="Y255" s="429"/>
      <c r="Z255" s="395"/>
      <c r="AA255" s="394"/>
      <c r="AB255" s="118" t="str">
        <f>IF(OR(ISBLANK($B255),ISBLANK($AA255)),"",IFERROR(IF($AA255&lt;=DATE('ESTADO CONTABLE'!$B$2,9,5),VLOOKUP($B255,COSTOS!$A$2:$B1014,2,FALSE)-150,VLOOKUP($B255,COSTOS!$A$2:$B1014,2,FALSE)),"No encontrado o error"))</f>
        <v/>
      </c>
      <c r="AC255" s="395"/>
      <c r="AD255" s="394"/>
      <c r="AE255" s="429" t="str">
        <f>IF(OR(ISBLANK($B255),ISBLANK($AD255)),"",IFERROR(IF($AD255&lt;=DATE('ESTADO CONTABLE'!$B$2,10,5),VLOOKUP($B255,COSTOS!$A$2:$B1014,2,FALSE)-150,VLOOKUP($B255,COSTOS!$A$2:$B1014,2,FALSE)),"No encontrado o error"))</f>
        <v/>
      </c>
      <c r="AF255" s="395"/>
      <c r="AG255" s="394"/>
      <c r="AH255" s="429" t="str">
        <f>IF(OR(ISBLANK($B255),ISBLANK($AG255)),"",IFERROR(IF($AG255&lt;=DATE('ESTADO CONTABLE'!$B$2,11,5),VLOOKUP($B255,COSTOS!$A$2:$B1014,2,FALSE)-150,VLOOKUP($B255,COSTOS!$A$2:$B1014,2,FALSE)),"No encontrado o error"))</f>
        <v/>
      </c>
      <c r="AI255" s="395"/>
      <c r="AJ255" s="394"/>
      <c r="AK255" s="429" t="str">
        <f>IF(OR(ISBLANK($B255),ISBLANK($AJ255)),"",IFERROR(IF($AJ255&lt;=DATE('ESTADO CONTABLE'!$B$2,12,5),VLOOKUP($B255,COSTOS!$A$2:$B1014,2,FALSE)-150,VLOOKUP($B255,COSTOS!$A$2:$B1014,2,FALSE)),"No encontrado o error"))</f>
        <v/>
      </c>
      <c r="AL255" s="395"/>
      <c r="AM255" s="254"/>
      <c r="AN255" s="255"/>
      <c r="AO255" s="256"/>
    </row>
    <row r="256" ht="22.5" customHeight="1">
      <c r="A256" s="431" t="str">
        <f>'BASE DE DATOSS'!A330</f>
        <v/>
      </c>
      <c r="B256" s="432" t="str">
        <f>'BASE DE DATOSS'!C330</f>
        <v/>
      </c>
      <c r="C256" s="263"/>
      <c r="D256" s="249"/>
      <c r="E256" s="250"/>
      <c r="F256" s="251"/>
      <c r="G256" s="262"/>
      <c r="H256" s="257"/>
      <c r="I256" s="249"/>
      <c r="J256" s="193" t="str">
        <f>IF(OR(ISBLANK($B256),ISBLANK($I256)),"",IFERROR(IF($I256&lt;=DATE('ESTADO CONTABLE'!$B$2,3,5),VLOOKUP($B256,COSTOS!$A$2:$B1014,2,FALSE)-150,VLOOKUP($B256,COSTOS!$A$2:$B1014,2,FALSE)),"No encontrado o error"))</f>
        <v/>
      </c>
      <c r="K256" s="264"/>
      <c r="L256" s="249"/>
      <c r="M256" s="189"/>
      <c r="N256" s="264"/>
      <c r="O256" s="249"/>
      <c r="P256" s="250"/>
      <c r="Q256" s="264"/>
      <c r="R256" s="249"/>
      <c r="S256" s="250"/>
      <c r="T256" s="264"/>
      <c r="U256" s="249"/>
      <c r="V256" s="250"/>
      <c r="W256" s="264"/>
      <c r="X256" s="394"/>
      <c r="Y256" s="429"/>
      <c r="Z256" s="395"/>
      <c r="AA256" s="394"/>
      <c r="AB256" s="118" t="str">
        <f>IF(OR(ISBLANK($B256),ISBLANK($AA256)),"",IFERROR(IF($AA256&lt;=DATE('ESTADO CONTABLE'!$B$2,9,5),VLOOKUP($B256,COSTOS!$A$2:$B1014,2,FALSE)-150,VLOOKUP($B256,COSTOS!$A$2:$B1014,2,FALSE)),"No encontrado o error"))</f>
        <v/>
      </c>
      <c r="AC256" s="395"/>
      <c r="AD256" s="394"/>
      <c r="AE256" s="429" t="str">
        <f>IF(OR(ISBLANK($B256),ISBLANK($AD256)),"",IFERROR(IF($AD256&lt;=DATE('ESTADO CONTABLE'!$B$2,10,5),VLOOKUP($B256,COSTOS!$A$2:$B1014,2,FALSE)-150,VLOOKUP($B256,COSTOS!$A$2:$B1014,2,FALSE)),"No encontrado o error"))</f>
        <v/>
      </c>
      <c r="AF256" s="395"/>
      <c r="AG256" s="394"/>
      <c r="AH256" s="429" t="str">
        <f>IF(OR(ISBLANK($B256),ISBLANK($AG256)),"",IFERROR(IF($AG256&lt;=DATE('ESTADO CONTABLE'!$B$2,11,5),VLOOKUP($B256,COSTOS!$A$2:$B1014,2,FALSE)-150,VLOOKUP($B256,COSTOS!$A$2:$B1014,2,FALSE)),"No encontrado o error"))</f>
        <v/>
      </c>
      <c r="AI256" s="395"/>
      <c r="AJ256" s="394"/>
      <c r="AK256" s="429" t="str">
        <f>IF(OR(ISBLANK($B256),ISBLANK($AJ256)),"",IFERROR(IF($AJ256&lt;=DATE('ESTADO CONTABLE'!$B$2,12,5),VLOOKUP($B256,COSTOS!$A$2:$B1014,2,FALSE)-150,VLOOKUP($B256,COSTOS!$A$2:$B1014,2,FALSE)),"No encontrado o error"))</f>
        <v/>
      </c>
      <c r="AL256" s="395"/>
      <c r="AM256" s="254"/>
      <c r="AN256" s="255"/>
      <c r="AO256" s="256"/>
    </row>
    <row r="257" ht="22.5" customHeight="1">
      <c r="A257" s="431" t="str">
        <f>'BASE DE DATOSS'!A331</f>
        <v/>
      </c>
      <c r="B257" s="432" t="str">
        <f>'BASE DE DATOSS'!C331</f>
        <v/>
      </c>
      <c r="C257" s="263"/>
      <c r="D257" s="249"/>
      <c r="E257" s="250"/>
      <c r="F257" s="251"/>
      <c r="G257" s="262"/>
      <c r="H257" s="257"/>
      <c r="I257" s="249"/>
      <c r="J257" s="193" t="str">
        <f>IF(OR(ISBLANK($B257),ISBLANK($I257)),"",IFERROR(IF($I257&lt;=DATE('ESTADO CONTABLE'!$B$2,3,5),VLOOKUP($B257,COSTOS!$A$2:$B1014,2,FALSE)-150,VLOOKUP($B257,COSTOS!$A$2:$B1014,2,FALSE)),"No encontrado o error"))</f>
        <v/>
      </c>
      <c r="K257" s="264"/>
      <c r="L257" s="249"/>
      <c r="M257" s="189"/>
      <c r="N257" s="264"/>
      <c r="O257" s="249"/>
      <c r="P257" s="250"/>
      <c r="Q257" s="264"/>
      <c r="R257" s="249"/>
      <c r="S257" s="250"/>
      <c r="T257" s="264"/>
      <c r="U257" s="249"/>
      <c r="V257" s="250"/>
      <c r="W257" s="264"/>
      <c r="X257" s="394"/>
      <c r="Y257" s="429"/>
      <c r="Z257" s="395"/>
      <c r="AA257" s="394"/>
      <c r="AB257" s="118" t="str">
        <f>IF(OR(ISBLANK($B257),ISBLANK($AA257)),"",IFERROR(IF($AA257&lt;=DATE('ESTADO CONTABLE'!$B$2,9,5),VLOOKUP($B257,COSTOS!$A$2:$B1014,2,FALSE)-150,VLOOKUP($B257,COSTOS!$A$2:$B1014,2,FALSE)),"No encontrado o error"))</f>
        <v/>
      </c>
      <c r="AC257" s="395"/>
      <c r="AD257" s="394"/>
      <c r="AE257" s="429" t="str">
        <f>IF(OR(ISBLANK($B257),ISBLANK($AD257)),"",IFERROR(IF($AD257&lt;=DATE('ESTADO CONTABLE'!$B$2,10,5),VLOOKUP($B257,COSTOS!$A$2:$B1014,2,FALSE)-150,VLOOKUP($B257,COSTOS!$A$2:$B1014,2,FALSE)),"No encontrado o error"))</f>
        <v/>
      </c>
      <c r="AF257" s="395"/>
      <c r="AG257" s="394"/>
      <c r="AH257" s="429" t="str">
        <f>IF(OR(ISBLANK($B257),ISBLANK($AG257)),"",IFERROR(IF($AG257&lt;=DATE('ESTADO CONTABLE'!$B$2,11,5),VLOOKUP($B257,COSTOS!$A$2:$B1014,2,FALSE)-150,VLOOKUP($B257,COSTOS!$A$2:$B1014,2,FALSE)),"No encontrado o error"))</f>
        <v/>
      </c>
      <c r="AI257" s="395"/>
      <c r="AJ257" s="394"/>
      <c r="AK257" s="429" t="str">
        <f>IF(OR(ISBLANK($B257),ISBLANK($AJ257)),"",IFERROR(IF($AJ257&lt;=DATE('ESTADO CONTABLE'!$B$2,12,5),VLOOKUP($B257,COSTOS!$A$2:$B1014,2,FALSE)-150,VLOOKUP($B257,COSTOS!$A$2:$B1014,2,FALSE)),"No encontrado o error"))</f>
        <v/>
      </c>
      <c r="AL257" s="395"/>
      <c r="AM257" s="254"/>
      <c r="AN257" s="255"/>
      <c r="AO257" s="256"/>
    </row>
    <row r="258" ht="22.5" customHeight="1">
      <c r="A258" s="431" t="str">
        <f>'BASE DE DATOSS'!A332</f>
        <v/>
      </c>
      <c r="B258" s="432" t="str">
        <f>'BASE DE DATOSS'!C332</f>
        <v/>
      </c>
      <c r="C258" s="263"/>
      <c r="D258" s="249"/>
      <c r="E258" s="250"/>
      <c r="F258" s="251"/>
      <c r="G258" s="262"/>
      <c r="H258" s="257"/>
      <c r="I258" s="249"/>
      <c r="J258" s="193" t="str">
        <f>IF(OR(ISBLANK($B258),ISBLANK($I258)),"",IFERROR(IF($I258&lt;=DATE('ESTADO CONTABLE'!$B$2,3,5),VLOOKUP($B258,COSTOS!$A$2:$B1014,2,FALSE)-150,VLOOKUP($B258,COSTOS!$A$2:$B1014,2,FALSE)),"No encontrado o error"))</f>
        <v/>
      </c>
      <c r="K258" s="264"/>
      <c r="L258" s="249"/>
      <c r="M258" s="189"/>
      <c r="N258" s="264"/>
      <c r="O258" s="249"/>
      <c r="P258" s="250"/>
      <c r="Q258" s="264"/>
      <c r="R258" s="249"/>
      <c r="S258" s="250"/>
      <c r="T258" s="264"/>
      <c r="U258" s="249"/>
      <c r="V258" s="250"/>
      <c r="W258" s="264"/>
      <c r="X258" s="394"/>
      <c r="Y258" s="429"/>
      <c r="Z258" s="395"/>
      <c r="AA258" s="394"/>
      <c r="AB258" s="118" t="str">
        <f>IF(OR(ISBLANK($B258),ISBLANK($AA258)),"",IFERROR(IF($AA258&lt;=DATE('ESTADO CONTABLE'!$B$2,9,5),VLOOKUP($B258,COSTOS!$A$2:$B1014,2,FALSE)-150,VLOOKUP($B258,COSTOS!$A$2:$B1014,2,FALSE)),"No encontrado o error"))</f>
        <v/>
      </c>
      <c r="AC258" s="395"/>
      <c r="AD258" s="394"/>
      <c r="AE258" s="429" t="str">
        <f>IF(OR(ISBLANK($B258),ISBLANK($AD258)),"",IFERROR(IF($AD258&lt;=DATE('ESTADO CONTABLE'!$B$2,10,5),VLOOKUP($B258,COSTOS!$A$2:$B1014,2,FALSE)-150,VLOOKUP($B258,COSTOS!$A$2:$B1014,2,FALSE)),"No encontrado o error"))</f>
        <v/>
      </c>
      <c r="AF258" s="395"/>
      <c r="AG258" s="394"/>
      <c r="AH258" s="429" t="str">
        <f>IF(OR(ISBLANK($B258),ISBLANK($AG258)),"",IFERROR(IF($AG258&lt;=DATE('ESTADO CONTABLE'!$B$2,11,5),VLOOKUP($B258,COSTOS!$A$2:$B1014,2,FALSE)-150,VLOOKUP($B258,COSTOS!$A$2:$B1014,2,FALSE)),"No encontrado o error"))</f>
        <v/>
      </c>
      <c r="AI258" s="395"/>
      <c r="AJ258" s="394"/>
      <c r="AK258" s="429" t="str">
        <f>IF(OR(ISBLANK($B258),ISBLANK($AJ258)),"",IFERROR(IF($AJ258&lt;=DATE('ESTADO CONTABLE'!$B$2,12,5),VLOOKUP($B258,COSTOS!$A$2:$B1014,2,FALSE)-150,VLOOKUP($B258,COSTOS!$A$2:$B1014,2,FALSE)),"No encontrado o error"))</f>
        <v/>
      </c>
      <c r="AL258" s="395"/>
      <c r="AM258" s="254"/>
      <c r="AN258" s="255"/>
      <c r="AO258" s="256"/>
    </row>
    <row r="259" ht="22.5" customHeight="1">
      <c r="A259" s="431" t="str">
        <f>'BASE DE DATOSS'!A333</f>
        <v/>
      </c>
      <c r="B259" s="432" t="str">
        <f>'BASE DE DATOSS'!C333</f>
        <v/>
      </c>
      <c r="C259" s="263"/>
      <c r="D259" s="249"/>
      <c r="E259" s="250"/>
      <c r="F259" s="251"/>
      <c r="G259" s="262"/>
      <c r="H259" s="257"/>
      <c r="I259" s="249"/>
      <c r="J259" s="193" t="str">
        <f>IF(OR(ISBLANK($B259),ISBLANK($I259)),"",IFERROR(IF($I259&lt;=DATE('ESTADO CONTABLE'!$B$2,3,5),VLOOKUP($B259,COSTOS!$A$2:$B1014,2,FALSE)-150,VLOOKUP($B259,COSTOS!$A$2:$B1014,2,FALSE)),"No encontrado o error"))</f>
        <v/>
      </c>
      <c r="K259" s="264"/>
      <c r="L259" s="249"/>
      <c r="M259" s="189"/>
      <c r="N259" s="264"/>
      <c r="O259" s="249"/>
      <c r="P259" s="250"/>
      <c r="Q259" s="264"/>
      <c r="R259" s="249"/>
      <c r="S259" s="250"/>
      <c r="T259" s="264"/>
      <c r="U259" s="249"/>
      <c r="V259" s="250"/>
      <c r="W259" s="264"/>
      <c r="X259" s="394"/>
      <c r="Y259" s="429"/>
      <c r="Z259" s="395"/>
      <c r="AA259" s="394"/>
      <c r="AB259" s="118" t="str">
        <f>IF(OR(ISBLANK($B259),ISBLANK($AA259)),"",IFERROR(IF($AA259&lt;=DATE('ESTADO CONTABLE'!$B$2,9,5),VLOOKUP($B259,COSTOS!$A$2:$B1014,2,FALSE)-150,VLOOKUP($B259,COSTOS!$A$2:$B1014,2,FALSE)),"No encontrado o error"))</f>
        <v/>
      </c>
      <c r="AC259" s="395"/>
      <c r="AD259" s="394"/>
      <c r="AE259" s="429" t="str">
        <f>IF(OR(ISBLANK($B259),ISBLANK($AD259)),"",IFERROR(IF($AD259&lt;=DATE('ESTADO CONTABLE'!$B$2,10,5),VLOOKUP($B259,COSTOS!$A$2:$B1014,2,FALSE)-150,VLOOKUP($B259,COSTOS!$A$2:$B1014,2,FALSE)),"No encontrado o error"))</f>
        <v/>
      </c>
      <c r="AF259" s="395"/>
      <c r="AG259" s="394"/>
      <c r="AH259" s="429" t="str">
        <f>IF(OR(ISBLANK($B259),ISBLANK($AG259)),"",IFERROR(IF($AG259&lt;=DATE('ESTADO CONTABLE'!$B$2,11,5),VLOOKUP($B259,COSTOS!$A$2:$B1014,2,FALSE)-150,VLOOKUP($B259,COSTOS!$A$2:$B1014,2,FALSE)),"No encontrado o error"))</f>
        <v/>
      </c>
      <c r="AI259" s="395"/>
      <c r="AJ259" s="394"/>
      <c r="AK259" s="429" t="str">
        <f>IF(OR(ISBLANK($B259),ISBLANK($AJ259)),"",IFERROR(IF($AJ259&lt;=DATE('ESTADO CONTABLE'!$B$2,12,5),VLOOKUP($B259,COSTOS!$A$2:$B1014,2,FALSE)-150,VLOOKUP($B259,COSTOS!$A$2:$B1014,2,FALSE)),"No encontrado o error"))</f>
        <v/>
      </c>
      <c r="AL259" s="395"/>
      <c r="AM259" s="254"/>
      <c r="AN259" s="255"/>
      <c r="AO259" s="256"/>
    </row>
    <row r="260" ht="22.5" customHeight="1">
      <c r="A260" s="431" t="str">
        <f>'BASE DE DATOSS'!A334</f>
        <v/>
      </c>
      <c r="B260" s="432" t="str">
        <f>'BASE DE DATOSS'!C334</f>
        <v/>
      </c>
      <c r="C260" s="263"/>
      <c r="D260" s="249"/>
      <c r="E260" s="250"/>
      <c r="F260" s="251"/>
      <c r="G260" s="262"/>
      <c r="H260" s="257"/>
      <c r="I260" s="249"/>
      <c r="J260" s="193" t="str">
        <f>IF(OR(ISBLANK($B260),ISBLANK($I260)),"",IFERROR(IF($I260&lt;=DATE('ESTADO CONTABLE'!$B$2,3,5),VLOOKUP($B260,COSTOS!$A$2:$B1014,2,FALSE)-150,VLOOKUP($B260,COSTOS!$A$2:$B1014,2,FALSE)),"No encontrado o error"))</f>
        <v/>
      </c>
      <c r="K260" s="264"/>
      <c r="L260" s="249"/>
      <c r="M260" s="189"/>
      <c r="N260" s="264"/>
      <c r="O260" s="249"/>
      <c r="P260" s="250"/>
      <c r="Q260" s="264"/>
      <c r="R260" s="249"/>
      <c r="S260" s="250"/>
      <c r="T260" s="264"/>
      <c r="U260" s="249"/>
      <c r="V260" s="250"/>
      <c r="W260" s="264"/>
      <c r="X260" s="394"/>
      <c r="Y260" s="429"/>
      <c r="Z260" s="395"/>
      <c r="AA260" s="394"/>
      <c r="AB260" s="118" t="str">
        <f>IF(OR(ISBLANK($B260),ISBLANK($AA260)),"",IFERROR(IF($AA260&lt;=DATE('ESTADO CONTABLE'!$B$2,9,5),VLOOKUP($B260,COSTOS!$A$2:$B1014,2,FALSE)-150,VLOOKUP($B260,COSTOS!$A$2:$B1014,2,FALSE)),"No encontrado o error"))</f>
        <v/>
      </c>
      <c r="AC260" s="395"/>
      <c r="AD260" s="394"/>
      <c r="AE260" s="429" t="str">
        <f>IF(OR(ISBLANK($B260),ISBLANK($AD260)),"",IFERROR(IF($AD260&lt;=DATE('ESTADO CONTABLE'!$B$2,10,5),VLOOKUP($B260,COSTOS!$A$2:$B1014,2,FALSE)-150,VLOOKUP($B260,COSTOS!$A$2:$B1014,2,FALSE)),"No encontrado o error"))</f>
        <v/>
      </c>
      <c r="AF260" s="395"/>
      <c r="AG260" s="394"/>
      <c r="AH260" s="429" t="str">
        <f>IF(OR(ISBLANK($B260),ISBLANK($AG260)),"",IFERROR(IF($AG260&lt;=DATE('ESTADO CONTABLE'!$B$2,11,5),VLOOKUP($B260,COSTOS!$A$2:$B1014,2,FALSE)-150,VLOOKUP($B260,COSTOS!$A$2:$B1014,2,FALSE)),"No encontrado o error"))</f>
        <v/>
      </c>
      <c r="AI260" s="395"/>
      <c r="AJ260" s="394"/>
      <c r="AK260" s="429" t="str">
        <f>IF(OR(ISBLANK($B260),ISBLANK($AJ260)),"",IFERROR(IF($AJ260&lt;=DATE('ESTADO CONTABLE'!$B$2,12,5),VLOOKUP($B260,COSTOS!$A$2:$B1014,2,FALSE)-150,VLOOKUP($B260,COSTOS!$A$2:$B1014,2,FALSE)),"No encontrado o error"))</f>
        <v/>
      </c>
      <c r="AL260" s="395"/>
      <c r="AM260" s="254"/>
      <c r="AN260" s="255"/>
      <c r="AO260" s="256"/>
    </row>
    <row r="261" ht="22.5" customHeight="1">
      <c r="A261" s="431" t="str">
        <f>'BASE DE DATOSS'!A335</f>
        <v/>
      </c>
      <c r="B261" s="432" t="str">
        <f>'BASE DE DATOSS'!C335</f>
        <v/>
      </c>
      <c r="C261" s="263"/>
      <c r="D261" s="249"/>
      <c r="E261" s="250"/>
      <c r="F261" s="251"/>
      <c r="G261" s="262"/>
      <c r="H261" s="257"/>
      <c r="I261" s="249"/>
      <c r="J261" s="193" t="str">
        <f>IF(OR(ISBLANK($B261),ISBLANK($I261)),"",IFERROR(IF($I261&lt;=DATE('ESTADO CONTABLE'!$B$2,3,5),VLOOKUP($B261,COSTOS!$A$2:$B1014,2,FALSE)-150,VLOOKUP($B261,COSTOS!$A$2:$B1014,2,FALSE)),"No encontrado o error"))</f>
        <v/>
      </c>
      <c r="K261" s="264"/>
      <c r="L261" s="249"/>
      <c r="M261" s="189"/>
      <c r="N261" s="264"/>
      <c r="O261" s="249"/>
      <c r="P261" s="250"/>
      <c r="Q261" s="264"/>
      <c r="R261" s="249"/>
      <c r="S261" s="250"/>
      <c r="T261" s="264"/>
      <c r="U261" s="249"/>
      <c r="V261" s="250"/>
      <c r="W261" s="264"/>
      <c r="X261" s="394"/>
      <c r="Y261" s="429"/>
      <c r="Z261" s="395"/>
      <c r="AA261" s="394"/>
      <c r="AB261" s="118" t="str">
        <f>IF(OR(ISBLANK($B261),ISBLANK($AA261)),"",IFERROR(IF($AA261&lt;=DATE('ESTADO CONTABLE'!$B$2,9,5),VLOOKUP($B261,COSTOS!$A$2:$B1014,2,FALSE)-150,VLOOKUP($B261,COSTOS!$A$2:$B1014,2,FALSE)),"No encontrado o error"))</f>
        <v/>
      </c>
      <c r="AC261" s="395"/>
      <c r="AD261" s="394"/>
      <c r="AE261" s="429" t="str">
        <f>IF(OR(ISBLANK($B261),ISBLANK($AD261)),"",IFERROR(IF($AD261&lt;=DATE('ESTADO CONTABLE'!$B$2,10,5),VLOOKUP($B261,COSTOS!$A$2:$B1014,2,FALSE)-150,VLOOKUP($B261,COSTOS!$A$2:$B1014,2,FALSE)),"No encontrado o error"))</f>
        <v/>
      </c>
      <c r="AF261" s="395"/>
      <c r="AG261" s="394"/>
      <c r="AH261" s="429" t="str">
        <f>IF(OR(ISBLANK($B261),ISBLANK($AG261)),"",IFERROR(IF($AG261&lt;=DATE('ESTADO CONTABLE'!$B$2,11,5),VLOOKUP($B261,COSTOS!$A$2:$B1014,2,FALSE)-150,VLOOKUP($B261,COSTOS!$A$2:$B1014,2,FALSE)),"No encontrado o error"))</f>
        <v/>
      </c>
      <c r="AI261" s="395"/>
      <c r="AJ261" s="394"/>
      <c r="AK261" s="429" t="str">
        <f>IF(OR(ISBLANK($B261),ISBLANK($AJ261)),"",IFERROR(IF($AJ261&lt;=DATE('ESTADO CONTABLE'!$B$2,12,5),VLOOKUP($B261,COSTOS!$A$2:$B1014,2,FALSE)-150,VLOOKUP($B261,COSTOS!$A$2:$B1014,2,FALSE)),"No encontrado o error"))</f>
        <v/>
      </c>
      <c r="AL261" s="395"/>
      <c r="AM261" s="254"/>
      <c r="AN261" s="255"/>
      <c r="AO261" s="256"/>
    </row>
    <row r="262" ht="22.5" customHeight="1">
      <c r="A262" s="431" t="str">
        <f>'BASE DE DATOSS'!A336</f>
        <v/>
      </c>
      <c r="B262" s="432" t="str">
        <f>'BASE DE DATOSS'!C336</f>
        <v/>
      </c>
      <c r="C262" s="263"/>
      <c r="D262" s="249"/>
      <c r="E262" s="250"/>
      <c r="F262" s="251"/>
      <c r="G262" s="262"/>
      <c r="H262" s="257"/>
      <c r="I262" s="249"/>
      <c r="J262" s="193" t="str">
        <f>IF(OR(ISBLANK($B262),ISBLANK($I262)),"",IFERROR(IF($I262&lt;=DATE('ESTADO CONTABLE'!$B$2,3,5),VLOOKUP($B262,COSTOS!$A$2:$B1014,2,FALSE)-150,VLOOKUP($B262,COSTOS!$A$2:$B1014,2,FALSE)),"No encontrado o error"))</f>
        <v/>
      </c>
      <c r="K262" s="264"/>
      <c r="L262" s="249"/>
      <c r="M262" s="189"/>
      <c r="N262" s="264"/>
      <c r="O262" s="249"/>
      <c r="P262" s="250"/>
      <c r="Q262" s="264"/>
      <c r="R262" s="249"/>
      <c r="S262" s="250"/>
      <c r="T262" s="264"/>
      <c r="U262" s="249"/>
      <c r="V262" s="250"/>
      <c r="W262" s="264"/>
      <c r="X262" s="394"/>
      <c r="Y262" s="429"/>
      <c r="Z262" s="395"/>
      <c r="AA262" s="394"/>
      <c r="AB262" s="118" t="str">
        <f>IF(OR(ISBLANK($B262),ISBLANK($AA262)),"",IFERROR(IF($AA262&lt;=DATE('ESTADO CONTABLE'!$B$2,9,5),VLOOKUP($B262,COSTOS!$A$2:$B1014,2,FALSE)-150,VLOOKUP($B262,COSTOS!$A$2:$B1014,2,FALSE)),"No encontrado o error"))</f>
        <v/>
      </c>
      <c r="AC262" s="395"/>
      <c r="AD262" s="394"/>
      <c r="AE262" s="429" t="str">
        <f>IF(OR(ISBLANK($B262),ISBLANK($AD262)),"",IFERROR(IF($AD262&lt;=DATE('ESTADO CONTABLE'!$B$2,10,5),VLOOKUP($B262,COSTOS!$A$2:$B1014,2,FALSE)-150,VLOOKUP($B262,COSTOS!$A$2:$B1014,2,FALSE)),"No encontrado o error"))</f>
        <v/>
      </c>
      <c r="AF262" s="395"/>
      <c r="AG262" s="394"/>
      <c r="AH262" s="429" t="str">
        <f>IF(OR(ISBLANK($B262),ISBLANK($AG262)),"",IFERROR(IF($AG262&lt;=DATE('ESTADO CONTABLE'!$B$2,11,5),VLOOKUP($B262,COSTOS!$A$2:$B1014,2,FALSE)-150,VLOOKUP($B262,COSTOS!$A$2:$B1014,2,FALSE)),"No encontrado o error"))</f>
        <v/>
      </c>
      <c r="AI262" s="395"/>
      <c r="AJ262" s="394"/>
      <c r="AK262" s="429" t="str">
        <f>IF(OR(ISBLANK($B262),ISBLANK($AJ262)),"",IFERROR(IF($AJ262&lt;=DATE('ESTADO CONTABLE'!$B$2,12,5),VLOOKUP($B262,COSTOS!$A$2:$B1014,2,FALSE)-150,VLOOKUP($B262,COSTOS!$A$2:$B1014,2,FALSE)),"No encontrado o error"))</f>
        <v/>
      </c>
      <c r="AL262" s="395"/>
      <c r="AM262" s="254"/>
      <c r="AN262" s="255"/>
      <c r="AO262" s="256"/>
    </row>
    <row r="263" ht="22.5" customHeight="1">
      <c r="A263" s="431" t="str">
        <f>'BASE DE DATOSS'!A337</f>
        <v/>
      </c>
      <c r="B263" s="432" t="str">
        <f>'BASE DE DATOSS'!C337</f>
        <v/>
      </c>
      <c r="C263" s="263"/>
      <c r="D263" s="249"/>
      <c r="E263" s="250"/>
      <c r="F263" s="251"/>
      <c r="G263" s="262"/>
      <c r="H263" s="257"/>
      <c r="I263" s="249"/>
      <c r="J263" s="193" t="str">
        <f>IF(OR(ISBLANK($B263),ISBLANK($I263)),"",IFERROR(IF($I263&lt;=DATE('ESTADO CONTABLE'!$B$2,3,5),VLOOKUP($B263,COSTOS!$A$2:$B1014,2,FALSE)-150,VLOOKUP($B263,COSTOS!$A$2:$B1014,2,FALSE)),"No encontrado o error"))</f>
        <v/>
      </c>
      <c r="K263" s="264"/>
      <c r="L263" s="249"/>
      <c r="M263" s="189"/>
      <c r="N263" s="264"/>
      <c r="O263" s="249"/>
      <c r="P263" s="250"/>
      <c r="Q263" s="264"/>
      <c r="R263" s="249"/>
      <c r="S263" s="250"/>
      <c r="T263" s="264"/>
      <c r="U263" s="249"/>
      <c r="V263" s="250"/>
      <c r="W263" s="264"/>
      <c r="X263" s="394"/>
      <c r="Y263" s="429"/>
      <c r="Z263" s="395"/>
      <c r="AA263" s="394"/>
      <c r="AB263" s="118" t="str">
        <f>IF(OR(ISBLANK($B263),ISBLANK($AA263)),"",IFERROR(IF($AA263&lt;=DATE('ESTADO CONTABLE'!$B$2,9,5),VLOOKUP($B263,COSTOS!$A$2:$B1014,2,FALSE)-150,VLOOKUP($B263,COSTOS!$A$2:$B1014,2,FALSE)),"No encontrado o error"))</f>
        <v/>
      </c>
      <c r="AC263" s="395"/>
      <c r="AD263" s="394"/>
      <c r="AE263" s="429" t="str">
        <f>IF(OR(ISBLANK($B263),ISBLANK($AD263)),"",IFERROR(IF($AD263&lt;=DATE('ESTADO CONTABLE'!$B$2,10,5),VLOOKUP($B263,COSTOS!$A$2:$B1014,2,FALSE)-150,VLOOKUP($B263,COSTOS!$A$2:$B1014,2,FALSE)),"No encontrado o error"))</f>
        <v/>
      </c>
      <c r="AF263" s="395"/>
      <c r="AG263" s="394"/>
      <c r="AH263" s="429" t="str">
        <f>IF(OR(ISBLANK($B263),ISBLANK($AG263)),"",IFERROR(IF($AG263&lt;=DATE('ESTADO CONTABLE'!$B$2,11,5),VLOOKUP($B263,COSTOS!$A$2:$B1014,2,FALSE)-150,VLOOKUP($B263,COSTOS!$A$2:$B1014,2,FALSE)),"No encontrado o error"))</f>
        <v/>
      </c>
      <c r="AI263" s="395"/>
      <c r="AJ263" s="394"/>
      <c r="AK263" s="429" t="str">
        <f>IF(OR(ISBLANK($B263),ISBLANK($AJ263)),"",IFERROR(IF($AJ263&lt;=DATE('ESTADO CONTABLE'!$B$2,12,5),VLOOKUP($B263,COSTOS!$A$2:$B1014,2,FALSE)-150,VLOOKUP($B263,COSTOS!$A$2:$B1014,2,FALSE)),"No encontrado o error"))</f>
        <v/>
      </c>
      <c r="AL263" s="395"/>
      <c r="AM263" s="254"/>
      <c r="AN263" s="255"/>
      <c r="AO263" s="256"/>
    </row>
    <row r="264" ht="22.5" customHeight="1">
      <c r="A264" s="431" t="str">
        <f>'BASE DE DATOSS'!A338</f>
        <v/>
      </c>
      <c r="B264" s="432" t="str">
        <f>'BASE DE DATOSS'!C338</f>
        <v/>
      </c>
      <c r="C264" s="263"/>
      <c r="D264" s="249"/>
      <c r="E264" s="250"/>
      <c r="F264" s="251"/>
      <c r="G264" s="262"/>
      <c r="H264" s="257"/>
      <c r="I264" s="249"/>
      <c r="J264" s="193" t="str">
        <f>IF(OR(ISBLANK($B264),ISBLANK($I264)),"",IFERROR(IF($I264&lt;=DATE('ESTADO CONTABLE'!$B$2,3,5),VLOOKUP($B264,COSTOS!$A$2:$B1014,2,FALSE)-150,VLOOKUP($B264,COSTOS!$A$2:$B1014,2,FALSE)),"No encontrado o error"))</f>
        <v/>
      </c>
      <c r="K264" s="264"/>
      <c r="L264" s="249"/>
      <c r="M264" s="189"/>
      <c r="N264" s="264"/>
      <c r="O264" s="249"/>
      <c r="P264" s="250"/>
      <c r="Q264" s="264"/>
      <c r="R264" s="249"/>
      <c r="S264" s="250"/>
      <c r="T264" s="264"/>
      <c r="U264" s="249"/>
      <c r="V264" s="250"/>
      <c r="W264" s="264"/>
      <c r="X264" s="394"/>
      <c r="Y264" s="429"/>
      <c r="Z264" s="395"/>
      <c r="AA264" s="394"/>
      <c r="AB264" s="118" t="str">
        <f>IF(OR(ISBLANK($B264),ISBLANK($AA264)),"",IFERROR(IF($AA264&lt;=DATE('ESTADO CONTABLE'!$B$2,9,5),VLOOKUP($B264,COSTOS!$A$2:$B1014,2,FALSE)-150,VLOOKUP($B264,COSTOS!$A$2:$B1014,2,FALSE)),"No encontrado o error"))</f>
        <v/>
      </c>
      <c r="AC264" s="395"/>
      <c r="AD264" s="394"/>
      <c r="AE264" s="429" t="str">
        <f>IF(OR(ISBLANK($B264),ISBLANK($AD264)),"",IFERROR(IF($AD264&lt;=DATE('ESTADO CONTABLE'!$B$2,10,5),VLOOKUP($B264,COSTOS!$A$2:$B1014,2,FALSE)-150,VLOOKUP($B264,COSTOS!$A$2:$B1014,2,FALSE)),"No encontrado o error"))</f>
        <v/>
      </c>
      <c r="AF264" s="395"/>
      <c r="AG264" s="394"/>
      <c r="AH264" s="429" t="str">
        <f>IF(OR(ISBLANK($B264),ISBLANK($AG264)),"",IFERROR(IF($AG264&lt;=DATE('ESTADO CONTABLE'!$B$2,11,5),VLOOKUP($B264,COSTOS!$A$2:$B1014,2,FALSE)-150,VLOOKUP($B264,COSTOS!$A$2:$B1014,2,FALSE)),"No encontrado o error"))</f>
        <v/>
      </c>
      <c r="AI264" s="395"/>
      <c r="AJ264" s="394"/>
      <c r="AK264" s="429" t="str">
        <f>IF(OR(ISBLANK($B264),ISBLANK($AJ264)),"",IFERROR(IF($AJ264&lt;=DATE('ESTADO CONTABLE'!$B$2,12,5),VLOOKUP($B264,COSTOS!$A$2:$B1014,2,FALSE)-150,VLOOKUP($B264,COSTOS!$A$2:$B1014,2,FALSE)),"No encontrado o error"))</f>
        <v/>
      </c>
      <c r="AL264" s="395"/>
      <c r="AM264" s="254"/>
      <c r="AN264" s="255"/>
      <c r="AO264" s="256"/>
    </row>
    <row r="265" ht="22.5" customHeight="1">
      <c r="A265" s="431" t="str">
        <f>'BASE DE DATOSS'!A339</f>
        <v/>
      </c>
      <c r="B265" s="432" t="str">
        <f>'BASE DE DATOSS'!C339</f>
        <v/>
      </c>
      <c r="C265" s="263"/>
      <c r="D265" s="249"/>
      <c r="E265" s="250"/>
      <c r="F265" s="251"/>
      <c r="G265" s="262"/>
      <c r="H265" s="257"/>
      <c r="I265" s="249"/>
      <c r="J265" s="193" t="str">
        <f>IF(OR(ISBLANK($B265),ISBLANK($I265)),"",IFERROR(IF($I265&lt;=DATE('ESTADO CONTABLE'!$B$2,3,5),VLOOKUP($B265,COSTOS!$A$2:$B1014,2,FALSE)-150,VLOOKUP($B265,COSTOS!$A$2:$B1014,2,FALSE)),"No encontrado o error"))</f>
        <v/>
      </c>
      <c r="K265" s="264"/>
      <c r="L265" s="249"/>
      <c r="M265" s="189"/>
      <c r="N265" s="264"/>
      <c r="O265" s="249"/>
      <c r="P265" s="250"/>
      <c r="Q265" s="264"/>
      <c r="R265" s="249"/>
      <c r="S265" s="250"/>
      <c r="T265" s="264"/>
      <c r="U265" s="249"/>
      <c r="V265" s="250"/>
      <c r="W265" s="264"/>
      <c r="X265" s="394"/>
      <c r="Y265" s="429"/>
      <c r="Z265" s="395"/>
      <c r="AA265" s="394"/>
      <c r="AB265" s="118" t="str">
        <f>IF(OR(ISBLANK($B265),ISBLANK($AA265)),"",IFERROR(IF($AA265&lt;=DATE('ESTADO CONTABLE'!$B$2,9,5),VLOOKUP($B265,COSTOS!$A$2:$B1014,2,FALSE)-150,VLOOKUP($B265,COSTOS!$A$2:$B1014,2,FALSE)),"No encontrado o error"))</f>
        <v/>
      </c>
      <c r="AC265" s="395"/>
      <c r="AD265" s="394"/>
      <c r="AE265" s="429" t="str">
        <f>IF(OR(ISBLANK($B265),ISBLANK($AD265)),"",IFERROR(IF($AD265&lt;=DATE('ESTADO CONTABLE'!$B$2,10,5),VLOOKUP($B265,COSTOS!$A$2:$B1014,2,FALSE)-150,VLOOKUP($B265,COSTOS!$A$2:$B1014,2,FALSE)),"No encontrado o error"))</f>
        <v/>
      </c>
      <c r="AF265" s="395"/>
      <c r="AG265" s="394"/>
      <c r="AH265" s="429" t="str">
        <f>IF(OR(ISBLANK($B265),ISBLANK($AG265)),"",IFERROR(IF($AG265&lt;=DATE('ESTADO CONTABLE'!$B$2,11,5),VLOOKUP($B265,COSTOS!$A$2:$B1014,2,FALSE)-150,VLOOKUP($B265,COSTOS!$A$2:$B1014,2,FALSE)),"No encontrado o error"))</f>
        <v/>
      </c>
      <c r="AI265" s="395"/>
      <c r="AJ265" s="394"/>
      <c r="AK265" s="429" t="str">
        <f>IF(OR(ISBLANK($B265),ISBLANK($AJ265)),"",IFERROR(IF($AJ265&lt;=DATE('ESTADO CONTABLE'!$B$2,12,5),VLOOKUP($B265,COSTOS!$A$2:$B1014,2,FALSE)-150,VLOOKUP($B265,COSTOS!$A$2:$B1014,2,FALSE)),"No encontrado o error"))</f>
        <v/>
      </c>
      <c r="AL265" s="395"/>
      <c r="AM265" s="254"/>
      <c r="AN265" s="255"/>
      <c r="AO265" s="256"/>
    </row>
    <row r="266" ht="22.5" customHeight="1">
      <c r="A266" s="431" t="str">
        <f>'BASE DE DATOSS'!A340</f>
        <v/>
      </c>
      <c r="B266" s="432" t="str">
        <f>'BASE DE DATOSS'!C340</f>
        <v/>
      </c>
      <c r="C266" s="263"/>
      <c r="D266" s="249"/>
      <c r="E266" s="250"/>
      <c r="F266" s="251"/>
      <c r="G266" s="262"/>
      <c r="H266" s="257"/>
      <c r="I266" s="249"/>
      <c r="J266" s="193" t="str">
        <f>IF(OR(ISBLANK($B266),ISBLANK($I266)),"",IFERROR(IF($I266&lt;=DATE('ESTADO CONTABLE'!$B$2,3,5),VLOOKUP($B266,COSTOS!$A$2:$B1014,2,FALSE)-150,VLOOKUP($B266,COSTOS!$A$2:$B1014,2,FALSE)),"No encontrado o error"))</f>
        <v/>
      </c>
      <c r="K266" s="264"/>
      <c r="L266" s="249"/>
      <c r="M266" s="189"/>
      <c r="N266" s="264"/>
      <c r="O266" s="249"/>
      <c r="P266" s="250"/>
      <c r="Q266" s="264"/>
      <c r="R266" s="249"/>
      <c r="S266" s="250"/>
      <c r="T266" s="264"/>
      <c r="U266" s="249"/>
      <c r="V266" s="250"/>
      <c r="W266" s="264"/>
      <c r="X266" s="394"/>
      <c r="Y266" s="429"/>
      <c r="Z266" s="395"/>
      <c r="AA266" s="394"/>
      <c r="AB266" s="118" t="str">
        <f>IF(OR(ISBLANK($B266),ISBLANK($AA266)),"",IFERROR(IF($AA266&lt;=DATE('ESTADO CONTABLE'!$B$2,9,5),VLOOKUP($B266,COSTOS!$A$2:$B1014,2,FALSE)-150,VLOOKUP($B266,COSTOS!$A$2:$B1014,2,FALSE)),"No encontrado o error"))</f>
        <v/>
      </c>
      <c r="AC266" s="395"/>
      <c r="AD266" s="394"/>
      <c r="AE266" s="429" t="str">
        <f>IF(OR(ISBLANK($B266),ISBLANK($AD266)),"",IFERROR(IF($AD266&lt;=DATE('ESTADO CONTABLE'!$B$2,10,5),VLOOKUP($B266,COSTOS!$A$2:$B1014,2,FALSE)-150,VLOOKUP($B266,COSTOS!$A$2:$B1014,2,FALSE)),"No encontrado o error"))</f>
        <v/>
      </c>
      <c r="AF266" s="395"/>
      <c r="AG266" s="394"/>
      <c r="AH266" s="429" t="str">
        <f>IF(OR(ISBLANK($B266),ISBLANK($AG266)),"",IFERROR(IF($AG266&lt;=DATE('ESTADO CONTABLE'!$B$2,11,5),VLOOKUP($B266,COSTOS!$A$2:$B1014,2,FALSE)-150,VLOOKUP($B266,COSTOS!$A$2:$B1014,2,FALSE)),"No encontrado o error"))</f>
        <v/>
      </c>
      <c r="AI266" s="395"/>
      <c r="AJ266" s="394"/>
      <c r="AK266" s="429" t="str">
        <f>IF(OR(ISBLANK($B266),ISBLANK($AJ266)),"",IFERROR(IF($AJ266&lt;=DATE('ESTADO CONTABLE'!$B$2,12,5),VLOOKUP($B266,COSTOS!$A$2:$B1014,2,FALSE)-150,VLOOKUP($B266,COSTOS!$A$2:$B1014,2,FALSE)),"No encontrado o error"))</f>
        <v/>
      </c>
      <c r="AL266" s="395"/>
      <c r="AM266" s="254"/>
      <c r="AN266" s="255"/>
      <c r="AO266" s="256"/>
    </row>
    <row r="267" ht="22.5" customHeight="1">
      <c r="A267" s="431" t="str">
        <f>'BASE DE DATOSS'!A341</f>
        <v/>
      </c>
      <c r="B267" s="432" t="str">
        <f>'BASE DE DATOSS'!C341</f>
        <v/>
      </c>
      <c r="C267" s="263"/>
      <c r="D267" s="249"/>
      <c r="E267" s="250"/>
      <c r="F267" s="251"/>
      <c r="G267" s="262"/>
      <c r="H267" s="257"/>
      <c r="I267" s="249"/>
      <c r="J267" s="193" t="str">
        <f>IF(OR(ISBLANK($B267),ISBLANK($I267)),"",IFERROR(IF($I267&lt;=DATE('ESTADO CONTABLE'!$B$2,3,5),VLOOKUP($B267,COSTOS!$A$2:$B1014,2,FALSE)-150,VLOOKUP($B267,COSTOS!$A$2:$B1014,2,FALSE)),"No encontrado o error"))</f>
        <v/>
      </c>
      <c r="K267" s="264"/>
      <c r="L267" s="249"/>
      <c r="M267" s="189"/>
      <c r="N267" s="264"/>
      <c r="O267" s="249"/>
      <c r="P267" s="250"/>
      <c r="Q267" s="264"/>
      <c r="R267" s="249"/>
      <c r="S267" s="250"/>
      <c r="T267" s="264"/>
      <c r="U267" s="249"/>
      <c r="V267" s="250"/>
      <c r="W267" s="264"/>
      <c r="X267" s="394"/>
      <c r="Y267" s="429"/>
      <c r="Z267" s="395"/>
      <c r="AA267" s="394"/>
      <c r="AB267" s="118" t="str">
        <f>IF(OR(ISBLANK($B267),ISBLANK($AA267)),"",IFERROR(IF($AA267&lt;=DATE('ESTADO CONTABLE'!$B$2,9,5),VLOOKUP($B267,COSTOS!$A$2:$B1014,2,FALSE)-150,VLOOKUP($B267,COSTOS!$A$2:$B1014,2,FALSE)),"No encontrado o error"))</f>
        <v/>
      </c>
      <c r="AC267" s="395"/>
      <c r="AD267" s="394"/>
      <c r="AE267" s="429" t="str">
        <f>IF(OR(ISBLANK($B267),ISBLANK($AD267)),"",IFERROR(IF($AD267&lt;=DATE('ESTADO CONTABLE'!$B$2,10,5),VLOOKUP($B267,COSTOS!$A$2:$B1014,2,FALSE)-150,VLOOKUP($B267,COSTOS!$A$2:$B1014,2,FALSE)),"No encontrado o error"))</f>
        <v/>
      </c>
      <c r="AF267" s="395"/>
      <c r="AG267" s="394"/>
      <c r="AH267" s="429" t="str">
        <f>IF(OR(ISBLANK($B267),ISBLANK($AG267)),"",IFERROR(IF($AG267&lt;=DATE('ESTADO CONTABLE'!$B$2,11,5),VLOOKUP($B267,COSTOS!$A$2:$B1014,2,FALSE)-150,VLOOKUP($B267,COSTOS!$A$2:$B1014,2,FALSE)),"No encontrado o error"))</f>
        <v/>
      </c>
      <c r="AI267" s="395"/>
      <c r="AJ267" s="394"/>
      <c r="AK267" s="429" t="str">
        <f>IF(OR(ISBLANK($B267),ISBLANK($AJ267)),"",IFERROR(IF($AJ267&lt;=DATE('ESTADO CONTABLE'!$B$2,12,5),VLOOKUP($B267,COSTOS!$A$2:$B1014,2,FALSE)-150,VLOOKUP($B267,COSTOS!$A$2:$B1014,2,FALSE)),"No encontrado o error"))</f>
        <v/>
      </c>
      <c r="AL267" s="395"/>
      <c r="AM267" s="254"/>
      <c r="AN267" s="255"/>
      <c r="AO267" s="256"/>
    </row>
    <row r="268" ht="22.5" customHeight="1">
      <c r="A268" s="431" t="str">
        <f>'BASE DE DATOSS'!A342</f>
        <v/>
      </c>
      <c r="B268" s="432" t="str">
        <f>'BASE DE DATOSS'!C342</f>
        <v/>
      </c>
      <c r="C268" s="263"/>
      <c r="D268" s="249"/>
      <c r="E268" s="250"/>
      <c r="F268" s="251"/>
      <c r="G268" s="262"/>
      <c r="H268" s="257"/>
      <c r="I268" s="249"/>
      <c r="J268" s="193" t="str">
        <f>IF(OR(ISBLANK($B268),ISBLANK($I268)),"",IFERROR(IF($I268&lt;=DATE('ESTADO CONTABLE'!$B$2,3,5),VLOOKUP($B268,COSTOS!$A$2:$B1014,2,FALSE)-150,VLOOKUP($B268,COSTOS!$A$2:$B1014,2,FALSE)),"No encontrado o error"))</f>
        <v/>
      </c>
      <c r="K268" s="264"/>
      <c r="L268" s="249"/>
      <c r="M268" s="189"/>
      <c r="N268" s="264"/>
      <c r="O268" s="249"/>
      <c r="P268" s="250"/>
      <c r="Q268" s="264"/>
      <c r="R268" s="249"/>
      <c r="S268" s="250"/>
      <c r="T268" s="264"/>
      <c r="U268" s="249"/>
      <c r="V268" s="250"/>
      <c r="W268" s="264"/>
      <c r="X268" s="394"/>
      <c r="Y268" s="429"/>
      <c r="Z268" s="395"/>
      <c r="AA268" s="394"/>
      <c r="AB268" s="118" t="str">
        <f>IF(OR(ISBLANK($B268),ISBLANK($AA268)),"",IFERROR(IF($AA268&lt;=DATE('ESTADO CONTABLE'!$B$2,9,5),VLOOKUP($B268,COSTOS!$A$2:$B1014,2,FALSE)-150,VLOOKUP($B268,COSTOS!$A$2:$B1014,2,FALSE)),"No encontrado o error"))</f>
        <v/>
      </c>
      <c r="AC268" s="395"/>
      <c r="AD268" s="394"/>
      <c r="AE268" s="429" t="str">
        <f>IF(OR(ISBLANK($B268),ISBLANK($AD268)),"",IFERROR(IF($AD268&lt;=DATE('ESTADO CONTABLE'!$B$2,10,5),VLOOKUP($B268,COSTOS!$A$2:$B1014,2,FALSE)-150,VLOOKUP($B268,COSTOS!$A$2:$B1014,2,FALSE)),"No encontrado o error"))</f>
        <v/>
      </c>
      <c r="AF268" s="395"/>
      <c r="AG268" s="394"/>
      <c r="AH268" s="429" t="str">
        <f>IF(OR(ISBLANK($B268),ISBLANK($AG268)),"",IFERROR(IF($AG268&lt;=DATE('ESTADO CONTABLE'!$B$2,11,5),VLOOKUP($B268,COSTOS!$A$2:$B1014,2,FALSE)-150,VLOOKUP($B268,COSTOS!$A$2:$B1014,2,FALSE)),"No encontrado o error"))</f>
        <v/>
      </c>
      <c r="AI268" s="395"/>
      <c r="AJ268" s="394"/>
      <c r="AK268" s="429" t="str">
        <f>IF(OR(ISBLANK($B268),ISBLANK($AJ268)),"",IFERROR(IF($AJ268&lt;=DATE('ESTADO CONTABLE'!$B$2,12,5),VLOOKUP($B268,COSTOS!$A$2:$B1014,2,FALSE)-150,VLOOKUP($B268,COSTOS!$A$2:$B1014,2,FALSE)),"No encontrado o error"))</f>
        <v/>
      </c>
      <c r="AL268" s="395"/>
      <c r="AM268" s="254"/>
      <c r="AN268" s="255"/>
      <c r="AO268" s="256"/>
    </row>
    <row r="269" ht="22.5" customHeight="1">
      <c r="A269" s="431" t="str">
        <f>'BASE DE DATOSS'!A343</f>
        <v/>
      </c>
      <c r="B269" s="432" t="str">
        <f>'BASE DE DATOSS'!C343</f>
        <v/>
      </c>
      <c r="C269" s="263"/>
      <c r="D269" s="249"/>
      <c r="E269" s="250"/>
      <c r="F269" s="251"/>
      <c r="G269" s="262"/>
      <c r="H269" s="257"/>
      <c r="I269" s="249"/>
      <c r="J269" s="193" t="str">
        <f>IF(OR(ISBLANK($B269),ISBLANK($I269)),"",IFERROR(IF($I269&lt;=DATE('ESTADO CONTABLE'!$B$2,3,5),VLOOKUP($B269,COSTOS!$A$2:$B1014,2,FALSE)-150,VLOOKUP($B269,COSTOS!$A$2:$B1014,2,FALSE)),"No encontrado o error"))</f>
        <v/>
      </c>
      <c r="K269" s="264"/>
      <c r="L269" s="249"/>
      <c r="M269" s="189"/>
      <c r="N269" s="264"/>
      <c r="O269" s="249"/>
      <c r="P269" s="250"/>
      <c r="Q269" s="264"/>
      <c r="R269" s="249"/>
      <c r="S269" s="250"/>
      <c r="T269" s="264"/>
      <c r="U269" s="249"/>
      <c r="V269" s="250"/>
      <c r="W269" s="264"/>
      <c r="X269" s="394"/>
      <c r="Y269" s="429"/>
      <c r="Z269" s="395"/>
      <c r="AA269" s="394"/>
      <c r="AB269" s="118" t="str">
        <f>IF(OR(ISBLANK($B269),ISBLANK($AA269)),"",IFERROR(IF($AA269&lt;=DATE('ESTADO CONTABLE'!$B$2,9,5),VLOOKUP($B269,COSTOS!$A$2:$B1014,2,FALSE)-150,VLOOKUP($B269,COSTOS!$A$2:$B1014,2,FALSE)),"No encontrado o error"))</f>
        <v/>
      </c>
      <c r="AC269" s="395"/>
      <c r="AD269" s="394"/>
      <c r="AE269" s="429" t="str">
        <f>IF(OR(ISBLANK($B269),ISBLANK($AD269)),"",IFERROR(IF($AD269&lt;=DATE('ESTADO CONTABLE'!$B$2,10,5),VLOOKUP($B269,COSTOS!$A$2:$B1014,2,FALSE)-150,VLOOKUP($B269,COSTOS!$A$2:$B1014,2,FALSE)),"No encontrado o error"))</f>
        <v/>
      </c>
      <c r="AF269" s="395"/>
      <c r="AG269" s="394"/>
      <c r="AH269" s="429" t="str">
        <f>IF(OR(ISBLANK($B269),ISBLANK($AG269)),"",IFERROR(IF($AG269&lt;=DATE('ESTADO CONTABLE'!$B$2,11,5),VLOOKUP($B269,COSTOS!$A$2:$B1014,2,FALSE)-150,VLOOKUP($B269,COSTOS!$A$2:$B1014,2,FALSE)),"No encontrado o error"))</f>
        <v/>
      </c>
      <c r="AI269" s="395"/>
      <c r="AJ269" s="394"/>
      <c r="AK269" s="429" t="str">
        <f>IF(OR(ISBLANK($B269),ISBLANK($AJ269)),"",IFERROR(IF($AJ269&lt;=DATE('ESTADO CONTABLE'!$B$2,12,5),VLOOKUP($B269,COSTOS!$A$2:$B1014,2,FALSE)-150,VLOOKUP($B269,COSTOS!$A$2:$B1014,2,FALSE)),"No encontrado o error"))</f>
        <v/>
      </c>
      <c r="AL269" s="395"/>
      <c r="AM269" s="254"/>
      <c r="AN269" s="255"/>
      <c r="AO269" s="256"/>
    </row>
    <row r="270" ht="22.5" customHeight="1">
      <c r="A270" s="431" t="str">
        <f>'BASE DE DATOSS'!A344</f>
        <v/>
      </c>
      <c r="B270" s="432" t="str">
        <f>'BASE DE DATOSS'!C344</f>
        <v/>
      </c>
      <c r="C270" s="263"/>
      <c r="D270" s="249"/>
      <c r="E270" s="250"/>
      <c r="F270" s="251"/>
      <c r="G270" s="262"/>
      <c r="H270" s="257"/>
      <c r="I270" s="249"/>
      <c r="J270" s="193" t="str">
        <f>IF(OR(ISBLANK($B270),ISBLANK($I270)),"",IFERROR(IF($I270&lt;=DATE('ESTADO CONTABLE'!$B$2,3,5),VLOOKUP($B270,COSTOS!$A$2:$B1014,2,FALSE)-150,VLOOKUP($B270,COSTOS!$A$2:$B1014,2,FALSE)),"No encontrado o error"))</f>
        <v/>
      </c>
      <c r="K270" s="264"/>
      <c r="L270" s="249"/>
      <c r="M270" s="189"/>
      <c r="N270" s="264"/>
      <c r="O270" s="249"/>
      <c r="P270" s="250"/>
      <c r="Q270" s="264"/>
      <c r="R270" s="249"/>
      <c r="S270" s="250"/>
      <c r="T270" s="264"/>
      <c r="U270" s="249"/>
      <c r="V270" s="250"/>
      <c r="W270" s="264"/>
      <c r="X270" s="394"/>
      <c r="Y270" s="429"/>
      <c r="Z270" s="395"/>
      <c r="AA270" s="394"/>
      <c r="AB270" s="118" t="str">
        <f>IF(OR(ISBLANK($B270),ISBLANK($AA270)),"",IFERROR(IF($AA270&lt;=DATE('ESTADO CONTABLE'!$B$2,9,5),VLOOKUP($B270,COSTOS!$A$2:$B1014,2,FALSE)-150,VLOOKUP($B270,COSTOS!$A$2:$B1014,2,FALSE)),"No encontrado o error"))</f>
        <v/>
      </c>
      <c r="AC270" s="395"/>
      <c r="AD270" s="394"/>
      <c r="AE270" s="429" t="str">
        <f>IF(OR(ISBLANK($B270),ISBLANK($AD270)),"",IFERROR(IF($AD270&lt;=DATE('ESTADO CONTABLE'!$B$2,10,5),VLOOKUP($B270,COSTOS!$A$2:$B1014,2,FALSE)-150,VLOOKUP($B270,COSTOS!$A$2:$B1014,2,FALSE)),"No encontrado o error"))</f>
        <v/>
      </c>
      <c r="AF270" s="395"/>
      <c r="AG270" s="394"/>
      <c r="AH270" s="429" t="str">
        <f>IF(OR(ISBLANK($B270),ISBLANK($AG270)),"",IFERROR(IF($AG270&lt;=DATE('ESTADO CONTABLE'!$B$2,11,5),VLOOKUP($B270,COSTOS!$A$2:$B1014,2,FALSE)-150,VLOOKUP($B270,COSTOS!$A$2:$B1014,2,FALSE)),"No encontrado o error"))</f>
        <v/>
      </c>
      <c r="AI270" s="395"/>
      <c r="AJ270" s="394"/>
      <c r="AK270" s="429" t="str">
        <f>IF(OR(ISBLANK($B270),ISBLANK($AJ270)),"",IFERROR(IF($AJ270&lt;=DATE('ESTADO CONTABLE'!$B$2,12,5),VLOOKUP($B270,COSTOS!$A$2:$B1014,2,FALSE)-150,VLOOKUP($B270,COSTOS!$A$2:$B1014,2,FALSE)),"No encontrado o error"))</f>
        <v/>
      </c>
      <c r="AL270" s="395"/>
      <c r="AM270" s="254"/>
      <c r="AN270" s="255"/>
      <c r="AO270" s="256"/>
    </row>
    <row r="271" ht="22.5" customHeight="1">
      <c r="A271" s="431" t="str">
        <f>'BASE DE DATOSS'!A345</f>
        <v/>
      </c>
      <c r="B271" s="432" t="str">
        <f>'BASE DE DATOSS'!C345</f>
        <v/>
      </c>
      <c r="C271" s="263"/>
      <c r="D271" s="249"/>
      <c r="E271" s="250"/>
      <c r="F271" s="251"/>
      <c r="G271" s="262"/>
      <c r="H271" s="257"/>
      <c r="I271" s="249"/>
      <c r="J271" s="193" t="str">
        <f>IF(OR(ISBLANK($B271),ISBLANK($I271)),"",IFERROR(IF($I271&lt;=DATE('ESTADO CONTABLE'!$B$2,3,5),VLOOKUP($B271,COSTOS!$A$2:$B1014,2,FALSE)-150,VLOOKUP($B271,COSTOS!$A$2:$B1014,2,FALSE)),"No encontrado o error"))</f>
        <v/>
      </c>
      <c r="K271" s="264"/>
      <c r="L271" s="249"/>
      <c r="M271" s="189"/>
      <c r="N271" s="264"/>
      <c r="O271" s="249"/>
      <c r="P271" s="250"/>
      <c r="Q271" s="264"/>
      <c r="R271" s="249"/>
      <c r="S271" s="250"/>
      <c r="T271" s="264"/>
      <c r="U271" s="249"/>
      <c r="V271" s="250"/>
      <c r="W271" s="264"/>
      <c r="X271" s="394"/>
      <c r="Y271" s="429"/>
      <c r="Z271" s="395"/>
      <c r="AA271" s="394"/>
      <c r="AB271" s="118" t="str">
        <f>IF(OR(ISBLANK($B271),ISBLANK($AA271)),"",IFERROR(IF($AA271&lt;=DATE('ESTADO CONTABLE'!$B$2,9,5),VLOOKUP($B271,COSTOS!$A$2:$B1014,2,FALSE)-150,VLOOKUP($B271,COSTOS!$A$2:$B1014,2,FALSE)),"No encontrado o error"))</f>
        <v/>
      </c>
      <c r="AC271" s="395"/>
      <c r="AD271" s="394"/>
      <c r="AE271" s="429" t="str">
        <f>IF(OR(ISBLANK($B271),ISBLANK($AD271)),"",IFERROR(IF($AD271&lt;=DATE('ESTADO CONTABLE'!$B$2,10,5),VLOOKUP($B271,COSTOS!$A$2:$B1014,2,FALSE)-150,VLOOKUP($B271,COSTOS!$A$2:$B1014,2,FALSE)),"No encontrado o error"))</f>
        <v/>
      </c>
      <c r="AF271" s="395"/>
      <c r="AG271" s="394"/>
      <c r="AH271" s="429" t="str">
        <f>IF(OR(ISBLANK($B271),ISBLANK($AG271)),"",IFERROR(IF($AG271&lt;=DATE('ESTADO CONTABLE'!$B$2,11,5),VLOOKUP($B271,COSTOS!$A$2:$B1014,2,FALSE)-150,VLOOKUP($B271,COSTOS!$A$2:$B1014,2,FALSE)),"No encontrado o error"))</f>
        <v/>
      </c>
      <c r="AI271" s="395"/>
      <c r="AJ271" s="394"/>
      <c r="AK271" s="429" t="str">
        <f>IF(OR(ISBLANK($B271),ISBLANK($AJ271)),"",IFERROR(IF($AJ271&lt;=DATE('ESTADO CONTABLE'!$B$2,12,5),VLOOKUP($B271,COSTOS!$A$2:$B1014,2,FALSE)-150,VLOOKUP($B271,COSTOS!$A$2:$B1014,2,FALSE)),"No encontrado o error"))</f>
        <v/>
      </c>
      <c r="AL271" s="395"/>
      <c r="AM271" s="254"/>
      <c r="AN271" s="255"/>
      <c r="AO271" s="256"/>
    </row>
    <row r="272" ht="22.5" customHeight="1">
      <c r="A272" s="431" t="str">
        <f>'BASE DE DATOSS'!A346</f>
        <v/>
      </c>
      <c r="B272" s="432" t="str">
        <f>'BASE DE DATOSS'!C346</f>
        <v/>
      </c>
      <c r="C272" s="263"/>
      <c r="D272" s="249"/>
      <c r="E272" s="250"/>
      <c r="F272" s="251"/>
      <c r="G272" s="262"/>
      <c r="H272" s="257"/>
      <c r="I272" s="249"/>
      <c r="J272" s="193" t="str">
        <f>IF(OR(ISBLANK($B272),ISBLANK($I272)),"",IFERROR(IF($I272&lt;=DATE('ESTADO CONTABLE'!$B$2,3,5),VLOOKUP($B272,COSTOS!$A$2:$B1014,2,FALSE)-150,VLOOKUP($B272,COSTOS!$A$2:$B1014,2,FALSE)),"No encontrado o error"))</f>
        <v/>
      </c>
      <c r="K272" s="264"/>
      <c r="L272" s="249"/>
      <c r="M272" s="189"/>
      <c r="N272" s="264"/>
      <c r="O272" s="249"/>
      <c r="P272" s="250"/>
      <c r="Q272" s="264"/>
      <c r="R272" s="249"/>
      <c r="S272" s="250"/>
      <c r="T272" s="264"/>
      <c r="U272" s="249"/>
      <c r="V272" s="250"/>
      <c r="W272" s="264"/>
      <c r="X272" s="394"/>
      <c r="Y272" s="429"/>
      <c r="Z272" s="395"/>
      <c r="AA272" s="394"/>
      <c r="AB272" s="118" t="str">
        <f>IF(OR(ISBLANK($B272),ISBLANK($AA272)),"",IFERROR(IF($AA272&lt;=DATE('ESTADO CONTABLE'!$B$2,9,5),VLOOKUP($B272,COSTOS!$A$2:$B1014,2,FALSE)-150,VLOOKUP($B272,COSTOS!$A$2:$B1014,2,FALSE)),"No encontrado o error"))</f>
        <v/>
      </c>
      <c r="AC272" s="395"/>
      <c r="AD272" s="394"/>
      <c r="AE272" s="429" t="str">
        <f>IF(OR(ISBLANK($B272),ISBLANK($AD272)),"",IFERROR(IF($AD272&lt;=DATE('ESTADO CONTABLE'!$B$2,10,5),VLOOKUP($B272,COSTOS!$A$2:$B1014,2,FALSE)-150,VLOOKUP($B272,COSTOS!$A$2:$B1014,2,FALSE)),"No encontrado o error"))</f>
        <v/>
      </c>
      <c r="AF272" s="395"/>
      <c r="AG272" s="394"/>
      <c r="AH272" s="429" t="str">
        <f>IF(OR(ISBLANK($B272),ISBLANK($AG272)),"",IFERROR(IF($AG272&lt;=DATE('ESTADO CONTABLE'!$B$2,11,5),VLOOKUP($B272,COSTOS!$A$2:$B1014,2,FALSE)-150,VLOOKUP($B272,COSTOS!$A$2:$B1014,2,FALSE)),"No encontrado o error"))</f>
        <v/>
      </c>
      <c r="AI272" s="395"/>
      <c r="AJ272" s="394"/>
      <c r="AK272" s="429" t="str">
        <f>IF(OR(ISBLANK($B272),ISBLANK($AJ272)),"",IFERROR(IF($AJ272&lt;=DATE('ESTADO CONTABLE'!$B$2,12,5),VLOOKUP($B272,COSTOS!$A$2:$B1014,2,FALSE)-150,VLOOKUP($B272,COSTOS!$A$2:$B1014,2,FALSE)),"No encontrado o error"))</f>
        <v/>
      </c>
      <c r="AL272" s="395"/>
      <c r="AM272" s="254"/>
      <c r="AN272" s="255"/>
      <c r="AO272" s="256"/>
    </row>
    <row r="273" ht="22.5" customHeight="1">
      <c r="A273" s="431" t="str">
        <f>'BASE DE DATOSS'!A347</f>
        <v/>
      </c>
      <c r="B273" s="432" t="str">
        <f>'BASE DE DATOSS'!C347</f>
        <v/>
      </c>
      <c r="C273" s="263"/>
      <c r="D273" s="249"/>
      <c r="E273" s="250"/>
      <c r="F273" s="251"/>
      <c r="G273" s="262"/>
      <c r="H273" s="257"/>
      <c r="I273" s="249"/>
      <c r="J273" s="193" t="str">
        <f>IF(OR(ISBLANK($B273),ISBLANK($I273)),"",IFERROR(IF($I273&lt;=DATE('ESTADO CONTABLE'!$B$2,3,5),VLOOKUP($B273,COSTOS!$A$2:$B1014,2,FALSE)-150,VLOOKUP($B273,COSTOS!$A$2:$B1014,2,FALSE)),"No encontrado o error"))</f>
        <v/>
      </c>
      <c r="K273" s="264"/>
      <c r="L273" s="249"/>
      <c r="M273" s="189"/>
      <c r="N273" s="264"/>
      <c r="O273" s="249"/>
      <c r="P273" s="250"/>
      <c r="Q273" s="264"/>
      <c r="R273" s="249"/>
      <c r="S273" s="250"/>
      <c r="T273" s="264"/>
      <c r="U273" s="249"/>
      <c r="V273" s="250"/>
      <c r="W273" s="264"/>
      <c r="X273" s="394"/>
      <c r="Y273" s="429"/>
      <c r="Z273" s="395"/>
      <c r="AA273" s="394"/>
      <c r="AB273" s="118" t="str">
        <f>IF(OR(ISBLANK($B273),ISBLANK($AA273)),"",IFERROR(IF($AA273&lt;=DATE('ESTADO CONTABLE'!$B$2,9,5),VLOOKUP($B273,COSTOS!$A$2:$B1014,2,FALSE)-150,VLOOKUP($B273,COSTOS!$A$2:$B1014,2,FALSE)),"No encontrado o error"))</f>
        <v/>
      </c>
      <c r="AC273" s="395"/>
      <c r="AD273" s="394"/>
      <c r="AE273" s="429" t="str">
        <f>IF(OR(ISBLANK($B273),ISBLANK($AD273)),"",IFERROR(IF($AD273&lt;=DATE('ESTADO CONTABLE'!$B$2,10,5),VLOOKUP($B273,COSTOS!$A$2:$B1014,2,FALSE)-150,VLOOKUP($B273,COSTOS!$A$2:$B1014,2,FALSE)),"No encontrado o error"))</f>
        <v/>
      </c>
      <c r="AF273" s="395"/>
      <c r="AG273" s="394"/>
      <c r="AH273" s="429" t="str">
        <f>IF(OR(ISBLANK($B273),ISBLANK($AG273)),"",IFERROR(IF($AG273&lt;=DATE('ESTADO CONTABLE'!$B$2,11,5),VLOOKUP($B273,COSTOS!$A$2:$B1014,2,FALSE)-150,VLOOKUP($B273,COSTOS!$A$2:$B1014,2,FALSE)),"No encontrado o error"))</f>
        <v/>
      </c>
      <c r="AI273" s="395"/>
      <c r="AJ273" s="394"/>
      <c r="AK273" s="429" t="str">
        <f>IF(OR(ISBLANK($B273),ISBLANK($AJ273)),"",IFERROR(IF($AJ273&lt;=DATE('ESTADO CONTABLE'!$B$2,12,5),VLOOKUP($B273,COSTOS!$A$2:$B1014,2,FALSE)-150,VLOOKUP($B273,COSTOS!$A$2:$B1014,2,FALSE)),"No encontrado o error"))</f>
        <v/>
      </c>
      <c r="AL273" s="395"/>
      <c r="AM273" s="254"/>
      <c r="AN273" s="255"/>
      <c r="AO273" s="256"/>
    </row>
    <row r="274" ht="22.5" customHeight="1">
      <c r="A274" s="431" t="str">
        <f>'BASE DE DATOSS'!A348</f>
        <v/>
      </c>
      <c r="B274" s="432" t="str">
        <f>'BASE DE DATOSS'!C348</f>
        <v/>
      </c>
      <c r="C274" s="263"/>
      <c r="D274" s="249"/>
      <c r="E274" s="250"/>
      <c r="F274" s="251"/>
      <c r="G274" s="262"/>
      <c r="H274" s="257"/>
      <c r="I274" s="249"/>
      <c r="J274" s="193" t="str">
        <f>IF(OR(ISBLANK($B274),ISBLANK($I274)),"",IFERROR(IF($I274&lt;=DATE('ESTADO CONTABLE'!$B$2,3,5),VLOOKUP($B274,COSTOS!$A$2:$B1014,2,FALSE)-150,VLOOKUP($B274,COSTOS!$A$2:$B1014,2,FALSE)),"No encontrado o error"))</f>
        <v/>
      </c>
      <c r="K274" s="264"/>
      <c r="L274" s="249"/>
      <c r="M274" s="189"/>
      <c r="N274" s="264"/>
      <c r="O274" s="249"/>
      <c r="P274" s="250"/>
      <c r="Q274" s="264"/>
      <c r="R274" s="249"/>
      <c r="S274" s="250"/>
      <c r="T274" s="264"/>
      <c r="U274" s="249"/>
      <c r="V274" s="250"/>
      <c r="W274" s="264"/>
      <c r="X274" s="394"/>
      <c r="Y274" s="429"/>
      <c r="Z274" s="395"/>
      <c r="AA274" s="394"/>
      <c r="AB274" s="118" t="str">
        <f>IF(OR(ISBLANK($B274),ISBLANK($AA274)),"",IFERROR(IF($AA274&lt;=DATE('ESTADO CONTABLE'!$B$2,9,5),VLOOKUP($B274,COSTOS!$A$2:$B1014,2,FALSE)-150,VLOOKUP($B274,COSTOS!$A$2:$B1014,2,FALSE)),"No encontrado o error"))</f>
        <v/>
      </c>
      <c r="AC274" s="395"/>
      <c r="AD274" s="394"/>
      <c r="AE274" s="429" t="str">
        <f>IF(OR(ISBLANK($B274),ISBLANK($AD274)),"",IFERROR(IF($AD274&lt;=DATE('ESTADO CONTABLE'!$B$2,10,5),VLOOKUP($B274,COSTOS!$A$2:$B1014,2,FALSE)-150,VLOOKUP($B274,COSTOS!$A$2:$B1014,2,FALSE)),"No encontrado o error"))</f>
        <v/>
      </c>
      <c r="AF274" s="395"/>
      <c r="AG274" s="394"/>
      <c r="AH274" s="429" t="str">
        <f>IF(OR(ISBLANK($B274),ISBLANK($AG274)),"",IFERROR(IF($AG274&lt;=DATE('ESTADO CONTABLE'!$B$2,11,5),VLOOKUP($B274,COSTOS!$A$2:$B1014,2,FALSE)-150,VLOOKUP($B274,COSTOS!$A$2:$B1014,2,FALSE)),"No encontrado o error"))</f>
        <v/>
      </c>
      <c r="AI274" s="395"/>
      <c r="AJ274" s="394"/>
      <c r="AK274" s="429" t="str">
        <f>IF(OR(ISBLANK($B274),ISBLANK($AJ274)),"",IFERROR(IF($AJ274&lt;=DATE('ESTADO CONTABLE'!$B$2,12,5),VLOOKUP($B274,COSTOS!$A$2:$B1014,2,FALSE)-150,VLOOKUP($B274,COSTOS!$A$2:$B1014,2,FALSE)),"No encontrado o error"))</f>
        <v/>
      </c>
      <c r="AL274" s="395"/>
      <c r="AM274" s="254"/>
      <c r="AN274" s="255"/>
      <c r="AO274" s="256"/>
    </row>
    <row r="275" ht="22.5" customHeight="1">
      <c r="A275" s="431" t="str">
        <f>'BASE DE DATOSS'!A349</f>
        <v/>
      </c>
      <c r="B275" s="432" t="str">
        <f>'BASE DE DATOSS'!C349</f>
        <v/>
      </c>
      <c r="C275" s="263"/>
      <c r="D275" s="249"/>
      <c r="E275" s="250"/>
      <c r="F275" s="251"/>
      <c r="G275" s="262"/>
      <c r="H275" s="257"/>
      <c r="I275" s="249"/>
      <c r="J275" s="193" t="str">
        <f>IF(OR(ISBLANK($B275),ISBLANK($I275)),"",IFERROR(IF($I275&lt;=DATE('ESTADO CONTABLE'!$B$2,3,5),VLOOKUP($B275,COSTOS!$A$2:$B1014,2,FALSE)-150,VLOOKUP($B275,COSTOS!$A$2:$B1014,2,FALSE)),"No encontrado o error"))</f>
        <v/>
      </c>
      <c r="K275" s="264"/>
      <c r="L275" s="249"/>
      <c r="M275" s="189"/>
      <c r="N275" s="264"/>
      <c r="O275" s="249"/>
      <c r="P275" s="250"/>
      <c r="Q275" s="264"/>
      <c r="R275" s="249"/>
      <c r="S275" s="250"/>
      <c r="T275" s="264"/>
      <c r="U275" s="249"/>
      <c r="V275" s="250"/>
      <c r="W275" s="264"/>
      <c r="X275" s="394"/>
      <c r="Y275" s="429"/>
      <c r="Z275" s="395"/>
      <c r="AA275" s="394"/>
      <c r="AB275" s="118" t="str">
        <f>IF(OR(ISBLANK($B275),ISBLANK($AA275)),"",IFERROR(IF($AA275&lt;=DATE('ESTADO CONTABLE'!$B$2,9,5),VLOOKUP($B275,COSTOS!$A$2:$B1014,2,FALSE)-150,VLOOKUP($B275,COSTOS!$A$2:$B1014,2,FALSE)),"No encontrado o error"))</f>
        <v/>
      </c>
      <c r="AC275" s="395"/>
      <c r="AD275" s="394"/>
      <c r="AE275" s="429" t="str">
        <f>IF(OR(ISBLANK($B275),ISBLANK($AD275)),"",IFERROR(IF($AD275&lt;=DATE('ESTADO CONTABLE'!$B$2,10,5),VLOOKUP($B275,COSTOS!$A$2:$B1014,2,FALSE)-150,VLOOKUP($B275,COSTOS!$A$2:$B1014,2,FALSE)),"No encontrado o error"))</f>
        <v/>
      </c>
      <c r="AF275" s="395"/>
      <c r="AG275" s="394"/>
      <c r="AH275" s="429" t="str">
        <f>IF(OR(ISBLANK($B275),ISBLANK($AG275)),"",IFERROR(IF($AG275&lt;=DATE('ESTADO CONTABLE'!$B$2,11,5),VLOOKUP($B275,COSTOS!$A$2:$B1014,2,FALSE)-150,VLOOKUP($B275,COSTOS!$A$2:$B1014,2,FALSE)),"No encontrado o error"))</f>
        <v/>
      </c>
      <c r="AI275" s="395"/>
      <c r="AJ275" s="394"/>
      <c r="AK275" s="429" t="str">
        <f>IF(OR(ISBLANK($B275),ISBLANK($AJ275)),"",IFERROR(IF($AJ275&lt;=DATE('ESTADO CONTABLE'!$B$2,12,5),VLOOKUP($B275,COSTOS!$A$2:$B1014,2,FALSE)-150,VLOOKUP($B275,COSTOS!$A$2:$B1014,2,FALSE)),"No encontrado o error"))</f>
        <v/>
      </c>
      <c r="AL275" s="395"/>
      <c r="AM275" s="254"/>
      <c r="AN275" s="255"/>
      <c r="AO275" s="256"/>
    </row>
    <row r="276" ht="22.5" customHeight="1">
      <c r="A276" s="431" t="str">
        <f>'BASE DE DATOSS'!A350</f>
        <v/>
      </c>
      <c r="B276" s="432" t="str">
        <f>'BASE DE DATOSS'!C350</f>
        <v/>
      </c>
      <c r="C276" s="263"/>
      <c r="D276" s="249"/>
      <c r="E276" s="250"/>
      <c r="F276" s="251"/>
      <c r="G276" s="262"/>
      <c r="H276" s="257"/>
      <c r="I276" s="249"/>
      <c r="J276" s="193" t="str">
        <f>IF(OR(ISBLANK($B276),ISBLANK($I276)),"",IFERROR(IF($I276&lt;=DATE('ESTADO CONTABLE'!$B$2,3,5),VLOOKUP($B276,COSTOS!$A$2:$B1014,2,FALSE)-150,VLOOKUP($B276,COSTOS!$A$2:$B1014,2,FALSE)),"No encontrado o error"))</f>
        <v/>
      </c>
      <c r="K276" s="264"/>
      <c r="L276" s="249"/>
      <c r="M276" s="189"/>
      <c r="N276" s="264"/>
      <c r="O276" s="249"/>
      <c r="P276" s="250"/>
      <c r="Q276" s="264"/>
      <c r="R276" s="249"/>
      <c r="S276" s="250"/>
      <c r="T276" s="264"/>
      <c r="U276" s="249"/>
      <c r="V276" s="250"/>
      <c r="W276" s="264"/>
      <c r="X276" s="394"/>
      <c r="Y276" s="429"/>
      <c r="Z276" s="395"/>
      <c r="AA276" s="394"/>
      <c r="AB276" s="118" t="str">
        <f>IF(OR(ISBLANK($B276),ISBLANK($AA276)),"",IFERROR(IF($AA276&lt;=DATE('ESTADO CONTABLE'!$B$2,9,5),VLOOKUP($B276,COSTOS!$A$2:$B1014,2,FALSE)-150,VLOOKUP($B276,COSTOS!$A$2:$B1014,2,FALSE)),"No encontrado o error"))</f>
        <v/>
      </c>
      <c r="AC276" s="395"/>
      <c r="AD276" s="394"/>
      <c r="AE276" s="429" t="str">
        <f>IF(OR(ISBLANK($B276),ISBLANK($AD276)),"",IFERROR(IF($AD276&lt;=DATE('ESTADO CONTABLE'!$B$2,10,5),VLOOKUP($B276,COSTOS!$A$2:$B1014,2,FALSE)-150,VLOOKUP($B276,COSTOS!$A$2:$B1014,2,FALSE)),"No encontrado o error"))</f>
        <v/>
      </c>
      <c r="AF276" s="395"/>
      <c r="AG276" s="394"/>
      <c r="AH276" s="429" t="str">
        <f>IF(OR(ISBLANK($B276),ISBLANK($AG276)),"",IFERROR(IF($AG276&lt;=DATE('ESTADO CONTABLE'!$B$2,11,5),VLOOKUP($B276,COSTOS!$A$2:$B1014,2,FALSE)-150,VLOOKUP($B276,COSTOS!$A$2:$B1014,2,FALSE)),"No encontrado o error"))</f>
        <v/>
      </c>
      <c r="AI276" s="395"/>
      <c r="AJ276" s="394"/>
      <c r="AK276" s="429" t="str">
        <f>IF(OR(ISBLANK($B276),ISBLANK($AJ276)),"",IFERROR(IF($AJ276&lt;=DATE('ESTADO CONTABLE'!$B$2,12,5),VLOOKUP($B276,COSTOS!$A$2:$B1014,2,FALSE)-150,VLOOKUP($B276,COSTOS!$A$2:$B1014,2,FALSE)),"No encontrado o error"))</f>
        <v/>
      </c>
      <c r="AL276" s="395"/>
      <c r="AM276" s="254"/>
      <c r="AN276" s="255"/>
      <c r="AO276" s="256"/>
    </row>
    <row r="277" ht="22.5" customHeight="1">
      <c r="A277" s="431" t="str">
        <f>'BASE DE DATOSS'!A351</f>
        <v/>
      </c>
      <c r="B277" s="432" t="str">
        <f>'BASE DE DATOSS'!C351</f>
        <v/>
      </c>
      <c r="C277" s="263"/>
      <c r="D277" s="249"/>
      <c r="E277" s="250"/>
      <c r="F277" s="251"/>
      <c r="G277" s="262"/>
      <c r="H277" s="257"/>
      <c r="I277" s="249"/>
      <c r="J277" s="193" t="str">
        <f>IF(OR(ISBLANK($B277),ISBLANK($I277)),"",IFERROR(IF($I277&lt;=DATE('ESTADO CONTABLE'!$B$2,3,5),VLOOKUP($B277,COSTOS!$A$2:$B1014,2,FALSE)-150,VLOOKUP($B277,COSTOS!$A$2:$B1014,2,FALSE)),"No encontrado o error"))</f>
        <v/>
      </c>
      <c r="K277" s="264"/>
      <c r="L277" s="249"/>
      <c r="M277" s="189"/>
      <c r="N277" s="264"/>
      <c r="O277" s="249"/>
      <c r="P277" s="250"/>
      <c r="Q277" s="264"/>
      <c r="R277" s="249"/>
      <c r="S277" s="250"/>
      <c r="T277" s="264"/>
      <c r="U277" s="249"/>
      <c r="V277" s="250"/>
      <c r="W277" s="264"/>
      <c r="X277" s="394"/>
      <c r="Y277" s="429"/>
      <c r="Z277" s="395"/>
      <c r="AA277" s="394"/>
      <c r="AB277" s="118" t="str">
        <f>IF(OR(ISBLANK($B277),ISBLANK($AA277)),"",IFERROR(IF($AA277&lt;=DATE('ESTADO CONTABLE'!$B$2,9,5),VLOOKUP($B277,COSTOS!$A$2:$B1014,2,FALSE)-150,VLOOKUP($B277,COSTOS!$A$2:$B1014,2,FALSE)),"No encontrado o error"))</f>
        <v/>
      </c>
      <c r="AC277" s="395"/>
      <c r="AD277" s="394"/>
      <c r="AE277" s="429" t="str">
        <f>IF(OR(ISBLANK($B277),ISBLANK($AD277)),"",IFERROR(IF($AD277&lt;=DATE('ESTADO CONTABLE'!$B$2,10,5),VLOOKUP($B277,COSTOS!$A$2:$B1014,2,FALSE)-150,VLOOKUP($B277,COSTOS!$A$2:$B1014,2,FALSE)),"No encontrado o error"))</f>
        <v/>
      </c>
      <c r="AF277" s="395"/>
      <c r="AG277" s="394"/>
      <c r="AH277" s="429" t="str">
        <f>IF(OR(ISBLANK($B277),ISBLANK($AG277)),"",IFERROR(IF($AG277&lt;=DATE('ESTADO CONTABLE'!$B$2,11,5),VLOOKUP($B277,COSTOS!$A$2:$B1014,2,FALSE)-150,VLOOKUP($B277,COSTOS!$A$2:$B1014,2,FALSE)),"No encontrado o error"))</f>
        <v/>
      </c>
      <c r="AI277" s="395"/>
      <c r="AJ277" s="394"/>
      <c r="AK277" s="429" t="str">
        <f>IF(OR(ISBLANK($B277),ISBLANK($AJ277)),"",IFERROR(IF($AJ277&lt;=DATE('ESTADO CONTABLE'!$B$2,12,5),VLOOKUP($B277,COSTOS!$A$2:$B1014,2,FALSE)-150,VLOOKUP($B277,COSTOS!$A$2:$B1014,2,FALSE)),"No encontrado o error"))</f>
        <v/>
      </c>
      <c r="AL277" s="395"/>
      <c r="AM277" s="254"/>
      <c r="AN277" s="255"/>
      <c r="AO277" s="256"/>
    </row>
    <row r="278" ht="22.5" customHeight="1">
      <c r="A278" s="431" t="str">
        <f>'BASE DE DATOSS'!A352</f>
        <v/>
      </c>
      <c r="B278" s="432" t="str">
        <f>'BASE DE DATOSS'!C352</f>
        <v/>
      </c>
      <c r="C278" s="263"/>
      <c r="D278" s="249"/>
      <c r="E278" s="250"/>
      <c r="F278" s="251"/>
      <c r="G278" s="262"/>
      <c r="H278" s="257"/>
      <c r="I278" s="249"/>
      <c r="J278" s="193" t="str">
        <f>IF(OR(ISBLANK($B278),ISBLANK($I278)),"",IFERROR(IF($I278&lt;=DATE('ESTADO CONTABLE'!$B$2,3,5),VLOOKUP($B278,COSTOS!$A$2:$B1014,2,FALSE)-150,VLOOKUP($B278,COSTOS!$A$2:$B1014,2,FALSE)),"No encontrado o error"))</f>
        <v/>
      </c>
      <c r="K278" s="264"/>
      <c r="L278" s="249"/>
      <c r="M278" s="189"/>
      <c r="N278" s="264"/>
      <c r="O278" s="249"/>
      <c r="P278" s="250"/>
      <c r="Q278" s="264"/>
      <c r="R278" s="249"/>
      <c r="S278" s="250"/>
      <c r="T278" s="264"/>
      <c r="U278" s="249"/>
      <c r="V278" s="250"/>
      <c r="W278" s="264"/>
      <c r="X278" s="394"/>
      <c r="Y278" s="429"/>
      <c r="Z278" s="395"/>
      <c r="AA278" s="394"/>
      <c r="AB278" s="118" t="str">
        <f>IF(OR(ISBLANK($B278),ISBLANK($AA278)),"",IFERROR(IF($AA278&lt;=DATE('ESTADO CONTABLE'!$B$2,9,5),VLOOKUP($B278,COSTOS!$A$2:$B1014,2,FALSE)-150,VLOOKUP($B278,COSTOS!$A$2:$B1014,2,FALSE)),"No encontrado o error"))</f>
        <v/>
      </c>
      <c r="AC278" s="395"/>
      <c r="AD278" s="394"/>
      <c r="AE278" s="429" t="str">
        <f>IF(OR(ISBLANK($B278),ISBLANK($AD278)),"",IFERROR(IF($AD278&lt;=DATE('ESTADO CONTABLE'!$B$2,10,5),VLOOKUP($B278,COSTOS!$A$2:$B1014,2,FALSE)-150,VLOOKUP($B278,COSTOS!$A$2:$B1014,2,FALSE)),"No encontrado o error"))</f>
        <v/>
      </c>
      <c r="AF278" s="395"/>
      <c r="AG278" s="394"/>
      <c r="AH278" s="429" t="str">
        <f>IF(OR(ISBLANK($B278),ISBLANK($AG278)),"",IFERROR(IF($AG278&lt;=DATE('ESTADO CONTABLE'!$B$2,11,5),VLOOKUP($B278,COSTOS!$A$2:$B1014,2,FALSE)-150,VLOOKUP($B278,COSTOS!$A$2:$B1014,2,FALSE)),"No encontrado o error"))</f>
        <v/>
      </c>
      <c r="AI278" s="395"/>
      <c r="AJ278" s="394"/>
      <c r="AK278" s="429" t="str">
        <f>IF(OR(ISBLANK($B278),ISBLANK($AJ278)),"",IFERROR(IF($AJ278&lt;=DATE('ESTADO CONTABLE'!$B$2,12,5),VLOOKUP($B278,COSTOS!$A$2:$B1014,2,FALSE)-150,VLOOKUP($B278,COSTOS!$A$2:$B1014,2,FALSE)),"No encontrado o error"))</f>
        <v/>
      </c>
      <c r="AL278" s="395"/>
      <c r="AM278" s="254"/>
      <c r="AN278" s="255"/>
      <c r="AO278" s="256"/>
    </row>
    <row r="279" ht="22.5" customHeight="1">
      <c r="A279" s="431" t="str">
        <f>'BASE DE DATOSS'!A353</f>
        <v/>
      </c>
      <c r="B279" s="432" t="str">
        <f>'BASE DE DATOSS'!C353</f>
        <v/>
      </c>
      <c r="C279" s="263"/>
      <c r="D279" s="249"/>
      <c r="E279" s="250"/>
      <c r="F279" s="251"/>
      <c r="G279" s="262"/>
      <c r="H279" s="257"/>
      <c r="I279" s="249"/>
      <c r="J279" s="193" t="str">
        <f>IF(OR(ISBLANK($B279),ISBLANK($I279)),"",IFERROR(IF($I279&lt;=DATE('ESTADO CONTABLE'!$B$2,3,5),VLOOKUP($B279,COSTOS!$A$2:$B1014,2,FALSE)-150,VLOOKUP($B279,COSTOS!$A$2:$B1014,2,FALSE)),"No encontrado o error"))</f>
        <v/>
      </c>
      <c r="K279" s="264"/>
      <c r="L279" s="249"/>
      <c r="M279" s="189"/>
      <c r="N279" s="264"/>
      <c r="O279" s="249"/>
      <c r="P279" s="250"/>
      <c r="Q279" s="264"/>
      <c r="R279" s="249"/>
      <c r="S279" s="250"/>
      <c r="T279" s="264"/>
      <c r="U279" s="249"/>
      <c r="V279" s="250"/>
      <c r="W279" s="264"/>
      <c r="X279" s="394"/>
      <c r="Y279" s="429"/>
      <c r="Z279" s="395"/>
      <c r="AA279" s="394"/>
      <c r="AB279" s="118" t="str">
        <f>IF(OR(ISBLANK($B279),ISBLANK($AA279)),"",IFERROR(IF($AA279&lt;=DATE('ESTADO CONTABLE'!$B$2,9,5),VLOOKUP($B279,COSTOS!$A$2:$B1014,2,FALSE)-150,VLOOKUP($B279,COSTOS!$A$2:$B1014,2,FALSE)),"No encontrado o error"))</f>
        <v/>
      </c>
      <c r="AC279" s="395"/>
      <c r="AD279" s="394"/>
      <c r="AE279" s="429" t="str">
        <f>IF(OR(ISBLANK($B279),ISBLANK($AD279)),"",IFERROR(IF($AD279&lt;=DATE('ESTADO CONTABLE'!$B$2,10,5),VLOOKUP($B279,COSTOS!$A$2:$B1014,2,FALSE)-150,VLOOKUP($B279,COSTOS!$A$2:$B1014,2,FALSE)),"No encontrado o error"))</f>
        <v/>
      </c>
      <c r="AF279" s="395"/>
      <c r="AG279" s="394"/>
      <c r="AH279" s="429" t="str">
        <f>IF(OR(ISBLANK($B279),ISBLANK($AG279)),"",IFERROR(IF($AG279&lt;=DATE('ESTADO CONTABLE'!$B$2,11,5),VLOOKUP($B279,COSTOS!$A$2:$B1014,2,FALSE)-150,VLOOKUP($B279,COSTOS!$A$2:$B1014,2,FALSE)),"No encontrado o error"))</f>
        <v/>
      </c>
      <c r="AI279" s="395"/>
      <c r="AJ279" s="394"/>
      <c r="AK279" s="429" t="str">
        <f>IF(OR(ISBLANK($B279),ISBLANK($AJ279)),"",IFERROR(IF($AJ279&lt;=DATE('ESTADO CONTABLE'!$B$2,12,5),VLOOKUP($B279,COSTOS!$A$2:$B1014,2,FALSE)-150,VLOOKUP($B279,COSTOS!$A$2:$B1014,2,FALSE)),"No encontrado o error"))</f>
        <v/>
      </c>
      <c r="AL279" s="395"/>
      <c r="AM279" s="254"/>
      <c r="AN279" s="255"/>
      <c r="AO279" s="256"/>
    </row>
    <row r="280" ht="22.5" customHeight="1">
      <c r="A280" s="431" t="str">
        <f>'BASE DE DATOSS'!A354</f>
        <v/>
      </c>
      <c r="B280" s="432" t="str">
        <f>'BASE DE DATOSS'!C354</f>
        <v/>
      </c>
      <c r="C280" s="263"/>
      <c r="D280" s="249"/>
      <c r="E280" s="250"/>
      <c r="F280" s="251"/>
      <c r="G280" s="262"/>
      <c r="H280" s="257"/>
      <c r="I280" s="249"/>
      <c r="J280" s="193" t="str">
        <f>IF(OR(ISBLANK($B280),ISBLANK($I280)),"",IFERROR(IF($I280&lt;=DATE('ESTADO CONTABLE'!$B$2,3,5),VLOOKUP($B280,COSTOS!$A$2:$B1014,2,FALSE)-150,VLOOKUP($B280,COSTOS!$A$2:$B1014,2,FALSE)),"No encontrado o error"))</f>
        <v/>
      </c>
      <c r="K280" s="264"/>
      <c r="L280" s="249"/>
      <c r="M280" s="189"/>
      <c r="N280" s="264"/>
      <c r="O280" s="249"/>
      <c r="P280" s="250"/>
      <c r="Q280" s="264"/>
      <c r="R280" s="249"/>
      <c r="S280" s="250"/>
      <c r="T280" s="264"/>
      <c r="U280" s="249"/>
      <c r="V280" s="250"/>
      <c r="W280" s="264"/>
      <c r="X280" s="394"/>
      <c r="Y280" s="429"/>
      <c r="Z280" s="395"/>
      <c r="AA280" s="394"/>
      <c r="AB280" s="118" t="str">
        <f>IF(OR(ISBLANK($B280),ISBLANK($AA280)),"",IFERROR(IF($AA280&lt;=DATE('ESTADO CONTABLE'!$B$2,9,5),VLOOKUP($B280,COSTOS!$A$2:$B1014,2,FALSE)-150,VLOOKUP($B280,COSTOS!$A$2:$B1014,2,FALSE)),"No encontrado o error"))</f>
        <v/>
      </c>
      <c r="AC280" s="395"/>
      <c r="AD280" s="394"/>
      <c r="AE280" s="429" t="str">
        <f>IF(OR(ISBLANK($B280),ISBLANK($AD280)),"",IFERROR(IF($AD280&lt;=DATE('ESTADO CONTABLE'!$B$2,10,5),VLOOKUP($B280,COSTOS!$A$2:$B1014,2,FALSE)-150,VLOOKUP($B280,COSTOS!$A$2:$B1014,2,FALSE)),"No encontrado o error"))</f>
        <v/>
      </c>
      <c r="AF280" s="395"/>
      <c r="AG280" s="394"/>
      <c r="AH280" s="429" t="str">
        <f>IF(OR(ISBLANK($B280),ISBLANK($AG280)),"",IFERROR(IF($AG280&lt;=DATE('ESTADO CONTABLE'!$B$2,11,5),VLOOKUP($B280,COSTOS!$A$2:$B1014,2,FALSE)-150,VLOOKUP($B280,COSTOS!$A$2:$B1014,2,FALSE)),"No encontrado o error"))</f>
        <v/>
      </c>
      <c r="AI280" s="395"/>
      <c r="AJ280" s="394"/>
      <c r="AK280" s="429" t="str">
        <f>IF(OR(ISBLANK($B280),ISBLANK($AJ280)),"",IFERROR(IF($AJ280&lt;=DATE('ESTADO CONTABLE'!$B$2,12,5),VLOOKUP($B280,COSTOS!$A$2:$B1014,2,FALSE)-150,VLOOKUP($B280,COSTOS!$A$2:$B1014,2,FALSE)),"No encontrado o error"))</f>
        <v/>
      </c>
      <c r="AL280" s="395"/>
      <c r="AM280" s="254"/>
      <c r="AN280" s="255"/>
      <c r="AO280" s="256"/>
    </row>
    <row r="281" ht="22.5" customHeight="1">
      <c r="A281" s="431" t="str">
        <f>'BASE DE DATOSS'!A355</f>
        <v/>
      </c>
      <c r="B281" s="432" t="str">
        <f>'BASE DE DATOSS'!C355</f>
        <v/>
      </c>
      <c r="C281" s="263"/>
      <c r="D281" s="249"/>
      <c r="E281" s="250"/>
      <c r="F281" s="251"/>
      <c r="G281" s="262"/>
      <c r="H281" s="257"/>
      <c r="I281" s="249"/>
      <c r="J281" s="193" t="str">
        <f>IF(OR(ISBLANK($B281),ISBLANK($I281)),"",IFERROR(IF($I281&lt;=DATE('ESTADO CONTABLE'!$B$2,3,5),VLOOKUP($B281,COSTOS!$A$2:$B1014,2,FALSE)-150,VLOOKUP($B281,COSTOS!$A$2:$B1014,2,FALSE)),"No encontrado o error"))</f>
        <v/>
      </c>
      <c r="K281" s="264"/>
      <c r="L281" s="249"/>
      <c r="M281" s="189"/>
      <c r="N281" s="264"/>
      <c r="O281" s="249"/>
      <c r="P281" s="250"/>
      <c r="Q281" s="264"/>
      <c r="R281" s="249"/>
      <c r="S281" s="250"/>
      <c r="T281" s="264"/>
      <c r="U281" s="249"/>
      <c r="V281" s="250"/>
      <c r="W281" s="264"/>
      <c r="X281" s="394"/>
      <c r="Y281" s="429"/>
      <c r="Z281" s="395"/>
      <c r="AA281" s="394"/>
      <c r="AB281" s="118" t="str">
        <f>IF(OR(ISBLANK($B281),ISBLANK($AA281)),"",IFERROR(IF($AA281&lt;=DATE('ESTADO CONTABLE'!$B$2,9,5),VLOOKUP($B281,COSTOS!$A$2:$B1014,2,FALSE)-150,VLOOKUP($B281,COSTOS!$A$2:$B1014,2,FALSE)),"No encontrado o error"))</f>
        <v/>
      </c>
      <c r="AC281" s="395"/>
      <c r="AD281" s="394"/>
      <c r="AE281" s="429" t="str">
        <f>IF(OR(ISBLANK($B281),ISBLANK($AD281)),"",IFERROR(IF($AD281&lt;=DATE('ESTADO CONTABLE'!$B$2,10,5),VLOOKUP($B281,COSTOS!$A$2:$B1014,2,FALSE)-150,VLOOKUP($B281,COSTOS!$A$2:$B1014,2,FALSE)),"No encontrado o error"))</f>
        <v/>
      </c>
      <c r="AF281" s="395"/>
      <c r="AG281" s="394"/>
      <c r="AH281" s="429" t="str">
        <f>IF(OR(ISBLANK($B281),ISBLANK($AG281)),"",IFERROR(IF($AG281&lt;=DATE('ESTADO CONTABLE'!$B$2,11,5),VLOOKUP($B281,COSTOS!$A$2:$B1014,2,FALSE)-150,VLOOKUP($B281,COSTOS!$A$2:$B1014,2,FALSE)),"No encontrado o error"))</f>
        <v/>
      </c>
      <c r="AI281" s="395"/>
      <c r="AJ281" s="394"/>
      <c r="AK281" s="429" t="str">
        <f>IF(OR(ISBLANK($B281),ISBLANK($AJ281)),"",IFERROR(IF($AJ281&lt;=DATE('ESTADO CONTABLE'!$B$2,12,5),VLOOKUP($B281,COSTOS!$A$2:$B1014,2,FALSE)-150,VLOOKUP($B281,COSTOS!$A$2:$B1014,2,FALSE)),"No encontrado o error"))</f>
        <v/>
      </c>
      <c r="AL281" s="395"/>
      <c r="AM281" s="254"/>
      <c r="AN281" s="255"/>
      <c r="AO281" s="256"/>
    </row>
    <row r="282" ht="22.5" customHeight="1">
      <c r="A282" s="431" t="str">
        <f>'BASE DE DATOSS'!A356</f>
        <v/>
      </c>
      <c r="B282" s="432" t="str">
        <f>'BASE DE DATOSS'!C356</f>
        <v/>
      </c>
      <c r="C282" s="263"/>
      <c r="D282" s="249"/>
      <c r="E282" s="250"/>
      <c r="F282" s="251"/>
      <c r="G282" s="262"/>
      <c r="H282" s="257"/>
      <c r="I282" s="249"/>
      <c r="J282" s="193" t="str">
        <f>IF(OR(ISBLANK($B282),ISBLANK($I282)),"",IFERROR(IF($I282&lt;=DATE('ESTADO CONTABLE'!$B$2,3,5),VLOOKUP($B282,COSTOS!$A$2:$B1014,2,FALSE)-150,VLOOKUP($B282,COSTOS!$A$2:$B1014,2,FALSE)),"No encontrado o error"))</f>
        <v/>
      </c>
      <c r="K282" s="264"/>
      <c r="L282" s="249"/>
      <c r="M282" s="189"/>
      <c r="N282" s="264"/>
      <c r="O282" s="249"/>
      <c r="P282" s="250"/>
      <c r="Q282" s="264"/>
      <c r="R282" s="249"/>
      <c r="S282" s="250"/>
      <c r="T282" s="264"/>
      <c r="U282" s="249"/>
      <c r="V282" s="250"/>
      <c r="W282" s="264"/>
      <c r="X282" s="394"/>
      <c r="Y282" s="429"/>
      <c r="Z282" s="395"/>
      <c r="AA282" s="394"/>
      <c r="AB282" s="118" t="str">
        <f>IF(OR(ISBLANK($B282),ISBLANK($AA282)),"",IFERROR(IF($AA282&lt;=DATE('ESTADO CONTABLE'!$B$2,9,5),VLOOKUP($B282,COSTOS!$A$2:$B1014,2,FALSE)-150,VLOOKUP($B282,COSTOS!$A$2:$B1014,2,FALSE)),"No encontrado o error"))</f>
        <v/>
      </c>
      <c r="AC282" s="395"/>
      <c r="AD282" s="394"/>
      <c r="AE282" s="429" t="str">
        <f>IF(OR(ISBLANK($B282),ISBLANK($AD282)),"",IFERROR(IF($AD282&lt;=DATE('ESTADO CONTABLE'!$B$2,10,5),VLOOKUP($B282,COSTOS!$A$2:$B1014,2,FALSE)-150,VLOOKUP($B282,COSTOS!$A$2:$B1014,2,FALSE)),"No encontrado o error"))</f>
        <v/>
      </c>
      <c r="AF282" s="395"/>
      <c r="AG282" s="394"/>
      <c r="AH282" s="429" t="str">
        <f>IF(OR(ISBLANK($B282),ISBLANK($AG282)),"",IFERROR(IF($AG282&lt;=DATE('ESTADO CONTABLE'!$B$2,11,5),VLOOKUP($B282,COSTOS!$A$2:$B1014,2,FALSE)-150,VLOOKUP($B282,COSTOS!$A$2:$B1014,2,FALSE)),"No encontrado o error"))</f>
        <v/>
      </c>
      <c r="AI282" s="395"/>
      <c r="AJ282" s="394"/>
      <c r="AK282" s="429" t="str">
        <f>IF(OR(ISBLANK($B282),ISBLANK($AJ282)),"",IFERROR(IF($AJ282&lt;=DATE('ESTADO CONTABLE'!$B$2,12,5),VLOOKUP($B282,COSTOS!$A$2:$B1014,2,FALSE)-150,VLOOKUP($B282,COSTOS!$A$2:$B1014,2,FALSE)),"No encontrado o error"))</f>
        <v/>
      </c>
      <c r="AL282" s="395"/>
      <c r="AM282" s="254"/>
      <c r="AN282" s="255"/>
      <c r="AO282" s="256"/>
    </row>
    <row r="283" ht="22.5" customHeight="1">
      <c r="A283" s="431" t="str">
        <f>'BASE DE DATOSS'!A357</f>
        <v/>
      </c>
      <c r="B283" s="432" t="str">
        <f>'BASE DE DATOSS'!C357</f>
        <v/>
      </c>
      <c r="C283" s="263"/>
      <c r="D283" s="249"/>
      <c r="E283" s="250"/>
      <c r="F283" s="251"/>
      <c r="G283" s="262"/>
      <c r="H283" s="257"/>
      <c r="I283" s="249"/>
      <c r="J283" s="193" t="str">
        <f>IF(OR(ISBLANK($B283),ISBLANK($I283)),"",IFERROR(IF($I283&lt;=DATE('ESTADO CONTABLE'!$B$2,3,5),VLOOKUP($B283,COSTOS!$A$2:$B1014,2,FALSE)-150,VLOOKUP($B283,COSTOS!$A$2:$B1014,2,FALSE)),"No encontrado o error"))</f>
        <v/>
      </c>
      <c r="K283" s="264"/>
      <c r="L283" s="249"/>
      <c r="M283" s="189"/>
      <c r="N283" s="264"/>
      <c r="O283" s="249"/>
      <c r="P283" s="250"/>
      <c r="Q283" s="264"/>
      <c r="R283" s="249"/>
      <c r="S283" s="250"/>
      <c r="T283" s="264"/>
      <c r="U283" s="249"/>
      <c r="V283" s="250"/>
      <c r="W283" s="264"/>
      <c r="X283" s="394"/>
      <c r="Y283" s="429"/>
      <c r="Z283" s="395"/>
      <c r="AA283" s="394"/>
      <c r="AB283" s="118" t="str">
        <f>IF(OR(ISBLANK($B283),ISBLANK($AA283)),"",IFERROR(IF($AA283&lt;=DATE('ESTADO CONTABLE'!$B$2,9,5),VLOOKUP($B283,COSTOS!$A$2:$B1014,2,FALSE)-150,VLOOKUP($B283,COSTOS!$A$2:$B1014,2,FALSE)),"No encontrado o error"))</f>
        <v/>
      </c>
      <c r="AC283" s="395"/>
      <c r="AD283" s="394"/>
      <c r="AE283" s="429" t="str">
        <f>IF(OR(ISBLANK($B283),ISBLANK($AD283)),"",IFERROR(IF($AD283&lt;=DATE('ESTADO CONTABLE'!$B$2,10,5),VLOOKUP($B283,COSTOS!$A$2:$B1014,2,FALSE)-150,VLOOKUP($B283,COSTOS!$A$2:$B1014,2,FALSE)),"No encontrado o error"))</f>
        <v/>
      </c>
      <c r="AF283" s="395"/>
      <c r="AG283" s="394"/>
      <c r="AH283" s="429" t="str">
        <f>IF(OR(ISBLANK($B283),ISBLANK($AG283)),"",IFERROR(IF($AG283&lt;=DATE('ESTADO CONTABLE'!$B$2,11,5),VLOOKUP($B283,COSTOS!$A$2:$B1014,2,FALSE)-150,VLOOKUP($B283,COSTOS!$A$2:$B1014,2,FALSE)),"No encontrado o error"))</f>
        <v/>
      </c>
      <c r="AI283" s="395"/>
      <c r="AJ283" s="394"/>
      <c r="AK283" s="429" t="str">
        <f>IF(OR(ISBLANK($B283),ISBLANK($AJ283)),"",IFERROR(IF($AJ283&lt;=DATE('ESTADO CONTABLE'!$B$2,12,5),VLOOKUP($B283,COSTOS!$A$2:$B1014,2,FALSE)-150,VLOOKUP($B283,COSTOS!$A$2:$B1014,2,FALSE)),"No encontrado o error"))</f>
        <v/>
      </c>
      <c r="AL283" s="395"/>
      <c r="AM283" s="254"/>
      <c r="AN283" s="255"/>
      <c r="AO283" s="256"/>
    </row>
    <row r="284" ht="22.5" customHeight="1">
      <c r="A284" s="431" t="str">
        <f>'BASE DE DATOSS'!A358</f>
        <v/>
      </c>
      <c r="B284" s="432" t="str">
        <f>'BASE DE DATOSS'!C358</f>
        <v/>
      </c>
      <c r="C284" s="263"/>
      <c r="D284" s="249"/>
      <c r="E284" s="250"/>
      <c r="F284" s="251"/>
      <c r="G284" s="262"/>
      <c r="H284" s="257"/>
      <c r="I284" s="249"/>
      <c r="J284" s="193" t="str">
        <f>IF(OR(ISBLANK($B284),ISBLANK($I284)),"",IFERROR(IF($I284&lt;=DATE('ESTADO CONTABLE'!$B$2,3,5),VLOOKUP($B284,COSTOS!$A$2:$B1014,2,FALSE)-150,VLOOKUP($B284,COSTOS!$A$2:$B1014,2,FALSE)),"No encontrado o error"))</f>
        <v/>
      </c>
      <c r="K284" s="264"/>
      <c r="L284" s="249"/>
      <c r="M284" s="189"/>
      <c r="N284" s="264"/>
      <c r="O284" s="249"/>
      <c r="P284" s="250"/>
      <c r="Q284" s="264"/>
      <c r="R284" s="249"/>
      <c r="S284" s="250"/>
      <c r="T284" s="264"/>
      <c r="U284" s="249"/>
      <c r="V284" s="250"/>
      <c r="W284" s="264"/>
      <c r="X284" s="394"/>
      <c r="Y284" s="429"/>
      <c r="Z284" s="395"/>
      <c r="AA284" s="394"/>
      <c r="AB284" s="118" t="str">
        <f>IF(OR(ISBLANK($B284),ISBLANK($AA284)),"",IFERROR(IF($AA284&lt;=DATE('ESTADO CONTABLE'!$B$2,9,5),VLOOKUP($B284,COSTOS!$A$2:$B1014,2,FALSE)-150,VLOOKUP($B284,COSTOS!$A$2:$B1014,2,FALSE)),"No encontrado o error"))</f>
        <v/>
      </c>
      <c r="AC284" s="395"/>
      <c r="AD284" s="394"/>
      <c r="AE284" s="429" t="str">
        <f>IF(OR(ISBLANK($B284),ISBLANK($AD284)),"",IFERROR(IF($AD284&lt;=DATE('ESTADO CONTABLE'!$B$2,10,5),VLOOKUP($B284,COSTOS!$A$2:$B1014,2,FALSE)-150,VLOOKUP($B284,COSTOS!$A$2:$B1014,2,FALSE)),"No encontrado o error"))</f>
        <v/>
      </c>
      <c r="AF284" s="395"/>
      <c r="AG284" s="394"/>
      <c r="AH284" s="429" t="str">
        <f>IF(OR(ISBLANK($B284),ISBLANK($AG284)),"",IFERROR(IF($AG284&lt;=DATE('ESTADO CONTABLE'!$B$2,11,5),VLOOKUP($B284,COSTOS!$A$2:$B1014,2,FALSE)-150,VLOOKUP($B284,COSTOS!$A$2:$B1014,2,FALSE)),"No encontrado o error"))</f>
        <v/>
      </c>
      <c r="AI284" s="395"/>
      <c r="AJ284" s="394"/>
      <c r="AK284" s="429" t="str">
        <f>IF(OR(ISBLANK($B284),ISBLANK($AJ284)),"",IFERROR(IF($AJ284&lt;=DATE('ESTADO CONTABLE'!$B$2,12,5),VLOOKUP($B284,COSTOS!$A$2:$B1014,2,FALSE)-150,VLOOKUP($B284,COSTOS!$A$2:$B1014,2,FALSE)),"No encontrado o error"))</f>
        <v/>
      </c>
      <c r="AL284" s="395"/>
      <c r="AM284" s="254"/>
      <c r="AN284" s="255"/>
      <c r="AO284" s="256"/>
    </row>
    <row r="285" ht="22.5" customHeight="1">
      <c r="A285" s="431" t="str">
        <f>'BASE DE DATOSS'!A359</f>
        <v/>
      </c>
      <c r="B285" s="432" t="str">
        <f>'BASE DE DATOSS'!C359</f>
        <v/>
      </c>
      <c r="C285" s="263"/>
      <c r="D285" s="249"/>
      <c r="E285" s="250"/>
      <c r="F285" s="251"/>
      <c r="G285" s="262"/>
      <c r="H285" s="257"/>
      <c r="I285" s="249"/>
      <c r="J285" s="193" t="str">
        <f>IF(OR(ISBLANK($B285),ISBLANK($I285)),"",IFERROR(IF($I285&lt;=DATE('ESTADO CONTABLE'!$B$2,3,5),VLOOKUP($B285,COSTOS!$A$2:$B1014,2,FALSE)-150,VLOOKUP($B285,COSTOS!$A$2:$B1014,2,FALSE)),"No encontrado o error"))</f>
        <v/>
      </c>
      <c r="K285" s="264"/>
      <c r="L285" s="249"/>
      <c r="M285" s="189"/>
      <c r="N285" s="264"/>
      <c r="O285" s="249"/>
      <c r="P285" s="250"/>
      <c r="Q285" s="264"/>
      <c r="R285" s="249"/>
      <c r="S285" s="250"/>
      <c r="T285" s="264"/>
      <c r="U285" s="249"/>
      <c r="V285" s="250"/>
      <c r="W285" s="264"/>
      <c r="X285" s="394"/>
      <c r="Y285" s="429"/>
      <c r="Z285" s="395"/>
      <c r="AA285" s="394"/>
      <c r="AB285" s="118" t="str">
        <f>IF(OR(ISBLANK($B285),ISBLANK($AA285)),"",IFERROR(IF($AA285&lt;=DATE('ESTADO CONTABLE'!$B$2,9,5),VLOOKUP($B285,COSTOS!$A$2:$B1014,2,FALSE)-150,VLOOKUP($B285,COSTOS!$A$2:$B1014,2,FALSE)),"No encontrado o error"))</f>
        <v/>
      </c>
      <c r="AC285" s="395"/>
      <c r="AD285" s="394"/>
      <c r="AE285" s="429" t="str">
        <f>IF(OR(ISBLANK($B285),ISBLANK($AD285)),"",IFERROR(IF($AD285&lt;=DATE('ESTADO CONTABLE'!$B$2,10,5),VLOOKUP($B285,COSTOS!$A$2:$B1014,2,FALSE)-150,VLOOKUP($B285,COSTOS!$A$2:$B1014,2,FALSE)),"No encontrado o error"))</f>
        <v/>
      </c>
      <c r="AF285" s="395"/>
      <c r="AG285" s="394"/>
      <c r="AH285" s="429" t="str">
        <f>IF(OR(ISBLANK($B285),ISBLANK($AG285)),"",IFERROR(IF($AG285&lt;=DATE('ESTADO CONTABLE'!$B$2,11,5),VLOOKUP($B285,COSTOS!$A$2:$B1014,2,FALSE)-150,VLOOKUP($B285,COSTOS!$A$2:$B1014,2,FALSE)),"No encontrado o error"))</f>
        <v/>
      </c>
      <c r="AI285" s="395"/>
      <c r="AJ285" s="394"/>
      <c r="AK285" s="429" t="str">
        <f>IF(OR(ISBLANK($B285),ISBLANK($AJ285)),"",IFERROR(IF($AJ285&lt;=DATE('ESTADO CONTABLE'!$B$2,12,5),VLOOKUP($B285,COSTOS!$A$2:$B1014,2,FALSE)-150,VLOOKUP($B285,COSTOS!$A$2:$B1014,2,FALSE)),"No encontrado o error"))</f>
        <v/>
      </c>
      <c r="AL285" s="395"/>
      <c r="AM285" s="254"/>
      <c r="AN285" s="255"/>
      <c r="AO285" s="256"/>
    </row>
    <row r="286" ht="22.5" customHeight="1">
      <c r="A286" s="431" t="str">
        <f>'BASE DE DATOSS'!A360</f>
        <v/>
      </c>
      <c r="B286" s="432" t="str">
        <f>'BASE DE DATOSS'!C360</f>
        <v/>
      </c>
      <c r="C286" s="263"/>
      <c r="D286" s="249"/>
      <c r="E286" s="250"/>
      <c r="F286" s="251"/>
      <c r="G286" s="262"/>
      <c r="H286" s="257"/>
      <c r="I286" s="249"/>
      <c r="J286" s="193" t="str">
        <f>IF(OR(ISBLANK($B286),ISBLANK($I286)),"",IFERROR(IF($I286&lt;=DATE('ESTADO CONTABLE'!$B$2,3,5),VLOOKUP($B286,COSTOS!$A$2:$B1014,2,FALSE)-150,VLOOKUP($B286,COSTOS!$A$2:$B1014,2,FALSE)),"No encontrado o error"))</f>
        <v/>
      </c>
      <c r="K286" s="264"/>
      <c r="L286" s="249"/>
      <c r="M286" s="189"/>
      <c r="N286" s="264"/>
      <c r="O286" s="249"/>
      <c r="P286" s="250"/>
      <c r="Q286" s="264"/>
      <c r="R286" s="249"/>
      <c r="S286" s="250"/>
      <c r="T286" s="264"/>
      <c r="U286" s="249"/>
      <c r="V286" s="250"/>
      <c r="W286" s="264"/>
      <c r="X286" s="394"/>
      <c r="Y286" s="429"/>
      <c r="Z286" s="395"/>
      <c r="AA286" s="394"/>
      <c r="AB286" s="118" t="str">
        <f>IF(OR(ISBLANK($B286),ISBLANK($AA286)),"",IFERROR(IF($AA286&lt;=DATE('ESTADO CONTABLE'!$B$2,9,5),VLOOKUP($B286,COSTOS!$A$2:$B1014,2,FALSE)-150,VLOOKUP($B286,COSTOS!$A$2:$B1014,2,FALSE)),"No encontrado o error"))</f>
        <v/>
      </c>
      <c r="AC286" s="395"/>
      <c r="AD286" s="394"/>
      <c r="AE286" s="429" t="str">
        <f>IF(OR(ISBLANK($B286),ISBLANK($AD286)),"",IFERROR(IF($AD286&lt;=DATE('ESTADO CONTABLE'!$B$2,10,5),VLOOKUP($B286,COSTOS!$A$2:$B1014,2,FALSE)-150,VLOOKUP($B286,COSTOS!$A$2:$B1014,2,FALSE)),"No encontrado o error"))</f>
        <v/>
      </c>
      <c r="AF286" s="395"/>
      <c r="AG286" s="394"/>
      <c r="AH286" s="429" t="str">
        <f>IF(OR(ISBLANK($B286),ISBLANK($AG286)),"",IFERROR(IF($AG286&lt;=DATE('ESTADO CONTABLE'!$B$2,11,5),VLOOKUP($B286,COSTOS!$A$2:$B1014,2,FALSE)-150,VLOOKUP($B286,COSTOS!$A$2:$B1014,2,FALSE)),"No encontrado o error"))</f>
        <v/>
      </c>
      <c r="AI286" s="395"/>
      <c r="AJ286" s="394"/>
      <c r="AK286" s="429" t="str">
        <f>IF(OR(ISBLANK($B286),ISBLANK($AJ286)),"",IFERROR(IF($AJ286&lt;=DATE('ESTADO CONTABLE'!$B$2,12,5),VLOOKUP($B286,COSTOS!$A$2:$B1014,2,FALSE)-150,VLOOKUP($B286,COSTOS!$A$2:$B1014,2,FALSE)),"No encontrado o error"))</f>
        <v/>
      </c>
      <c r="AL286" s="395"/>
      <c r="AM286" s="254"/>
      <c r="AN286" s="255"/>
      <c r="AO286" s="256"/>
    </row>
    <row r="287" ht="22.5" customHeight="1">
      <c r="A287" s="431" t="str">
        <f>'BASE DE DATOSS'!A361</f>
        <v/>
      </c>
      <c r="B287" s="432" t="str">
        <f>'BASE DE DATOSS'!C361</f>
        <v/>
      </c>
      <c r="C287" s="263"/>
      <c r="D287" s="249"/>
      <c r="E287" s="250"/>
      <c r="F287" s="251"/>
      <c r="G287" s="262"/>
      <c r="H287" s="257"/>
      <c r="I287" s="249"/>
      <c r="J287" s="193" t="str">
        <f>IF(OR(ISBLANK($B287),ISBLANK($I287)),"",IFERROR(IF($I287&lt;=DATE('ESTADO CONTABLE'!$B$2,3,5),VLOOKUP($B287,COSTOS!$A$2:$B1014,2,FALSE)-150,VLOOKUP($B287,COSTOS!$A$2:$B1014,2,FALSE)),"No encontrado o error"))</f>
        <v/>
      </c>
      <c r="K287" s="264"/>
      <c r="L287" s="249"/>
      <c r="M287" s="189"/>
      <c r="N287" s="264"/>
      <c r="O287" s="249"/>
      <c r="P287" s="250"/>
      <c r="Q287" s="264"/>
      <c r="R287" s="249"/>
      <c r="S287" s="250"/>
      <c r="T287" s="264"/>
      <c r="U287" s="249"/>
      <c r="V287" s="250"/>
      <c r="W287" s="264"/>
      <c r="X287" s="394"/>
      <c r="Y287" s="429"/>
      <c r="Z287" s="395"/>
      <c r="AA287" s="394"/>
      <c r="AB287" s="118" t="str">
        <f>IF(OR(ISBLANK($B287),ISBLANK($AA287)),"",IFERROR(IF($AA287&lt;=DATE('ESTADO CONTABLE'!$B$2,9,5),VLOOKUP($B287,COSTOS!$A$2:$B1014,2,FALSE)-150,VLOOKUP($B287,COSTOS!$A$2:$B1014,2,FALSE)),"No encontrado o error"))</f>
        <v/>
      </c>
      <c r="AC287" s="395"/>
      <c r="AD287" s="394"/>
      <c r="AE287" s="429" t="str">
        <f>IF(OR(ISBLANK($B287),ISBLANK($AD287)),"",IFERROR(IF($AD287&lt;=DATE('ESTADO CONTABLE'!$B$2,10,5),VLOOKUP($B287,COSTOS!$A$2:$B1014,2,FALSE)-150,VLOOKUP($B287,COSTOS!$A$2:$B1014,2,FALSE)),"No encontrado o error"))</f>
        <v/>
      </c>
      <c r="AF287" s="395"/>
      <c r="AG287" s="394"/>
      <c r="AH287" s="429" t="str">
        <f>IF(OR(ISBLANK($B287),ISBLANK($AG287)),"",IFERROR(IF($AG287&lt;=DATE('ESTADO CONTABLE'!$B$2,11,5),VLOOKUP($B287,COSTOS!$A$2:$B1014,2,FALSE)-150,VLOOKUP($B287,COSTOS!$A$2:$B1014,2,FALSE)),"No encontrado o error"))</f>
        <v/>
      </c>
      <c r="AI287" s="395"/>
      <c r="AJ287" s="394"/>
      <c r="AK287" s="429" t="str">
        <f>IF(OR(ISBLANK($B287),ISBLANK($AJ287)),"",IFERROR(IF($AJ287&lt;=DATE('ESTADO CONTABLE'!$B$2,12,5),VLOOKUP($B287,COSTOS!$A$2:$B1014,2,FALSE)-150,VLOOKUP($B287,COSTOS!$A$2:$B1014,2,FALSE)),"No encontrado o error"))</f>
        <v/>
      </c>
      <c r="AL287" s="395"/>
      <c r="AM287" s="254"/>
      <c r="AN287" s="255"/>
      <c r="AO287" s="256"/>
    </row>
    <row r="288" ht="22.5" customHeight="1">
      <c r="A288" s="431" t="str">
        <f>'BASE DE DATOSS'!A362</f>
        <v/>
      </c>
      <c r="B288" s="432" t="str">
        <f>'BASE DE DATOSS'!C362</f>
        <v/>
      </c>
      <c r="C288" s="263"/>
      <c r="D288" s="249"/>
      <c r="E288" s="250"/>
      <c r="F288" s="251"/>
      <c r="G288" s="262"/>
      <c r="H288" s="257"/>
      <c r="I288" s="249"/>
      <c r="J288" s="193" t="str">
        <f>IF(OR(ISBLANK($B288),ISBLANK($I288)),"",IFERROR(IF($I288&lt;=DATE('ESTADO CONTABLE'!$B$2,3,5),VLOOKUP($B288,COSTOS!$A$2:$B1014,2,FALSE)-150,VLOOKUP($B288,COSTOS!$A$2:$B1014,2,FALSE)),"No encontrado o error"))</f>
        <v/>
      </c>
      <c r="K288" s="264"/>
      <c r="L288" s="249"/>
      <c r="M288" s="189"/>
      <c r="N288" s="264"/>
      <c r="O288" s="249"/>
      <c r="P288" s="250"/>
      <c r="Q288" s="264"/>
      <c r="R288" s="249"/>
      <c r="S288" s="250"/>
      <c r="T288" s="264"/>
      <c r="U288" s="249"/>
      <c r="V288" s="250"/>
      <c r="W288" s="264"/>
      <c r="X288" s="394"/>
      <c r="Y288" s="429"/>
      <c r="Z288" s="395"/>
      <c r="AA288" s="394"/>
      <c r="AB288" s="118" t="str">
        <f>IF(OR(ISBLANK($B288),ISBLANK($AA288)),"",IFERROR(IF($AA288&lt;=DATE('ESTADO CONTABLE'!$B$2,9,5),VLOOKUP($B288,COSTOS!$A$2:$B1014,2,FALSE)-150,VLOOKUP($B288,COSTOS!$A$2:$B1014,2,FALSE)),"No encontrado o error"))</f>
        <v/>
      </c>
      <c r="AC288" s="395"/>
      <c r="AD288" s="394"/>
      <c r="AE288" s="429" t="str">
        <f>IF(OR(ISBLANK($B288),ISBLANK($AD288)),"",IFERROR(IF($AD288&lt;=DATE('ESTADO CONTABLE'!$B$2,10,5),VLOOKUP($B288,COSTOS!$A$2:$B1014,2,FALSE)-150,VLOOKUP($B288,COSTOS!$A$2:$B1014,2,FALSE)),"No encontrado o error"))</f>
        <v/>
      </c>
      <c r="AF288" s="395"/>
      <c r="AG288" s="394"/>
      <c r="AH288" s="429" t="str">
        <f>IF(OR(ISBLANK($B288),ISBLANK($AG288)),"",IFERROR(IF($AG288&lt;=DATE('ESTADO CONTABLE'!$B$2,11,5),VLOOKUP($B288,COSTOS!$A$2:$B1014,2,FALSE)-150,VLOOKUP($B288,COSTOS!$A$2:$B1014,2,FALSE)),"No encontrado o error"))</f>
        <v/>
      </c>
      <c r="AI288" s="395"/>
      <c r="AJ288" s="394"/>
      <c r="AK288" s="429" t="str">
        <f>IF(OR(ISBLANK($B288),ISBLANK($AJ288)),"",IFERROR(IF($AJ288&lt;=DATE('ESTADO CONTABLE'!$B$2,12,5),VLOOKUP($B288,COSTOS!$A$2:$B1014,2,FALSE)-150,VLOOKUP($B288,COSTOS!$A$2:$B1014,2,FALSE)),"No encontrado o error"))</f>
        <v/>
      </c>
      <c r="AL288" s="395"/>
      <c r="AM288" s="254"/>
      <c r="AN288" s="255"/>
      <c r="AO288" s="256"/>
    </row>
    <row r="289" ht="22.5" customHeight="1">
      <c r="A289" s="431" t="str">
        <f>'BASE DE DATOSS'!A363</f>
        <v/>
      </c>
      <c r="B289" s="432" t="str">
        <f>'BASE DE DATOSS'!C363</f>
        <v/>
      </c>
      <c r="C289" s="263"/>
      <c r="D289" s="249"/>
      <c r="E289" s="250"/>
      <c r="F289" s="251"/>
      <c r="G289" s="262"/>
      <c r="H289" s="257"/>
      <c r="I289" s="249"/>
      <c r="J289" s="193" t="str">
        <f>IF(OR(ISBLANK($B289),ISBLANK($I289)),"",IFERROR(IF($I289&lt;=DATE('ESTADO CONTABLE'!$B$2,3,5),VLOOKUP($B289,COSTOS!$A$2:$B1014,2,FALSE)-150,VLOOKUP($B289,COSTOS!$A$2:$B1014,2,FALSE)),"No encontrado o error"))</f>
        <v/>
      </c>
      <c r="K289" s="264"/>
      <c r="L289" s="249"/>
      <c r="M289" s="189"/>
      <c r="N289" s="264"/>
      <c r="O289" s="249"/>
      <c r="P289" s="250"/>
      <c r="Q289" s="264"/>
      <c r="R289" s="249"/>
      <c r="S289" s="250"/>
      <c r="T289" s="264"/>
      <c r="U289" s="249"/>
      <c r="V289" s="250"/>
      <c r="W289" s="264"/>
      <c r="X289" s="394"/>
      <c r="Y289" s="429"/>
      <c r="Z289" s="395"/>
      <c r="AA289" s="394"/>
      <c r="AB289" s="118" t="str">
        <f>IF(OR(ISBLANK($B289),ISBLANK($AA289)),"",IFERROR(IF($AA289&lt;=DATE('ESTADO CONTABLE'!$B$2,9,5),VLOOKUP($B289,COSTOS!$A$2:$B1014,2,FALSE)-150,VLOOKUP($B289,COSTOS!$A$2:$B1014,2,FALSE)),"No encontrado o error"))</f>
        <v/>
      </c>
      <c r="AC289" s="395"/>
      <c r="AD289" s="394"/>
      <c r="AE289" s="429" t="str">
        <f>IF(OR(ISBLANK($B289),ISBLANK($AD289)),"",IFERROR(IF($AD289&lt;=DATE('ESTADO CONTABLE'!$B$2,10,5),VLOOKUP($B289,COSTOS!$A$2:$B1014,2,FALSE)-150,VLOOKUP($B289,COSTOS!$A$2:$B1014,2,FALSE)),"No encontrado o error"))</f>
        <v/>
      </c>
      <c r="AF289" s="395"/>
      <c r="AG289" s="394"/>
      <c r="AH289" s="429" t="str">
        <f>IF(OR(ISBLANK($B289),ISBLANK($AG289)),"",IFERROR(IF($AG289&lt;=DATE('ESTADO CONTABLE'!$B$2,11,5),VLOOKUP($B289,COSTOS!$A$2:$B1014,2,FALSE)-150,VLOOKUP($B289,COSTOS!$A$2:$B1014,2,FALSE)),"No encontrado o error"))</f>
        <v/>
      </c>
      <c r="AI289" s="395"/>
      <c r="AJ289" s="394"/>
      <c r="AK289" s="429" t="str">
        <f>IF(OR(ISBLANK($B289),ISBLANK($AJ289)),"",IFERROR(IF($AJ289&lt;=DATE('ESTADO CONTABLE'!$B$2,12,5),VLOOKUP($B289,COSTOS!$A$2:$B1014,2,FALSE)-150,VLOOKUP($B289,COSTOS!$A$2:$B1014,2,FALSE)),"No encontrado o error"))</f>
        <v/>
      </c>
      <c r="AL289" s="395"/>
      <c r="AM289" s="254"/>
      <c r="AN289" s="255"/>
      <c r="AO289" s="256"/>
    </row>
    <row r="290" ht="22.5" customHeight="1">
      <c r="A290" s="431" t="str">
        <f>'BASE DE DATOSS'!A364</f>
        <v/>
      </c>
      <c r="B290" s="432" t="str">
        <f>'BASE DE DATOSS'!C364</f>
        <v/>
      </c>
      <c r="C290" s="263"/>
      <c r="D290" s="249"/>
      <c r="E290" s="250"/>
      <c r="F290" s="251"/>
      <c r="G290" s="262"/>
      <c r="H290" s="257"/>
      <c r="I290" s="249"/>
      <c r="J290" s="193" t="str">
        <f>IF(OR(ISBLANK($B290),ISBLANK($I290)),"",IFERROR(IF($I290&lt;=DATE('ESTADO CONTABLE'!$B$2,3,5),VLOOKUP($B290,COSTOS!$A$2:$B1014,2,FALSE)-150,VLOOKUP($B290,COSTOS!$A$2:$B1014,2,FALSE)),"No encontrado o error"))</f>
        <v/>
      </c>
      <c r="K290" s="264"/>
      <c r="L290" s="249"/>
      <c r="M290" s="189"/>
      <c r="N290" s="264"/>
      <c r="O290" s="249"/>
      <c r="P290" s="250"/>
      <c r="Q290" s="264"/>
      <c r="R290" s="249"/>
      <c r="S290" s="250"/>
      <c r="T290" s="264"/>
      <c r="U290" s="249"/>
      <c r="V290" s="250"/>
      <c r="W290" s="264"/>
      <c r="X290" s="394"/>
      <c r="Y290" s="429"/>
      <c r="Z290" s="395"/>
      <c r="AA290" s="394"/>
      <c r="AB290" s="118" t="str">
        <f>IF(OR(ISBLANK($B290),ISBLANK($AA290)),"",IFERROR(IF($AA290&lt;=DATE('ESTADO CONTABLE'!$B$2,9,5),VLOOKUP($B290,COSTOS!$A$2:$B1014,2,FALSE)-150,VLOOKUP($B290,COSTOS!$A$2:$B1014,2,FALSE)),"No encontrado o error"))</f>
        <v/>
      </c>
      <c r="AC290" s="395"/>
      <c r="AD290" s="394"/>
      <c r="AE290" s="429" t="str">
        <f>IF(OR(ISBLANK($B290),ISBLANK($AD290)),"",IFERROR(IF($AD290&lt;=DATE('ESTADO CONTABLE'!$B$2,10,5),VLOOKUP($B290,COSTOS!$A$2:$B1014,2,FALSE)-150,VLOOKUP($B290,COSTOS!$A$2:$B1014,2,FALSE)),"No encontrado o error"))</f>
        <v/>
      </c>
      <c r="AF290" s="395"/>
      <c r="AG290" s="394"/>
      <c r="AH290" s="429" t="str">
        <f>IF(OR(ISBLANK($B290),ISBLANK($AG290)),"",IFERROR(IF($AG290&lt;=DATE('ESTADO CONTABLE'!$B$2,11,5),VLOOKUP($B290,COSTOS!$A$2:$B1014,2,FALSE)-150,VLOOKUP($B290,COSTOS!$A$2:$B1014,2,FALSE)),"No encontrado o error"))</f>
        <v/>
      </c>
      <c r="AI290" s="395"/>
      <c r="AJ290" s="394"/>
      <c r="AK290" s="429" t="str">
        <f>IF(OR(ISBLANK($B290),ISBLANK($AJ290)),"",IFERROR(IF($AJ290&lt;=DATE('ESTADO CONTABLE'!$B$2,12,5),VLOOKUP($B290,COSTOS!$A$2:$B1014,2,FALSE)-150,VLOOKUP($B290,COSTOS!$A$2:$B1014,2,FALSE)),"No encontrado o error"))</f>
        <v/>
      </c>
      <c r="AL290" s="395"/>
      <c r="AM290" s="254"/>
      <c r="AN290" s="255"/>
      <c r="AO290" s="256"/>
    </row>
    <row r="291" ht="22.5" customHeight="1">
      <c r="A291" s="431" t="str">
        <f>'BASE DE DATOSS'!A365</f>
        <v/>
      </c>
      <c r="B291" s="432" t="str">
        <f>'BASE DE DATOSS'!C365</f>
        <v/>
      </c>
      <c r="C291" s="263"/>
      <c r="D291" s="249"/>
      <c r="E291" s="250"/>
      <c r="F291" s="251"/>
      <c r="G291" s="262"/>
      <c r="H291" s="257"/>
      <c r="I291" s="249"/>
      <c r="J291" s="193" t="str">
        <f>IF(OR(ISBLANK($B291),ISBLANK($I291)),"",IFERROR(IF($I291&lt;=DATE('ESTADO CONTABLE'!$B$2,3,5),VLOOKUP($B291,COSTOS!$A$2:$B1014,2,FALSE)-150,VLOOKUP($B291,COSTOS!$A$2:$B1014,2,FALSE)),"No encontrado o error"))</f>
        <v/>
      </c>
      <c r="K291" s="264"/>
      <c r="L291" s="249"/>
      <c r="M291" s="189"/>
      <c r="N291" s="264"/>
      <c r="O291" s="249"/>
      <c r="P291" s="250"/>
      <c r="Q291" s="264"/>
      <c r="R291" s="249"/>
      <c r="S291" s="250"/>
      <c r="T291" s="264"/>
      <c r="U291" s="249"/>
      <c r="V291" s="250"/>
      <c r="W291" s="264"/>
      <c r="X291" s="394"/>
      <c r="Y291" s="429"/>
      <c r="Z291" s="395"/>
      <c r="AA291" s="394"/>
      <c r="AB291" s="118" t="str">
        <f>IF(OR(ISBLANK($B291),ISBLANK($AA291)),"",IFERROR(IF($AA291&lt;=DATE('ESTADO CONTABLE'!$B$2,9,5),VLOOKUP($B291,COSTOS!$A$2:$B1014,2,FALSE)-150,VLOOKUP($B291,COSTOS!$A$2:$B1014,2,FALSE)),"No encontrado o error"))</f>
        <v/>
      </c>
      <c r="AC291" s="395"/>
      <c r="AD291" s="394"/>
      <c r="AE291" s="429" t="str">
        <f>IF(OR(ISBLANK($B291),ISBLANK($AD291)),"",IFERROR(IF($AD291&lt;=DATE('ESTADO CONTABLE'!$B$2,10,5),VLOOKUP($B291,COSTOS!$A$2:$B1014,2,FALSE)-150,VLOOKUP($B291,COSTOS!$A$2:$B1014,2,FALSE)),"No encontrado o error"))</f>
        <v/>
      </c>
      <c r="AF291" s="395"/>
      <c r="AG291" s="394"/>
      <c r="AH291" s="429" t="str">
        <f>IF(OR(ISBLANK($B291),ISBLANK($AG291)),"",IFERROR(IF($AG291&lt;=DATE('ESTADO CONTABLE'!$B$2,11,5),VLOOKUP($B291,COSTOS!$A$2:$B1014,2,FALSE)-150,VLOOKUP($B291,COSTOS!$A$2:$B1014,2,FALSE)),"No encontrado o error"))</f>
        <v/>
      </c>
      <c r="AI291" s="395"/>
      <c r="AJ291" s="394"/>
      <c r="AK291" s="429" t="str">
        <f>IF(OR(ISBLANK($B291),ISBLANK($AJ291)),"",IFERROR(IF($AJ291&lt;=DATE('ESTADO CONTABLE'!$B$2,12,5),VLOOKUP($B291,COSTOS!$A$2:$B1014,2,FALSE)-150,VLOOKUP($B291,COSTOS!$A$2:$B1014,2,FALSE)),"No encontrado o error"))</f>
        <v/>
      </c>
      <c r="AL291" s="395"/>
      <c r="AM291" s="254"/>
      <c r="AN291" s="255"/>
      <c r="AO291" s="256"/>
    </row>
    <row r="292" ht="22.5" customHeight="1">
      <c r="A292" s="431" t="str">
        <f>'BASE DE DATOSS'!A366</f>
        <v/>
      </c>
      <c r="B292" s="432" t="str">
        <f>'BASE DE DATOSS'!C366</f>
        <v/>
      </c>
      <c r="C292" s="263"/>
      <c r="D292" s="249"/>
      <c r="E292" s="250"/>
      <c r="F292" s="251"/>
      <c r="G292" s="262"/>
      <c r="H292" s="257"/>
      <c r="I292" s="249"/>
      <c r="J292" s="193" t="str">
        <f>IF(OR(ISBLANK($B292),ISBLANK($I292)),"",IFERROR(IF($I292&lt;=DATE('ESTADO CONTABLE'!$B$2,3,5),VLOOKUP($B292,COSTOS!$A$2:$B1014,2,FALSE)-150,VLOOKUP($B292,COSTOS!$A$2:$B1014,2,FALSE)),"No encontrado o error"))</f>
        <v/>
      </c>
      <c r="K292" s="264"/>
      <c r="L292" s="249"/>
      <c r="M292" s="189"/>
      <c r="N292" s="264"/>
      <c r="O292" s="249"/>
      <c r="P292" s="250"/>
      <c r="Q292" s="264"/>
      <c r="R292" s="249"/>
      <c r="S292" s="250"/>
      <c r="T292" s="264"/>
      <c r="U292" s="249"/>
      <c r="V292" s="250"/>
      <c r="W292" s="264"/>
      <c r="X292" s="394"/>
      <c r="Y292" s="429"/>
      <c r="Z292" s="395"/>
      <c r="AA292" s="394"/>
      <c r="AB292" s="118" t="str">
        <f>IF(OR(ISBLANK($B292),ISBLANK($AA292)),"",IFERROR(IF($AA292&lt;=DATE('ESTADO CONTABLE'!$B$2,9,5),VLOOKUP($B292,COSTOS!$A$2:$B1014,2,FALSE)-150,VLOOKUP($B292,COSTOS!$A$2:$B1014,2,FALSE)),"No encontrado o error"))</f>
        <v/>
      </c>
      <c r="AC292" s="395"/>
      <c r="AD292" s="394"/>
      <c r="AE292" s="429" t="str">
        <f>IF(OR(ISBLANK($B292),ISBLANK($AD292)),"",IFERROR(IF($AD292&lt;=DATE('ESTADO CONTABLE'!$B$2,10,5),VLOOKUP($B292,COSTOS!$A$2:$B1014,2,FALSE)-150,VLOOKUP($B292,COSTOS!$A$2:$B1014,2,FALSE)),"No encontrado o error"))</f>
        <v/>
      </c>
      <c r="AF292" s="395"/>
      <c r="AG292" s="394"/>
      <c r="AH292" s="429" t="str">
        <f>IF(OR(ISBLANK($B292),ISBLANK($AG292)),"",IFERROR(IF($AG292&lt;=DATE('ESTADO CONTABLE'!$B$2,11,5),VLOOKUP($B292,COSTOS!$A$2:$B1014,2,FALSE)-150,VLOOKUP($B292,COSTOS!$A$2:$B1014,2,FALSE)),"No encontrado o error"))</f>
        <v/>
      </c>
      <c r="AI292" s="395"/>
      <c r="AJ292" s="394"/>
      <c r="AK292" s="429" t="str">
        <f>IF(OR(ISBLANK($B292),ISBLANK($AJ292)),"",IFERROR(IF($AJ292&lt;=DATE('ESTADO CONTABLE'!$B$2,12,5),VLOOKUP($B292,COSTOS!$A$2:$B1014,2,FALSE)-150,VLOOKUP($B292,COSTOS!$A$2:$B1014,2,FALSE)),"No encontrado o error"))</f>
        <v/>
      </c>
      <c r="AL292" s="395"/>
      <c r="AM292" s="254"/>
      <c r="AN292" s="255"/>
      <c r="AO292" s="256"/>
    </row>
    <row r="293" ht="22.5" customHeight="1">
      <c r="A293" s="431" t="str">
        <f>'BASE DE DATOSS'!A367</f>
        <v/>
      </c>
      <c r="B293" s="432" t="str">
        <f>'BASE DE DATOSS'!C367</f>
        <v/>
      </c>
      <c r="C293" s="263"/>
      <c r="D293" s="249"/>
      <c r="E293" s="250"/>
      <c r="F293" s="251"/>
      <c r="G293" s="262"/>
      <c r="H293" s="257"/>
      <c r="I293" s="249"/>
      <c r="J293" s="193" t="str">
        <f>IF(OR(ISBLANK($B293),ISBLANK($I293)),"",IFERROR(IF($I293&lt;=DATE('ESTADO CONTABLE'!$B$2,3,5),VLOOKUP($B293,COSTOS!$A$2:$B1014,2,FALSE)-150,VLOOKUP($B293,COSTOS!$A$2:$B1014,2,FALSE)),"No encontrado o error"))</f>
        <v/>
      </c>
      <c r="K293" s="264"/>
      <c r="L293" s="249"/>
      <c r="M293" s="189"/>
      <c r="N293" s="264"/>
      <c r="O293" s="249"/>
      <c r="P293" s="250"/>
      <c r="Q293" s="264"/>
      <c r="R293" s="249"/>
      <c r="S293" s="250"/>
      <c r="T293" s="264"/>
      <c r="U293" s="249"/>
      <c r="V293" s="250"/>
      <c r="W293" s="264"/>
      <c r="X293" s="394"/>
      <c r="Y293" s="429"/>
      <c r="Z293" s="395"/>
      <c r="AA293" s="394"/>
      <c r="AB293" s="118" t="str">
        <f>IF(OR(ISBLANK($B293),ISBLANK($AA293)),"",IFERROR(IF($AA293&lt;=DATE('ESTADO CONTABLE'!$B$2,9,5),VLOOKUP($B293,COSTOS!$A$2:$B1014,2,FALSE)-150,VLOOKUP($B293,COSTOS!$A$2:$B1014,2,FALSE)),"No encontrado o error"))</f>
        <v/>
      </c>
      <c r="AC293" s="395"/>
      <c r="AD293" s="394"/>
      <c r="AE293" s="429" t="str">
        <f>IF(OR(ISBLANK($B293),ISBLANK($AD293)),"",IFERROR(IF($AD293&lt;=DATE('ESTADO CONTABLE'!$B$2,10,5),VLOOKUP($B293,COSTOS!$A$2:$B1014,2,FALSE)-150,VLOOKUP($B293,COSTOS!$A$2:$B1014,2,FALSE)),"No encontrado o error"))</f>
        <v/>
      </c>
      <c r="AF293" s="395"/>
      <c r="AG293" s="394"/>
      <c r="AH293" s="429" t="str">
        <f>IF(OR(ISBLANK($B293),ISBLANK($AG293)),"",IFERROR(IF($AG293&lt;=DATE('ESTADO CONTABLE'!$B$2,11,5),VLOOKUP($B293,COSTOS!$A$2:$B1014,2,FALSE)-150,VLOOKUP($B293,COSTOS!$A$2:$B1014,2,FALSE)),"No encontrado o error"))</f>
        <v/>
      </c>
      <c r="AI293" s="395"/>
      <c r="AJ293" s="394"/>
      <c r="AK293" s="429" t="str">
        <f>IF(OR(ISBLANK($B293),ISBLANK($AJ293)),"",IFERROR(IF($AJ293&lt;=DATE('ESTADO CONTABLE'!$B$2,12,5),VLOOKUP($B293,COSTOS!$A$2:$B1014,2,FALSE)-150,VLOOKUP($B293,COSTOS!$A$2:$B1014,2,FALSE)),"No encontrado o error"))</f>
        <v/>
      </c>
      <c r="AL293" s="395"/>
      <c r="AM293" s="254"/>
      <c r="AN293" s="255"/>
      <c r="AO293" s="256"/>
    </row>
    <row r="294" ht="22.5" customHeight="1">
      <c r="A294" s="431" t="str">
        <f>'BASE DE DATOSS'!A368</f>
        <v/>
      </c>
      <c r="B294" s="432" t="str">
        <f>'BASE DE DATOSS'!C368</f>
        <v/>
      </c>
      <c r="C294" s="263"/>
      <c r="D294" s="249"/>
      <c r="E294" s="250"/>
      <c r="F294" s="251"/>
      <c r="G294" s="262"/>
      <c r="H294" s="257"/>
      <c r="I294" s="249"/>
      <c r="J294" s="193" t="str">
        <f>IF(OR(ISBLANK($B294),ISBLANK($I294)),"",IFERROR(IF($I294&lt;=DATE('ESTADO CONTABLE'!$B$2,3,5),VLOOKUP($B294,COSTOS!$A$2:$B1014,2,FALSE)-150,VLOOKUP($B294,COSTOS!$A$2:$B1014,2,FALSE)),"No encontrado o error"))</f>
        <v/>
      </c>
      <c r="K294" s="264"/>
      <c r="L294" s="249"/>
      <c r="M294" s="189"/>
      <c r="N294" s="264"/>
      <c r="O294" s="249"/>
      <c r="P294" s="250"/>
      <c r="Q294" s="264"/>
      <c r="R294" s="249"/>
      <c r="S294" s="250"/>
      <c r="T294" s="264"/>
      <c r="U294" s="249"/>
      <c r="V294" s="250"/>
      <c r="W294" s="264"/>
      <c r="X294" s="394"/>
      <c r="Y294" s="429"/>
      <c r="Z294" s="395"/>
      <c r="AA294" s="394"/>
      <c r="AB294" s="118" t="str">
        <f>IF(OR(ISBLANK($B294),ISBLANK($AA294)),"",IFERROR(IF($AA294&lt;=DATE('ESTADO CONTABLE'!$B$2,9,5),VLOOKUP($B294,COSTOS!$A$2:$B1014,2,FALSE)-150,VLOOKUP($B294,COSTOS!$A$2:$B1014,2,FALSE)),"No encontrado o error"))</f>
        <v/>
      </c>
      <c r="AC294" s="395"/>
      <c r="AD294" s="394"/>
      <c r="AE294" s="429" t="str">
        <f>IF(OR(ISBLANK($B294),ISBLANK($AD294)),"",IFERROR(IF($AD294&lt;=DATE('ESTADO CONTABLE'!$B$2,10,5),VLOOKUP($B294,COSTOS!$A$2:$B1014,2,FALSE)-150,VLOOKUP($B294,COSTOS!$A$2:$B1014,2,FALSE)),"No encontrado o error"))</f>
        <v/>
      </c>
      <c r="AF294" s="395"/>
      <c r="AG294" s="394"/>
      <c r="AH294" s="429" t="str">
        <f>IF(OR(ISBLANK($B294),ISBLANK($AG294)),"",IFERROR(IF($AG294&lt;=DATE('ESTADO CONTABLE'!$B$2,11,5),VLOOKUP($B294,COSTOS!$A$2:$B1014,2,FALSE)-150,VLOOKUP($B294,COSTOS!$A$2:$B1014,2,FALSE)),"No encontrado o error"))</f>
        <v/>
      </c>
      <c r="AI294" s="395"/>
      <c r="AJ294" s="394"/>
      <c r="AK294" s="429" t="str">
        <f>IF(OR(ISBLANK($B294),ISBLANK($AJ294)),"",IFERROR(IF($AJ294&lt;=DATE('ESTADO CONTABLE'!$B$2,12,5),VLOOKUP($B294,COSTOS!$A$2:$B1014,2,FALSE)-150,VLOOKUP($B294,COSTOS!$A$2:$B1014,2,FALSE)),"No encontrado o error"))</f>
        <v/>
      </c>
      <c r="AL294" s="395"/>
      <c r="AM294" s="254"/>
      <c r="AN294" s="255"/>
      <c r="AO294" s="256"/>
    </row>
    <row r="295" ht="22.5" customHeight="1">
      <c r="A295" s="431" t="str">
        <f>'BASE DE DATOSS'!A369</f>
        <v/>
      </c>
      <c r="B295" s="432" t="str">
        <f>'BASE DE DATOSS'!C369</f>
        <v/>
      </c>
      <c r="C295" s="263"/>
      <c r="D295" s="249"/>
      <c r="E295" s="250"/>
      <c r="F295" s="251"/>
      <c r="G295" s="262"/>
      <c r="H295" s="257"/>
      <c r="I295" s="249"/>
      <c r="J295" s="193" t="str">
        <f>IF(OR(ISBLANK($B295),ISBLANK($I295)),"",IFERROR(IF($I295&lt;=DATE('ESTADO CONTABLE'!$B$2,3,5),VLOOKUP($B295,COSTOS!$A$2:$B1014,2,FALSE)-150,VLOOKUP($B295,COSTOS!$A$2:$B1014,2,FALSE)),"No encontrado o error"))</f>
        <v/>
      </c>
      <c r="K295" s="264"/>
      <c r="L295" s="249"/>
      <c r="M295" s="189"/>
      <c r="N295" s="264"/>
      <c r="O295" s="249"/>
      <c r="P295" s="250"/>
      <c r="Q295" s="264"/>
      <c r="R295" s="249"/>
      <c r="S295" s="250"/>
      <c r="T295" s="264"/>
      <c r="U295" s="249"/>
      <c r="V295" s="250"/>
      <c r="W295" s="264"/>
      <c r="X295" s="394"/>
      <c r="Y295" s="429"/>
      <c r="Z295" s="395"/>
      <c r="AA295" s="394"/>
      <c r="AB295" s="118" t="str">
        <f>IF(OR(ISBLANK($B295),ISBLANK($AA295)),"",IFERROR(IF($AA295&lt;=DATE('ESTADO CONTABLE'!$B$2,9,5),VLOOKUP($B295,COSTOS!$A$2:$B1014,2,FALSE)-150,VLOOKUP($B295,COSTOS!$A$2:$B1014,2,FALSE)),"No encontrado o error"))</f>
        <v/>
      </c>
      <c r="AC295" s="395"/>
      <c r="AD295" s="394"/>
      <c r="AE295" s="429" t="str">
        <f>IF(OR(ISBLANK($B295),ISBLANK($AD295)),"",IFERROR(IF($AD295&lt;=DATE('ESTADO CONTABLE'!$B$2,10,5),VLOOKUP($B295,COSTOS!$A$2:$B1014,2,FALSE)-150,VLOOKUP($B295,COSTOS!$A$2:$B1014,2,FALSE)),"No encontrado o error"))</f>
        <v/>
      </c>
      <c r="AF295" s="395"/>
      <c r="AG295" s="394"/>
      <c r="AH295" s="429" t="str">
        <f>IF(OR(ISBLANK($B295),ISBLANK($AG295)),"",IFERROR(IF($AG295&lt;=DATE('ESTADO CONTABLE'!$B$2,11,5),VLOOKUP($B295,COSTOS!$A$2:$B1014,2,FALSE)-150,VLOOKUP($B295,COSTOS!$A$2:$B1014,2,FALSE)),"No encontrado o error"))</f>
        <v/>
      </c>
      <c r="AI295" s="395"/>
      <c r="AJ295" s="394"/>
      <c r="AK295" s="429" t="str">
        <f>IF(OR(ISBLANK($B295),ISBLANK($AJ295)),"",IFERROR(IF($AJ295&lt;=DATE('ESTADO CONTABLE'!$B$2,12,5),VLOOKUP($B295,COSTOS!$A$2:$B1014,2,FALSE)-150,VLOOKUP($B295,COSTOS!$A$2:$B1014,2,FALSE)),"No encontrado o error"))</f>
        <v/>
      </c>
      <c r="AL295" s="395"/>
      <c r="AM295" s="254"/>
      <c r="AN295" s="255"/>
      <c r="AO295" s="256"/>
    </row>
    <row r="296" ht="22.5" customHeight="1">
      <c r="A296" s="431" t="str">
        <f>'BASE DE DATOSS'!A370</f>
        <v/>
      </c>
      <c r="B296" s="432" t="str">
        <f>'BASE DE DATOSS'!C370</f>
        <v/>
      </c>
      <c r="C296" s="263"/>
      <c r="D296" s="249"/>
      <c r="E296" s="250"/>
      <c r="F296" s="251"/>
      <c r="G296" s="262"/>
      <c r="H296" s="257"/>
      <c r="I296" s="249"/>
      <c r="J296" s="193" t="str">
        <f>IF(OR(ISBLANK($B296),ISBLANK($I296)),"",IFERROR(IF($I296&lt;=DATE('ESTADO CONTABLE'!$B$2,3,5),VLOOKUP($B296,COSTOS!$A$2:$B1014,2,FALSE)-150,VLOOKUP($B296,COSTOS!$A$2:$B1014,2,FALSE)),"No encontrado o error"))</f>
        <v/>
      </c>
      <c r="K296" s="264"/>
      <c r="L296" s="249"/>
      <c r="M296" s="189"/>
      <c r="N296" s="264"/>
      <c r="O296" s="249"/>
      <c r="P296" s="250"/>
      <c r="Q296" s="264"/>
      <c r="R296" s="249"/>
      <c r="S296" s="250"/>
      <c r="T296" s="264"/>
      <c r="U296" s="249"/>
      <c r="V296" s="250"/>
      <c r="W296" s="264"/>
      <c r="X296" s="394"/>
      <c r="Y296" s="429"/>
      <c r="Z296" s="395"/>
      <c r="AA296" s="394"/>
      <c r="AB296" s="118" t="str">
        <f>IF(OR(ISBLANK($B296),ISBLANK($AA296)),"",IFERROR(IF($AA296&lt;=DATE('ESTADO CONTABLE'!$B$2,9,5),VLOOKUP($B296,COSTOS!$A$2:$B1014,2,FALSE)-150,VLOOKUP($B296,COSTOS!$A$2:$B1014,2,FALSE)),"No encontrado o error"))</f>
        <v/>
      </c>
      <c r="AC296" s="395"/>
      <c r="AD296" s="394"/>
      <c r="AE296" s="429" t="str">
        <f>IF(OR(ISBLANK($B296),ISBLANK($AD296)),"",IFERROR(IF($AD296&lt;=DATE('ESTADO CONTABLE'!$B$2,10,5),VLOOKUP($B296,COSTOS!$A$2:$B1014,2,FALSE)-150,VLOOKUP($B296,COSTOS!$A$2:$B1014,2,FALSE)),"No encontrado o error"))</f>
        <v/>
      </c>
      <c r="AF296" s="395"/>
      <c r="AG296" s="394"/>
      <c r="AH296" s="429" t="str">
        <f>IF(OR(ISBLANK($B296),ISBLANK($AG296)),"",IFERROR(IF($AG296&lt;=DATE('ESTADO CONTABLE'!$B$2,11,5),VLOOKUP($B296,COSTOS!$A$2:$B1014,2,FALSE)-150,VLOOKUP($B296,COSTOS!$A$2:$B1014,2,FALSE)),"No encontrado o error"))</f>
        <v/>
      </c>
      <c r="AI296" s="395"/>
      <c r="AJ296" s="394"/>
      <c r="AK296" s="429" t="str">
        <f>IF(OR(ISBLANK($B296),ISBLANK($AJ296)),"",IFERROR(IF($AJ296&lt;=DATE('ESTADO CONTABLE'!$B$2,12,5),VLOOKUP($B296,COSTOS!$A$2:$B1014,2,FALSE)-150,VLOOKUP($B296,COSTOS!$A$2:$B1014,2,FALSE)),"No encontrado o error"))</f>
        <v/>
      </c>
      <c r="AL296" s="395"/>
      <c r="AM296" s="254"/>
      <c r="AN296" s="255"/>
      <c r="AO296" s="256"/>
    </row>
    <row r="297" ht="22.5" customHeight="1">
      <c r="A297" s="431" t="str">
        <f>'BASE DE DATOSS'!A371</f>
        <v/>
      </c>
      <c r="B297" s="432" t="str">
        <f>'BASE DE DATOSS'!C371</f>
        <v/>
      </c>
      <c r="C297" s="263"/>
      <c r="D297" s="249"/>
      <c r="E297" s="250"/>
      <c r="F297" s="251"/>
      <c r="G297" s="262"/>
      <c r="H297" s="257"/>
      <c r="I297" s="249"/>
      <c r="J297" s="193" t="str">
        <f>IF(OR(ISBLANK($B297),ISBLANK($I297)),"",IFERROR(IF($I297&lt;=DATE('ESTADO CONTABLE'!$B$2,3,5),VLOOKUP($B297,COSTOS!$A$2:$B1014,2,FALSE)-150,VLOOKUP($B297,COSTOS!$A$2:$B1014,2,FALSE)),"No encontrado o error"))</f>
        <v/>
      </c>
      <c r="K297" s="264"/>
      <c r="L297" s="249"/>
      <c r="M297" s="189"/>
      <c r="N297" s="264"/>
      <c r="O297" s="249"/>
      <c r="P297" s="250"/>
      <c r="Q297" s="264"/>
      <c r="R297" s="249"/>
      <c r="S297" s="250"/>
      <c r="T297" s="264"/>
      <c r="U297" s="249"/>
      <c r="V297" s="250"/>
      <c r="W297" s="264"/>
      <c r="X297" s="394"/>
      <c r="Y297" s="429"/>
      <c r="Z297" s="395"/>
      <c r="AA297" s="394"/>
      <c r="AB297" s="118" t="str">
        <f>IF(OR(ISBLANK($B297),ISBLANK($AA297)),"",IFERROR(IF($AA297&lt;=DATE('ESTADO CONTABLE'!$B$2,9,5),VLOOKUP($B297,COSTOS!$A$2:$B1014,2,FALSE)-150,VLOOKUP($B297,COSTOS!$A$2:$B1014,2,FALSE)),"No encontrado o error"))</f>
        <v/>
      </c>
      <c r="AC297" s="395"/>
      <c r="AD297" s="394"/>
      <c r="AE297" s="429" t="str">
        <f>IF(OR(ISBLANK($B297),ISBLANK($AD297)),"",IFERROR(IF($AD297&lt;=DATE('ESTADO CONTABLE'!$B$2,10,5),VLOOKUP($B297,COSTOS!$A$2:$B1014,2,FALSE)-150,VLOOKUP($B297,COSTOS!$A$2:$B1014,2,FALSE)),"No encontrado o error"))</f>
        <v/>
      </c>
      <c r="AF297" s="395"/>
      <c r="AG297" s="394"/>
      <c r="AH297" s="429" t="str">
        <f>IF(OR(ISBLANK($B297),ISBLANK($AG297)),"",IFERROR(IF($AG297&lt;=DATE('ESTADO CONTABLE'!$B$2,11,5),VLOOKUP($B297,COSTOS!$A$2:$B1014,2,FALSE)-150,VLOOKUP($B297,COSTOS!$A$2:$B1014,2,FALSE)),"No encontrado o error"))</f>
        <v/>
      </c>
      <c r="AI297" s="395"/>
      <c r="AJ297" s="394"/>
      <c r="AK297" s="429" t="str">
        <f>IF(OR(ISBLANK($B297),ISBLANK($AJ297)),"",IFERROR(IF($AJ297&lt;=DATE('ESTADO CONTABLE'!$B$2,12,5),VLOOKUP($B297,COSTOS!$A$2:$B1014,2,FALSE)-150,VLOOKUP($B297,COSTOS!$A$2:$B1014,2,FALSE)),"No encontrado o error"))</f>
        <v/>
      </c>
      <c r="AL297" s="395"/>
      <c r="AM297" s="254"/>
      <c r="AN297" s="255"/>
      <c r="AO297" s="256"/>
    </row>
    <row r="298" ht="22.5" customHeight="1">
      <c r="A298" s="431" t="str">
        <f>'BASE DE DATOSS'!A372</f>
        <v/>
      </c>
      <c r="B298" s="432" t="str">
        <f>'BASE DE DATOSS'!C372</f>
        <v/>
      </c>
      <c r="C298" s="263"/>
      <c r="D298" s="249"/>
      <c r="E298" s="250"/>
      <c r="F298" s="251"/>
      <c r="G298" s="262"/>
      <c r="H298" s="257"/>
      <c r="I298" s="249"/>
      <c r="J298" s="193" t="str">
        <f>IF(OR(ISBLANK($B298),ISBLANK($I298)),"",IFERROR(IF($I298&lt;=DATE('ESTADO CONTABLE'!$B$2,3,5),VLOOKUP($B298,COSTOS!$A$2:$B1014,2,FALSE)-150,VLOOKUP($B298,COSTOS!$A$2:$B1014,2,FALSE)),"No encontrado o error"))</f>
        <v/>
      </c>
      <c r="K298" s="264"/>
      <c r="L298" s="249"/>
      <c r="M298" s="189"/>
      <c r="N298" s="264"/>
      <c r="O298" s="249"/>
      <c r="P298" s="250"/>
      <c r="Q298" s="264"/>
      <c r="R298" s="249"/>
      <c r="S298" s="250"/>
      <c r="T298" s="264"/>
      <c r="U298" s="249"/>
      <c r="V298" s="250"/>
      <c r="W298" s="264"/>
      <c r="X298" s="394"/>
      <c r="Y298" s="429"/>
      <c r="Z298" s="395"/>
      <c r="AA298" s="394"/>
      <c r="AB298" s="118" t="str">
        <f>IF(OR(ISBLANK($B298),ISBLANK($AA298)),"",IFERROR(IF($AA298&lt;=DATE('ESTADO CONTABLE'!$B$2,9,5),VLOOKUP($B298,COSTOS!$A$2:$B1014,2,FALSE)-150,VLOOKUP($B298,COSTOS!$A$2:$B1014,2,FALSE)),"No encontrado o error"))</f>
        <v/>
      </c>
      <c r="AC298" s="395"/>
      <c r="AD298" s="394"/>
      <c r="AE298" s="429" t="str">
        <f>IF(OR(ISBLANK($B298),ISBLANK($AD298)),"",IFERROR(IF($AD298&lt;=DATE('ESTADO CONTABLE'!$B$2,10,5),VLOOKUP($B298,COSTOS!$A$2:$B1014,2,FALSE)-150,VLOOKUP($B298,COSTOS!$A$2:$B1014,2,FALSE)),"No encontrado o error"))</f>
        <v/>
      </c>
      <c r="AF298" s="395"/>
      <c r="AG298" s="394"/>
      <c r="AH298" s="429" t="str">
        <f>IF(OR(ISBLANK($B298),ISBLANK($AG298)),"",IFERROR(IF($AG298&lt;=DATE('ESTADO CONTABLE'!$B$2,11,5),VLOOKUP($B298,COSTOS!$A$2:$B1014,2,FALSE)-150,VLOOKUP($B298,COSTOS!$A$2:$B1014,2,FALSE)),"No encontrado o error"))</f>
        <v/>
      </c>
      <c r="AI298" s="395"/>
      <c r="AJ298" s="394"/>
      <c r="AK298" s="429" t="str">
        <f>IF(OR(ISBLANK($B298),ISBLANK($AJ298)),"",IFERROR(IF($AJ298&lt;=DATE('ESTADO CONTABLE'!$B$2,12,5),VLOOKUP($B298,COSTOS!$A$2:$B1014,2,FALSE)-150,VLOOKUP($B298,COSTOS!$A$2:$B1014,2,FALSE)),"No encontrado o error"))</f>
        <v/>
      </c>
      <c r="AL298" s="395"/>
      <c r="AM298" s="254"/>
      <c r="AN298" s="255"/>
      <c r="AO298" s="256"/>
    </row>
    <row r="299" ht="22.5" customHeight="1">
      <c r="A299" s="431" t="str">
        <f>'BASE DE DATOSS'!A373</f>
        <v/>
      </c>
      <c r="B299" s="432" t="str">
        <f>'BASE DE DATOSS'!C373</f>
        <v/>
      </c>
      <c r="C299" s="263"/>
      <c r="D299" s="249"/>
      <c r="E299" s="250"/>
      <c r="F299" s="251"/>
      <c r="G299" s="262"/>
      <c r="H299" s="257"/>
      <c r="I299" s="249"/>
      <c r="J299" s="193" t="str">
        <f>IF(OR(ISBLANK($B299),ISBLANK($I299)),"",IFERROR(IF($I299&lt;=DATE('ESTADO CONTABLE'!$B$2,3,5),VLOOKUP($B299,COSTOS!$A$2:$B1014,2,FALSE)-150,VLOOKUP($B299,COSTOS!$A$2:$B1014,2,FALSE)),"No encontrado o error"))</f>
        <v/>
      </c>
      <c r="K299" s="264"/>
      <c r="L299" s="249"/>
      <c r="M299" s="189"/>
      <c r="N299" s="264"/>
      <c r="O299" s="249"/>
      <c r="P299" s="250"/>
      <c r="Q299" s="264"/>
      <c r="R299" s="249"/>
      <c r="S299" s="250"/>
      <c r="T299" s="264"/>
      <c r="U299" s="249"/>
      <c r="V299" s="250"/>
      <c r="W299" s="264"/>
      <c r="X299" s="394"/>
      <c r="Y299" s="429"/>
      <c r="Z299" s="395"/>
      <c r="AA299" s="394"/>
      <c r="AB299" s="118" t="str">
        <f>IF(OR(ISBLANK($B299),ISBLANK($AA299)),"",IFERROR(IF($AA299&lt;=DATE('ESTADO CONTABLE'!$B$2,9,5),VLOOKUP($B299,COSTOS!$A$2:$B1014,2,FALSE)-150,VLOOKUP($B299,COSTOS!$A$2:$B1014,2,FALSE)),"No encontrado o error"))</f>
        <v/>
      </c>
      <c r="AC299" s="395"/>
      <c r="AD299" s="394"/>
      <c r="AE299" s="429" t="str">
        <f>IF(OR(ISBLANK($B299),ISBLANK($AD299)),"",IFERROR(IF($AD299&lt;=DATE('ESTADO CONTABLE'!$B$2,10,5),VLOOKUP($B299,COSTOS!$A$2:$B1014,2,FALSE)-150,VLOOKUP($B299,COSTOS!$A$2:$B1014,2,FALSE)),"No encontrado o error"))</f>
        <v/>
      </c>
      <c r="AF299" s="395"/>
      <c r="AG299" s="394"/>
      <c r="AH299" s="429" t="str">
        <f>IF(OR(ISBLANK($B299),ISBLANK($AG299)),"",IFERROR(IF($AG299&lt;=DATE('ESTADO CONTABLE'!$B$2,11,5),VLOOKUP($B299,COSTOS!$A$2:$B1014,2,FALSE)-150,VLOOKUP($B299,COSTOS!$A$2:$B1014,2,FALSE)),"No encontrado o error"))</f>
        <v/>
      </c>
      <c r="AI299" s="395"/>
      <c r="AJ299" s="394"/>
      <c r="AK299" s="429" t="str">
        <f>IF(OR(ISBLANK($B299),ISBLANK($AJ299)),"",IFERROR(IF($AJ299&lt;=DATE('ESTADO CONTABLE'!$B$2,12,5),VLOOKUP($B299,COSTOS!$A$2:$B1014,2,FALSE)-150,VLOOKUP($B299,COSTOS!$A$2:$B1014,2,FALSE)),"No encontrado o error"))</f>
        <v/>
      </c>
      <c r="AL299" s="395"/>
      <c r="AM299" s="254"/>
      <c r="AN299" s="255"/>
      <c r="AO299" s="256"/>
    </row>
    <row r="300" ht="22.5" customHeight="1">
      <c r="A300" s="431" t="str">
        <f>'BASE DE DATOSS'!A374</f>
        <v/>
      </c>
      <c r="B300" s="432" t="str">
        <f>'BASE DE DATOSS'!C374</f>
        <v/>
      </c>
      <c r="C300" s="263"/>
      <c r="D300" s="249"/>
      <c r="E300" s="250"/>
      <c r="F300" s="251"/>
      <c r="G300" s="262"/>
      <c r="H300" s="257"/>
      <c r="I300" s="249"/>
      <c r="J300" s="193" t="str">
        <f>IF(OR(ISBLANK($B300),ISBLANK($I300)),"",IFERROR(IF($I300&lt;=DATE('ESTADO CONTABLE'!$B$2,3,5),VLOOKUP($B300,COSTOS!$A$2:$B1014,2,FALSE)-150,VLOOKUP($B300,COSTOS!$A$2:$B1014,2,FALSE)),"No encontrado o error"))</f>
        <v/>
      </c>
      <c r="K300" s="264"/>
      <c r="L300" s="249"/>
      <c r="M300" s="189"/>
      <c r="N300" s="264"/>
      <c r="O300" s="249"/>
      <c r="P300" s="250"/>
      <c r="Q300" s="264"/>
      <c r="R300" s="249"/>
      <c r="S300" s="250"/>
      <c r="T300" s="264"/>
      <c r="U300" s="249"/>
      <c r="V300" s="250"/>
      <c r="W300" s="264"/>
      <c r="X300" s="394"/>
      <c r="Y300" s="429"/>
      <c r="Z300" s="395"/>
      <c r="AA300" s="394"/>
      <c r="AB300" s="118" t="str">
        <f>IF(OR(ISBLANK($B300),ISBLANK($AA300)),"",IFERROR(IF($AA300&lt;=DATE('ESTADO CONTABLE'!$B$2,9,5),VLOOKUP($B300,COSTOS!$A$2:$B1014,2,FALSE)-150,VLOOKUP($B300,COSTOS!$A$2:$B1014,2,FALSE)),"No encontrado o error"))</f>
        <v/>
      </c>
      <c r="AC300" s="395"/>
      <c r="AD300" s="394"/>
      <c r="AE300" s="429" t="str">
        <f>IF(OR(ISBLANK($B300),ISBLANK($AD300)),"",IFERROR(IF($AD300&lt;=DATE('ESTADO CONTABLE'!$B$2,10,5),VLOOKUP($B300,COSTOS!$A$2:$B1014,2,FALSE)-150,VLOOKUP($B300,COSTOS!$A$2:$B1014,2,FALSE)),"No encontrado o error"))</f>
        <v/>
      </c>
      <c r="AF300" s="395"/>
      <c r="AG300" s="394"/>
      <c r="AH300" s="429" t="str">
        <f>IF(OR(ISBLANK($B300),ISBLANK($AG300)),"",IFERROR(IF($AG300&lt;=DATE('ESTADO CONTABLE'!$B$2,11,5),VLOOKUP($B300,COSTOS!$A$2:$B1014,2,FALSE)-150,VLOOKUP($B300,COSTOS!$A$2:$B1014,2,FALSE)),"No encontrado o error"))</f>
        <v/>
      </c>
      <c r="AI300" s="395"/>
      <c r="AJ300" s="394"/>
      <c r="AK300" s="429" t="str">
        <f>IF(OR(ISBLANK($B300),ISBLANK($AJ300)),"",IFERROR(IF($AJ300&lt;=DATE('ESTADO CONTABLE'!$B$2,12,5),VLOOKUP($B300,COSTOS!$A$2:$B1014,2,FALSE)-150,VLOOKUP($B300,COSTOS!$A$2:$B1014,2,FALSE)),"No encontrado o error"))</f>
        <v/>
      </c>
      <c r="AL300" s="395"/>
      <c r="AM300" s="254"/>
      <c r="AN300" s="255"/>
      <c r="AO300" s="256"/>
    </row>
    <row r="301" ht="22.5" customHeight="1">
      <c r="A301" s="431" t="str">
        <f>'BASE DE DATOSS'!A375</f>
        <v/>
      </c>
      <c r="B301" s="432" t="str">
        <f>'BASE DE DATOSS'!C375</f>
        <v/>
      </c>
      <c r="C301" s="263"/>
      <c r="D301" s="249"/>
      <c r="E301" s="250"/>
      <c r="F301" s="251"/>
      <c r="G301" s="262"/>
      <c r="H301" s="257"/>
      <c r="I301" s="249"/>
      <c r="J301" s="193" t="str">
        <f>IF(OR(ISBLANK($B301),ISBLANK($I301)),"",IFERROR(IF($I301&lt;=DATE('ESTADO CONTABLE'!$B$2,3,5),VLOOKUP($B301,COSTOS!$A$2:$B1014,2,FALSE)-150,VLOOKUP($B301,COSTOS!$A$2:$B1014,2,FALSE)),"No encontrado o error"))</f>
        <v/>
      </c>
      <c r="K301" s="264"/>
      <c r="L301" s="249"/>
      <c r="M301" s="189"/>
      <c r="N301" s="264"/>
      <c r="O301" s="249"/>
      <c r="P301" s="250"/>
      <c r="Q301" s="264"/>
      <c r="R301" s="249"/>
      <c r="S301" s="250"/>
      <c r="T301" s="264"/>
      <c r="U301" s="249"/>
      <c r="V301" s="250"/>
      <c r="W301" s="264"/>
      <c r="X301" s="394"/>
      <c r="Y301" s="429"/>
      <c r="Z301" s="395"/>
      <c r="AA301" s="394"/>
      <c r="AB301" s="118" t="str">
        <f>IF(OR(ISBLANK($B301),ISBLANK($AA301)),"",IFERROR(IF($AA301&lt;=DATE('ESTADO CONTABLE'!$B$2,9,5),VLOOKUP($B301,COSTOS!$A$2:$B1014,2,FALSE)-150,VLOOKUP($B301,COSTOS!$A$2:$B1014,2,FALSE)),"No encontrado o error"))</f>
        <v/>
      </c>
      <c r="AC301" s="395"/>
      <c r="AD301" s="394"/>
      <c r="AE301" s="429" t="str">
        <f>IF(OR(ISBLANK($B301),ISBLANK($AD301)),"",IFERROR(IF($AD301&lt;=DATE('ESTADO CONTABLE'!$B$2,10,5),VLOOKUP($B301,COSTOS!$A$2:$B1014,2,FALSE)-150,VLOOKUP($B301,COSTOS!$A$2:$B1014,2,FALSE)),"No encontrado o error"))</f>
        <v/>
      </c>
      <c r="AF301" s="395"/>
      <c r="AG301" s="394"/>
      <c r="AH301" s="429" t="str">
        <f>IF(OR(ISBLANK($B301),ISBLANK($AG301)),"",IFERROR(IF($AG301&lt;=DATE('ESTADO CONTABLE'!$B$2,11,5),VLOOKUP($B301,COSTOS!$A$2:$B1014,2,FALSE)-150,VLOOKUP($B301,COSTOS!$A$2:$B1014,2,FALSE)),"No encontrado o error"))</f>
        <v/>
      </c>
      <c r="AI301" s="395"/>
      <c r="AJ301" s="394"/>
      <c r="AK301" s="429" t="str">
        <f>IF(OR(ISBLANK($B301),ISBLANK($AJ301)),"",IFERROR(IF($AJ301&lt;=DATE('ESTADO CONTABLE'!$B$2,12,5),VLOOKUP($B301,COSTOS!$A$2:$B1014,2,FALSE)-150,VLOOKUP($B301,COSTOS!$A$2:$B1014,2,FALSE)),"No encontrado o error"))</f>
        <v/>
      </c>
      <c r="AL301" s="395"/>
      <c r="AM301" s="254"/>
      <c r="AN301" s="255"/>
      <c r="AO301" s="256"/>
    </row>
    <row r="302" ht="22.5" customHeight="1">
      <c r="A302" s="431" t="str">
        <f>'BASE DE DATOSS'!A376</f>
        <v/>
      </c>
      <c r="B302" s="432" t="str">
        <f>'BASE DE DATOSS'!C376</f>
        <v/>
      </c>
      <c r="C302" s="263"/>
      <c r="D302" s="249"/>
      <c r="E302" s="250"/>
      <c r="F302" s="251"/>
      <c r="G302" s="262"/>
      <c r="H302" s="257"/>
      <c r="I302" s="249"/>
      <c r="J302" s="193" t="str">
        <f>IF(OR(ISBLANK($B302),ISBLANK($I302)),"",IFERROR(IF($I302&lt;=DATE('ESTADO CONTABLE'!$B$2,3,5),VLOOKUP($B302,COSTOS!$A$2:$B1014,2,FALSE)-150,VLOOKUP($B302,COSTOS!$A$2:$B1014,2,FALSE)),"No encontrado o error"))</f>
        <v/>
      </c>
      <c r="K302" s="264"/>
      <c r="L302" s="249"/>
      <c r="M302" s="189"/>
      <c r="N302" s="264"/>
      <c r="O302" s="249"/>
      <c r="P302" s="250"/>
      <c r="Q302" s="264"/>
      <c r="R302" s="249"/>
      <c r="S302" s="250"/>
      <c r="T302" s="264"/>
      <c r="U302" s="249"/>
      <c r="V302" s="250"/>
      <c r="W302" s="264"/>
      <c r="X302" s="394"/>
      <c r="Y302" s="429"/>
      <c r="Z302" s="395"/>
      <c r="AA302" s="394"/>
      <c r="AB302" s="118" t="str">
        <f>IF(OR(ISBLANK($B302),ISBLANK($AA302)),"",IFERROR(IF($AA302&lt;=DATE('ESTADO CONTABLE'!$B$2,9,5),VLOOKUP($B302,COSTOS!$A$2:$B1014,2,FALSE)-150,VLOOKUP($B302,COSTOS!$A$2:$B1014,2,FALSE)),"No encontrado o error"))</f>
        <v/>
      </c>
      <c r="AC302" s="395"/>
      <c r="AD302" s="394"/>
      <c r="AE302" s="429" t="str">
        <f>IF(OR(ISBLANK($B302),ISBLANK($AD302)),"",IFERROR(IF($AD302&lt;=DATE('ESTADO CONTABLE'!$B$2,10,5),VLOOKUP($B302,COSTOS!$A$2:$B1014,2,FALSE)-150,VLOOKUP($B302,COSTOS!$A$2:$B1014,2,FALSE)),"No encontrado o error"))</f>
        <v/>
      </c>
      <c r="AF302" s="395"/>
      <c r="AG302" s="394"/>
      <c r="AH302" s="429" t="str">
        <f>IF(OR(ISBLANK($B302),ISBLANK($AG302)),"",IFERROR(IF($AG302&lt;=DATE('ESTADO CONTABLE'!$B$2,11,5),VLOOKUP($B302,COSTOS!$A$2:$B1014,2,FALSE)-150,VLOOKUP($B302,COSTOS!$A$2:$B1014,2,FALSE)),"No encontrado o error"))</f>
        <v/>
      </c>
      <c r="AI302" s="395"/>
      <c r="AJ302" s="394"/>
      <c r="AK302" s="429" t="str">
        <f>IF(OR(ISBLANK($B302),ISBLANK($AJ302)),"",IFERROR(IF($AJ302&lt;=DATE('ESTADO CONTABLE'!$B$2,12,5),VLOOKUP($B302,COSTOS!$A$2:$B1014,2,FALSE)-150,VLOOKUP($B302,COSTOS!$A$2:$B1014,2,FALSE)),"No encontrado o error"))</f>
        <v/>
      </c>
      <c r="AL302" s="395"/>
      <c r="AM302" s="254"/>
      <c r="AN302" s="255"/>
      <c r="AO302" s="256"/>
    </row>
    <row r="303" ht="22.5" customHeight="1">
      <c r="A303" s="431" t="str">
        <f>'BASE DE DATOSS'!A377</f>
        <v/>
      </c>
      <c r="B303" s="432" t="str">
        <f>'BASE DE DATOSS'!C377</f>
        <v/>
      </c>
      <c r="C303" s="263"/>
      <c r="D303" s="249"/>
      <c r="E303" s="250"/>
      <c r="F303" s="251"/>
      <c r="G303" s="262"/>
      <c r="H303" s="257"/>
      <c r="I303" s="249"/>
      <c r="J303" s="193" t="str">
        <f>IF(OR(ISBLANK($B303),ISBLANK($I303)),"",IFERROR(IF($I303&lt;=DATE('ESTADO CONTABLE'!$B$2,3,5),VLOOKUP($B303,COSTOS!$A$2:$B1014,2,FALSE)-150,VLOOKUP($B303,COSTOS!$A$2:$B1014,2,FALSE)),"No encontrado o error"))</f>
        <v/>
      </c>
      <c r="K303" s="264"/>
      <c r="L303" s="249"/>
      <c r="M303" s="189"/>
      <c r="N303" s="264"/>
      <c r="O303" s="249"/>
      <c r="P303" s="250"/>
      <c r="Q303" s="264"/>
      <c r="R303" s="249"/>
      <c r="S303" s="250"/>
      <c r="T303" s="264"/>
      <c r="U303" s="249"/>
      <c r="V303" s="250"/>
      <c r="W303" s="264"/>
      <c r="X303" s="394"/>
      <c r="Y303" s="429"/>
      <c r="Z303" s="395"/>
      <c r="AA303" s="394"/>
      <c r="AB303" s="118" t="str">
        <f>IF(OR(ISBLANK($B303),ISBLANK($AA303)),"",IFERROR(IF($AA303&lt;=DATE('ESTADO CONTABLE'!$B$2,9,5),VLOOKUP($B303,COSTOS!$A$2:$B1014,2,FALSE)-150,VLOOKUP($B303,COSTOS!$A$2:$B1014,2,FALSE)),"No encontrado o error"))</f>
        <v/>
      </c>
      <c r="AC303" s="395"/>
      <c r="AD303" s="394"/>
      <c r="AE303" s="429" t="str">
        <f>IF(OR(ISBLANK($B303),ISBLANK($AD303)),"",IFERROR(IF($AD303&lt;=DATE('ESTADO CONTABLE'!$B$2,10,5),VLOOKUP($B303,COSTOS!$A$2:$B1014,2,FALSE)-150,VLOOKUP($B303,COSTOS!$A$2:$B1014,2,FALSE)),"No encontrado o error"))</f>
        <v/>
      </c>
      <c r="AF303" s="395"/>
      <c r="AG303" s="394"/>
      <c r="AH303" s="429" t="str">
        <f>IF(OR(ISBLANK($B303),ISBLANK($AG303)),"",IFERROR(IF($AG303&lt;=DATE('ESTADO CONTABLE'!$B$2,11,5),VLOOKUP($B303,COSTOS!$A$2:$B1014,2,FALSE)-150,VLOOKUP($B303,COSTOS!$A$2:$B1014,2,FALSE)),"No encontrado o error"))</f>
        <v/>
      </c>
      <c r="AI303" s="395"/>
      <c r="AJ303" s="394"/>
      <c r="AK303" s="429" t="str">
        <f>IF(OR(ISBLANK($B303),ISBLANK($AJ303)),"",IFERROR(IF($AJ303&lt;=DATE('ESTADO CONTABLE'!$B$2,12,5),VLOOKUP($B303,COSTOS!$A$2:$B1014,2,FALSE)-150,VLOOKUP($B303,COSTOS!$A$2:$B1014,2,FALSE)),"No encontrado o error"))</f>
        <v/>
      </c>
      <c r="AL303" s="395"/>
      <c r="AM303" s="254"/>
      <c r="AN303" s="255"/>
      <c r="AO303" s="256"/>
    </row>
    <row r="304" ht="22.5" customHeight="1">
      <c r="A304" s="431" t="str">
        <f>'BASE DE DATOSS'!A378</f>
        <v/>
      </c>
      <c r="B304" s="432" t="str">
        <f>'BASE DE DATOSS'!C378</f>
        <v/>
      </c>
      <c r="C304" s="263"/>
      <c r="D304" s="249"/>
      <c r="E304" s="250"/>
      <c r="F304" s="251"/>
      <c r="G304" s="262"/>
      <c r="H304" s="257"/>
      <c r="I304" s="249"/>
      <c r="J304" s="193" t="str">
        <f>IF(OR(ISBLANK($B304),ISBLANK($I304)),"",IFERROR(IF($I304&lt;=DATE('ESTADO CONTABLE'!$B$2,3,5),VLOOKUP($B304,COSTOS!$A$2:$B1014,2,FALSE)-150,VLOOKUP($B304,COSTOS!$A$2:$B1014,2,FALSE)),"No encontrado o error"))</f>
        <v/>
      </c>
      <c r="K304" s="264"/>
      <c r="L304" s="249"/>
      <c r="M304" s="189"/>
      <c r="N304" s="264"/>
      <c r="O304" s="249"/>
      <c r="P304" s="250"/>
      <c r="Q304" s="264"/>
      <c r="R304" s="249"/>
      <c r="S304" s="250"/>
      <c r="T304" s="264"/>
      <c r="U304" s="249"/>
      <c r="V304" s="250"/>
      <c r="W304" s="264"/>
      <c r="X304" s="394"/>
      <c r="Y304" s="429"/>
      <c r="Z304" s="395"/>
      <c r="AA304" s="394"/>
      <c r="AB304" s="118" t="str">
        <f>IF(OR(ISBLANK($B304),ISBLANK($AA304)),"",IFERROR(IF($AA304&lt;=DATE('ESTADO CONTABLE'!$B$2,9,5),VLOOKUP($B304,COSTOS!$A$2:$B1014,2,FALSE)-150,VLOOKUP($B304,COSTOS!$A$2:$B1014,2,FALSE)),"No encontrado o error"))</f>
        <v/>
      </c>
      <c r="AC304" s="395"/>
      <c r="AD304" s="394"/>
      <c r="AE304" s="429" t="str">
        <f>IF(OR(ISBLANK($B304),ISBLANK($AD304)),"",IFERROR(IF($AD304&lt;=DATE('ESTADO CONTABLE'!$B$2,10,5),VLOOKUP($B304,COSTOS!$A$2:$B1014,2,FALSE)-150,VLOOKUP($B304,COSTOS!$A$2:$B1014,2,FALSE)),"No encontrado o error"))</f>
        <v/>
      </c>
      <c r="AF304" s="395"/>
      <c r="AG304" s="394"/>
      <c r="AH304" s="429" t="str">
        <f>IF(OR(ISBLANK($B304),ISBLANK($AG304)),"",IFERROR(IF($AG304&lt;=DATE('ESTADO CONTABLE'!$B$2,11,5),VLOOKUP($B304,COSTOS!$A$2:$B1014,2,FALSE)-150,VLOOKUP($B304,COSTOS!$A$2:$B1014,2,FALSE)),"No encontrado o error"))</f>
        <v/>
      </c>
      <c r="AI304" s="395"/>
      <c r="AJ304" s="394"/>
      <c r="AK304" s="429" t="str">
        <f>IF(OR(ISBLANK($B304),ISBLANK($AJ304)),"",IFERROR(IF($AJ304&lt;=DATE('ESTADO CONTABLE'!$B$2,12,5),VLOOKUP($B304,COSTOS!$A$2:$B1014,2,FALSE)-150,VLOOKUP($B304,COSTOS!$A$2:$B1014,2,FALSE)),"No encontrado o error"))</f>
        <v/>
      </c>
      <c r="AL304" s="395"/>
      <c r="AM304" s="254"/>
      <c r="AN304" s="255"/>
      <c r="AO304" s="256"/>
    </row>
    <row r="305" ht="22.5" customHeight="1">
      <c r="A305" s="431" t="str">
        <f>'BASE DE DATOSS'!A379</f>
        <v/>
      </c>
      <c r="B305" s="432" t="str">
        <f>'BASE DE DATOSS'!C379</f>
        <v/>
      </c>
      <c r="C305" s="263"/>
      <c r="D305" s="249"/>
      <c r="E305" s="250"/>
      <c r="F305" s="251"/>
      <c r="G305" s="262"/>
      <c r="H305" s="257"/>
      <c r="I305" s="249"/>
      <c r="J305" s="193" t="str">
        <f>IF(OR(ISBLANK($B305),ISBLANK($I305)),"",IFERROR(IF($I305&lt;=DATE('ESTADO CONTABLE'!$B$2,3,5),VLOOKUP($B305,COSTOS!$A$2:$B1014,2,FALSE)-150,VLOOKUP($B305,COSTOS!$A$2:$B1014,2,FALSE)),"No encontrado o error"))</f>
        <v/>
      </c>
      <c r="K305" s="264"/>
      <c r="L305" s="249"/>
      <c r="M305" s="189"/>
      <c r="N305" s="264"/>
      <c r="O305" s="249"/>
      <c r="P305" s="250"/>
      <c r="Q305" s="264"/>
      <c r="R305" s="249"/>
      <c r="S305" s="250"/>
      <c r="T305" s="264"/>
      <c r="U305" s="249"/>
      <c r="V305" s="250"/>
      <c r="W305" s="264"/>
      <c r="X305" s="394"/>
      <c r="Y305" s="429"/>
      <c r="Z305" s="395"/>
      <c r="AA305" s="394"/>
      <c r="AB305" s="118" t="str">
        <f>IF(OR(ISBLANK($B305),ISBLANK($AA305)),"",IFERROR(IF($AA305&lt;=DATE('ESTADO CONTABLE'!$B$2,9,5),VLOOKUP($B305,COSTOS!$A$2:$B1014,2,FALSE)-150,VLOOKUP($B305,COSTOS!$A$2:$B1014,2,FALSE)),"No encontrado o error"))</f>
        <v/>
      </c>
      <c r="AC305" s="395"/>
      <c r="AD305" s="394"/>
      <c r="AE305" s="429" t="str">
        <f>IF(OR(ISBLANK($B305),ISBLANK($AD305)),"",IFERROR(IF($AD305&lt;=DATE('ESTADO CONTABLE'!$B$2,10,5),VLOOKUP($B305,COSTOS!$A$2:$B1014,2,FALSE)-150,VLOOKUP($B305,COSTOS!$A$2:$B1014,2,FALSE)),"No encontrado o error"))</f>
        <v/>
      </c>
      <c r="AF305" s="395"/>
      <c r="AG305" s="394"/>
      <c r="AH305" s="429" t="str">
        <f>IF(OR(ISBLANK($B305),ISBLANK($AG305)),"",IFERROR(IF($AG305&lt;=DATE('ESTADO CONTABLE'!$B$2,11,5),VLOOKUP($B305,COSTOS!$A$2:$B1014,2,FALSE)-150,VLOOKUP($B305,COSTOS!$A$2:$B1014,2,FALSE)),"No encontrado o error"))</f>
        <v/>
      </c>
      <c r="AI305" s="395"/>
      <c r="AJ305" s="394"/>
      <c r="AK305" s="429" t="str">
        <f>IF(OR(ISBLANK($B305),ISBLANK($AJ305)),"",IFERROR(IF($AJ305&lt;=DATE('ESTADO CONTABLE'!$B$2,12,5),VLOOKUP($B305,COSTOS!$A$2:$B1014,2,FALSE)-150,VLOOKUP($B305,COSTOS!$A$2:$B1014,2,FALSE)),"No encontrado o error"))</f>
        <v/>
      </c>
      <c r="AL305" s="395"/>
      <c r="AM305" s="254"/>
      <c r="AN305" s="255"/>
      <c r="AO305" s="256"/>
    </row>
    <row r="306" ht="22.5" customHeight="1">
      <c r="A306" s="431" t="str">
        <f>'BASE DE DATOSS'!A380</f>
        <v/>
      </c>
      <c r="B306" s="432" t="str">
        <f>'BASE DE DATOSS'!C380</f>
        <v/>
      </c>
      <c r="C306" s="263"/>
      <c r="D306" s="249"/>
      <c r="E306" s="250"/>
      <c r="F306" s="251"/>
      <c r="G306" s="262"/>
      <c r="H306" s="257"/>
      <c r="I306" s="249"/>
      <c r="J306" s="193" t="str">
        <f>IF(OR(ISBLANK($B306),ISBLANK($I306)),"",IFERROR(IF($I306&lt;=DATE('ESTADO CONTABLE'!$B$2,3,5),VLOOKUP($B306,COSTOS!$A$2:$B1014,2,FALSE)-150,VLOOKUP($B306,COSTOS!$A$2:$B1014,2,FALSE)),"No encontrado o error"))</f>
        <v/>
      </c>
      <c r="K306" s="264"/>
      <c r="L306" s="249"/>
      <c r="M306" s="189"/>
      <c r="N306" s="264"/>
      <c r="O306" s="249"/>
      <c r="P306" s="250"/>
      <c r="Q306" s="264"/>
      <c r="R306" s="249"/>
      <c r="S306" s="250"/>
      <c r="T306" s="264"/>
      <c r="U306" s="249"/>
      <c r="V306" s="250"/>
      <c r="W306" s="264"/>
      <c r="X306" s="394"/>
      <c r="Y306" s="429"/>
      <c r="Z306" s="395"/>
      <c r="AA306" s="394"/>
      <c r="AB306" s="118" t="str">
        <f>IF(OR(ISBLANK($B306),ISBLANK($AA306)),"",IFERROR(IF($AA306&lt;=DATE('ESTADO CONTABLE'!$B$2,9,5),VLOOKUP($B306,COSTOS!$A$2:$B1014,2,FALSE)-150,VLOOKUP($B306,COSTOS!$A$2:$B1014,2,FALSE)),"No encontrado o error"))</f>
        <v/>
      </c>
      <c r="AC306" s="395"/>
      <c r="AD306" s="394"/>
      <c r="AE306" s="429" t="str">
        <f>IF(OR(ISBLANK($B306),ISBLANK($AD306)),"",IFERROR(IF($AD306&lt;=DATE('ESTADO CONTABLE'!$B$2,10,5),VLOOKUP($B306,COSTOS!$A$2:$B1014,2,FALSE)-150,VLOOKUP($B306,COSTOS!$A$2:$B1014,2,FALSE)),"No encontrado o error"))</f>
        <v/>
      </c>
      <c r="AF306" s="395"/>
      <c r="AG306" s="394"/>
      <c r="AH306" s="429" t="str">
        <f>IF(OR(ISBLANK($B306),ISBLANK($AG306)),"",IFERROR(IF($AG306&lt;=DATE('ESTADO CONTABLE'!$B$2,11,5),VLOOKUP($B306,COSTOS!$A$2:$B1014,2,FALSE)-150,VLOOKUP($B306,COSTOS!$A$2:$B1014,2,FALSE)),"No encontrado o error"))</f>
        <v/>
      </c>
      <c r="AI306" s="395"/>
      <c r="AJ306" s="394"/>
      <c r="AK306" s="429" t="str">
        <f>IF(OR(ISBLANK($B306),ISBLANK($AJ306)),"",IFERROR(IF($AJ306&lt;=DATE('ESTADO CONTABLE'!$B$2,12,5),VLOOKUP($B306,COSTOS!$A$2:$B1014,2,FALSE)-150,VLOOKUP($B306,COSTOS!$A$2:$B1014,2,FALSE)),"No encontrado o error"))</f>
        <v/>
      </c>
      <c r="AL306" s="395"/>
      <c r="AM306" s="254"/>
      <c r="AN306" s="255"/>
      <c r="AO306" s="256"/>
    </row>
    <row r="307" ht="22.5" customHeight="1">
      <c r="A307" s="431" t="str">
        <f>'BASE DE DATOSS'!A381</f>
        <v/>
      </c>
      <c r="B307" s="432" t="str">
        <f>'BASE DE DATOSS'!C381</f>
        <v/>
      </c>
      <c r="C307" s="263"/>
      <c r="D307" s="249"/>
      <c r="E307" s="250"/>
      <c r="F307" s="251"/>
      <c r="G307" s="262"/>
      <c r="H307" s="257"/>
      <c r="I307" s="249"/>
      <c r="J307" s="193" t="str">
        <f>IF(OR(ISBLANK($B307),ISBLANK($I307)),"",IFERROR(IF($I307&lt;=DATE('ESTADO CONTABLE'!$B$2,3,5),VLOOKUP($B307,COSTOS!$A$2:$B1014,2,FALSE)-150,VLOOKUP($B307,COSTOS!$A$2:$B1014,2,FALSE)),"No encontrado o error"))</f>
        <v/>
      </c>
      <c r="K307" s="264"/>
      <c r="L307" s="249"/>
      <c r="M307" s="189"/>
      <c r="N307" s="264"/>
      <c r="O307" s="249"/>
      <c r="P307" s="250"/>
      <c r="Q307" s="264"/>
      <c r="R307" s="249"/>
      <c r="S307" s="250"/>
      <c r="T307" s="264"/>
      <c r="U307" s="249"/>
      <c r="V307" s="250"/>
      <c r="W307" s="264"/>
      <c r="X307" s="394"/>
      <c r="Y307" s="429"/>
      <c r="Z307" s="395"/>
      <c r="AA307" s="394"/>
      <c r="AB307" s="118" t="str">
        <f>IF(OR(ISBLANK($B307),ISBLANK($AA307)),"",IFERROR(IF($AA307&lt;=DATE('ESTADO CONTABLE'!$B$2,9,5),VLOOKUP($B307,COSTOS!$A$2:$B1014,2,FALSE)-150,VLOOKUP($B307,COSTOS!$A$2:$B1014,2,FALSE)),"No encontrado o error"))</f>
        <v/>
      </c>
      <c r="AC307" s="395"/>
      <c r="AD307" s="394"/>
      <c r="AE307" s="429" t="str">
        <f>IF(OR(ISBLANK($B307),ISBLANK($AD307)),"",IFERROR(IF($AD307&lt;=DATE('ESTADO CONTABLE'!$B$2,10,5),VLOOKUP($B307,COSTOS!$A$2:$B1014,2,FALSE)-150,VLOOKUP($B307,COSTOS!$A$2:$B1014,2,FALSE)),"No encontrado o error"))</f>
        <v/>
      </c>
      <c r="AF307" s="395"/>
      <c r="AG307" s="394"/>
      <c r="AH307" s="429" t="str">
        <f>IF(OR(ISBLANK($B307),ISBLANK($AG307)),"",IFERROR(IF($AG307&lt;=DATE('ESTADO CONTABLE'!$B$2,11,5),VLOOKUP($B307,COSTOS!$A$2:$B1014,2,FALSE)-150,VLOOKUP($B307,COSTOS!$A$2:$B1014,2,FALSE)),"No encontrado o error"))</f>
        <v/>
      </c>
      <c r="AI307" s="395"/>
      <c r="AJ307" s="394"/>
      <c r="AK307" s="429" t="str">
        <f>IF(OR(ISBLANK($B307),ISBLANK($AJ307)),"",IFERROR(IF($AJ307&lt;=DATE('ESTADO CONTABLE'!$B$2,12,5),VLOOKUP($B307,COSTOS!$A$2:$B1014,2,FALSE)-150,VLOOKUP($B307,COSTOS!$A$2:$B1014,2,FALSE)),"No encontrado o error"))</f>
        <v/>
      </c>
      <c r="AL307" s="395"/>
      <c r="AM307" s="254"/>
      <c r="AN307" s="255"/>
      <c r="AO307" s="256"/>
    </row>
    <row r="308" ht="22.5" customHeight="1">
      <c r="A308" s="431" t="str">
        <f>'BASE DE DATOSS'!A382</f>
        <v/>
      </c>
      <c r="B308" s="432" t="str">
        <f>'BASE DE DATOSS'!C382</f>
        <v/>
      </c>
      <c r="C308" s="263"/>
      <c r="D308" s="249"/>
      <c r="E308" s="250"/>
      <c r="F308" s="251"/>
      <c r="G308" s="262"/>
      <c r="H308" s="257"/>
      <c r="I308" s="249"/>
      <c r="J308" s="193" t="str">
        <f>IF(OR(ISBLANK($B308),ISBLANK($I308)),"",IFERROR(IF($I308&lt;=DATE('ESTADO CONTABLE'!$B$2,3,5),VLOOKUP($B308,COSTOS!$A$2:$B1014,2,FALSE)-150,VLOOKUP($B308,COSTOS!$A$2:$B1014,2,FALSE)),"No encontrado o error"))</f>
        <v/>
      </c>
      <c r="K308" s="264"/>
      <c r="L308" s="249"/>
      <c r="M308" s="189"/>
      <c r="N308" s="264"/>
      <c r="O308" s="249"/>
      <c r="P308" s="250"/>
      <c r="Q308" s="264"/>
      <c r="R308" s="249"/>
      <c r="S308" s="250"/>
      <c r="T308" s="264"/>
      <c r="U308" s="249"/>
      <c r="V308" s="250"/>
      <c r="W308" s="264"/>
      <c r="X308" s="394"/>
      <c r="Y308" s="429"/>
      <c r="Z308" s="395"/>
      <c r="AA308" s="394"/>
      <c r="AB308" s="118" t="str">
        <f>IF(OR(ISBLANK($B308),ISBLANK($AA308)),"",IFERROR(IF($AA308&lt;=DATE('ESTADO CONTABLE'!$B$2,9,5),VLOOKUP($B308,COSTOS!$A$2:$B1014,2,FALSE)-150,VLOOKUP($B308,COSTOS!$A$2:$B1014,2,FALSE)),"No encontrado o error"))</f>
        <v/>
      </c>
      <c r="AC308" s="395"/>
      <c r="AD308" s="394"/>
      <c r="AE308" s="429" t="str">
        <f>IF(OR(ISBLANK($B308),ISBLANK($AD308)),"",IFERROR(IF($AD308&lt;=DATE('ESTADO CONTABLE'!$B$2,10,5),VLOOKUP($B308,COSTOS!$A$2:$B1014,2,FALSE)-150,VLOOKUP($B308,COSTOS!$A$2:$B1014,2,FALSE)),"No encontrado o error"))</f>
        <v/>
      </c>
      <c r="AF308" s="395"/>
      <c r="AG308" s="394"/>
      <c r="AH308" s="429" t="str">
        <f>IF(OR(ISBLANK($B308),ISBLANK($AG308)),"",IFERROR(IF($AG308&lt;=DATE('ESTADO CONTABLE'!$B$2,11,5),VLOOKUP($B308,COSTOS!$A$2:$B1014,2,FALSE)-150,VLOOKUP($B308,COSTOS!$A$2:$B1014,2,FALSE)),"No encontrado o error"))</f>
        <v/>
      </c>
      <c r="AI308" s="395"/>
      <c r="AJ308" s="394"/>
      <c r="AK308" s="429" t="str">
        <f>IF(OR(ISBLANK($B308),ISBLANK($AJ308)),"",IFERROR(IF($AJ308&lt;=DATE('ESTADO CONTABLE'!$B$2,12,5),VLOOKUP($B308,COSTOS!$A$2:$B1014,2,FALSE)-150,VLOOKUP($B308,COSTOS!$A$2:$B1014,2,FALSE)),"No encontrado o error"))</f>
        <v/>
      </c>
      <c r="AL308" s="395"/>
      <c r="AM308" s="254"/>
      <c r="AN308" s="255"/>
      <c r="AO308" s="256"/>
    </row>
    <row r="309" ht="22.5" customHeight="1">
      <c r="A309" s="431" t="str">
        <f>'BASE DE DATOSS'!A383</f>
        <v/>
      </c>
      <c r="B309" s="432" t="str">
        <f>'BASE DE DATOSS'!C383</f>
        <v/>
      </c>
      <c r="C309" s="263"/>
      <c r="D309" s="249"/>
      <c r="E309" s="250"/>
      <c r="F309" s="251"/>
      <c r="G309" s="262"/>
      <c r="H309" s="257"/>
      <c r="I309" s="249"/>
      <c r="J309" s="193" t="str">
        <f>IF(OR(ISBLANK($B309),ISBLANK($I309)),"",IFERROR(IF($I309&lt;=DATE('ESTADO CONTABLE'!$B$2,3,5),VLOOKUP($B309,COSTOS!$A$2:$B1014,2,FALSE)-150,VLOOKUP($B309,COSTOS!$A$2:$B1014,2,FALSE)),"No encontrado o error"))</f>
        <v/>
      </c>
      <c r="K309" s="264"/>
      <c r="L309" s="249"/>
      <c r="M309" s="189"/>
      <c r="N309" s="264"/>
      <c r="O309" s="249"/>
      <c r="P309" s="250"/>
      <c r="Q309" s="264"/>
      <c r="R309" s="249"/>
      <c r="S309" s="250"/>
      <c r="T309" s="264"/>
      <c r="U309" s="249"/>
      <c r="V309" s="250"/>
      <c r="W309" s="264"/>
      <c r="X309" s="394"/>
      <c r="Y309" s="429"/>
      <c r="Z309" s="395"/>
      <c r="AA309" s="394"/>
      <c r="AB309" s="118" t="str">
        <f>IF(OR(ISBLANK($B309),ISBLANK($AA309)),"",IFERROR(IF($AA309&lt;=DATE('ESTADO CONTABLE'!$B$2,9,5),VLOOKUP($B309,COSTOS!$A$2:$B1014,2,FALSE)-150,VLOOKUP($B309,COSTOS!$A$2:$B1014,2,FALSE)),"No encontrado o error"))</f>
        <v/>
      </c>
      <c r="AC309" s="395"/>
      <c r="AD309" s="394"/>
      <c r="AE309" s="429" t="str">
        <f>IF(OR(ISBLANK($B309),ISBLANK($AD309)),"",IFERROR(IF($AD309&lt;=DATE('ESTADO CONTABLE'!$B$2,10,5),VLOOKUP($B309,COSTOS!$A$2:$B1014,2,FALSE)-150,VLOOKUP($B309,COSTOS!$A$2:$B1014,2,FALSE)),"No encontrado o error"))</f>
        <v/>
      </c>
      <c r="AF309" s="395"/>
      <c r="AG309" s="394"/>
      <c r="AH309" s="429" t="str">
        <f>IF(OR(ISBLANK($B309),ISBLANK($AG309)),"",IFERROR(IF($AG309&lt;=DATE('ESTADO CONTABLE'!$B$2,11,5),VLOOKUP($B309,COSTOS!$A$2:$B1014,2,FALSE)-150,VLOOKUP($B309,COSTOS!$A$2:$B1014,2,FALSE)),"No encontrado o error"))</f>
        <v/>
      </c>
      <c r="AI309" s="395"/>
      <c r="AJ309" s="394"/>
      <c r="AK309" s="429" t="str">
        <f>IF(OR(ISBLANK($B309),ISBLANK($AJ309)),"",IFERROR(IF($AJ309&lt;=DATE('ESTADO CONTABLE'!$B$2,12,5),VLOOKUP($B309,COSTOS!$A$2:$B1014,2,FALSE)-150,VLOOKUP($B309,COSTOS!$A$2:$B1014,2,FALSE)),"No encontrado o error"))</f>
        <v/>
      </c>
      <c r="AL309" s="395"/>
      <c r="AM309" s="254"/>
      <c r="AN309" s="255"/>
      <c r="AO309" s="256"/>
    </row>
    <row r="310" ht="22.5" customHeight="1">
      <c r="A310" s="431" t="str">
        <f>'BASE DE DATOSS'!A384</f>
        <v/>
      </c>
      <c r="B310" s="432" t="str">
        <f>'BASE DE DATOSS'!C384</f>
        <v/>
      </c>
      <c r="C310" s="263"/>
      <c r="D310" s="249"/>
      <c r="E310" s="250"/>
      <c r="F310" s="251"/>
      <c r="G310" s="262"/>
      <c r="H310" s="257"/>
      <c r="I310" s="249"/>
      <c r="J310" s="193" t="str">
        <f>IF(OR(ISBLANK($B310),ISBLANK($I310)),"",IFERROR(IF($I310&lt;=DATE('ESTADO CONTABLE'!$B$2,3,5),VLOOKUP($B310,COSTOS!$A$2:$B1014,2,FALSE)-150,VLOOKUP($B310,COSTOS!$A$2:$B1014,2,FALSE)),"No encontrado o error"))</f>
        <v/>
      </c>
      <c r="K310" s="264"/>
      <c r="L310" s="249"/>
      <c r="M310" s="189"/>
      <c r="N310" s="264"/>
      <c r="O310" s="249"/>
      <c r="P310" s="250"/>
      <c r="Q310" s="264"/>
      <c r="R310" s="249"/>
      <c r="S310" s="250"/>
      <c r="T310" s="264"/>
      <c r="U310" s="249"/>
      <c r="V310" s="250"/>
      <c r="W310" s="264"/>
      <c r="X310" s="394"/>
      <c r="Y310" s="429"/>
      <c r="Z310" s="395"/>
      <c r="AA310" s="394"/>
      <c r="AB310" s="118" t="str">
        <f>IF(OR(ISBLANK($B310),ISBLANK($AA310)),"",IFERROR(IF($AA310&lt;=DATE('ESTADO CONTABLE'!$B$2,9,5),VLOOKUP($B310,COSTOS!$A$2:$B1014,2,FALSE)-150,VLOOKUP($B310,COSTOS!$A$2:$B1014,2,FALSE)),"No encontrado o error"))</f>
        <v/>
      </c>
      <c r="AC310" s="395"/>
      <c r="AD310" s="394"/>
      <c r="AE310" s="429" t="str">
        <f>IF(OR(ISBLANK($B310),ISBLANK($AD310)),"",IFERROR(IF($AD310&lt;=DATE('ESTADO CONTABLE'!$B$2,10,5),VLOOKUP($B310,COSTOS!$A$2:$B1014,2,FALSE)-150,VLOOKUP($B310,COSTOS!$A$2:$B1014,2,FALSE)),"No encontrado o error"))</f>
        <v/>
      </c>
      <c r="AF310" s="395"/>
      <c r="AG310" s="394"/>
      <c r="AH310" s="429" t="str">
        <f>IF(OR(ISBLANK($B310),ISBLANK($AG310)),"",IFERROR(IF($AG310&lt;=DATE('ESTADO CONTABLE'!$B$2,11,5),VLOOKUP($B310,COSTOS!$A$2:$B1014,2,FALSE)-150,VLOOKUP($B310,COSTOS!$A$2:$B1014,2,FALSE)),"No encontrado o error"))</f>
        <v/>
      </c>
      <c r="AI310" s="395"/>
      <c r="AJ310" s="394"/>
      <c r="AK310" s="429" t="str">
        <f>IF(OR(ISBLANK($B310),ISBLANK($AJ310)),"",IFERROR(IF($AJ310&lt;=DATE('ESTADO CONTABLE'!$B$2,12,5),VLOOKUP($B310,COSTOS!$A$2:$B1014,2,FALSE)-150,VLOOKUP($B310,COSTOS!$A$2:$B1014,2,FALSE)),"No encontrado o error"))</f>
        <v/>
      </c>
      <c r="AL310" s="395"/>
      <c r="AM310" s="254"/>
      <c r="AN310" s="255"/>
      <c r="AO310" s="256"/>
    </row>
    <row r="311" ht="22.5" customHeight="1">
      <c r="A311" s="431" t="str">
        <f>'BASE DE DATOSS'!A385</f>
        <v/>
      </c>
      <c r="B311" s="432" t="str">
        <f>'BASE DE DATOSS'!C385</f>
        <v/>
      </c>
      <c r="C311" s="263"/>
      <c r="D311" s="249"/>
      <c r="E311" s="250"/>
      <c r="F311" s="251"/>
      <c r="G311" s="262"/>
      <c r="H311" s="257"/>
      <c r="I311" s="249"/>
      <c r="J311" s="193" t="str">
        <f>IF(OR(ISBLANK($B311),ISBLANK($I311)),"",IFERROR(IF($I311&lt;=DATE('ESTADO CONTABLE'!$B$2,3,5),VLOOKUP($B311,COSTOS!$A$2:$B1014,2,FALSE)-150,VLOOKUP($B311,COSTOS!$A$2:$B1014,2,FALSE)),"No encontrado o error"))</f>
        <v/>
      </c>
      <c r="K311" s="264"/>
      <c r="L311" s="249"/>
      <c r="M311" s="189"/>
      <c r="N311" s="264"/>
      <c r="O311" s="249"/>
      <c r="P311" s="250"/>
      <c r="Q311" s="264"/>
      <c r="R311" s="249"/>
      <c r="S311" s="250"/>
      <c r="T311" s="264"/>
      <c r="U311" s="249"/>
      <c r="V311" s="250"/>
      <c r="W311" s="264"/>
      <c r="X311" s="394"/>
      <c r="Y311" s="429"/>
      <c r="Z311" s="395"/>
      <c r="AA311" s="394"/>
      <c r="AB311" s="118" t="str">
        <f>IF(OR(ISBLANK($B311),ISBLANK($AA311)),"",IFERROR(IF($AA311&lt;=DATE('ESTADO CONTABLE'!$B$2,9,5),VLOOKUP($B311,COSTOS!$A$2:$B1014,2,FALSE)-150,VLOOKUP($B311,COSTOS!$A$2:$B1014,2,FALSE)),"No encontrado o error"))</f>
        <v/>
      </c>
      <c r="AC311" s="395"/>
      <c r="AD311" s="394"/>
      <c r="AE311" s="429" t="str">
        <f>IF(OR(ISBLANK($B311),ISBLANK($AD311)),"",IFERROR(IF($AD311&lt;=DATE('ESTADO CONTABLE'!$B$2,10,5),VLOOKUP($B311,COSTOS!$A$2:$B1014,2,FALSE)-150,VLOOKUP($B311,COSTOS!$A$2:$B1014,2,FALSE)),"No encontrado o error"))</f>
        <v/>
      </c>
      <c r="AF311" s="395"/>
      <c r="AG311" s="394"/>
      <c r="AH311" s="429" t="str">
        <f>IF(OR(ISBLANK($B311),ISBLANK($AG311)),"",IFERROR(IF($AG311&lt;=DATE('ESTADO CONTABLE'!$B$2,11,5),VLOOKUP($B311,COSTOS!$A$2:$B1014,2,FALSE)-150,VLOOKUP($B311,COSTOS!$A$2:$B1014,2,FALSE)),"No encontrado o error"))</f>
        <v/>
      </c>
      <c r="AI311" s="395"/>
      <c r="AJ311" s="394"/>
      <c r="AK311" s="429" t="str">
        <f>IF(OR(ISBLANK($B311),ISBLANK($AJ311)),"",IFERROR(IF($AJ311&lt;=DATE('ESTADO CONTABLE'!$B$2,12,5),VLOOKUP($B311,COSTOS!$A$2:$B1014,2,FALSE)-150,VLOOKUP($B311,COSTOS!$A$2:$B1014,2,FALSE)),"No encontrado o error"))</f>
        <v/>
      </c>
      <c r="AL311" s="395"/>
      <c r="AM311" s="254"/>
      <c r="AN311" s="255"/>
      <c r="AO311" s="256"/>
    </row>
    <row r="312" ht="22.5" customHeight="1">
      <c r="A312" s="431" t="str">
        <f>'BASE DE DATOSS'!A386</f>
        <v/>
      </c>
      <c r="B312" s="432" t="str">
        <f>'BASE DE DATOSS'!C386</f>
        <v/>
      </c>
      <c r="C312" s="263"/>
      <c r="D312" s="249"/>
      <c r="E312" s="250"/>
      <c r="F312" s="251"/>
      <c r="G312" s="262"/>
      <c r="H312" s="257"/>
      <c r="I312" s="249"/>
      <c r="J312" s="193" t="str">
        <f>IF(OR(ISBLANK($B312),ISBLANK($I312)),"",IFERROR(IF($I312&lt;=DATE('ESTADO CONTABLE'!$B$2,3,5),VLOOKUP($B312,COSTOS!$A$2:$B1014,2,FALSE)-150,VLOOKUP($B312,COSTOS!$A$2:$B1014,2,FALSE)),"No encontrado o error"))</f>
        <v/>
      </c>
      <c r="K312" s="264"/>
      <c r="L312" s="249"/>
      <c r="M312" s="189"/>
      <c r="N312" s="264"/>
      <c r="O312" s="249"/>
      <c r="P312" s="250"/>
      <c r="Q312" s="264"/>
      <c r="R312" s="249"/>
      <c r="S312" s="250"/>
      <c r="T312" s="264"/>
      <c r="U312" s="249"/>
      <c r="V312" s="250"/>
      <c r="W312" s="264"/>
      <c r="X312" s="394"/>
      <c r="Y312" s="429"/>
      <c r="Z312" s="395"/>
      <c r="AA312" s="394"/>
      <c r="AB312" s="118" t="str">
        <f>IF(OR(ISBLANK($B312),ISBLANK($AA312)),"",IFERROR(IF($AA312&lt;=DATE('ESTADO CONTABLE'!$B$2,9,5),VLOOKUP($B312,COSTOS!$A$2:$B1014,2,FALSE)-150,VLOOKUP($B312,COSTOS!$A$2:$B1014,2,FALSE)),"No encontrado o error"))</f>
        <v/>
      </c>
      <c r="AC312" s="395"/>
      <c r="AD312" s="394"/>
      <c r="AE312" s="429" t="str">
        <f>IF(OR(ISBLANK($B312),ISBLANK($AD312)),"",IFERROR(IF($AD312&lt;=DATE('ESTADO CONTABLE'!$B$2,10,5),VLOOKUP($B312,COSTOS!$A$2:$B1014,2,FALSE)-150,VLOOKUP($B312,COSTOS!$A$2:$B1014,2,FALSE)),"No encontrado o error"))</f>
        <v/>
      </c>
      <c r="AF312" s="395"/>
      <c r="AG312" s="394"/>
      <c r="AH312" s="429" t="str">
        <f>IF(OR(ISBLANK($B312),ISBLANK($AG312)),"",IFERROR(IF($AG312&lt;=DATE('ESTADO CONTABLE'!$B$2,11,5),VLOOKUP($B312,COSTOS!$A$2:$B1014,2,FALSE)-150,VLOOKUP($B312,COSTOS!$A$2:$B1014,2,FALSE)),"No encontrado o error"))</f>
        <v/>
      </c>
      <c r="AI312" s="395"/>
      <c r="AJ312" s="394"/>
      <c r="AK312" s="429" t="str">
        <f>IF(OR(ISBLANK($B312),ISBLANK($AJ312)),"",IFERROR(IF($AJ312&lt;=DATE('ESTADO CONTABLE'!$B$2,12,5),VLOOKUP($B312,COSTOS!$A$2:$B1014,2,FALSE)-150,VLOOKUP($B312,COSTOS!$A$2:$B1014,2,FALSE)),"No encontrado o error"))</f>
        <v/>
      </c>
      <c r="AL312" s="395"/>
      <c r="AM312" s="254"/>
      <c r="AN312" s="255"/>
      <c r="AO312" s="256"/>
    </row>
    <row r="313" ht="22.5" customHeight="1">
      <c r="A313" s="431" t="str">
        <f>'BASE DE DATOSS'!A387</f>
        <v/>
      </c>
      <c r="B313" s="432" t="str">
        <f>'BASE DE DATOSS'!C387</f>
        <v/>
      </c>
      <c r="C313" s="263"/>
      <c r="D313" s="249"/>
      <c r="E313" s="250"/>
      <c r="F313" s="251"/>
      <c r="G313" s="262"/>
      <c r="H313" s="257"/>
      <c r="I313" s="249"/>
      <c r="J313" s="193" t="str">
        <f>IF(OR(ISBLANK($B313),ISBLANK($I313)),"",IFERROR(IF($I313&lt;=DATE('ESTADO CONTABLE'!$B$2,3,5),VLOOKUP($B313,COSTOS!$A$2:$B1014,2,FALSE)-150,VLOOKUP($B313,COSTOS!$A$2:$B1014,2,FALSE)),"No encontrado o error"))</f>
        <v/>
      </c>
      <c r="K313" s="264"/>
      <c r="L313" s="249"/>
      <c r="M313" s="189"/>
      <c r="N313" s="264"/>
      <c r="O313" s="249"/>
      <c r="P313" s="250"/>
      <c r="Q313" s="264"/>
      <c r="R313" s="249"/>
      <c r="S313" s="250"/>
      <c r="T313" s="264"/>
      <c r="U313" s="249"/>
      <c r="V313" s="250"/>
      <c r="W313" s="264"/>
      <c r="X313" s="394"/>
      <c r="Y313" s="429"/>
      <c r="Z313" s="395"/>
      <c r="AA313" s="394"/>
      <c r="AB313" s="118" t="str">
        <f>IF(OR(ISBLANK($B313),ISBLANK($AA313)),"",IFERROR(IF($AA313&lt;=DATE('ESTADO CONTABLE'!$B$2,9,5),VLOOKUP($B313,COSTOS!$A$2:$B1014,2,FALSE)-150,VLOOKUP($B313,COSTOS!$A$2:$B1014,2,FALSE)),"No encontrado o error"))</f>
        <v/>
      </c>
      <c r="AC313" s="395"/>
      <c r="AD313" s="394"/>
      <c r="AE313" s="429" t="str">
        <f>IF(OR(ISBLANK($B313),ISBLANK($AD313)),"",IFERROR(IF($AD313&lt;=DATE('ESTADO CONTABLE'!$B$2,10,5),VLOOKUP($B313,COSTOS!$A$2:$B1014,2,FALSE)-150,VLOOKUP($B313,COSTOS!$A$2:$B1014,2,FALSE)),"No encontrado o error"))</f>
        <v/>
      </c>
      <c r="AF313" s="395"/>
      <c r="AG313" s="394"/>
      <c r="AH313" s="429" t="str">
        <f>IF(OR(ISBLANK($B313),ISBLANK($AG313)),"",IFERROR(IF($AG313&lt;=DATE('ESTADO CONTABLE'!$B$2,11,5),VLOOKUP($B313,COSTOS!$A$2:$B1014,2,FALSE)-150,VLOOKUP($B313,COSTOS!$A$2:$B1014,2,FALSE)),"No encontrado o error"))</f>
        <v/>
      </c>
      <c r="AI313" s="395"/>
      <c r="AJ313" s="394"/>
      <c r="AK313" s="429" t="str">
        <f>IF(OR(ISBLANK($B313),ISBLANK($AJ313)),"",IFERROR(IF($AJ313&lt;=DATE('ESTADO CONTABLE'!$B$2,12,5),VLOOKUP($B313,COSTOS!$A$2:$B1014,2,FALSE)-150,VLOOKUP($B313,COSTOS!$A$2:$B1014,2,FALSE)),"No encontrado o error"))</f>
        <v/>
      </c>
      <c r="AL313" s="395"/>
      <c r="AM313" s="254"/>
      <c r="AN313" s="255"/>
      <c r="AO313" s="256"/>
    </row>
    <row r="314" ht="22.5" customHeight="1">
      <c r="A314" s="431" t="str">
        <f>'BASE DE DATOSS'!A388</f>
        <v/>
      </c>
      <c r="B314" s="432" t="str">
        <f>'BASE DE DATOSS'!C388</f>
        <v/>
      </c>
      <c r="C314" s="263"/>
      <c r="D314" s="249"/>
      <c r="E314" s="250"/>
      <c r="F314" s="251"/>
      <c r="G314" s="262"/>
      <c r="H314" s="257"/>
      <c r="I314" s="249"/>
      <c r="J314" s="193" t="str">
        <f>IF(OR(ISBLANK($B314),ISBLANK($I314)),"",IFERROR(IF($I314&lt;=DATE('ESTADO CONTABLE'!$B$2,3,5),VLOOKUP($B314,COSTOS!$A$2:$B1014,2,FALSE)-150,VLOOKUP($B314,COSTOS!$A$2:$B1014,2,FALSE)),"No encontrado o error"))</f>
        <v/>
      </c>
      <c r="K314" s="264"/>
      <c r="L314" s="249"/>
      <c r="M314" s="189"/>
      <c r="N314" s="264"/>
      <c r="O314" s="249"/>
      <c r="P314" s="250"/>
      <c r="Q314" s="264"/>
      <c r="R314" s="249"/>
      <c r="S314" s="250"/>
      <c r="T314" s="264"/>
      <c r="U314" s="249"/>
      <c r="V314" s="250"/>
      <c r="W314" s="264"/>
      <c r="X314" s="394"/>
      <c r="Y314" s="429"/>
      <c r="Z314" s="395"/>
      <c r="AA314" s="394"/>
      <c r="AB314" s="118" t="str">
        <f>IF(OR(ISBLANK($B314),ISBLANK($AA314)),"",IFERROR(IF($AA314&lt;=DATE('ESTADO CONTABLE'!$B$2,9,5),VLOOKUP($B314,COSTOS!$A$2:$B1014,2,FALSE)-150,VLOOKUP($B314,COSTOS!$A$2:$B1014,2,FALSE)),"No encontrado o error"))</f>
        <v/>
      </c>
      <c r="AC314" s="395"/>
      <c r="AD314" s="394"/>
      <c r="AE314" s="429" t="str">
        <f>IF(OR(ISBLANK($B314),ISBLANK($AD314)),"",IFERROR(IF($AD314&lt;=DATE('ESTADO CONTABLE'!$B$2,10,5),VLOOKUP($B314,COSTOS!$A$2:$B1014,2,FALSE)-150,VLOOKUP($B314,COSTOS!$A$2:$B1014,2,FALSE)),"No encontrado o error"))</f>
        <v/>
      </c>
      <c r="AF314" s="395"/>
      <c r="AG314" s="394"/>
      <c r="AH314" s="429" t="str">
        <f>IF(OR(ISBLANK($B314),ISBLANK($AG314)),"",IFERROR(IF($AG314&lt;=DATE('ESTADO CONTABLE'!$B$2,11,5),VLOOKUP($B314,COSTOS!$A$2:$B1014,2,FALSE)-150,VLOOKUP($B314,COSTOS!$A$2:$B1014,2,FALSE)),"No encontrado o error"))</f>
        <v/>
      </c>
      <c r="AI314" s="395"/>
      <c r="AJ314" s="394"/>
      <c r="AK314" s="429" t="str">
        <f>IF(OR(ISBLANK($B314),ISBLANK($AJ314)),"",IFERROR(IF($AJ314&lt;=DATE('ESTADO CONTABLE'!$B$2,12,5),VLOOKUP($B314,COSTOS!$A$2:$B1014,2,FALSE)-150,VLOOKUP($B314,COSTOS!$A$2:$B1014,2,FALSE)),"No encontrado o error"))</f>
        <v/>
      </c>
      <c r="AL314" s="395"/>
      <c r="AM314" s="254"/>
      <c r="AN314" s="255"/>
      <c r="AO314" s="256"/>
    </row>
    <row r="315" ht="22.5" customHeight="1">
      <c r="A315" s="431" t="str">
        <f>'BASE DE DATOSS'!A389</f>
        <v/>
      </c>
      <c r="B315" s="432" t="str">
        <f>'BASE DE DATOSS'!C389</f>
        <v/>
      </c>
      <c r="C315" s="263"/>
      <c r="D315" s="249"/>
      <c r="E315" s="250"/>
      <c r="F315" s="251"/>
      <c r="G315" s="262"/>
      <c r="H315" s="257"/>
      <c r="I315" s="249"/>
      <c r="J315" s="193" t="str">
        <f>IF(OR(ISBLANK($B315),ISBLANK($I315)),"",IFERROR(IF($I315&lt;=DATE('ESTADO CONTABLE'!$B$2,3,5),VLOOKUP($B315,COSTOS!$A$2:$B1014,2,FALSE)-150,VLOOKUP($B315,COSTOS!$A$2:$B1014,2,FALSE)),"No encontrado o error"))</f>
        <v/>
      </c>
      <c r="K315" s="264"/>
      <c r="L315" s="249"/>
      <c r="M315" s="189"/>
      <c r="N315" s="264"/>
      <c r="O315" s="249"/>
      <c r="P315" s="250"/>
      <c r="Q315" s="264"/>
      <c r="R315" s="249"/>
      <c r="S315" s="250"/>
      <c r="T315" s="264"/>
      <c r="U315" s="249"/>
      <c r="V315" s="250"/>
      <c r="W315" s="264"/>
      <c r="X315" s="394"/>
      <c r="Y315" s="429"/>
      <c r="Z315" s="395"/>
      <c r="AA315" s="394"/>
      <c r="AB315" s="118" t="str">
        <f>IF(OR(ISBLANK($B315),ISBLANK($AA315)),"",IFERROR(IF($AA315&lt;=DATE('ESTADO CONTABLE'!$B$2,9,5),VLOOKUP($B315,COSTOS!$A$2:$B1014,2,FALSE)-150,VLOOKUP($B315,COSTOS!$A$2:$B1014,2,FALSE)),"No encontrado o error"))</f>
        <v/>
      </c>
      <c r="AC315" s="395"/>
      <c r="AD315" s="394"/>
      <c r="AE315" s="429" t="str">
        <f>IF(OR(ISBLANK($B315),ISBLANK($AD315)),"",IFERROR(IF($AD315&lt;=DATE('ESTADO CONTABLE'!$B$2,10,5),VLOOKUP($B315,COSTOS!$A$2:$B1014,2,FALSE)-150,VLOOKUP($B315,COSTOS!$A$2:$B1014,2,FALSE)),"No encontrado o error"))</f>
        <v/>
      </c>
      <c r="AF315" s="395"/>
      <c r="AG315" s="394"/>
      <c r="AH315" s="429" t="str">
        <f>IF(OR(ISBLANK($B315),ISBLANK($AG315)),"",IFERROR(IF($AG315&lt;=DATE('ESTADO CONTABLE'!$B$2,11,5),VLOOKUP($B315,COSTOS!$A$2:$B1014,2,FALSE)-150,VLOOKUP($B315,COSTOS!$A$2:$B1014,2,FALSE)),"No encontrado o error"))</f>
        <v/>
      </c>
      <c r="AI315" s="395"/>
      <c r="AJ315" s="394"/>
      <c r="AK315" s="429" t="str">
        <f>IF(OR(ISBLANK($B315),ISBLANK($AJ315)),"",IFERROR(IF($AJ315&lt;=DATE('ESTADO CONTABLE'!$B$2,12,5),VLOOKUP($B315,COSTOS!$A$2:$B1014,2,FALSE)-150,VLOOKUP($B315,COSTOS!$A$2:$B1014,2,FALSE)),"No encontrado o error"))</f>
        <v/>
      </c>
      <c r="AL315" s="395"/>
      <c r="AM315" s="254"/>
      <c r="AN315" s="255"/>
      <c r="AO315" s="256"/>
    </row>
    <row r="316" ht="22.5" customHeight="1">
      <c r="A316" s="431" t="str">
        <f>'BASE DE DATOSS'!A390</f>
        <v/>
      </c>
      <c r="B316" s="432" t="str">
        <f>'BASE DE DATOSS'!C390</f>
        <v/>
      </c>
      <c r="C316" s="263"/>
      <c r="D316" s="249"/>
      <c r="E316" s="250"/>
      <c r="F316" s="251"/>
      <c r="G316" s="262"/>
      <c r="H316" s="257"/>
      <c r="I316" s="249"/>
      <c r="J316" s="193" t="str">
        <f>IF(OR(ISBLANK($B316),ISBLANK($I316)),"",IFERROR(IF($I316&lt;=DATE('ESTADO CONTABLE'!$B$2,3,5),VLOOKUP($B316,COSTOS!$A$2:$B1014,2,FALSE)-150,VLOOKUP($B316,COSTOS!$A$2:$B1014,2,FALSE)),"No encontrado o error"))</f>
        <v/>
      </c>
      <c r="K316" s="264"/>
      <c r="L316" s="249"/>
      <c r="M316" s="189"/>
      <c r="N316" s="264"/>
      <c r="O316" s="249"/>
      <c r="P316" s="250"/>
      <c r="Q316" s="264"/>
      <c r="R316" s="249"/>
      <c r="S316" s="250"/>
      <c r="T316" s="264"/>
      <c r="U316" s="249"/>
      <c r="V316" s="250"/>
      <c r="W316" s="264"/>
      <c r="X316" s="394"/>
      <c r="Y316" s="429"/>
      <c r="Z316" s="395"/>
      <c r="AA316" s="394"/>
      <c r="AB316" s="118" t="str">
        <f>IF(OR(ISBLANK($B316),ISBLANK($AA316)),"",IFERROR(IF($AA316&lt;=DATE('ESTADO CONTABLE'!$B$2,9,5),VLOOKUP($B316,COSTOS!$A$2:$B1014,2,FALSE)-150,VLOOKUP($B316,COSTOS!$A$2:$B1014,2,FALSE)),"No encontrado o error"))</f>
        <v/>
      </c>
      <c r="AC316" s="395"/>
      <c r="AD316" s="394"/>
      <c r="AE316" s="429" t="str">
        <f>IF(OR(ISBLANK($B316),ISBLANK($AD316)),"",IFERROR(IF($AD316&lt;=DATE('ESTADO CONTABLE'!$B$2,10,5),VLOOKUP($B316,COSTOS!$A$2:$B1014,2,FALSE)-150,VLOOKUP($B316,COSTOS!$A$2:$B1014,2,FALSE)),"No encontrado o error"))</f>
        <v/>
      </c>
      <c r="AF316" s="395"/>
      <c r="AG316" s="394"/>
      <c r="AH316" s="429" t="str">
        <f>IF(OR(ISBLANK($B316),ISBLANK($AG316)),"",IFERROR(IF($AG316&lt;=DATE('ESTADO CONTABLE'!$B$2,11,5),VLOOKUP($B316,COSTOS!$A$2:$B1014,2,FALSE)-150,VLOOKUP($B316,COSTOS!$A$2:$B1014,2,FALSE)),"No encontrado o error"))</f>
        <v/>
      </c>
      <c r="AI316" s="395"/>
      <c r="AJ316" s="394"/>
      <c r="AK316" s="429" t="str">
        <f>IF(OR(ISBLANK($B316),ISBLANK($AJ316)),"",IFERROR(IF($AJ316&lt;=DATE('ESTADO CONTABLE'!$B$2,12,5),VLOOKUP($B316,COSTOS!$A$2:$B1014,2,FALSE)-150,VLOOKUP($B316,COSTOS!$A$2:$B1014,2,FALSE)),"No encontrado o error"))</f>
        <v/>
      </c>
      <c r="AL316" s="395"/>
      <c r="AM316" s="254"/>
      <c r="AN316" s="255"/>
      <c r="AO316" s="256"/>
    </row>
    <row r="317" ht="22.5" customHeight="1">
      <c r="A317" s="431" t="str">
        <f>'BASE DE DATOSS'!A391</f>
        <v/>
      </c>
      <c r="B317" s="432" t="str">
        <f>'BASE DE DATOSS'!C391</f>
        <v/>
      </c>
      <c r="C317" s="263"/>
      <c r="D317" s="249"/>
      <c r="E317" s="250"/>
      <c r="F317" s="251"/>
      <c r="G317" s="262"/>
      <c r="H317" s="257"/>
      <c r="I317" s="249"/>
      <c r="J317" s="193" t="str">
        <f>IF(OR(ISBLANK($B317),ISBLANK($I317)),"",IFERROR(IF($I317&lt;=DATE('ESTADO CONTABLE'!$B$2,3,5),VLOOKUP($B317,COSTOS!$A$2:$B1014,2,FALSE)-150,VLOOKUP($B317,COSTOS!$A$2:$B1014,2,FALSE)),"No encontrado o error"))</f>
        <v/>
      </c>
      <c r="K317" s="264"/>
      <c r="L317" s="249"/>
      <c r="M317" s="189"/>
      <c r="N317" s="264"/>
      <c r="O317" s="249"/>
      <c r="P317" s="250"/>
      <c r="Q317" s="264"/>
      <c r="R317" s="249"/>
      <c r="S317" s="250"/>
      <c r="T317" s="264"/>
      <c r="U317" s="249"/>
      <c r="V317" s="250"/>
      <c r="W317" s="264"/>
      <c r="X317" s="394"/>
      <c r="Y317" s="429"/>
      <c r="Z317" s="395"/>
      <c r="AA317" s="394"/>
      <c r="AB317" s="118" t="str">
        <f>IF(OR(ISBLANK($B317),ISBLANK($AA317)),"",IFERROR(IF($AA317&lt;=DATE('ESTADO CONTABLE'!$B$2,9,5),VLOOKUP($B317,COSTOS!$A$2:$B1014,2,FALSE)-150,VLOOKUP($B317,COSTOS!$A$2:$B1014,2,FALSE)),"No encontrado o error"))</f>
        <v/>
      </c>
      <c r="AC317" s="395"/>
      <c r="AD317" s="394"/>
      <c r="AE317" s="429" t="str">
        <f>IF(OR(ISBLANK($B317),ISBLANK($AD317)),"",IFERROR(IF($AD317&lt;=DATE('ESTADO CONTABLE'!$B$2,10,5),VLOOKUP($B317,COSTOS!$A$2:$B1014,2,FALSE)-150,VLOOKUP($B317,COSTOS!$A$2:$B1014,2,FALSE)),"No encontrado o error"))</f>
        <v/>
      </c>
      <c r="AF317" s="395"/>
      <c r="AG317" s="394"/>
      <c r="AH317" s="429" t="str">
        <f>IF(OR(ISBLANK($B317),ISBLANK($AG317)),"",IFERROR(IF($AG317&lt;=DATE('ESTADO CONTABLE'!$B$2,11,5),VLOOKUP($B317,COSTOS!$A$2:$B1014,2,FALSE)-150,VLOOKUP($B317,COSTOS!$A$2:$B1014,2,FALSE)),"No encontrado o error"))</f>
        <v/>
      </c>
      <c r="AI317" s="395"/>
      <c r="AJ317" s="394"/>
      <c r="AK317" s="429" t="str">
        <f>IF(OR(ISBLANK($B317),ISBLANK($AJ317)),"",IFERROR(IF($AJ317&lt;=DATE('ESTADO CONTABLE'!$B$2,12,5),VLOOKUP($B317,COSTOS!$A$2:$B1014,2,FALSE)-150,VLOOKUP($B317,COSTOS!$A$2:$B1014,2,FALSE)),"No encontrado o error"))</f>
        <v/>
      </c>
      <c r="AL317" s="395"/>
      <c r="AM317" s="254"/>
      <c r="AN317" s="255"/>
      <c r="AO317" s="256"/>
    </row>
    <row r="318" ht="22.5" customHeight="1">
      <c r="A318" s="431" t="str">
        <f>'BASE DE DATOSS'!A392</f>
        <v/>
      </c>
      <c r="B318" s="432" t="str">
        <f>'BASE DE DATOSS'!C392</f>
        <v/>
      </c>
      <c r="C318" s="263"/>
      <c r="D318" s="249"/>
      <c r="E318" s="250"/>
      <c r="F318" s="251"/>
      <c r="G318" s="262"/>
      <c r="H318" s="257"/>
      <c r="I318" s="249"/>
      <c r="J318" s="193" t="str">
        <f>IF(OR(ISBLANK($B318),ISBLANK($I318)),"",IFERROR(IF($I318&lt;=DATE('ESTADO CONTABLE'!$B$2,3,5),VLOOKUP($B318,COSTOS!$A$2:$B1014,2,FALSE)-150,VLOOKUP($B318,COSTOS!$A$2:$B1014,2,FALSE)),"No encontrado o error"))</f>
        <v/>
      </c>
      <c r="K318" s="264"/>
      <c r="L318" s="249"/>
      <c r="M318" s="189"/>
      <c r="N318" s="264"/>
      <c r="O318" s="249"/>
      <c r="P318" s="250"/>
      <c r="Q318" s="264"/>
      <c r="R318" s="249"/>
      <c r="S318" s="250"/>
      <c r="T318" s="264"/>
      <c r="U318" s="249"/>
      <c r="V318" s="250"/>
      <c r="W318" s="264"/>
      <c r="X318" s="394"/>
      <c r="Y318" s="429"/>
      <c r="Z318" s="395"/>
      <c r="AA318" s="394"/>
      <c r="AB318" s="118" t="str">
        <f>IF(OR(ISBLANK($B318),ISBLANK($AA318)),"",IFERROR(IF($AA318&lt;=DATE('ESTADO CONTABLE'!$B$2,9,5),VLOOKUP($B318,COSTOS!$A$2:$B1014,2,FALSE)-150,VLOOKUP($B318,COSTOS!$A$2:$B1014,2,FALSE)),"No encontrado o error"))</f>
        <v/>
      </c>
      <c r="AC318" s="395"/>
      <c r="AD318" s="394"/>
      <c r="AE318" s="429" t="str">
        <f>IF(OR(ISBLANK($B318),ISBLANK($AD318)),"",IFERROR(IF($AD318&lt;=DATE('ESTADO CONTABLE'!$B$2,10,5),VLOOKUP($B318,COSTOS!$A$2:$B1014,2,FALSE)-150,VLOOKUP($B318,COSTOS!$A$2:$B1014,2,FALSE)),"No encontrado o error"))</f>
        <v/>
      </c>
      <c r="AF318" s="395"/>
      <c r="AG318" s="394"/>
      <c r="AH318" s="429" t="str">
        <f>IF(OR(ISBLANK($B318),ISBLANK($AG318)),"",IFERROR(IF($AG318&lt;=DATE('ESTADO CONTABLE'!$B$2,11,5),VLOOKUP($B318,COSTOS!$A$2:$B1014,2,FALSE)-150,VLOOKUP($B318,COSTOS!$A$2:$B1014,2,FALSE)),"No encontrado o error"))</f>
        <v/>
      </c>
      <c r="AI318" s="395"/>
      <c r="AJ318" s="394"/>
      <c r="AK318" s="429" t="str">
        <f>IF(OR(ISBLANK($B318),ISBLANK($AJ318)),"",IFERROR(IF($AJ318&lt;=DATE('ESTADO CONTABLE'!$B$2,12,5),VLOOKUP($B318,COSTOS!$A$2:$B1014,2,FALSE)-150,VLOOKUP($B318,COSTOS!$A$2:$B1014,2,FALSE)),"No encontrado o error"))</f>
        <v/>
      </c>
      <c r="AL318" s="395"/>
      <c r="AM318" s="254"/>
      <c r="AN318" s="255"/>
      <c r="AO318" s="256"/>
    </row>
    <row r="319" ht="22.5" customHeight="1">
      <c r="A319" s="431" t="str">
        <f>'BASE DE DATOSS'!A393</f>
        <v/>
      </c>
      <c r="B319" s="432" t="str">
        <f>'BASE DE DATOSS'!C393</f>
        <v/>
      </c>
      <c r="C319" s="263"/>
      <c r="D319" s="249"/>
      <c r="E319" s="250"/>
      <c r="F319" s="251"/>
      <c r="G319" s="262"/>
      <c r="H319" s="257"/>
      <c r="I319" s="249"/>
      <c r="J319" s="193" t="str">
        <f>IF(OR(ISBLANK($B319),ISBLANK($I319)),"",IFERROR(IF($I319&lt;=DATE('ESTADO CONTABLE'!$B$2,3,5),VLOOKUP($B319,COSTOS!$A$2:$B1014,2,FALSE)-150,VLOOKUP($B319,COSTOS!$A$2:$B1014,2,FALSE)),"No encontrado o error"))</f>
        <v/>
      </c>
      <c r="K319" s="264"/>
      <c r="L319" s="249"/>
      <c r="M319" s="189"/>
      <c r="N319" s="264"/>
      <c r="O319" s="249"/>
      <c r="P319" s="250"/>
      <c r="Q319" s="264"/>
      <c r="R319" s="249"/>
      <c r="S319" s="250"/>
      <c r="T319" s="264"/>
      <c r="U319" s="249"/>
      <c r="V319" s="250"/>
      <c r="W319" s="264"/>
      <c r="X319" s="394"/>
      <c r="Y319" s="429"/>
      <c r="Z319" s="395"/>
      <c r="AA319" s="394"/>
      <c r="AB319" s="118" t="str">
        <f>IF(OR(ISBLANK($B319),ISBLANK($AA319)),"",IFERROR(IF($AA319&lt;=DATE('ESTADO CONTABLE'!$B$2,9,5),VLOOKUP($B319,COSTOS!$A$2:$B1014,2,FALSE)-150,VLOOKUP($B319,COSTOS!$A$2:$B1014,2,FALSE)),"No encontrado o error"))</f>
        <v/>
      </c>
      <c r="AC319" s="395"/>
      <c r="AD319" s="394"/>
      <c r="AE319" s="429" t="str">
        <f>IF(OR(ISBLANK($B319),ISBLANK($AD319)),"",IFERROR(IF($AD319&lt;=DATE('ESTADO CONTABLE'!$B$2,10,5),VLOOKUP($B319,COSTOS!$A$2:$B1014,2,FALSE)-150,VLOOKUP($B319,COSTOS!$A$2:$B1014,2,FALSE)),"No encontrado o error"))</f>
        <v/>
      </c>
      <c r="AF319" s="395"/>
      <c r="AG319" s="394"/>
      <c r="AH319" s="429" t="str">
        <f>IF(OR(ISBLANK($B319),ISBLANK($AG319)),"",IFERROR(IF($AG319&lt;=DATE('ESTADO CONTABLE'!$B$2,11,5),VLOOKUP($B319,COSTOS!$A$2:$B1014,2,FALSE)-150,VLOOKUP($B319,COSTOS!$A$2:$B1014,2,FALSE)),"No encontrado o error"))</f>
        <v/>
      </c>
      <c r="AI319" s="395"/>
      <c r="AJ319" s="394"/>
      <c r="AK319" s="429" t="str">
        <f>IF(OR(ISBLANK($B319),ISBLANK($AJ319)),"",IFERROR(IF($AJ319&lt;=DATE('ESTADO CONTABLE'!$B$2,12,5),VLOOKUP($B319,COSTOS!$A$2:$B1014,2,FALSE)-150,VLOOKUP($B319,COSTOS!$A$2:$B1014,2,FALSE)),"No encontrado o error"))</f>
        <v/>
      </c>
      <c r="AL319" s="395"/>
      <c r="AM319" s="254"/>
      <c r="AN319" s="255"/>
      <c r="AO319" s="256"/>
    </row>
    <row r="320" ht="22.5" customHeight="1">
      <c r="A320" s="431" t="str">
        <f>'BASE DE DATOSS'!A394</f>
        <v/>
      </c>
      <c r="B320" s="432" t="str">
        <f>'BASE DE DATOSS'!C394</f>
        <v/>
      </c>
      <c r="C320" s="263"/>
      <c r="D320" s="249"/>
      <c r="E320" s="250"/>
      <c r="F320" s="251"/>
      <c r="G320" s="262"/>
      <c r="H320" s="257"/>
      <c r="I320" s="249"/>
      <c r="J320" s="193" t="str">
        <f>IF(OR(ISBLANK($B320),ISBLANK($I320)),"",IFERROR(IF($I320&lt;=DATE('ESTADO CONTABLE'!$B$2,3,5),VLOOKUP($B320,COSTOS!$A$2:$B1014,2,FALSE)-150,VLOOKUP($B320,COSTOS!$A$2:$B1014,2,FALSE)),"No encontrado o error"))</f>
        <v/>
      </c>
      <c r="K320" s="264"/>
      <c r="L320" s="249"/>
      <c r="M320" s="189"/>
      <c r="N320" s="264"/>
      <c r="O320" s="249"/>
      <c r="P320" s="250"/>
      <c r="Q320" s="264"/>
      <c r="R320" s="249"/>
      <c r="S320" s="250"/>
      <c r="T320" s="264"/>
      <c r="U320" s="249"/>
      <c r="V320" s="250"/>
      <c r="W320" s="264"/>
      <c r="X320" s="394"/>
      <c r="Y320" s="429"/>
      <c r="Z320" s="395"/>
      <c r="AA320" s="394"/>
      <c r="AB320" s="118" t="str">
        <f>IF(OR(ISBLANK($B320),ISBLANK($AA320)),"",IFERROR(IF($AA320&lt;=DATE('ESTADO CONTABLE'!$B$2,9,5),VLOOKUP($B320,COSTOS!$A$2:$B1014,2,FALSE)-150,VLOOKUP($B320,COSTOS!$A$2:$B1014,2,FALSE)),"No encontrado o error"))</f>
        <v/>
      </c>
      <c r="AC320" s="395"/>
      <c r="AD320" s="394"/>
      <c r="AE320" s="429" t="str">
        <f>IF(OR(ISBLANK($B320),ISBLANK($AD320)),"",IFERROR(IF($AD320&lt;=DATE('ESTADO CONTABLE'!$B$2,10,5),VLOOKUP($B320,COSTOS!$A$2:$B1014,2,FALSE)-150,VLOOKUP($B320,COSTOS!$A$2:$B1014,2,FALSE)),"No encontrado o error"))</f>
        <v/>
      </c>
      <c r="AF320" s="395"/>
      <c r="AG320" s="394"/>
      <c r="AH320" s="429" t="str">
        <f>IF(OR(ISBLANK($B320),ISBLANK($AG320)),"",IFERROR(IF($AG320&lt;=DATE('ESTADO CONTABLE'!$B$2,11,5),VLOOKUP($B320,COSTOS!$A$2:$B1014,2,FALSE)-150,VLOOKUP($B320,COSTOS!$A$2:$B1014,2,FALSE)),"No encontrado o error"))</f>
        <v/>
      </c>
      <c r="AI320" s="395"/>
      <c r="AJ320" s="394"/>
      <c r="AK320" s="429" t="str">
        <f>IF(OR(ISBLANK($B320),ISBLANK($AJ320)),"",IFERROR(IF($AJ320&lt;=DATE('ESTADO CONTABLE'!$B$2,12,5),VLOOKUP($B320,COSTOS!$A$2:$B1014,2,FALSE)-150,VLOOKUP($B320,COSTOS!$A$2:$B1014,2,FALSE)),"No encontrado o error"))</f>
        <v/>
      </c>
      <c r="AL320" s="395"/>
      <c r="AM320" s="254"/>
      <c r="AN320" s="255"/>
      <c r="AO320" s="256"/>
    </row>
    <row r="321" ht="22.5" customHeight="1">
      <c r="A321" s="431" t="str">
        <f>'BASE DE DATOSS'!A395</f>
        <v/>
      </c>
      <c r="B321" s="432" t="str">
        <f>'BASE DE DATOSS'!C395</f>
        <v/>
      </c>
      <c r="C321" s="263"/>
      <c r="D321" s="249"/>
      <c r="E321" s="250"/>
      <c r="F321" s="251"/>
      <c r="G321" s="262"/>
      <c r="H321" s="257"/>
      <c r="I321" s="249"/>
      <c r="J321" s="193" t="str">
        <f>IF(OR(ISBLANK($B321),ISBLANK($I321)),"",IFERROR(IF($I321&lt;=DATE('ESTADO CONTABLE'!$B$2,3,5),VLOOKUP($B321,COSTOS!$A$2:$B1014,2,FALSE)-150,VLOOKUP($B321,COSTOS!$A$2:$B1014,2,FALSE)),"No encontrado o error"))</f>
        <v/>
      </c>
      <c r="K321" s="264"/>
      <c r="L321" s="249"/>
      <c r="M321" s="189"/>
      <c r="N321" s="264"/>
      <c r="O321" s="249"/>
      <c r="P321" s="250"/>
      <c r="Q321" s="264"/>
      <c r="R321" s="249"/>
      <c r="S321" s="250"/>
      <c r="T321" s="264"/>
      <c r="U321" s="249"/>
      <c r="V321" s="250"/>
      <c r="W321" s="264"/>
      <c r="X321" s="394"/>
      <c r="Y321" s="429"/>
      <c r="Z321" s="395"/>
      <c r="AA321" s="394"/>
      <c r="AB321" s="118" t="str">
        <f>IF(OR(ISBLANK($B321),ISBLANK($AA321)),"",IFERROR(IF($AA321&lt;=DATE('ESTADO CONTABLE'!$B$2,9,5),VLOOKUP($B321,COSTOS!$A$2:$B1014,2,FALSE)-150,VLOOKUP($B321,COSTOS!$A$2:$B1014,2,FALSE)),"No encontrado o error"))</f>
        <v/>
      </c>
      <c r="AC321" s="395"/>
      <c r="AD321" s="394"/>
      <c r="AE321" s="429" t="str">
        <f>IF(OR(ISBLANK($B321),ISBLANK($AD321)),"",IFERROR(IF($AD321&lt;=DATE('ESTADO CONTABLE'!$B$2,10,5),VLOOKUP($B321,COSTOS!$A$2:$B1014,2,FALSE)-150,VLOOKUP($B321,COSTOS!$A$2:$B1014,2,FALSE)),"No encontrado o error"))</f>
        <v/>
      </c>
      <c r="AF321" s="395"/>
      <c r="AG321" s="394"/>
      <c r="AH321" s="429" t="str">
        <f>IF(OR(ISBLANK($B321),ISBLANK($AG321)),"",IFERROR(IF($AG321&lt;=DATE('ESTADO CONTABLE'!$B$2,11,5),VLOOKUP($B321,COSTOS!$A$2:$B1014,2,FALSE)-150,VLOOKUP($B321,COSTOS!$A$2:$B1014,2,FALSE)),"No encontrado o error"))</f>
        <v/>
      </c>
      <c r="AI321" s="395"/>
      <c r="AJ321" s="394"/>
      <c r="AK321" s="429" t="str">
        <f>IF(OR(ISBLANK($B321),ISBLANK($AJ321)),"",IFERROR(IF($AJ321&lt;=DATE('ESTADO CONTABLE'!$B$2,12,5),VLOOKUP($B321,COSTOS!$A$2:$B1014,2,FALSE)-150,VLOOKUP($B321,COSTOS!$A$2:$B1014,2,FALSE)),"No encontrado o error"))</f>
        <v/>
      </c>
      <c r="AL321" s="395"/>
      <c r="AM321" s="254"/>
      <c r="AN321" s="255"/>
      <c r="AO321" s="256"/>
    </row>
    <row r="322" ht="22.5" customHeight="1">
      <c r="A322" s="431" t="str">
        <f>'BASE DE DATOSS'!A396</f>
        <v/>
      </c>
      <c r="B322" s="432" t="str">
        <f>'BASE DE DATOSS'!C396</f>
        <v/>
      </c>
      <c r="C322" s="263"/>
      <c r="D322" s="249"/>
      <c r="E322" s="250"/>
      <c r="F322" s="251"/>
      <c r="G322" s="262"/>
      <c r="H322" s="257"/>
      <c r="I322" s="249"/>
      <c r="J322" s="193" t="str">
        <f>IF(OR(ISBLANK($B322),ISBLANK($I322)),"",IFERROR(IF($I322&lt;=DATE('ESTADO CONTABLE'!$B$2,3,5),VLOOKUP($B322,COSTOS!$A$2:$B1014,2,FALSE)-150,VLOOKUP($B322,COSTOS!$A$2:$B1014,2,FALSE)),"No encontrado o error"))</f>
        <v/>
      </c>
      <c r="K322" s="264"/>
      <c r="L322" s="249"/>
      <c r="M322" s="189"/>
      <c r="N322" s="264"/>
      <c r="O322" s="249"/>
      <c r="P322" s="250"/>
      <c r="Q322" s="264"/>
      <c r="R322" s="249"/>
      <c r="S322" s="250"/>
      <c r="T322" s="264"/>
      <c r="U322" s="249"/>
      <c r="V322" s="250"/>
      <c r="W322" s="264"/>
      <c r="X322" s="394"/>
      <c r="Y322" s="429"/>
      <c r="Z322" s="395"/>
      <c r="AA322" s="394"/>
      <c r="AB322" s="118" t="str">
        <f>IF(OR(ISBLANK($B322),ISBLANK($AA322)),"",IFERROR(IF($AA322&lt;=DATE('ESTADO CONTABLE'!$B$2,9,5),VLOOKUP($B322,COSTOS!$A$2:$B1014,2,FALSE)-150,VLOOKUP($B322,COSTOS!$A$2:$B1014,2,FALSE)),"No encontrado o error"))</f>
        <v/>
      </c>
      <c r="AC322" s="395"/>
      <c r="AD322" s="394"/>
      <c r="AE322" s="429" t="str">
        <f>IF(OR(ISBLANK($B322),ISBLANK($AD322)),"",IFERROR(IF($AD322&lt;=DATE('ESTADO CONTABLE'!$B$2,10,5),VLOOKUP($B322,COSTOS!$A$2:$B1014,2,FALSE)-150,VLOOKUP($B322,COSTOS!$A$2:$B1014,2,FALSE)),"No encontrado o error"))</f>
        <v/>
      </c>
      <c r="AF322" s="395"/>
      <c r="AG322" s="394"/>
      <c r="AH322" s="429" t="str">
        <f>IF(OR(ISBLANK($B322),ISBLANK($AG322)),"",IFERROR(IF($AG322&lt;=DATE('ESTADO CONTABLE'!$B$2,11,5),VLOOKUP($B322,COSTOS!$A$2:$B1014,2,FALSE)-150,VLOOKUP($B322,COSTOS!$A$2:$B1014,2,FALSE)),"No encontrado o error"))</f>
        <v/>
      </c>
      <c r="AI322" s="395"/>
      <c r="AJ322" s="394"/>
      <c r="AK322" s="429" t="str">
        <f>IF(OR(ISBLANK($B322),ISBLANK($AJ322)),"",IFERROR(IF($AJ322&lt;=DATE('ESTADO CONTABLE'!$B$2,12,5),VLOOKUP($B322,COSTOS!$A$2:$B1014,2,FALSE)-150,VLOOKUP($B322,COSTOS!$A$2:$B1014,2,FALSE)),"No encontrado o error"))</f>
        <v/>
      </c>
      <c r="AL322" s="395"/>
      <c r="AM322" s="254"/>
      <c r="AN322" s="255"/>
      <c r="AO322" s="256"/>
    </row>
    <row r="323" ht="22.5" customHeight="1">
      <c r="A323" s="431" t="str">
        <f>'BASE DE DATOSS'!A397</f>
        <v/>
      </c>
      <c r="B323" s="432" t="str">
        <f>'BASE DE DATOSS'!C397</f>
        <v/>
      </c>
      <c r="C323" s="263"/>
      <c r="D323" s="249"/>
      <c r="E323" s="250"/>
      <c r="F323" s="251"/>
      <c r="G323" s="262"/>
      <c r="H323" s="257"/>
      <c r="I323" s="249"/>
      <c r="J323" s="193" t="str">
        <f>IF(OR(ISBLANK($B323),ISBLANK($I323)),"",IFERROR(IF($I323&lt;=DATE('ESTADO CONTABLE'!$B$2,3,5),VLOOKUP($B323,COSTOS!$A$2:$B1014,2,FALSE)-150,VLOOKUP($B323,COSTOS!$A$2:$B1014,2,FALSE)),"No encontrado o error"))</f>
        <v/>
      </c>
      <c r="K323" s="264"/>
      <c r="L323" s="249"/>
      <c r="M323" s="189"/>
      <c r="N323" s="264"/>
      <c r="O323" s="249"/>
      <c r="P323" s="250"/>
      <c r="Q323" s="264"/>
      <c r="R323" s="249"/>
      <c r="S323" s="250"/>
      <c r="T323" s="264"/>
      <c r="U323" s="249"/>
      <c r="V323" s="250"/>
      <c r="W323" s="264"/>
      <c r="X323" s="394"/>
      <c r="Y323" s="429"/>
      <c r="Z323" s="395"/>
      <c r="AA323" s="394"/>
      <c r="AB323" s="118" t="str">
        <f>IF(OR(ISBLANK($B323),ISBLANK($AA323)),"",IFERROR(IF($AA323&lt;=DATE('ESTADO CONTABLE'!$B$2,9,5),VLOOKUP($B323,COSTOS!$A$2:$B1014,2,FALSE)-150,VLOOKUP($B323,COSTOS!$A$2:$B1014,2,FALSE)),"No encontrado o error"))</f>
        <v/>
      </c>
      <c r="AC323" s="395"/>
      <c r="AD323" s="394"/>
      <c r="AE323" s="429" t="str">
        <f>IF(OR(ISBLANK($B323),ISBLANK($AD323)),"",IFERROR(IF($AD323&lt;=DATE('ESTADO CONTABLE'!$B$2,10,5),VLOOKUP($B323,COSTOS!$A$2:$B1014,2,FALSE)-150,VLOOKUP($B323,COSTOS!$A$2:$B1014,2,FALSE)),"No encontrado o error"))</f>
        <v/>
      </c>
      <c r="AF323" s="395"/>
      <c r="AG323" s="394"/>
      <c r="AH323" s="429" t="str">
        <f>IF(OR(ISBLANK($B323),ISBLANK($AG323)),"",IFERROR(IF($AG323&lt;=DATE('ESTADO CONTABLE'!$B$2,11,5),VLOOKUP($B323,COSTOS!$A$2:$B1014,2,FALSE)-150,VLOOKUP($B323,COSTOS!$A$2:$B1014,2,FALSE)),"No encontrado o error"))</f>
        <v/>
      </c>
      <c r="AI323" s="395"/>
      <c r="AJ323" s="394"/>
      <c r="AK323" s="429" t="str">
        <f>IF(OR(ISBLANK($B323),ISBLANK($AJ323)),"",IFERROR(IF($AJ323&lt;=DATE('ESTADO CONTABLE'!$B$2,12,5),VLOOKUP($B323,COSTOS!$A$2:$B1014,2,FALSE)-150,VLOOKUP($B323,COSTOS!$A$2:$B1014,2,FALSE)),"No encontrado o error"))</f>
        <v/>
      </c>
      <c r="AL323" s="395"/>
      <c r="AM323" s="254"/>
      <c r="AN323" s="255"/>
      <c r="AO323" s="256"/>
    </row>
    <row r="324" ht="22.5" customHeight="1">
      <c r="A324" s="431" t="str">
        <f>'BASE DE DATOSS'!A398</f>
        <v/>
      </c>
      <c r="B324" s="432" t="str">
        <f>'BASE DE DATOSS'!C398</f>
        <v/>
      </c>
      <c r="C324" s="263"/>
      <c r="D324" s="249"/>
      <c r="E324" s="250"/>
      <c r="F324" s="251"/>
      <c r="G324" s="262"/>
      <c r="H324" s="257"/>
      <c r="I324" s="249"/>
      <c r="J324" s="193" t="str">
        <f>IF(OR(ISBLANK($B324),ISBLANK($I324)),"",IFERROR(IF($I324&lt;=DATE('ESTADO CONTABLE'!$B$2,3,5),VLOOKUP($B324,COSTOS!$A$2:$B1014,2,FALSE)-150,VLOOKUP($B324,COSTOS!$A$2:$B1014,2,FALSE)),"No encontrado o error"))</f>
        <v/>
      </c>
      <c r="K324" s="264"/>
      <c r="L324" s="249"/>
      <c r="M324" s="189"/>
      <c r="N324" s="264"/>
      <c r="O324" s="249"/>
      <c r="P324" s="250"/>
      <c r="Q324" s="264"/>
      <c r="R324" s="249"/>
      <c r="S324" s="250"/>
      <c r="T324" s="264"/>
      <c r="U324" s="249"/>
      <c r="V324" s="250"/>
      <c r="W324" s="264"/>
      <c r="X324" s="394"/>
      <c r="Y324" s="429"/>
      <c r="Z324" s="395"/>
      <c r="AA324" s="394"/>
      <c r="AB324" s="118" t="str">
        <f>IF(OR(ISBLANK($B324),ISBLANK($AA324)),"",IFERROR(IF($AA324&lt;=DATE('ESTADO CONTABLE'!$B$2,9,5),VLOOKUP($B324,COSTOS!$A$2:$B1014,2,FALSE)-150,VLOOKUP($B324,COSTOS!$A$2:$B1014,2,FALSE)),"No encontrado o error"))</f>
        <v/>
      </c>
      <c r="AC324" s="395"/>
      <c r="AD324" s="394"/>
      <c r="AE324" s="429" t="str">
        <f>IF(OR(ISBLANK($B324),ISBLANK($AD324)),"",IFERROR(IF($AD324&lt;=DATE('ESTADO CONTABLE'!$B$2,10,5),VLOOKUP($B324,COSTOS!$A$2:$B1014,2,FALSE)-150,VLOOKUP($B324,COSTOS!$A$2:$B1014,2,FALSE)),"No encontrado o error"))</f>
        <v/>
      </c>
      <c r="AF324" s="395"/>
      <c r="AG324" s="394"/>
      <c r="AH324" s="429" t="str">
        <f>IF(OR(ISBLANK($B324),ISBLANK($AG324)),"",IFERROR(IF($AG324&lt;=DATE('ESTADO CONTABLE'!$B$2,11,5),VLOOKUP($B324,COSTOS!$A$2:$B1014,2,FALSE)-150,VLOOKUP($B324,COSTOS!$A$2:$B1014,2,FALSE)),"No encontrado o error"))</f>
        <v/>
      </c>
      <c r="AI324" s="395"/>
      <c r="AJ324" s="394"/>
      <c r="AK324" s="429" t="str">
        <f>IF(OR(ISBLANK($B324),ISBLANK($AJ324)),"",IFERROR(IF($AJ324&lt;=DATE('ESTADO CONTABLE'!$B$2,12,5),VLOOKUP($B324,COSTOS!$A$2:$B1014,2,FALSE)-150,VLOOKUP($B324,COSTOS!$A$2:$B1014,2,FALSE)),"No encontrado o error"))</f>
        <v/>
      </c>
      <c r="AL324" s="395"/>
      <c r="AM324" s="254"/>
      <c r="AN324" s="255"/>
      <c r="AO324" s="256"/>
    </row>
    <row r="325" ht="22.5" customHeight="1">
      <c r="A325" s="431" t="str">
        <f>'BASE DE DATOSS'!A399</f>
        <v/>
      </c>
      <c r="B325" s="432" t="str">
        <f>'BASE DE DATOSS'!C399</f>
        <v/>
      </c>
      <c r="C325" s="263"/>
      <c r="D325" s="249"/>
      <c r="E325" s="250"/>
      <c r="F325" s="251"/>
      <c r="G325" s="262"/>
      <c r="H325" s="257"/>
      <c r="I325" s="249"/>
      <c r="J325" s="193" t="str">
        <f>IF(OR(ISBLANK($B325),ISBLANK($I325)),"",IFERROR(IF($I325&lt;=DATE('ESTADO CONTABLE'!$B$2,3,5),VLOOKUP($B325,COSTOS!$A$2:$B1014,2,FALSE)-150,VLOOKUP($B325,COSTOS!$A$2:$B1014,2,FALSE)),"No encontrado o error"))</f>
        <v/>
      </c>
      <c r="K325" s="264"/>
      <c r="L325" s="249"/>
      <c r="M325" s="189"/>
      <c r="N325" s="264"/>
      <c r="O325" s="249"/>
      <c r="P325" s="250"/>
      <c r="Q325" s="264"/>
      <c r="R325" s="249"/>
      <c r="S325" s="250"/>
      <c r="T325" s="264"/>
      <c r="U325" s="249"/>
      <c r="V325" s="250"/>
      <c r="W325" s="264"/>
      <c r="X325" s="394"/>
      <c r="Y325" s="429"/>
      <c r="Z325" s="395"/>
      <c r="AA325" s="394"/>
      <c r="AB325" s="118" t="str">
        <f>IF(OR(ISBLANK($B325),ISBLANK($AA325)),"",IFERROR(IF($AA325&lt;=DATE('ESTADO CONTABLE'!$B$2,9,5),VLOOKUP($B325,COSTOS!$A$2:$B1014,2,FALSE)-150,VLOOKUP($B325,COSTOS!$A$2:$B1014,2,FALSE)),"No encontrado o error"))</f>
        <v/>
      </c>
      <c r="AC325" s="395"/>
      <c r="AD325" s="394"/>
      <c r="AE325" s="429" t="str">
        <f>IF(OR(ISBLANK($B325),ISBLANK($AD325)),"",IFERROR(IF($AD325&lt;=DATE('ESTADO CONTABLE'!$B$2,10,5),VLOOKUP($B325,COSTOS!$A$2:$B1014,2,FALSE)-150,VLOOKUP($B325,COSTOS!$A$2:$B1014,2,FALSE)),"No encontrado o error"))</f>
        <v/>
      </c>
      <c r="AF325" s="395"/>
      <c r="AG325" s="394"/>
      <c r="AH325" s="429" t="str">
        <f>IF(OR(ISBLANK($B325),ISBLANK($AG325)),"",IFERROR(IF($AG325&lt;=DATE('ESTADO CONTABLE'!$B$2,11,5),VLOOKUP($B325,COSTOS!$A$2:$B1014,2,FALSE)-150,VLOOKUP($B325,COSTOS!$A$2:$B1014,2,FALSE)),"No encontrado o error"))</f>
        <v/>
      </c>
      <c r="AI325" s="395"/>
      <c r="AJ325" s="394"/>
      <c r="AK325" s="429" t="str">
        <f>IF(OR(ISBLANK($B325),ISBLANK($AJ325)),"",IFERROR(IF($AJ325&lt;=DATE('ESTADO CONTABLE'!$B$2,12,5),VLOOKUP($B325,COSTOS!$A$2:$B1014,2,FALSE)-150,VLOOKUP($B325,COSTOS!$A$2:$B1014,2,FALSE)),"No encontrado o error"))</f>
        <v/>
      </c>
      <c r="AL325" s="395"/>
      <c r="AM325" s="254"/>
      <c r="AN325" s="255"/>
      <c r="AO325" s="256"/>
    </row>
    <row r="326" ht="22.5" customHeight="1">
      <c r="A326" s="431" t="str">
        <f>'BASE DE DATOSS'!A400</f>
        <v/>
      </c>
      <c r="B326" s="432" t="str">
        <f>'BASE DE DATOSS'!C400</f>
        <v/>
      </c>
      <c r="C326" s="263"/>
      <c r="D326" s="249"/>
      <c r="E326" s="250"/>
      <c r="F326" s="251"/>
      <c r="G326" s="262"/>
      <c r="H326" s="257"/>
      <c r="I326" s="249"/>
      <c r="J326" s="193" t="str">
        <f>IF(OR(ISBLANK($B326),ISBLANK($I326)),"",IFERROR(IF($I326&lt;=DATE('ESTADO CONTABLE'!$B$2,3,5),VLOOKUP($B326,COSTOS!$A$2:$B1014,2,FALSE)-150,VLOOKUP($B326,COSTOS!$A$2:$B1014,2,FALSE)),"No encontrado o error"))</f>
        <v/>
      </c>
      <c r="K326" s="264"/>
      <c r="L326" s="249"/>
      <c r="M326" s="189"/>
      <c r="N326" s="264"/>
      <c r="O326" s="249"/>
      <c r="P326" s="250"/>
      <c r="Q326" s="264"/>
      <c r="R326" s="249"/>
      <c r="S326" s="250"/>
      <c r="T326" s="264"/>
      <c r="U326" s="249"/>
      <c r="V326" s="250"/>
      <c r="W326" s="264"/>
      <c r="X326" s="394"/>
      <c r="Y326" s="429"/>
      <c r="Z326" s="395"/>
      <c r="AA326" s="394"/>
      <c r="AB326" s="118" t="str">
        <f>IF(OR(ISBLANK($B326),ISBLANK($AA326)),"",IFERROR(IF($AA326&lt;=DATE('ESTADO CONTABLE'!$B$2,9,5),VLOOKUP($B326,COSTOS!$A$2:$B1014,2,FALSE)-150,VLOOKUP($B326,COSTOS!$A$2:$B1014,2,FALSE)),"No encontrado o error"))</f>
        <v/>
      </c>
      <c r="AC326" s="395"/>
      <c r="AD326" s="394"/>
      <c r="AE326" s="429" t="str">
        <f>IF(OR(ISBLANK($B326),ISBLANK($AD326)),"",IFERROR(IF($AD326&lt;=DATE('ESTADO CONTABLE'!$B$2,10,5),VLOOKUP($B326,COSTOS!$A$2:$B1014,2,FALSE)-150,VLOOKUP($B326,COSTOS!$A$2:$B1014,2,FALSE)),"No encontrado o error"))</f>
        <v/>
      </c>
      <c r="AF326" s="395"/>
      <c r="AG326" s="394"/>
      <c r="AH326" s="429" t="str">
        <f>IF(OR(ISBLANK($B326),ISBLANK($AG326)),"",IFERROR(IF($AG326&lt;=DATE('ESTADO CONTABLE'!$B$2,11,5),VLOOKUP($B326,COSTOS!$A$2:$B1014,2,FALSE)-150,VLOOKUP($B326,COSTOS!$A$2:$B1014,2,FALSE)),"No encontrado o error"))</f>
        <v/>
      </c>
      <c r="AI326" s="395"/>
      <c r="AJ326" s="394"/>
      <c r="AK326" s="429" t="str">
        <f>IF(OR(ISBLANK($B326),ISBLANK($AJ326)),"",IFERROR(IF($AJ326&lt;=DATE('ESTADO CONTABLE'!$B$2,12,5),VLOOKUP($B326,COSTOS!$A$2:$B1014,2,FALSE)-150,VLOOKUP($B326,COSTOS!$A$2:$B1014,2,FALSE)),"No encontrado o error"))</f>
        <v/>
      </c>
      <c r="AL326" s="395"/>
      <c r="AM326" s="254"/>
      <c r="AN326" s="255"/>
      <c r="AO326" s="256"/>
    </row>
    <row r="327" ht="22.5" customHeight="1">
      <c r="A327" s="431" t="str">
        <f>'BASE DE DATOSS'!A401</f>
        <v/>
      </c>
      <c r="B327" s="432" t="str">
        <f>'BASE DE DATOSS'!C401</f>
        <v/>
      </c>
      <c r="C327" s="263"/>
      <c r="D327" s="249"/>
      <c r="E327" s="250"/>
      <c r="F327" s="251"/>
      <c r="G327" s="262"/>
      <c r="H327" s="257"/>
      <c r="I327" s="249"/>
      <c r="J327" s="193" t="str">
        <f>IF(OR(ISBLANK($B327),ISBLANK($I327)),"",IFERROR(IF($I327&lt;=DATE('ESTADO CONTABLE'!$B$2,3,5),VLOOKUP($B327,COSTOS!$A$2:$B1014,2,FALSE)-150,VLOOKUP($B327,COSTOS!$A$2:$B1014,2,FALSE)),"No encontrado o error"))</f>
        <v/>
      </c>
      <c r="K327" s="264"/>
      <c r="L327" s="249"/>
      <c r="M327" s="189"/>
      <c r="N327" s="264"/>
      <c r="O327" s="249"/>
      <c r="P327" s="250"/>
      <c r="Q327" s="264"/>
      <c r="R327" s="249"/>
      <c r="S327" s="250"/>
      <c r="T327" s="264"/>
      <c r="U327" s="249"/>
      <c r="V327" s="250"/>
      <c r="W327" s="264"/>
      <c r="X327" s="394"/>
      <c r="Y327" s="429"/>
      <c r="Z327" s="395"/>
      <c r="AA327" s="394"/>
      <c r="AB327" s="118" t="str">
        <f>IF(OR(ISBLANK($B327),ISBLANK($AA327)),"",IFERROR(IF($AA327&lt;=DATE('ESTADO CONTABLE'!$B$2,9,5),VLOOKUP($B327,COSTOS!$A$2:$B1014,2,FALSE)-150,VLOOKUP($B327,COSTOS!$A$2:$B1014,2,FALSE)),"No encontrado o error"))</f>
        <v/>
      </c>
      <c r="AC327" s="395"/>
      <c r="AD327" s="394"/>
      <c r="AE327" s="429" t="str">
        <f>IF(OR(ISBLANK($B327),ISBLANK($AD327)),"",IFERROR(IF($AD327&lt;=DATE('ESTADO CONTABLE'!$B$2,10,5),VLOOKUP($B327,COSTOS!$A$2:$B1014,2,FALSE)-150,VLOOKUP($B327,COSTOS!$A$2:$B1014,2,FALSE)),"No encontrado o error"))</f>
        <v/>
      </c>
      <c r="AF327" s="395"/>
      <c r="AG327" s="394"/>
      <c r="AH327" s="429" t="str">
        <f>IF(OR(ISBLANK($B327),ISBLANK($AG327)),"",IFERROR(IF($AG327&lt;=DATE('ESTADO CONTABLE'!$B$2,11,5),VLOOKUP($B327,COSTOS!$A$2:$B1014,2,FALSE)-150,VLOOKUP($B327,COSTOS!$A$2:$B1014,2,FALSE)),"No encontrado o error"))</f>
        <v/>
      </c>
      <c r="AI327" s="395"/>
      <c r="AJ327" s="394"/>
      <c r="AK327" s="429" t="str">
        <f>IF(OR(ISBLANK($B327),ISBLANK($AJ327)),"",IFERROR(IF($AJ327&lt;=DATE('ESTADO CONTABLE'!$B$2,12,5),VLOOKUP($B327,COSTOS!$A$2:$B1014,2,FALSE)-150,VLOOKUP($B327,COSTOS!$A$2:$B1014,2,FALSE)),"No encontrado o error"))</f>
        <v/>
      </c>
      <c r="AL327" s="395"/>
      <c r="AM327" s="254"/>
      <c r="AN327" s="255"/>
      <c r="AO327" s="256"/>
    </row>
    <row r="328" ht="22.5" customHeight="1">
      <c r="A328" s="431" t="str">
        <f>'BASE DE DATOSS'!A402</f>
        <v/>
      </c>
      <c r="B328" s="432" t="str">
        <f>'BASE DE DATOSS'!C402</f>
        <v/>
      </c>
      <c r="C328" s="263"/>
      <c r="D328" s="249"/>
      <c r="E328" s="250"/>
      <c r="F328" s="251"/>
      <c r="G328" s="262"/>
      <c r="H328" s="257"/>
      <c r="I328" s="249"/>
      <c r="J328" s="193" t="str">
        <f>IF(OR(ISBLANK($B328),ISBLANK($I328)),"",IFERROR(IF($I328&lt;=DATE('ESTADO CONTABLE'!$B$2,3,5),VLOOKUP($B328,COSTOS!$A$2:$B1014,2,FALSE)-150,VLOOKUP($B328,COSTOS!$A$2:$B1014,2,FALSE)),"No encontrado o error"))</f>
        <v/>
      </c>
      <c r="K328" s="264"/>
      <c r="L328" s="249"/>
      <c r="M328" s="189"/>
      <c r="N328" s="264"/>
      <c r="O328" s="249"/>
      <c r="P328" s="250"/>
      <c r="Q328" s="264"/>
      <c r="R328" s="249"/>
      <c r="S328" s="250"/>
      <c r="T328" s="264"/>
      <c r="U328" s="249"/>
      <c r="V328" s="250"/>
      <c r="W328" s="264"/>
      <c r="X328" s="394"/>
      <c r="Y328" s="429"/>
      <c r="Z328" s="395"/>
      <c r="AA328" s="394"/>
      <c r="AB328" s="118" t="str">
        <f>IF(OR(ISBLANK($B328),ISBLANK($AA328)),"",IFERROR(IF($AA328&lt;=DATE('ESTADO CONTABLE'!$B$2,9,5),VLOOKUP($B328,COSTOS!$A$2:$B1014,2,FALSE)-150,VLOOKUP($B328,COSTOS!$A$2:$B1014,2,FALSE)),"No encontrado o error"))</f>
        <v/>
      </c>
      <c r="AC328" s="395"/>
      <c r="AD328" s="394"/>
      <c r="AE328" s="429" t="str">
        <f>IF(OR(ISBLANK($B328),ISBLANK($AD328)),"",IFERROR(IF($AD328&lt;=DATE('ESTADO CONTABLE'!$B$2,10,5),VLOOKUP($B328,COSTOS!$A$2:$B1014,2,FALSE)-150,VLOOKUP($B328,COSTOS!$A$2:$B1014,2,FALSE)),"No encontrado o error"))</f>
        <v/>
      </c>
      <c r="AF328" s="395"/>
      <c r="AG328" s="394"/>
      <c r="AH328" s="429" t="str">
        <f>IF(OR(ISBLANK($B328),ISBLANK($AG328)),"",IFERROR(IF($AG328&lt;=DATE('ESTADO CONTABLE'!$B$2,11,5),VLOOKUP($B328,COSTOS!$A$2:$B1014,2,FALSE)-150,VLOOKUP($B328,COSTOS!$A$2:$B1014,2,FALSE)),"No encontrado o error"))</f>
        <v/>
      </c>
      <c r="AI328" s="395"/>
      <c r="AJ328" s="394"/>
      <c r="AK328" s="429" t="str">
        <f>IF(OR(ISBLANK($B328),ISBLANK($AJ328)),"",IFERROR(IF($AJ328&lt;=DATE('ESTADO CONTABLE'!$B$2,12,5),VLOOKUP($B328,COSTOS!$A$2:$B1014,2,FALSE)-150,VLOOKUP($B328,COSTOS!$A$2:$B1014,2,FALSE)),"No encontrado o error"))</f>
        <v/>
      </c>
      <c r="AL328" s="395"/>
      <c r="AM328" s="254"/>
      <c r="AN328" s="255"/>
      <c r="AO328" s="256"/>
    </row>
    <row r="329" ht="22.5" customHeight="1">
      <c r="A329" s="431" t="str">
        <f>'BASE DE DATOSS'!A403</f>
        <v/>
      </c>
      <c r="B329" s="432" t="str">
        <f>'BASE DE DATOSS'!C403</f>
        <v/>
      </c>
      <c r="C329" s="263"/>
      <c r="D329" s="249"/>
      <c r="E329" s="250"/>
      <c r="F329" s="251"/>
      <c r="G329" s="262"/>
      <c r="H329" s="257"/>
      <c r="I329" s="249"/>
      <c r="J329" s="193" t="str">
        <f>IF(OR(ISBLANK($B329),ISBLANK($I329)),"",IFERROR(IF($I329&lt;=DATE('ESTADO CONTABLE'!$B$2,3,5),VLOOKUP($B329,COSTOS!$A$2:$B1014,2,FALSE)-150,VLOOKUP($B329,COSTOS!$A$2:$B1014,2,FALSE)),"No encontrado o error"))</f>
        <v/>
      </c>
      <c r="K329" s="264"/>
      <c r="L329" s="249"/>
      <c r="M329" s="189"/>
      <c r="N329" s="264"/>
      <c r="O329" s="249"/>
      <c r="P329" s="250"/>
      <c r="Q329" s="264"/>
      <c r="R329" s="249"/>
      <c r="S329" s="250"/>
      <c r="T329" s="264"/>
      <c r="U329" s="249"/>
      <c r="V329" s="250"/>
      <c r="W329" s="264"/>
      <c r="X329" s="394"/>
      <c r="Y329" s="429"/>
      <c r="Z329" s="395"/>
      <c r="AA329" s="394"/>
      <c r="AB329" s="118" t="str">
        <f>IF(OR(ISBLANK($B329),ISBLANK($AA329)),"",IFERROR(IF($AA329&lt;=DATE('ESTADO CONTABLE'!$B$2,9,5),VLOOKUP($B329,COSTOS!$A$2:$B1014,2,FALSE)-150,VLOOKUP($B329,COSTOS!$A$2:$B1014,2,FALSE)),"No encontrado o error"))</f>
        <v/>
      </c>
      <c r="AC329" s="395"/>
      <c r="AD329" s="394"/>
      <c r="AE329" s="429" t="str">
        <f>IF(OR(ISBLANK($B329),ISBLANK($AD329)),"",IFERROR(IF($AD329&lt;=DATE('ESTADO CONTABLE'!$B$2,10,5),VLOOKUP($B329,COSTOS!$A$2:$B1014,2,FALSE)-150,VLOOKUP($B329,COSTOS!$A$2:$B1014,2,FALSE)),"No encontrado o error"))</f>
        <v/>
      </c>
      <c r="AF329" s="395"/>
      <c r="AG329" s="394"/>
      <c r="AH329" s="429" t="str">
        <f>IF(OR(ISBLANK($B329),ISBLANK($AG329)),"",IFERROR(IF($AG329&lt;=DATE('ESTADO CONTABLE'!$B$2,11,5),VLOOKUP($B329,COSTOS!$A$2:$B1014,2,FALSE)-150,VLOOKUP($B329,COSTOS!$A$2:$B1014,2,FALSE)),"No encontrado o error"))</f>
        <v/>
      </c>
      <c r="AI329" s="395"/>
      <c r="AJ329" s="394"/>
      <c r="AK329" s="429" t="str">
        <f>IF(OR(ISBLANK($B329),ISBLANK($AJ329)),"",IFERROR(IF($AJ329&lt;=DATE('ESTADO CONTABLE'!$B$2,12,5),VLOOKUP($B329,COSTOS!$A$2:$B1014,2,FALSE)-150,VLOOKUP($B329,COSTOS!$A$2:$B1014,2,FALSE)),"No encontrado o error"))</f>
        <v/>
      </c>
      <c r="AL329" s="395"/>
      <c r="AM329" s="254"/>
      <c r="AN329" s="255"/>
      <c r="AO329" s="256"/>
    </row>
    <row r="330" ht="22.5" customHeight="1">
      <c r="A330" s="431" t="str">
        <f>'BASE DE DATOSS'!A404</f>
        <v/>
      </c>
      <c r="B330" s="432" t="str">
        <f>'BASE DE DATOSS'!C404</f>
        <v/>
      </c>
      <c r="C330" s="263"/>
      <c r="D330" s="249"/>
      <c r="E330" s="250"/>
      <c r="F330" s="251"/>
      <c r="G330" s="262"/>
      <c r="H330" s="257"/>
      <c r="I330" s="249"/>
      <c r="J330" s="193" t="str">
        <f>IF(OR(ISBLANK($B330),ISBLANK($I330)),"",IFERROR(IF($I330&lt;=DATE('ESTADO CONTABLE'!$B$2,3,5),VLOOKUP($B330,COSTOS!$A$2:$B1014,2,FALSE)-150,VLOOKUP($B330,COSTOS!$A$2:$B1014,2,FALSE)),"No encontrado o error"))</f>
        <v/>
      </c>
      <c r="K330" s="264"/>
      <c r="L330" s="249"/>
      <c r="M330" s="189"/>
      <c r="N330" s="264"/>
      <c r="O330" s="249"/>
      <c r="P330" s="250"/>
      <c r="Q330" s="264"/>
      <c r="R330" s="249"/>
      <c r="S330" s="250"/>
      <c r="T330" s="264"/>
      <c r="U330" s="249"/>
      <c r="V330" s="250"/>
      <c r="W330" s="264"/>
      <c r="X330" s="394"/>
      <c r="Y330" s="429"/>
      <c r="Z330" s="395"/>
      <c r="AA330" s="394"/>
      <c r="AB330" s="118" t="str">
        <f>IF(OR(ISBLANK($B330),ISBLANK($AA330)),"",IFERROR(IF($AA330&lt;=DATE('ESTADO CONTABLE'!$B$2,9,5),VLOOKUP($B330,COSTOS!$A$2:$B1014,2,FALSE)-150,VLOOKUP($B330,COSTOS!$A$2:$B1014,2,FALSE)),"No encontrado o error"))</f>
        <v/>
      </c>
      <c r="AC330" s="395"/>
      <c r="AD330" s="394"/>
      <c r="AE330" s="429" t="str">
        <f>IF(OR(ISBLANK($B330),ISBLANK($AD330)),"",IFERROR(IF($AD330&lt;=DATE('ESTADO CONTABLE'!$B$2,10,5),VLOOKUP($B330,COSTOS!$A$2:$B1014,2,FALSE)-150,VLOOKUP($B330,COSTOS!$A$2:$B1014,2,FALSE)),"No encontrado o error"))</f>
        <v/>
      </c>
      <c r="AF330" s="395"/>
      <c r="AG330" s="394"/>
      <c r="AH330" s="429" t="str">
        <f>IF(OR(ISBLANK($B330),ISBLANK($AG330)),"",IFERROR(IF($AG330&lt;=DATE('ESTADO CONTABLE'!$B$2,11,5),VLOOKUP($B330,COSTOS!$A$2:$B1014,2,FALSE)-150,VLOOKUP($B330,COSTOS!$A$2:$B1014,2,FALSE)),"No encontrado o error"))</f>
        <v/>
      </c>
      <c r="AI330" s="395"/>
      <c r="AJ330" s="394"/>
      <c r="AK330" s="429" t="str">
        <f>IF(OR(ISBLANK($B330),ISBLANK($AJ330)),"",IFERROR(IF($AJ330&lt;=DATE('ESTADO CONTABLE'!$B$2,12,5),VLOOKUP($B330,COSTOS!$A$2:$B1014,2,FALSE)-150,VLOOKUP($B330,COSTOS!$A$2:$B1014,2,FALSE)),"No encontrado o error"))</f>
        <v/>
      </c>
      <c r="AL330" s="395"/>
      <c r="AM330" s="254"/>
      <c r="AN330" s="255"/>
      <c r="AO330" s="256"/>
    </row>
    <row r="331" ht="22.5" customHeight="1">
      <c r="A331" s="431" t="str">
        <f>'BASE DE DATOSS'!A405</f>
        <v/>
      </c>
      <c r="B331" s="432" t="str">
        <f>'BASE DE DATOSS'!C405</f>
        <v/>
      </c>
      <c r="C331" s="263"/>
      <c r="D331" s="249"/>
      <c r="E331" s="250"/>
      <c r="F331" s="251"/>
      <c r="G331" s="262"/>
      <c r="H331" s="257"/>
      <c r="I331" s="249"/>
      <c r="J331" s="193" t="str">
        <f>IF(OR(ISBLANK($B331),ISBLANK($I331)),"",IFERROR(IF($I331&lt;=DATE('ESTADO CONTABLE'!$B$2,3,5),VLOOKUP($B331,COSTOS!$A$2:$B1014,2,FALSE)-150,VLOOKUP($B331,COSTOS!$A$2:$B1014,2,FALSE)),"No encontrado o error"))</f>
        <v/>
      </c>
      <c r="K331" s="264"/>
      <c r="L331" s="249"/>
      <c r="M331" s="189"/>
      <c r="N331" s="264"/>
      <c r="O331" s="249"/>
      <c r="P331" s="250"/>
      <c r="Q331" s="264"/>
      <c r="R331" s="249"/>
      <c r="S331" s="250"/>
      <c r="T331" s="264"/>
      <c r="U331" s="249"/>
      <c r="V331" s="250"/>
      <c r="W331" s="264"/>
      <c r="X331" s="394"/>
      <c r="Y331" s="429"/>
      <c r="Z331" s="395"/>
      <c r="AA331" s="394"/>
      <c r="AB331" s="118" t="str">
        <f>IF(OR(ISBLANK($B331),ISBLANK($AA331)),"",IFERROR(IF($AA331&lt;=DATE('ESTADO CONTABLE'!$B$2,9,5),VLOOKUP($B331,COSTOS!$A$2:$B1014,2,FALSE)-150,VLOOKUP($B331,COSTOS!$A$2:$B1014,2,FALSE)),"No encontrado o error"))</f>
        <v/>
      </c>
      <c r="AC331" s="395"/>
      <c r="AD331" s="394"/>
      <c r="AE331" s="429" t="str">
        <f>IF(OR(ISBLANK($B331),ISBLANK($AD331)),"",IFERROR(IF($AD331&lt;=DATE('ESTADO CONTABLE'!$B$2,10,5),VLOOKUP($B331,COSTOS!$A$2:$B1014,2,FALSE)-150,VLOOKUP($B331,COSTOS!$A$2:$B1014,2,FALSE)),"No encontrado o error"))</f>
        <v/>
      </c>
      <c r="AF331" s="395"/>
      <c r="AG331" s="394"/>
      <c r="AH331" s="429" t="str">
        <f>IF(OR(ISBLANK($B331),ISBLANK($AG331)),"",IFERROR(IF($AG331&lt;=DATE('ESTADO CONTABLE'!$B$2,11,5),VLOOKUP($B331,COSTOS!$A$2:$B1014,2,FALSE)-150,VLOOKUP($B331,COSTOS!$A$2:$B1014,2,FALSE)),"No encontrado o error"))</f>
        <v/>
      </c>
      <c r="AI331" s="395"/>
      <c r="AJ331" s="394"/>
      <c r="AK331" s="429" t="str">
        <f>IF(OR(ISBLANK($B331),ISBLANK($AJ331)),"",IFERROR(IF($AJ331&lt;=DATE('ESTADO CONTABLE'!$B$2,12,5),VLOOKUP($B331,COSTOS!$A$2:$B1014,2,FALSE)-150,VLOOKUP($B331,COSTOS!$A$2:$B1014,2,FALSE)),"No encontrado o error"))</f>
        <v/>
      </c>
      <c r="AL331" s="395"/>
      <c r="AM331" s="254"/>
      <c r="AN331" s="255"/>
      <c r="AO331" s="256"/>
    </row>
    <row r="332" ht="22.5" customHeight="1">
      <c r="A332" s="431" t="str">
        <f>'BASE DE DATOSS'!A406</f>
        <v/>
      </c>
      <c r="B332" s="432" t="str">
        <f>'BASE DE DATOSS'!C406</f>
        <v/>
      </c>
      <c r="C332" s="263"/>
      <c r="D332" s="249"/>
      <c r="E332" s="250"/>
      <c r="F332" s="251"/>
      <c r="G332" s="262"/>
      <c r="H332" s="257"/>
      <c r="I332" s="249"/>
      <c r="J332" s="193" t="str">
        <f>IF(OR(ISBLANK($B332),ISBLANK($I332)),"",IFERROR(IF($I332&lt;=DATE('ESTADO CONTABLE'!$B$2,3,5),VLOOKUP($B332,COSTOS!$A$2:$B1014,2,FALSE)-150,VLOOKUP($B332,COSTOS!$A$2:$B1014,2,FALSE)),"No encontrado o error"))</f>
        <v/>
      </c>
      <c r="K332" s="264"/>
      <c r="L332" s="249"/>
      <c r="M332" s="189"/>
      <c r="N332" s="264"/>
      <c r="O332" s="249"/>
      <c r="P332" s="250"/>
      <c r="Q332" s="264"/>
      <c r="R332" s="249"/>
      <c r="S332" s="250"/>
      <c r="T332" s="264"/>
      <c r="U332" s="249"/>
      <c r="V332" s="250"/>
      <c r="W332" s="264"/>
      <c r="X332" s="394"/>
      <c r="Y332" s="429"/>
      <c r="Z332" s="395"/>
      <c r="AA332" s="394"/>
      <c r="AB332" s="118" t="str">
        <f>IF(OR(ISBLANK($B332),ISBLANK($AA332)),"",IFERROR(IF($AA332&lt;=DATE('ESTADO CONTABLE'!$B$2,9,5),VLOOKUP($B332,COSTOS!$A$2:$B1014,2,FALSE)-150,VLOOKUP($B332,COSTOS!$A$2:$B1014,2,FALSE)),"No encontrado o error"))</f>
        <v/>
      </c>
      <c r="AC332" s="395"/>
      <c r="AD332" s="394"/>
      <c r="AE332" s="429" t="str">
        <f>IF(OR(ISBLANK($B332),ISBLANK($AD332)),"",IFERROR(IF($AD332&lt;=DATE('ESTADO CONTABLE'!$B$2,10,5),VLOOKUP($B332,COSTOS!$A$2:$B1014,2,FALSE)-150,VLOOKUP($B332,COSTOS!$A$2:$B1014,2,FALSE)),"No encontrado o error"))</f>
        <v/>
      </c>
      <c r="AF332" s="395"/>
      <c r="AG332" s="394"/>
      <c r="AH332" s="429" t="str">
        <f>IF(OR(ISBLANK($B332),ISBLANK($AG332)),"",IFERROR(IF($AG332&lt;=DATE('ESTADO CONTABLE'!$B$2,11,5),VLOOKUP($B332,COSTOS!$A$2:$B1014,2,FALSE)-150,VLOOKUP($B332,COSTOS!$A$2:$B1014,2,FALSE)),"No encontrado o error"))</f>
        <v/>
      </c>
      <c r="AI332" s="395"/>
      <c r="AJ332" s="394"/>
      <c r="AK332" s="429" t="str">
        <f>IF(OR(ISBLANK($B332),ISBLANK($AJ332)),"",IFERROR(IF($AJ332&lt;=DATE('ESTADO CONTABLE'!$B$2,12,5),VLOOKUP($B332,COSTOS!$A$2:$B1014,2,FALSE)-150,VLOOKUP($B332,COSTOS!$A$2:$B1014,2,FALSE)),"No encontrado o error"))</f>
        <v/>
      </c>
      <c r="AL332" s="395"/>
      <c r="AM332" s="254"/>
      <c r="AN332" s="255"/>
      <c r="AO332" s="256"/>
    </row>
    <row r="333" ht="22.5" customHeight="1">
      <c r="A333" s="431" t="str">
        <f>'BASE DE DATOSS'!A407</f>
        <v/>
      </c>
      <c r="B333" s="432" t="str">
        <f>'BASE DE DATOSS'!C407</f>
        <v/>
      </c>
      <c r="C333" s="263"/>
      <c r="D333" s="249"/>
      <c r="E333" s="250"/>
      <c r="F333" s="251"/>
      <c r="G333" s="262"/>
      <c r="H333" s="257"/>
      <c r="I333" s="249"/>
      <c r="J333" s="193" t="str">
        <f>IF(OR(ISBLANK($B333),ISBLANK($I333)),"",IFERROR(IF($I333&lt;=DATE('ESTADO CONTABLE'!$B$2,3,5),VLOOKUP($B333,COSTOS!$A$2:$B1014,2,FALSE)-150,VLOOKUP($B333,COSTOS!$A$2:$B1014,2,FALSE)),"No encontrado o error"))</f>
        <v/>
      </c>
      <c r="K333" s="264"/>
      <c r="L333" s="249"/>
      <c r="M333" s="189"/>
      <c r="N333" s="264"/>
      <c r="O333" s="249"/>
      <c r="P333" s="250"/>
      <c r="Q333" s="264"/>
      <c r="R333" s="249"/>
      <c r="S333" s="250"/>
      <c r="T333" s="264"/>
      <c r="U333" s="249"/>
      <c r="V333" s="250"/>
      <c r="W333" s="264"/>
      <c r="X333" s="394"/>
      <c r="Y333" s="429"/>
      <c r="Z333" s="395"/>
      <c r="AA333" s="394"/>
      <c r="AB333" s="118" t="str">
        <f>IF(OR(ISBLANK($B333),ISBLANK($AA333)),"",IFERROR(IF($AA333&lt;=DATE('ESTADO CONTABLE'!$B$2,9,5),VLOOKUP($B333,COSTOS!$A$2:$B1014,2,FALSE)-150,VLOOKUP($B333,COSTOS!$A$2:$B1014,2,FALSE)),"No encontrado o error"))</f>
        <v/>
      </c>
      <c r="AC333" s="395"/>
      <c r="AD333" s="394"/>
      <c r="AE333" s="429" t="str">
        <f>IF(OR(ISBLANK($B333),ISBLANK($AD333)),"",IFERROR(IF($AD333&lt;=DATE('ESTADO CONTABLE'!$B$2,10,5),VLOOKUP($B333,COSTOS!$A$2:$B1014,2,FALSE)-150,VLOOKUP($B333,COSTOS!$A$2:$B1014,2,FALSE)),"No encontrado o error"))</f>
        <v/>
      </c>
      <c r="AF333" s="395"/>
      <c r="AG333" s="394"/>
      <c r="AH333" s="429" t="str">
        <f>IF(OR(ISBLANK($B333),ISBLANK($AG333)),"",IFERROR(IF($AG333&lt;=DATE('ESTADO CONTABLE'!$B$2,11,5),VLOOKUP($B333,COSTOS!$A$2:$B1014,2,FALSE)-150,VLOOKUP($B333,COSTOS!$A$2:$B1014,2,FALSE)),"No encontrado o error"))</f>
        <v/>
      </c>
      <c r="AI333" s="395"/>
      <c r="AJ333" s="394"/>
      <c r="AK333" s="429" t="str">
        <f>IF(OR(ISBLANK($B333),ISBLANK($AJ333)),"",IFERROR(IF($AJ333&lt;=DATE('ESTADO CONTABLE'!$B$2,12,5),VLOOKUP($B333,COSTOS!$A$2:$B1014,2,FALSE)-150,VLOOKUP($B333,COSTOS!$A$2:$B1014,2,FALSE)),"No encontrado o error"))</f>
        <v/>
      </c>
      <c r="AL333" s="395"/>
      <c r="AM333" s="254"/>
      <c r="AN333" s="255"/>
      <c r="AO333" s="256"/>
    </row>
    <row r="334" ht="22.5" customHeight="1">
      <c r="A334" s="431" t="str">
        <f>'BASE DE DATOSS'!A408</f>
        <v/>
      </c>
      <c r="B334" s="432" t="str">
        <f>'BASE DE DATOSS'!C408</f>
        <v/>
      </c>
      <c r="C334" s="263"/>
      <c r="D334" s="249"/>
      <c r="E334" s="250"/>
      <c r="F334" s="251"/>
      <c r="G334" s="262"/>
      <c r="H334" s="257"/>
      <c r="I334" s="249"/>
      <c r="J334" s="193" t="str">
        <f>IF(OR(ISBLANK($B334),ISBLANK($I334)),"",IFERROR(IF($I334&lt;=DATE('ESTADO CONTABLE'!$B$2,3,5),VLOOKUP($B334,COSTOS!$A$2:$B1014,2,FALSE)-150,VLOOKUP($B334,COSTOS!$A$2:$B1014,2,FALSE)),"No encontrado o error"))</f>
        <v/>
      </c>
      <c r="K334" s="264"/>
      <c r="L334" s="249"/>
      <c r="M334" s="189"/>
      <c r="N334" s="264"/>
      <c r="O334" s="249"/>
      <c r="P334" s="250"/>
      <c r="Q334" s="264"/>
      <c r="R334" s="249"/>
      <c r="S334" s="250"/>
      <c r="T334" s="264"/>
      <c r="U334" s="249"/>
      <c r="V334" s="250"/>
      <c r="W334" s="264"/>
      <c r="X334" s="394"/>
      <c r="Y334" s="429"/>
      <c r="Z334" s="395"/>
      <c r="AA334" s="394"/>
      <c r="AB334" s="118" t="str">
        <f>IF(OR(ISBLANK($B334),ISBLANK($AA334)),"",IFERROR(IF($AA334&lt;=DATE('ESTADO CONTABLE'!$B$2,9,5),VLOOKUP($B334,COSTOS!$A$2:$B1014,2,FALSE)-150,VLOOKUP($B334,COSTOS!$A$2:$B1014,2,FALSE)),"No encontrado o error"))</f>
        <v/>
      </c>
      <c r="AC334" s="395"/>
      <c r="AD334" s="394"/>
      <c r="AE334" s="429" t="str">
        <f>IF(OR(ISBLANK($B334),ISBLANK($AD334)),"",IFERROR(IF($AD334&lt;=DATE('ESTADO CONTABLE'!$B$2,10,5),VLOOKUP($B334,COSTOS!$A$2:$B1014,2,FALSE)-150,VLOOKUP($B334,COSTOS!$A$2:$B1014,2,FALSE)),"No encontrado o error"))</f>
        <v/>
      </c>
      <c r="AF334" s="395"/>
      <c r="AG334" s="394"/>
      <c r="AH334" s="429" t="str">
        <f>IF(OR(ISBLANK($B334),ISBLANK($AG334)),"",IFERROR(IF($AG334&lt;=DATE('ESTADO CONTABLE'!$B$2,11,5),VLOOKUP($B334,COSTOS!$A$2:$B1014,2,FALSE)-150,VLOOKUP($B334,COSTOS!$A$2:$B1014,2,FALSE)),"No encontrado o error"))</f>
        <v/>
      </c>
      <c r="AI334" s="395"/>
      <c r="AJ334" s="394"/>
      <c r="AK334" s="429" t="str">
        <f>IF(OR(ISBLANK($B334),ISBLANK($AJ334)),"",IFERROR(IF($AJ334&lt;=DATE('ESTADO CONTABLE'!$B$2,12,5),VLOOKUP($B334,COSTOS!$A$2:$B1014,2,FALSE)-150,VLOOKUP($B334,COSTOS!$A$2:$B1014,2,FALSE)),"No encontrado o error"))</f>
        <v/>
      </c>
      <c r="AL334" s="395"/>
      <c r="AM334" s="254"/>
      <c r="AN334" s="255"/>
      <c r="AO334" s="256"/>
    </row>
    <row r="335" ht="22.5" customHeight="1">
      <c r="A335" s="431" t="str">
        <f>'BASE DE DATOSS'!A409</f>
        <v/>
      </c>
      <c r="B335" s="432" t="str">
        <f>'BASE DE DATOSS'!C409</f>
        <v/>
      </c>
      <c r="C335" s="263"/>
      <c r="D335" s="249"/>
      <c r="E335" s="250"/>
      <c r="F335" s="251"/>
      <c r="G335" s="262"/>
      <c r="H335" s="257"/>
      <c r="I335" s="249"/>
      <c r="J335" s="193" t="str">
        <f>IF(OR(ISBLANK($B335),ISBLANK($I335)),"",IFERROR(IF($I335&lt;=DATE('ESTADO CONTABLE'!$B$2,3,5),VLOOKUP($B335,COSTOS!$A$2:$B1014,2,FALSE)-150,VLOOKUP($B335,COSTOS!$A$2:$B1014,2,FALSE)),"No encontrado o error"))</f>
        <v/>
      </c>
      <c r="K335" s="264"/>
      <c r="L335" s="249"/>
      <c r="M335" s="189"/>
      <c r="N335" s="264"/>
      <c r="O335" s="249"/>
      <c r="P335" s="250"/>
      <c r="Q335" s="264"/>
      <c r="R335" s="249"/>
      <c r="S335" s="250"/>
      <c r="T335" s="264"/>
      <c r="U335" s="249"/>
      <c r="V335" s="250"/>
      <c r="W335" s="264"/>
      <c r="X335" s="394"/>
      <c r="Y335" s="429"/>
      <c r="Z335" s="395"/>
      <c r="AA335" s="394"/>
      <c r="AB335" s="118" t="str">
        <f>IF(OR(ISBLANK($B335),ISBLANK($AA335)),"",IFERROR(IF($AA335&lt;=DATE('ESTADO CONTABLE'!$B$2,9,5),VLOOKUP($B335,COSTOS!$A$2:$B1014,2,FALSE)-150,VLOOKUP($B335,COSTOS!$A$2:$B1014,2,FALSE)),"No encontrado o error"))</f>
        <v/>
      </c>
      <c r="AC335" s="395"/>
      <c r="AD335" s="394"/>
      <c r="AE335" s="429" t="str">
        <f>IF(OR(ISBLANK($B335),ISBLANK($AD335)),"",IFERROR(IF($AD335&lt;=DATE('ESTADO CONTABLE'!$B$2,10,5),VLOOKUP($B335,COSTOS!$A$2:$B1014,2,FALSE)-150,VLOOKUP($B335,COSTOS!$A$2:$B1014,2,FALSE)),"No encontrado o error"))</f>
        <v/>
      </c>
      <c r="AF335" s="395"/>
      <c r="AG335" s="394"/>
      <c r="AH335" s="429" t="str">
        <f>IF(OR(ISBLANK($B335),ISBLANK($AG335)),"",IFERROR(IF($AG335&lt;=DATE('ESTADO CONTABLE'!$B$2,11,5),VLOOKUP($B335,COSTOS!$A$2:$B1014,2,FALSE)-150,VLOOKUP($B335,COSTOS!$A$2:$B1014,2,FALSE)),"No encontrado o error"))</f>
        <v/>
      </c>
      <c r="AI335" s="395"/>
      <c r="AJ335" s="394"/>
      <c r="AK335" s="429" t="str">
        <f>IF(OR(ISBLANK($B335),ISBLANK($AJ335)),"",IFERROR(IF($AJ335&lt;=DATE('ESTADO CONTABLE'!$B$2,12,5),VLOOKUP($B335,COSTOS!$A$2:$B1014,2,FALSE)-150,VLOOKUP($B335,COSTOS!$A$2:$B1014,2,FALSE)),"No encontrado o error"))</f>
        <v/>
      </c>
      <c r="AL335" s="395"/>
      <c r="AM335" s="254"/>
      <c r="AN335" s="255"/>
      <c r="AO335" s="256"/>
    </row>
    <row r="336" ht="22.5" customHeight="1">
      <c r="A336" s="431" t="str">
        <f>'BASE DE DATOSS'!A410</f>
        <v/>
      </c>
      <c r="B336" s="432" t="str">
        <f>'BASE DE DATOSS'!C410</f>
        <v/>
      </c>
      <c r="C336" s="263"/>
      <c r="D336" s="249"/>
      <c r="E336" s="250"/>
      <c r="F336" s="251"/>
      <c r="G336" s="262"/>
      <c r="H336" s="257"/>
      <c r="I336" s="249"/>
      <c r="J336" s="193" t="str">
        <f>IF(OR(ISBLANK($B336),ISBLANK($I336)),"",IFERROR(IF($I336&lt;=DATE('ESTADO CONTABLE'!$B$2,3,5),VLOOKUP($B336,COSTOS!$A$2:$B1014,2,FALSE)-150,VLOOKUP($B336,COSTOS!$A$2:$B1014,2,FALSE)),"No encontrado o error"))</f>
        <v/>
      </c>
      <c r="K336" s="264"/>
      <c r="L336" s="249"/>
      <c r="M336" s="189"/>
      <c r="N336" s="264"/>
      <c r="O336" s="249"/>
      <c r="P336" s="250"/>
      <c r="Q336" s="264"/>
      <c r="R336" s="249"/>
      <c r="S336" s="250"/>
      <c r="T336" s="264"/>
      <c r="U336" s="249"/>
      <c r="V336" s="250"/>
      <c r="W336" s="264"/>
      <c r="X336" s="394"/>
      <c r="Y336" s="429"/>
      <c r="Z336" s="395"/>
      <c r="AA336" s="394"/>
      <c r="AB336" s="118" t="str">
        <f>IF(OR(ISBLANK($B336),ISBLANK($AA336)),"",IFERROR(IF($AA336&lt;=DATE('ESTADO CONTABLE'!$B$2,9,5),VLOOKUP($B336,COSTOS!$A$2:$B1014,2,FALSE)-150,VLOOKUP($B336,COSTOS!$A$2:$B1014,2,FALSE)),"No encontrado o error"))</f>
        <v/>
      </c>
      <c r="AC336" s="395"/>
      <c r="AD336" s="394"/>
      <c r="AE336" s="429" t="str">
        <f>IF(OR(ISBLANK($B336),ISBLANK($AD336)),"",IFERROR(IF($AD336&lt;=DATE('ESTADO CONTABLE'!$B$2,10,5),VLOOKUP($B336,COSTOS!$A$2:$B1014,2,FALSE)-150,VLOOKUP($B336,COSTOS!$A$2:$B1014,2,FALSE)),"No encontrado o error"))</f>
        <v/>
      </c>
      <c r="AF336" s="395"/>
      <c r="AG336" s="394"/>
      <c r="AH336" s="429" t="str">
        <f>IF(OR(ISBLANK($B336),ISBLANK($AG336)),"",IFERROR(IF($AG336&lt;=DATE('ESTADO CONTABLE'!$B$2,11,5),VLOOKUP($B336,COSTOS!$A$2:$B1014,2,FALSE)-150,VLOOKUP($B336,COSTOS!$A$2:$B1014,2,FALSE)),"No encontrado o error"))</f>
        <v/>
      </c>
      <c r="AI336" s="395"/>
      <c r="AJ336" s="394"/>
      <c r="AK336" s="429" t="str">
        <f>IF(OR(ISBLANK($B336),ISBLANK($AJ336)),"",IFERROR(IF($AJ336&lt;=DATE('ESTADO CONTABLE'!$B$2,12,5),VLOOKUP($B336,COSTOS!$A$2:$B1014,2,FALSE)-150,VLOOKUP($B336,COSTOS!$A$2:$B1014,2,FALSE)),"No encontrado o error"))</f>
        <v/>
      </c>
      <c r="AL336" s="395"/>
      <c r="AM336" s="254"/>
      <c r="AN336" s="255"/>
      <c r="AO336" s="256"/>
    </row>
    <row r="337" ht="22.5" customHeight="1">
      <c r="A337" s="431" t="str">
        <f>'BASE DE DATOSS'!A411</f>
        <v/>
      </c>
      <c r="B337" s="432" t="str">
        <f>'BASE DE DATOSS'!C411</f>
        <v/>
      </c>
      <c r="C337" s="263"/>
      <c r="D337" s="249"/>
      <c r="E337" s="250"/>
      <c r="F337" s="251"/>
      <c r="G337" s="262"/>
      <c r="H337" s="257"/>
      <c r="I337" s="249"/>
      <c r="J337" s="193" t="str">
        <f>IF(OR(ISBLANK($B337),ISBLANK($I337)),"",IFERROR(IF($I337&lt;=DATE('ESTADO CONTABLE'!$B$2,3,5),VLOOKUP($B337,COSTOS!$A$2:$B1014,2,FALSE)-150,VLOOKUP($B337,COSTOS!$A$2:$B1014,2,FALSE)),"No encontrado o error"))</f>
        <v/>
      </c>
      <c r="K337" s="264"/>
      <c r="L337" s="249"/>
      <c r="M337" s="189"/>
      <c r="N337" s="264"/>
      <c r="O337" s="249"/>
      <c r="P337" s="250"/>
      <c r="Q337" s="264"/>
      <c r="R337" s="249"/>
      <c r="S337" s="250"/>
      <c r="T337" s="264"/>
      <c r="U337" s="249"/>
      <c r="V337" s="250"/>
      <c r="W337" s="264"/>
      <c r="X337" s="394"/>
      <c r="Y337" s="429"/>
      <c r="Z337" s="395"/>
      <c r="AA337" s="394"/>
      <c r="AB337" s="118" t="str">
        <f>IF(OR(ISBLANK($B337),ISBLANK($AA337)),"",IFERROR(IF($AA337&lt;=DATE('ESTADO CONTABLE'!$B$2,9,5),VLOOKUP($B337,COSTOS!$A$2:$B1014,2,FALSE)-150,VLOOKUP($B337,COSTOS!$A$2:$B1014,2,FALSE)),"No encontrado o error"))</f>
        <v/>
      </c>
      <c r="AC337" s="395"/>
      <c r="AD337" s="394"/>
      <c r="AE337" s="429" t="str">
        <f>IF(OR(ISBLANK($B337),ISBLANK($AD337)),"",IFERROR(IF($AD337&lt;=DATE('ESTADO CONTABLE'!$B$2,10,5),VLOOKUP($B337,COSTOS!$A$2:$B1014,2,FALSE)-150,VLOOKUP($B337,COSTOS!$A$2:$B1014,2,FALSE)),"No encontrado o error"))</f>
        <v/>
      </c>
      <c r="AF337" s="395"/>
      <c r="AG337" s="394"/>
      <c r="AH337" s="429" t="str">
        <f>IF(OR(ISBLANK($B337),ISBLANK($AG337)),"",IFERROR(IF($AG337&lt;=DATE('ESTADO CONTABLE'!$B$2,11,5),VLOOKUP($B337,COSTOS!$A$2:$B1014,2,FALSE)-150,VLOOKUP($B337,COSTOS!$A$2:$B1014,2,FALSE)),"No encontrado o error"))</f>
        <v/>
      </c>
      <c r="AI337" s="395"/>
      <c r="AJ337" s="394"/>
      <c r="AK337" s="429" t="str">
        <f>IF(OR(ISBLANK($B337),ISBLANK($AJ337)),"",IFERROR(IF($AJ337&lt;=DATE('ESTADO CONTABLE'!$B$2,12,5),VLOOKUP($B337,COSTOS!$A$2:$B1014,2,FALSE)-150,VLOOKUP($B337,COSTOS!$A$2:$B1014,2,FALSE)),"No encontrado o error"))</f>
        <v/>
      </c>
      <c r="AL337" s="395"/>
      <c r="AM337" s="254"/>
      <c r="AN337" s="255"/>
      <c r="AO337" s="256"/>
    </row>
    <row r="338" ht="22.5" customHeight="1">
      <c r="A338" s="431" t="str">
        <f>'BASE DE DATOSS'!A412</f>
        <v/>
      </c>
      <c r="B338" s="432" t="str">
        <f>'BASE DE DATOSS'!C412</f>
        <v/>
      </c>
      <c r="C338" s="263"/>
      <c r="D338" s="249"/>
      <c r="E338" s="250"/>
      <c r="F338" s="251"/>
      <c r="G338" s="262"/>
      <c r="H338" s="257"/>
      <c r="I338" s="249"/>
      <c r="J338" s="193" t="str">
        <f>IF(OR(ISBLANK($B338),ISBLANK($I338)),"",IFERROR(IF($I338&lt;=DATE('ESTADO CONTABLE'!$B$2,3,5),VLOOKUP($B338,COSTOS!$A$2:$B1014,2,FALSE)-150,VLOOKUP($B338,COSTOS!$A$2:$B1014,2,FALSE)),"No encontrado o error"))</f>
        <v/>
      </c>
      <c r="K338" s="264"/>
      <c r="L338" s="249"/>
      <c r="M338" s="189"/>
      <c r="N338" s="264"/>
      <c r="O338" s="249"/>
      <c r="P338" s="250"/>
      <c r="Q338" s="264"/>
      <c r="R338" s="249"/>
      <c r="S338" s="250"/>
      <c r="T338" s="264"/>
      <c r="U338" s="249"/>
      <c r="V338" s="250"/>
      <c r="W338" s="264"/>
      <c r="X338" s="394"/>
      <c r="Y338" s="429"/>
      <c r="Z338" s="395"/>
      <c r="AA338" s="394"/>
      <c r="AB338" s="118" t="str">
        <f>IF(OR(ISBLANK($B338),ISBLANK($AA338)),"",IFERROR(IF($AA338&lt;=DATE('ESTADO CONTABLE'!$B$2,9,5),VLOOKUP($B338,COSTOS!$A$2:$B1014,2,FALSE)-150,VLOOKUP($B338,COSTOS!$A$2:$B1014,2,FALSE)),"No encontrado o error"))</f>
        <v/>
      </c>
      <c r="AC338" s="395"/>
      <c r="AD338" s="394"/>
      <c r="AE338" s="429" t="str">
        <f>IF(OR(ISBLANK($B338),ISBLANK($AD338)),"",IFERROR(IF($AD338&lt;=DATE('ESTADO CONTABLE'!$B$2,10,5),VLOOKUP($B338,COSTOS!$A$2:$B1014,2,FALSE)-150,VLOOKUP($B338,COSTOS!$A$2:$B1014,2,FALSE)),"No encontrado o error"))</f>
        <v/>
      </c>
      <c r="AF338" s="395"/>
      <c r="AG338" s="394"/>
      <c r="AH338" s="429" t="str">
        <f>IF(OR(ISBLANK($B338),ISBLANK($AG338)),"",IFERROR(IF($AG338&lt;=DATE('ESTADO CONTABLE'!$B$2,11,5),VLOOKUP($B338,COSTOS!$A$2:$B1014,2,FALSE)-150,VLOOKUP($B338,COSTOS!$A$2:$B1014,2,FALSE)),"No encontrado o error"))</f>
        <v/>
      </c>
      <c r="AI338" s="395"/>
      <c r="AJ338" s="394"/>
      <c r="AK338" s="429" t="str">
        <f>IF(OR(ISBLANK($B338),ISBLANK($AJ338)),"",IFERROR(IF($AJ338&lt;=DATE('ESTADO CONTABLE'!$B$2,12,5),VLOOKUP($B338,COSTOS!$A$2:$B1014,2,FALSE)-150,VLOOKUP($B338,COSTOS!$A$2:$B1014,2,FALSE)),"No encontrado o error"))</f>
        <v/>
      </c>
      <c r="AL338" s="395"/>
      <c r="AM338" s="254"/>
      <c r="AN338" s="255"/>
      <c r="AO338" s="256"/>
    </row>
    <row r="339" ht="22.5" customHeight="1">
      <c r="A339" s="431" t="str">
        <f>'BASE DE DATOSS'!A413</f>
        <v/>
      </c>
      <c r="B339" s="432" t="str">
        <f>'BASE DE DATOSS'!C413</f>
        <v/>
      </c>
      <c r="C339" s="263"/>
      <c r="D339" s="249"/>
      <c r="E339" s="250"/>
      <c r="F339" s="251"/>
      <c r="G339" s="262"/>
      <c r="H339" s="257"/>
      <c r="I339" s="249"/>
      <c r="J339" s="193" t="str">
        <f>IF(OR(ISBLANK($B339),ISBLANK($I339)),"",IFERROR(IF($I339&lt;=DATE('ESTADO CONTABLE'!$B$2,3,5),VLOOKUP($B339,COSTOS!$A$2:$B1014,2,FALSE)-150,VLOOKUP($B339,COSTOS!$A$2:$B1014,2,FALSE)),"No encontrado o error"))</f>
        <v/>
      </c>
      <c r="K339" s="264"/>
      <c r="L339" s="249"/>
      <c r="M339" s="189"/>
      <c r="N339" s="264"/>
      <c r="O339" s="249"/>
      <c r="P339" s="250"/>
      <c r="Q339" s="264"/>
      <c r="R339" s="249"/>
      <c r="S339" s="250"/>
      <c r="T339" s="264"/>
      <c r="U339" s="249"/>
      <c r="V339" s="250"/>
      <c r="W339" s="264"/>
      <c r="X339" s="394"/>
      <c r="Y339" s="429"/>
      <c r="Z339" s="395"/>
      <c r="AA339" s="394"/>
      <c r="AB339" s="118" t="str">
        <f>IF(OR(ISBLANK($B339),ISBLANK($AA339)),"",IFERROR(IF($AA339&lt;=DATE('ESTADO CONTABLE'!$B$2,9,5),VLOOKUP($B339,COSTOS!$A$2:$B1014,2,FALSE)-150,VLOOKUP($B339,COSTOS!$A$2:$B1014,2,FALSE)),"No encontrado o error"))</f>
        <v/>
      </c>
      <c r="AC339" s="395"/>
      <c r="AD339" s="394"/>
      <c r="AE339" s="429" t="str">
        <f>IF(OR(ISBLANK($B339),ISBLANK($AD339)),"",IFERROR(IF($AD339&lt;=DATE('ESTADO CONTABLE'!$B$2,10,5),VLOOKUP($B339,COSTOS!$A$2:$B1014,2,FALSE)-150,VLOOKUP($B339,COSTOS!$A$2:$B1014,2,FALSE)),"No encontrado o error"))</f>
        <v/>
      </c>
      <c r="AF339" s="395"/>
      <c r="AG339" s="394"/>
      <c r="AH339" s="429" t="str">
        <f>IF(OR(ISBLANK($B339),ISBLANK($AG339)),"",IFERROR(IF($AG339&lt;=DATE('ESTADO CONTABLE'!$B$2,11,5),VLOOKUP($B339,COSTOS!$A$2:$B1014,2,FALSE)-150,VLOOKUP($B339,COSTOS!$A$2:$B1014,2,FALSE)),"No encontrado o error"))</f>
        <v/>
      </c>
      <c r="AI339" s="395"/>
      <c r="AJ339" s="394"/>
      <c r="AK339" s="429" t="str">
        <f>IF(OR(ISBLANK($B339),ISBLANK($AJ339)),"",IFERROR(IF($AJ339&lt;=DATE('ESTADO CONTABLE'!$B$2,12,5),VLOOKUP($B339,COSTOS!$A$2:$B1014,2,FALSE)-150,VLOOKUP($B339,COSTOS!$A$2:$B1014,2,FALSE)),"No encontrado o error"))</f>
        <v/>
      </c>
      <c r="AL339" s="395"/>
      <c r="AM339" s="254"/>
      <c r="AN339" s="255"/>
      <c r="AO339" s="256"/>
    </row>
    <row r="340" ht="22.5" customHeight="1">
      <c r="A340" s="431" t="str">
        <f>'BASE DE DATOSS'!A414</f>
        <v/>
      </c>
      <c r="B340" s="432" t="str">
        <f>'BASE DE DATOSS'!C414</f>
        <v/>
      </c>
      <c r="C340" s="263"/>
      <c r="D340" s="249"/>
      <c r="E340" s="250"/>
      <c r="F340" s="251"/>
      <c r="G340" s="262"/>
      <c r="H340" s="257"/>
      <c r="I340" s="249"/>
      <c r="J340" s="193" t="str">
        <f>IF(OR(ISBLANK($B340),ISBLANK($I340)),"",IFERROR(IF($I340&lt;=DATE('ESTADO CONTABLE'!$B$2,3,5),VLOOKUP($B340,COSTOS!$A$2:$B1014,2,FALSE)-150,VLOOKUP($B340,COSTOS!$A$2:$B1014,2,FALSE)),"No encontrado o error"))</f>
        <v/>
      </c>
      <c r="K340" s="264"/>
      <c r="L340" s="249"/>
      <c r="M340" s="189"/>
      <c r="N340" s="264"/>
      <c r="O340" s="249"/>
      <c r="P340" s="250"/>
      <c r="Q340" s="264"/>
      <c r="R340" s="249"/>
      <c r="S340" s="250"/>
      <c r="T340" s="264"/>
      <c r="U340" s="249"/>
      <c r="V340" s="250"/>
      <c r="W340" s="264"/>
      <c r="X340" s="394"/>
      <c r="Y340" s="429"/>
      <c r="Z340" s="395"/>
      <c r="AA340" s="394"/>
      <c r="AB340" s="118" t="str">
        <f>IF(OR(ISBLANK($B340),ISBLANK($AA340)),"",IFERROR(IF($AA340&lt;=DATE('ESTADO CONTABLE'!$B$2,9,5),VLOOKUP($B340,COSTOS!$A$2:$B1014,2,FALSE)-150,VLOOKUP($B340,COSTOS!$A$2:$B1014,2,FALSE)),"No encontrado o error"))</f>
        <v/>
      </c>
      <c r="AC340" s="395"/>
      <c r="AD340" s="394"/>
      <c r="AE340" s="429" t="str">
        <f>IF(OR(ISBLANK($B340),ISBLANK($AD340)),"",IFERROR(IF($AD340&lt;=DATE('ESTADO CONTABLE'!$B$2,10,5),VLOOKUP($B340,COSTOS!$A$2:$B1014,2,FALSE)-150,VLOOKUP($B340,COSTOS!$A$2:$B1014,2,FALSE)),"No encontrado o error"))</f>
        <v/>
      </c>
      <c r="AF340" s="395"/>
      <c r="AG340" s="394"/>
      <c r="AH340" s="429" t="str">
        <f>IF(OR(ISBLANK($B340),ISBLANK($AG340)),"",IFERROR(IF($AG340&lt;=DATE('ESTADO CONTABLE'!$B$2,11,5),VLOOKUP($B340,COSTOS!$A$2:$B1014,2,FALSE)-150,VLOOKUP($B340,COSTOS!$A$2:$B1014,2,FALSE)),"No encontrado o error"))</f>
        <v/>
      </c>
      <c r="AI340" s="395"/>
      <c r="AJ340" s="394"/>
      <c r="AK340" s="429" t="str">
        <f>IF(OR(ISBLANK($B340),ISBLANK($AJ340)),"",IFERROR(IF($AJ340&lt;=DATE('ESTADO CONTABLE'!$B$2,12,5),VLOOKUP($B340,COSTOS!$A$2:$B1014,2,FALSE)-150,VLOOKUP($B340,COSTOS!$A$2:$B1014,2,FALSE)),"No encontrado o error"))</f>
        <v/>
      </c>
      <c r="AL340" s="395"/>
      <c r="AM340" s="254"/>
      <c r="AN340" s="255"/>
      <c r="AO340" s="256"/>
    </row>
    <row r="341" ht="22.5" customHeight="1">
      <c r="A341" s="431" t="str">
        <f>'BASE DE DATOSS'!A415</f>
        <v/>
      </c>
      <c r="B341" s="432" t="str">
        <f>'BASE DE DATOSS'!C415</f>
        <v/>
      </c>
      <c r="C341" s="263"/>
      <c r="D341" s="249"/>
      <c r="E341" s="250"/>
      <c r="F341" s="251"/>
      <c r="G341" s="262"/>
      <c r="H341" s="257"/>
      <c r="I341" s="249"/>
      <c r="J341" s="193" t="str">
        <f>IF(OR(ISBLANK($B341),ISBLANK($I341)),"",IFERROR(IF($I341&lt;=DATE('ESTADO CONTABLE'!$B$2,3,5),VLOOKUP($B341,COSTOS!$A$2:$B1014,2,FALSE)-150,VLOOKUP($B341,COSTOS!$A$2:$B1014,2,FALSE)),"No encontrado o error"))</f>
        <v/>
      </c>
      <c r="K341" s="264"/>
      <c r="L341" s="249"/>
      <c r="M341" s="189"/>
      <c r="N341" s="264"/>
      <c r="O341" s="249"/>
      <c r="P341" s="250"/>
      <c r="Q341" s="264"/>
      <c r="R341" s="249"/>
      <c r="S341" s="250"/>
      <c r="T341" s="264"/>
      <c r="U341" s="249"/>
      <c r="V341" s="250"/>
      <c r="W341" s="264"/>
      <c r="X341" s="394"/>
      <c r="Y341" s="429"/>
      <c r="Z341" s="395"/>
      <c r="AA341" s="394"/>
      <c r="AB341" s="118" t="str">
        <f>IF(OR(ISBLANK($B341),ISBLANK($AA341)),"",IFERROR(IF($AA341&lt;=DATE('ESTADO CONTABLE'!$B$2,9,5),VLOOKUP($B341,COSTOS!$A$2:$B1014,2,FALSE)-150,VLOOKUP($B341,COSTOS!$A$2:$B1014,2,FALSE)),"No encontrado o error"))</f>
        <v/>
      </c>
      <c r="AC341" s="395"/>
      <c r="AD341" s="394"/>
      <c r="AE341" s="429" t="str">
        <f>IF(OR(ISBLANK($B341),ISBLANK($AD341)),"",IFERROR(IF($AD341&lt;=DATE('ESTADO CONTABLE'!$B$2,10,5),VLOOKUP($B341,COSTOS!$A$2:$B1014,2,FALSE)-150,VLOOKUP($B341,COSTOS!$A$2:$B1014,2,FALSE)),"No encontrado o error"))</f>
        <v/>
      </c>
      <c r="AF341" s="395"/>
      <c r="AG341" s="394"/>
      <c r="AH341" s="429" t="str">
        <f>IF(OR(ISBLANK($B341),ISBLANK($AG341)),"",IFERROR(IF($AG341&lt;=DATE('ESTADO CONTABLE'!$B$2,11,5),VLOOKUP($B341,COSTOS!$A$2:$B1014,2,FALSE)-150,VLOOKUP($B341,COSTOS!$A$2:$B1014,2,FALSE)),"No encontrado o error"))</f>
        <v/>
      </c>
      <c r="AI341" s="395"/>
      <c r="AJ341" s="394"/>
      <c r="AK341" s="429" t="str">
        <f>IF(OR(ISBLANK($B341),ISBLANK($AJ341)),"",IFERROR(IF($AJ341&lt;=DATE('ESTADO CONTABLE'!$B$2,12,5),VLOOKUP($B341,COSTOS!$A$2:$B1014,2,FALSE)-150,VLOOKUP($B341,COSTOS!$A$2:$B1014,2,FALSE)),"No encontrado o error"))</f>
        <v/>
      </c>
      <c r="AL341" s="395"/>
      <c r="AM341" s="254"/>
      <c r="AN341" s="255"/>
      <c r="AO341" s="256"/>
    </row>
    <row r="342" ht="22.5" customHeight="1">
      <c r="A342" s="431" t="str">
        <f>'BASE DE DATOSS'!A416</f>
        <v/>
      </c>
      <c r="B342" s="432" t="str">
        <f>'BASE DE DATOSS'!C416</f>
        <v/>
      </c>
      <c r="C342" s="263"/>
      <c r="D342" s="249"/>
      <c r="E342" s="250"/>
      <c r="F342" s="251"/>
      <c r="G342" s="262"/>
      <c r="H342" s="257"/>
      <c r="I342" s="249"/>
      <c r="J342" s="193" t="str">
        <f>IF(OR(ISBLANK($B342),ISBLANK($I342)),"",IFERROR(IF($I342&lt;=DATE('ESTADO CONTABLE'!$B$2,3,5),VLOOKUP($B342,COSTOS!$A$2:$B1014,2,FALSE)-150,VLOOKUP($B342,COSTOS!$A$2:$B1014,2,FALSE)),"No encontrado o error"))</f>
        <v/>
      </c>
      <c r="K342" s="264"/>
      <c r="L342" s="249"/>
      <c r="M342" s="189"/>
      <c r="N342" s="264"/>
      <c r="O342" s="249"/>
      <c r="P342" s="250"/>
      <c r="Q342" s="264"/>
      <c r="R342" s="249"/>
      <c r="S342" s="250"/>
      <c r="T342" s="264"/>
      <c r="U342" s="249"/>
      <c r="V342" s="250"/>
      <c r="W342" s="264"/>
      <c r="X342" s="394"/>
      <c r="Y342" s="429"/>
      <c r="Z342" s="395"/>
      <c r="AA342" s="394"/>
      <c r="AB342" s="118" t="str">
        <f>IF(OR(ISBLANK($B342),ISBLANK($AA342)),"",IFERROR(IF($AA342&lt;=DATE('ESTADO CONTABLE'!$B$2,9,5),VLOOKUP($B342,COSTOS!$A$2:$B1014,2,FALSE)-150,VLOOKUP($B342,COSTOS!$A$2:$B1014,2,FALSE)),"No encontrado o error"))</f>
        <v/>
      </c>
      <c r="AC342" s="395"/>
      <c r="AD342" s="394"/>
      <c r="AE342" s="429" t="str">
        <f>IF(OR(ISBLANK($B342),ISBLANK($AD342)),"",IFERROR(IF($AD342&lt;=DATE('ESTADO CONTABLE'!$B$2,10,5),VLOOKUP($B342,COSTOS!$A$2:$B1014,2,FALSE)-150,VLOOKUP($B342,COSTOS!$A$2:$B1014,2,FALSE)),"No encontrado o error"))</f>
        <v/>
      </c>
      <c r="AF342" s="395"/>
      <c r="AG342" s="394"/>
      <c r="AH342" s="429" t="str">
        <f>IF(OR(ISBLANK($B342),ISBLANK($AG342)),"",IFERROR(IF($AG342&lt;=DATE('ESTADO CONTABLE'!$B$2,11,5),VLOOKUP($B342,COSTOS!$A$2:$B1014,2,FALSE)-150,VLOOKUP($B342,COSTOS!$A$2:$B1014,2,FALSE)),"No encontrado o error"))</f>
        <v/>
      </c>
      <c r="AI342" s="395"/>
      <c r="AJ342" s="394"/>
      <c r="AK342" s="429" t="str">
        <f>IF(OR(ISBLANK($B342),ISBLANK($AJ342)),"",IFERROR(IF($AJ342&lt;=DATE('ESTADO CONTABLE'!$B$2,12,5),VLOOKUP($B342,COSTOS!$A$2:$B1014,2,FALSE)-150,VLOOKUP($B342,COSTOS!$A$2:$B1014,2,FALSE)),"No encontrado o error"))</f>
        <v/>
      </c>
      <c r="AL342" s="395"/>
      <c r="AM342" s="254"/>
      <c r="AN342" s="255"/>
      <c r="AO342" s="256"/>
    </row>
    <row r="343" ht="22.5" customHeight="1">
      <c r="A343" s="431" t="str">
        <f>'BASE DE DATOSS'!A417</f>
        <v/>
      </c>
      <c r="B343" s="432" t="str">
        <f>'BASE DE DATOSS'!C417</f>
        <v/>
      </c>
      <c r="C343" s="263"/>
      <c r="D343" s="249"/>
      <c r="E343" s="250"/>
      <c r="F343" s="251"/>
      <c r="G343" s="262"/>
      <c r="H343" s="257"/>
      <c r="I343" s="249"/>
      <c r="J343" s="193" t="str">
        <f>IF(OR(ISBLANK($B343),ISBLANK($I343)),"",IFERROR(IF($I343&lt;=DATE('ESTADO CONTABLE'!$B$2,3,5),VLOOKUP($B343,COSTOS!$A$2:$B1014,2,FALSE)-150,VLOOKUP($B343,COSTOS!$A$2:$B1014,2,FALSE)),"No encontrado o error"))</f>
        <v/>
      </c>
      <c r="K343" s="264"/>
      <c r="L343" s="249"/>
      <c r="M343" s="189"/>
      <c r="N343" s="264"/>
      <c r="O343" s="249"/>
      <c r="P343" s="250"/>
      <c r="Q343" s="264"/>
      <c r="R343" s="249"/>
      <c r="S343" s="250"/>
      <c r="T343" s="264"/>
      <c r="U343" s="249"/>
      <c r="V343" s="250"/>
      <c r="W343" s="264"/>
      <c r="X343" s="394"/>
      <c r="Y343" s="429"/>
      <c r="Z343" s="395"/>
      <c r="AA343" s="394"/>
      <c r="AB343" s="118" t="str">
        <f>IF(OR(ISBLANK($B343),ISBLANK($AA343)),"",IFERROR(IF($AA343&lt;=DATE('ESTADO CONTABLE'!$B$2,9,5),VLOOKUP($B343,COSTOS!$A$2:$B1014,2,FALSE)-150,VLOOKUP($B343,COSTOS!$A$2:$B1014,2,FALSE)),"No encontrado o error"))</f>
        <v/>
      </c>
      <c r="AC343" s="395"/>
      <c r="AD343" s="394"/>
      <c r="AE343" s="429" t="str">
        <f>IF(OR(ISBLANK($B343),ISBLANK($AD343)),"",IFERROR(IF($AD343&lt;=DATE('ESTADO CONTABLE'!$B$2,10,5),VLOOKUP($B343,COSTOS!$A$2:$B1014,2,FALSE)-150,VLOOKUP($B343,COSTOS!$A$2:$B1014,2,FALSE)),"No encontrado o error"))</f>
        <v/>
      </c>
      <c r="AF343" s="395"/>
      <c r="AG343" s="394"/>
      <c r="AH343" s="429" t="str">
        <f>IF(OR(ISBLANK($B343),ISBLANK($AG343)),"",IFERROR(IF($AG343&lt;=DATE('ESTADO CONTABLE'!$B$2,11,5),VLOOKUP($B343,COSTOS!$A$2:$B1014,2,FALSE)-150,VLOOKUP($B343,COSTOS!$A$2:$B1014,2,FALSE)),"No encontrado o error"))</f>
        <v/>
      </c>
      <c r="AI343" s="395"/>
      <c r="AJ343" s="394"/>
      <c r="AK343" s="429" t="str">
        <f>IF(OR(ISBLANK($B343),ISBLANK($AJ343)),"",IFERROR(IF($AJ343&lt;=DATE('ESTADO CONTABLE'!$B$2,12,5),VLOOKUP($B343,COSTOS!$A$2:$B1014,2,FALSE)-150,VLOOKUP($B343,COSTOS!$A$2:$B1014,2,FALSE)),"No encontrado o error"))</f>
        <v/>
      </c>
      <c r="AL343" s="395"/>
      <c r="AM343" s="254"/>
      <c r="AN343" s="255"/>
      <c r="AO343" s="256"/>
    </row>
    <row r="344" ht="22.5" customHeight="1">
      <c r="A344" s="431" t="str">
        <f>'BASE DE DATOSS'!A418</f>
        <v/>
      </c>
      <c r="B344" s="432" t="str">
        <f>'BASE DE DATOSS'!C418</f>
        <v/>
      </c>
      <c r="C344" s="263"/>
      <c r="D344" s="249"/>
      <c r="E344" s="250"/>
      <c r="F344" s="251"/>
      <c r="G344" s="262"/>
      <c r="H344" s="257"/>
      <c r="I344" s="249"/>
      <c r="J344" s="193" t="str">
        <f>IF(OR(ISBLANK($B344),ISBLANK($I344)),"",IFERROR(IF($I344&lt;=DATE('ESTADO CONTABLE'!$B$2,3,5),VLOOKUP($B344,COSTOS!$A$2:$B1014,2,FALSE)-150,VLOOKUP($B344,COSTOS!$A$2:$B1014,2,FALSE)),"No encontrado o error"))</f>
        <v/>
      </c>
      <c r="K344" s="264"/>
      <c r="L344" s="249"/>
      <c r="M344" s="189"/>
      <c r="N344" s="264"/>
      <c r="O344" s="249"/>
      <c r="P344" s="250"/>
      <c r="Q344" s="264"/>
      <c r="R344" s="249"/>
      <c r="S344" s="250"/>
      <c r="T344" s="264"/>
      <c r="U344" s="249"/>
      <c r="V344" s="250"/>
      <c r="W344" s="264"/>
      <c r="X344" s="394"/>
      <c r="Y344" s="429"/>
      <c r="Z344" s="395"/>
      <c r="AA344" s="394"/>
      <c r="AB344" s="118" t="str">
        <f>IF(OR(ISBLANK($B344),ISBLANK($AA344)),"",IFERROR(IF($AA344&lt;=DATE('ESTADO CONTABLE'!$B$2,9,5),VLOOKUP($B344,COSTOS!$A$2:$B1014,2,FALSE)-150,VLOOKUP($B344,COSTOS!$A$2:$B1014,2,FALSE)),"No encontrado o error"))</f>
        <v/>
      </c>
      <c r="AC344" s="395"/>
      <c r="AD344" s="394"/>
      <c r="AE344" s="429" t="str">
        <f>IF(OR(ISBLANK($B344),ISBLANK($AD344)),"",IFERROR(IF($AD344&lt;=DATE('ESTADO CONTABLE'!$B$2,10,5),VLOOKUP($B344,COSTOS!$A$2:$B1014,2,FALSE)-150,VLOOKUP($B344,COSTOS!$A$2:$B1014,2,FALSE)),"No encontrado o error"))</f>
        <v/>
      </c>
      <c r="AF344" s="395"/>
      <c r="AG344" s="394"/>
      <c r="AH344" s="429" t="str">
        <f>IF(OR(ISBLANK($B344),ISBLANK($AG344)),"",IFERROR(IF($AG344&lt;=DATE('ESTADO CONTABLE'!$B$2,11,5),VLOOKUP($B344,COSTOS!$A$2:$B1014,2,FALSE)-150,VLOOKUP($B344,COSTOS!$A$2:$B1014,2,FALSE)),"No encontrado o error"))</f>
        <v/>
      </c>
      <c r="AI344" s="395"/>
      <c r="AJ344" s="394"/>
      <c r="AK344" s="429" t="str">
        <f>IF(OR(ISBLANK($B344),ISBLANK($AJ344)),"",IFERROR(IF($AJ344&lt;=DATE('ESTADO CONTABLE'!$B$2,12,5),VLOOKUP($B344,COSTOS!$A$2:$B1014,2,FALSE)-150,VLOOKUP($B344,COSTOS!$A$2:$B1014,2,FALSE)),"No encontrado o error"))</f>
        <v/>
      </c>
      <c r="AL344" s="395"/>
      <c r="AM344" s="254"/>
      <c r="AN344" s="255"/>
      <c r="AO344" s="256"/>
    </row>
    <row r="345" ht="22.5" customHeight="1">
      <c r="A345" s="431" t="str">
        <f>'BASE DE DATOSS'!A419</f>
        <v/>
      </c>
      <c r="B345" s="432" t="str">
        <f>'BASE DE DATOSS'!C419</f>
        <v/>
      </c>
      <c r="C345" s="263"/>
      <c r="D345" s="249"/>
      <c r="E345" s="250"/>
      <c r="F345" s="251"/>
      <c r="G345" s="262"/>
      <c r="H345" s="257"/>
      <c r="I345" s="249"/>
      <c r="J345" s="193" t="str">
        <f>IF(OR(ISBLANK($B345),ISBLANK($I345)),"",IFERROR(IF($I345&lt;=DATE('ESTADO CONTABLE'!$B$2,3,5),VLOOKUP($B345,COSTOS!$A$2:$B1014,2,FALSE)-150,VLOOKUP($B345,COSTOS!$A$2:$B1014,2,FALSE)),"No encontrado o error"))</f>
        <v/>
      </c>
      <c r="K345" s="264"/>
      <c r="L345" s="249"/>
      <c r="M345" s="189"/>
      <c r="N345" s="264"/>
      <c r="O345" s="249"/>
      <c r="P345" s="250"/>
      <c r="Q345" s="264"/>
      <c r="R345" s="249"/>
      <c r="S345" s="250"/>
      <c r="T345" s="264"/>
      <c r="U345" s="249"/>
      <c r="V345" s="250"/>
      <c r="W345" s="264"/>
      <c r="X345" s="394"/>
      <c r="Y345" s="429"/>
      <c r="Z345" s="395"/>
      <c r="AA345" s="394"/>
      <c r="AB345" s="118" t="str">
        <f>IF(OR(ISBLANK($B345),ISBLANK($AA345)),"",IFERROR(IF($AA345&lt;=DATE('ESTADO CONTABLE'!$B$2,9,5),VLOOKUP($B345,COSTOS!$A$2:$B1014,2,FALSE)-150,VLOOKUP($B345,COSTOS!$A$2:$B1014,2,FALSE)),"No encontrado o error"))</f>
        <v/>
      </c>
      <c r="AC345" s="395"/>
      <c r="AD345" s="394"/>
      <c r="AE345" s="429" t="str">
        <f>IF(OR(ISBLANK($B345),ISBLANK($AD345)),"",IFERROR(IF($AD345&lt;=DATE('ESTADO CONTABLE'!$B$2,10,5),VLOOKUP($B345,COSTOS!$A$2:$B1014,2,FALSE)-150,VLOOKUP($B345,COSTOS!$A$2:$B1014,2,FALSE)),"No encontrado o error"))</f>
        <v/>
      </c>
      <c r="AF345" s="395"/>
      <c r="AG345" s="394"/>
      <c r="AH345" s="429" t="str">
        <f>IF(OR(ISBLANK($B345),ISBLANK($AG345)),"",IFERROR(IF($AG345&lt;=DATE('ESTADO CONTABLE'!$B$2,11,5),VLOOKUP($B345,COSTOS!$A$2:$B1014,2,FALSE)-150,VLOOKUP($B345,COSTOS!$A$2:$B1014,2,FALSE)),"No encontrado o error"))</f>
        <v/>
      </c>
      <c r="AI345" s="395"/>
      <c r="AJ345" s="394"/>
      <c r="AK345" s="429" t="str">
        <f>IF(OR(ISBLANK($B345),ISBLANK($AJ345)),"",IFERROR(IF($AJ345&lt;=DATE('ESTADO CONTABLE'!$B$2,12,5),VLOOKUP($B345,COSTOS!$A$2:$B1014,2,FALSE)-150,VLOOKUP($B345,COSTOS!$A$2:$B1014,2,FALSE)),"No encontrado o error"))</f>
        <v/>
      </c>
      <c r="AL345" s="395"/>
      <c r="AM345" s="254"/>
      <c r="AN345" s="255"/>
      <c r="AO345" s="256"/>
    </row>
    <row r="346" ht="22.5" customHeight="1">
      <c r="A346" s="431" t="str">
        <f>'BASE DE DATOSS'!A420</f>
        <v/>
      </c>
      <c r="B346" s="432" t="str">
        <f>'BASE DE DATOSS'!C420</f>
        <v/>
      </c>
      <c r="C346" s="263"/>
      <c r="D346" s="249"/>
      <c r="E346" s="250"/>
      <c r="F346" s="251"/>
      <c r="G346" s="262"/>
      <c r="H346" s="257"/>
      <c r="I346" s="249"/>
      <c r="J346" s="193" t="str">
        <f>IF(OR(ISBLANK($B346),ISBLANK($I346)),"",IFERROR(IF($I346&lt;=DATE('ESTADO CONTABLE'!$B$2,3,5),VLOOKUP($B346,COSTOS!$A$2:$B1014,2,FALSE)-150,VLOOKUP($B346,COSTOS!$A$2:$B1014,2,FALSE)),"No encontrado o error"))</f>
        <v/>
      </c>
      <c r="K346" s="264"/>
      <c r="L346" s="249"/>
      <c r="M346" s="189"/>
      <c r="N346" s="264"/>
      <c r="O346" s="249"/>
      <c r="P346" s="250"/>
      <c r="Q346" s="264"/>
      <c r="R346" s="249"/>
      <c r="S346" s="250"/>
      <c r="T346" s="264"/>
      <c r="U346" s="249"/>
      <c r="V346" s="250"/>
      <c r="W346" s="264"/>
      <c r="X346" s="394"/>
      <c r="Y346" s="429"/>
      <c r="Z346" s="395"/>
      <c r="AA346" s="394"/>
      <c r="AB346" s="118" t="str">
        <f>IF(OR(ISBLANK($B346),ISBLANK($AA346)),"",IFERROR(IF($AA346&lt;=DATE('ESTADO CONTABLE'!$B$2,9,5),VLOOKUP($B346,COSTOS!$A$2:$B1014,2,FALSE)-150,VLOOKUP($B346,COSTOS!$A$2:$B1014,2,FALSE)),"No encontrado o error"))</f>
        <v/>
      </c>
      <c r="AC346" s="395"/>
      <c r="AD346" s="394"/>
      <c r="AE346" s="429" t="str">
        <f>IF(OR(ISBLANK($B346),ISBLANK($AD346)),"",IFERROR(IF($AD346&lt;=DATE('ESTADO CONTABLE'!$B$2,10,5),VLOOKUP($B346,COSTOS!$A$2:$B1014,2,FALSE)-150,VLOOKUP($B346,COSTOS!$A$2:$B1014,2,FALSE)),"No encontrado o error"))</f>
        <v/>
      </c>
      <c r="AF346" s="395"/>
      <c r="AG346" s="394"/>
      <c r="AH346" s="429" t="str">
        <f>IF(OR(ISBLANK($B346),ISBLANK($AG346)),"",IFERROR(IF($AG346&lt;=DATE('ESTADO CONTABLE'!$B$2,11,5),VLOOKUP($B346,COSTOS!$A$2:$B1014,2,FALSE)-150,VLOOKUP($B346,COSTOS!$A$2:$B1014,2,FALSE)),"No encontrado o error"))</f>
        <v/>
      </c>
      <c r="AI346" s="395"/>
      <c r="AJ346" s="394"/>
      <c r="AK346" s="429" t="str">
        <f>IF(OR(ISBLANK($B346),ISBLANK($AJ346)),"",IFERROR(IF($AJ346&lt;=DATE('ESTADO CONTABLE'!$B$2,12,5),VLOOKUP($B346,COSTOS!$A$2:$B1014,2,FALSE)-150,VLOOKUP($B346,COSTOS!$A$2:$B1014,2,FALSE)),"No encontrado o error"))</f>
        <v/>
      </c>
      <c r="AL346" s="395"/>
      <c r="AM346" s="254"/>
      <c r="AN346" s="255"/>
      <c r="AO346" s="256"/>
    </row>
    <row r="347" ht="22.5" customHeight="1">
      <c r="A347" s="431" t="str">
        <f>'BASE DE DATOSS'!A421</f>
        <v/>
      </c>
      <c r="B347" s="432" t="str">
        <f>'BASE DE DATOSS'!C421</f>
        <v/>
      </c>
      <c r="C347" s="263"/>
      <c r="D347" s="249"/>
      <c r="E347" s="250"/>
      <c r="F347" s="251"/>
      <c r="G347" s="262"/>
      <c r="H347" s="257"/>
      <c r="I347" s="249"/>
      <c r="J347" s="193" t="str">
        <f>IF(OR(ISBLANK($B347),ISBLANK($I347)),"",IFERROR(IF($I347&lt;=DATE('ESTADO CONTABLE'!$B$2,3,5),VLOOKUP($B347,COSTOS!$A$2:$B1014,2,FALSE)-150,VLOOKUP($B347,COSTOS!$A$2:$B1014,2,FALSE)),"No encontrado o error"))</f>
        <v/>
      </c>
      <c r="K347" s="264"/>
      <c r="L347" s="249"/>
      <c r="M347" s="189"/>
      <c r="N347" s="264"/>
      <c r="O347" s="249"/>
      <c r="P347" s="250"/>
      <c r="Q347" s="264"/>
      <c r="R347" s="249"/>
      <c r="S347" s="250"/>
      <c r="T347" s="264"/>
      <c r="U347" s="249"/>
      <c r="V347" s="250"/>
      <c r="W347" s="264"/>
      <c r="X347" s="394"/>
      <c r="Y347" s="429"/>
      <c r="Z347" s="395"/>
      <c r="AA347" s="394"/>
      <c r="AB347" s="118" t="str">
        <f>IF(OR(ISBLANK($B347),ISBLANK($AA347)),"",IFERROR(IF($AA347&lt;=DATE('ESTADO CONTABLE'!$B$2,9,5),VLOOKUP($B347,COSTOS!$A$2:$B1014,2,FALSE)-150,VLOOKUP($B347,COSTOS!$A$2:$B1014,2,FALSE)),"No encontrado o error"))</f>
        <v/>
      </c>
      <c r="AC347" s="395"/>
      <c r="AD347" s="394"/>
      <c r="AE347" s="429" t="str">
        <f>IF(OR(ISBLANK($B347),ISBLANK($AD347)),"",IFERROR(IF($AD347&lt;=DATE('ESTADO CONTABLE'!$B$2,10,5),VLOOKUP($B347,COSTOS!$A$2:$B1014,2,FALSE)-150,VLOOKUP($B347,COSTOS!$A$2:$B1014,2,FALSE)),"No encontrado o error"))</f>
        <v/>
      </c>
      <c r="AF347" s="395"/>
      <c r="AG347" s="394"/>
      <c r="AH347" s="429" t="str">
        <f>IF(OR(ISBLANK($B347),ISBLANK($AG347)),"",IFERROR(IF($AG347&lt;=DATE('ESTADO CONTABLE'!$B$2,11,5),VLOOKUP($B347,COSTOS!$A$2:$B1014,2,FALSE)-150,VLOOKUP($B347,COSTOS!$A$2:$B1014,2,FALSE)),"No encontrado o error"))</f>
        <v/>
      </c>
      <c r="AI347" s="395"/>
      <c r="AJ347" s="394"/>
      <c r="AK347" s="429" t="str">
        <f>IF(OR(ISBLANK($B347),ISBLANK($AJ347)),"",IFERROR(IF($AJ347&lt;=DATE('ESTADO CONTABLE'!$B$2,12,5),VLOOKUP($B347,COSTOS!$A$2:$B1014,2,FALSE)-150,VLOOKUP($B347,COSTOS!$A$2:$B1014,2,FALSE)),"No encontrado o error"))</f>
        <v/>
      </c>
      <c r="AL347" s="395"/>
      <c r="AM347" s="254"/>
      <c r="AN347" s="255"/>
      <c r="AO347" s="256"/>
    </row>
    <row r="348" ht="22.5" customHeight="1">
      <c r="A348" s="431" t="str">
        <f>'BASE DE DATOSS'!A422</f>
        <v/>
      </c>
      <c r="B348" s="432" t="str">
        <f>'BASE DE DATOSS'!C422</f>
        <v/>
      </c>
      <c r="C348" s="263"/>
      <c r="D348" s="249"/>
      <c r="E348" s="250"/>
      <c r="F348" s="251"/>
      <c r="G348" s="262"/>
      <c r="H348" s="257"/>
      <c r="I348" s="249"/>
      <c r="J348" s="193" t="str">
        <f>IF(OR(ISBLANK($B348),ISBLANK($I348)),"",IFERROR(IF($I348&lt;=DATE('ESTADO CONTABLE'!$B$2,3,5),VLOOKUP($B348,COSTOS!$A$2:$B1014,2,FALSE)-150,VLOOKUP($B348,COSTOS!$A$2:$B1014,2,FALSE)),"No encontrado o error"))</f>
        <v/>
      </c>
      <c r="K348" s="264"/>
      <c r="L348" s="249"/>
      <c r="M348" s="189"/>
      <c r="N348" s="264"/>
      <c r="O348" s="249"/>
      <c r="P348" s="250"/>
      <c r="Q348" s="264"/>
      <c r="R348" s="249"/>
      <c r="S348" s="250"/>
      <c r="T348" s="264"/>
      <c r="U348" s="249"/>
      <c r="V348" s="250"/>
      <c r="W348" s="264"/>
      <c r="X348" s="394"/>
      <c r="Y348" s="429"/>
      <c r="Z348" s="395"/>
      <c r="AA348" s="394"/>
      <c r="AB348" s="118" t="str">
        <f>IF(OR(ISBLANK($B348),ISBLANK($AA348)),"",IFERROR(IF($AA348&lt;=DATE('ESTADO CONTABLE'!$B$2,9,5),VLOOKUP($B348,COSTOS!$A$2:$B1014,2,FALSE)-150,VLOOKUP($B348,COSTOS!$A$2:$B1014,2,FALSE)),"No encontrado o error"))</f>
        <v/>
      </c>
      <c r="AC348" s="395"/>
      <c r="AD348" s="394"/>
      <c r="AE348" s="429" t="str">
        <f>IF(OR(ISBLANK($B348),ISBLANK($AD348)),"",IFERROR(IF($AD348&lt;=DATE('ESTADO CONTABLE'!$B$2,10,5),VLOOKUP($B348,COSTOS!$A$2:$B1014,2,FALSE)-150,VLOOKUP($B348,COSTOS!$A$2:$B1014,2,FALSE)),"No encontrado o error"))</f>
        <v/>
      </c>
      <c r="AF348" s="395"/>
      <c r="AG348" s="394"/>
      <c r="AH348" s="429" t="str">
        <f>IF(OR(ISBLANK($B348),ISBLANK($AG348)),"",IFERROR(IF($AG348&lt;=DATE('ESTADO CONTABLE'!$B$2,11,5),VLOOKUP($B348,COSTOS!$A$2:$B1014,2,FALSE)-150,VLOOKUP($B348,COSTOS!$A$2:$B1014,2,FALSE)),"No encontrado o error"))</f>
        <v/>
      </c>
      <c r="AI348" s="395"/>
      <c r="AJ348" s="394"/>
      <c r="AK348" s="429" t="str">
        <f>IF(OR(ISBLANK($B348),ISBLANK($AJ348)),"",IFERROR(IF($AJ348&lt;=DATE('ESTADO CONTABLE'!$B$2,12,5),VLOOKUP($B348,COSTOS!$A$2:$B1014,2,FALSE)-150,VLOOKUP($B348,COSTOS!$A$2:$B1014,2,FALSE)),"No encontrado o error"))</f>
        <v/>
      </c>
      <c r="AL348" s="395"/>
      <c r="AM348" s="254"/>
      <c r="AN348" s="255"/>
      <c r="AO348" s="256"/>
    </row>
    <row r="349" ht="22.5" customHeight="1">
      <c r="A349" s="431" t="str">
        <f>'BASE DE DATOSS'!A423</f>
        <v/>
      </c>
      <c r="B349" s="432" t="str">
        <f>'BASE DE DATOSS'!C423</f>
        <v/>
      </c>
      <c r="C349" s="263"/>
      <c r="D349" s="249"/>
      <c r="E349" s="250"/>
      <c r="F349" s="251"/>
      <c r="G349" s="262"/>
      <c r="H349" s="257"/>
      <c r="I349" s="249"/>
      <c r="J349" s="193" t="str">
        <f>IF(OR(ISBLANK($B349),ISBLANK($I349)),"",IFERROR(IF($I349&lt;=DATE('ESTADO CONTABLE'!$B$2,3,5),VLOOKUP($B349,COSTOS!$A$2:$B1014,2,FALSE)-150,VLOOKUP($B349,COSTOS!$A$2:$B1014,2,FALSE)),"No encontrado o error"))</f>
        <v/>
      </c>
      <c r="K349" s="264"/>
      <c r="L349" s="249"/>
      <c r="M349" s="189"/>
      <c r="N349" s="264"/>
      <c r="O349" s="249"/>
      <c r="P349" s="250"/>
      <c r="Q349" s="264"/>
      <c r="R349" s="249"/>
      <c r="S349" s="250"/>
      <c r="T349" s="264"/>
      <c r="U349" s="249"/>
      <c r="V349" s="250"/>
      <c r="W349" s="264"/>
      <c r="X349" s="394"/>
      <c r="Y349" s="429"/>
      <c r="Z349" s="395"/>
      <c r="AA349" s="394"/>
      <c r="AB349" s="118" t="str">
        <f>IF(OR(ISBLANK($B349),ISBLANK($AA349)),"",IFERROR(IF($AA349&lt;=DATE('ESTADO CONTABLE'!$B$2,9,5),VLOOKUP($B349,COSTOS!$A$2:$B1014,2,FALSE)-150,VLOOKUP($B349,COSTOS!$A$2:$B1014,2,FALSE)),"No encontrado o error"))</f>
        <v/>
      </c>
      <c r="AC349" s="395"/>
      <c r="AD349" s="394"/>
      <c r="AE349" s="429" t="str">
        <f>IF(OR(ISBLANK($B349),ISBLANK($AD349)),"",IFERROR(IF($AD349&lt;=DATE('ESTADO CONTABLE'!$B$2,10,5),VLOOKUP($B349,COSTOS!$A$2:$B1014,2,FALSE)-150,VLOOKUP($B349,COSTOS!$A$2:$B1014,2,FALSE)),"No encontrado o error"))</f>
        <v/>
      </c>
      <c r="AF349" s="395"/>
      <c r="AG349" s="394"/>
      <c r="AH349" s="429" t="str">
        <f>IF(OR(ISBLANK($B349),ISBLANK($AG349)),"",IFERROR(IF($AG349&lt;=DATE('ESTADO CONTABLE'!$B$2,11,5),VLOOKUP($B349,COSTOS!$A$2:$B1014,2,FALSE)-150,VLOOKUP($B349,COSTOS!$A$2:$B1014,2,FALSE)),"No encontrado o error"))</f>
        <v/>
      </c>
      <c r="AI349" s="395"/>
      <c r="AJ349" s="394"/>
      <c r="AK349" s="429" t="str">
        <f>IF(OR(ISBLANK($B349),ISBLANK($AJ349)),"",IFERROR(IF($AJ349&lt;=DATE('ESTADO CONTABLE'!$B$2,12,5),VLOOKUP($B349,COSTOS!$A$2:$B1014,2,FALSE)-150,VLOOKUP($B349,COSTOS!$A$2:$B1014,2,FALSE)),"No encontrado o error"))</f>
        <v/>
      </c>
      <c r="AL349" s="395"/>
      <c r="AM349" s="254"/>
      <c r="AN349" s="255"/>
      <c r="AO349" s="256"/>
    </row>
    <row r="350" ht="22.5" customHeight="1">
      <c r="A350" s="431" t="str">
        <f>'BASE DE DATOSS'!A424</f>
        <v/>
      </c>
      <c r="B350" s="432" t="str">
        <f>'BASE DE DATOSS'!C424</f>
        <v/>
      </c>
      <c r="C350" s="263"/>
      <c r="D350" s="249"/>
      <c r="E350" s="250"/>
      <c r="F350" s="251"/>
      <c r="G350" s="262"/>
      <c r="H350" s="257"/>
      <c r="I350" s="249"/>
      <c r="J350" s="193" t="str">
        <f>IF(OR(ISBLANK($B350),ISBLANK($I350)),"",IFERROR(IF($I350&lt;=DATE('ESTADO CONTABLE'!$B$2,3,5),VLOOKUP($B350,COSTOS!$A$2:$B1014,2,FALSE)-150,VLOOKUP($B350,COSTOS!$A$2:$B1014,2,FALSE)),"No encontrado o error"))</f>
        <v/>
      </c>
      <c r="K350" s="264"/>
      <c r="L350" s="249"/>
      <c r="M350" s="189"/>
      <c r="N350" s="264"/>
      <c r="O350" s="249"/>
      <c r="P350" s="250"/>
      <c r="Q350" s="264"/>
      <c r="R350" s="249"/>
      <c r="S350" s="250"/>
      <c r="T350" s="264"/>
      <c r="U350" s="249"/>
      <c r="V350" s="250"/>
      <c r="W350" s="264"/>
      <c r="X350" s="394"/>
      <c r="Y350" s="429"/>
      <c r="Z350" s="395"/>
      <c r="AA350" s="394"/>
      <c r="AB350" s="118" t="str">
        <f>IF(OR(ISBLANK($B350),ISBLANK($AA350)),"",IFERROR(IF($AA350&lt;=DATE('ESTADO CONTABLE'!$B$2,9,5),VLOOKUP($B350,COSTOS!$A$2:$B1014,2,FALSE)-150,VLOOKUP($B350,COSTOS!$A$2:$B1014,2,FALSE)),"No encontrado o error"))</f>
        <v/>
      </c>
      <c r="AC350" s="395"/>
      <c r="AD350" s="394"/>
      <c r="AE350" s="429" t="str">
        <f>IF(OR(ISBLANK($B350),ISBLANK($AD350)),"",IFERROR(IF($AD350&lt;=DATE('ESTADO CONTABLE'!$B$2,10,5),VLOOKUP($B350,COSTOS!$A$2:$B1014,2,FALSE)-150,VLOOKUP($B350,COSTOS!$A$2:$B1014,2,FALSE)),"No encontrado o error"))</f>
        <v/>
      </c>
      <c r="AF350" s="395"/>
      <c r="AG350" s="394"/>
      <c r="AH350" s="429" t="str">
        <f>IF(OR(ISBLANK($B350),ISBLANK($AG350)),"",IFERROR(IF($AG350&lt;=DATE('ESTADO CONTABLE'!$B$2,11,5),VLOOKUP($B350,COSTOS!$A$2:$B1014,2,FALSE)-150,VLOOKUP($B350,COSTOS!$A$2:$B1014,2,FALSE)),"No encontrado o error"))</f>
        <v/>
      </c>
      <c r="AI350" s="395"/>
      <c r="AJ350" s="394"/>
      <c r="AK350" s="429" t="str">
        <f>IF(OR(ISBLANK($B350),ISBLANK($AJ350)),"",IFERROR(IF($AJ350&lt;=DATE('ESTADO CONTABLE'!$B$2,12,5),VLOOKUP($B350,COSTOS!$A$2:$B1014,2,FALSE)-150,VLOOKUP($B350,COSTOS!$A$2:$B1014,2,FALSE)),"No encontrado o error"))</f>
        <v/>
      </c>
      <c r="AL350" s="395"/>
      <c r="AM350" s="254"/>
      <c r="AN350" s="255"/>
      <c r="AO350" s="256"/>
    </row>
    <row r="351" ht="22.5" customHeight="1">
      <c r="A351" s="431" t="str">
        <f>'BASE DE DATOSS'!A425</f>
        <v/>
      </c>
      <c r="B351" s="432" t="str">
        <f>'BASE DE DATOSS'!C425</f>
        <v/>
      </c>
      <c r="C351" s="263"/>
      <c r="D351" s="249"/>
      <c r="E351" s="250"/>
      <c r="F351" s="251"/>
      <c r="G351" s="262"/>
      <c r="H351" s="257"/>
      <c r="I351" s="249"/>
      <c r="J351" s="193" t="str">
        <f>IF(OR(ISBLANK($B351),ISBLANK($I351)),"",IFERROR(IF($I351&lt;=DATE('ESTADO CONTABLE'!$B$2,3,5),VLOOKUP($B351,COSTOS!$A$2:$B1014,2,FALSE)-150,VLOOKUP($B351,COSTOS!$A$2:$B1014,2,FALSE)),"No encontrado o error"))</f>
        <v/>
      </c>
      <c r="K351" s="264"/>
      <c r="L351" s="249"/>
      <c r="M351" s="189"/>
      <c r="N351" s="264"/>
      <c r="O351" s="249"/>
      <c r="P351" s="250"/>
      <c r="Q351" s="264"/>
      <c r="R351" s="249"/>
      <c r="S351" s="250"/>
      <c r="T351" s="264"/>
      <c r="U351" s="249"/>
      <c r="V351" s="250"/>
      <c r="W351" s="264"/>
      <c r="X351" s="394"/>
      <c r="Y351" s="429"/>
      <c r="Z351" s="395"/>
      <c r="AA351" s="394"/>
      <c r="AB351" s="118" t="str">
        <f>IF(OR(ISBLANK($B351),ISBLANK($AA351)),"",IFERROR(IF($AA351&lt;=DATE('ESTADO CONTABLE'!$B$2,9,5),VLOOKUP($B351,COSTOS!$A$2:$B1014,2,FALSE)-150,VLOOKUP($B351,COSTOS!$A$2:$B1014,2,FALSE)),"No encontrado o error"))</f>
        <v/>
      </c>
      <c r="AC351" s="395"/>
      <c r="AD351" s="394"/>
      <c r="AE351" s="429" t="str">
        <f>IF(OR(ISBLANK($B351),ISBLANK($AD351)),"",IFERROR(IF($AD351&lt;=DATE('ESTADO CONTABLE'!$B$2,10,5),VLOOKUP($B351,COSTOS!$A$2:$B1014,2,FALSE)-150,VLOOKUP($B351,COSTOS!$A$2:$B1014,2,FALSE)),"No encontrado o error"))</f>
        <v/>
      </c>
      <c r="AF351" s="395"/>
      <c r="AG351" s="394"/>
      <c r="AH351" s="429" t="str">
        <f>IF(OR(ISBLANK($B351),ISBLANK($AG351)),"",IFERROR(IF($AG351&lt;=DATE('ESTADO CONTABLE'!$B$2,11,5),VLOOKUP($B351,COSTOS!$A$2:$B1014,2,FALSE)-150,VLOOKUP($B351,COSTOS!$A$2:$B1014,2,FALSE)),"No encontrado o error"))</f>
        <v/>
      </c>
      <c r="AI351" s="395"/>
      <c r="AJ351" s="394"/>
      <c r="AK351" s="429" t="str">
        <f>IF(OR(ISBLANK($B351),ISBLANK($AJ351)),"",IFERROR(IF($AJ351&lt;=DATE('ESTADO CONTABLE'!$B$2,12,5),VLOOKUP($B351,COSTOS!$A$2:$B1014,2,FALSE)-150,VLOOKUP($B351,COSTOS!$A$2:$B1014,2,FALSE)),"No encontrado o error"))</f>
        <v/>
      </c>
      <c r="AL351" s="395"/>
      <c r="AM351" s="254"/>
      <c r="AN351" s="255"/>
      <c r="AO351" s="256"/>
    </row>
    <row r="352" ht="22.5" customHeight="1">
      <c r="A352" s="431" t="str">
        <f>'BASE DE DATOSS'!A426</f>
        <v/>
      </c>
      <c r="B352" s="432" t="str">
        <f>'BASE DE DATOSS'!C426</f>
        <v/>
      </c>
      <c r="C352" s="263"/>
      <c r="D352" s="249"/>
      <c r="E352" s="250"/>
      <c r="F352" s="251"/>
      <c r="G352" s="262"/>
      <c r="H352" s="257"/>
      <c r="I352" s="249"/>
      <c r="J352" s="193" t="str">
        <f>IF(OR(ISBLANK($B352),ISBLANK($I352)),"",IFERROR(IF($I352&lt;=DATE('ESTADO CONTABLE'!$B$2,3,5),VLOOKUP($B352,COSTOS!$A$2:$B1014,2,FALSE)-150,VLOOKUP($B352,COSTOS!$A$2:$B1014,2,FALSE)),"No encontrado o error"))</f>
        <v/>
      </c>
      <c r="K352" s="264"/>
      <c r="L352" s="249"/>
      <c r="M352" s="189"/>
      <c r="N352" s="264"/>
      <c r="O352" s="249"/>
      <c r="P352" s="250"/>
      <c r="Q352" s="264"/>
      <c r="R352" s="249"/>
      <c r="S352" s="250"/>
      <c r="T352" s="264"/>
      <c r="U352" s="249"/>
      <c r="V352" s="250"/>
      <c r="W352" s="264"/>
      <c r="X352" s="394"/>
      <c r="Y352" s="429"/>
      <c r="Z352" s="395"/>
      <c r="AA352" s="394"/>
      <c r="AB352" s="118" t="str">
        <f>IF(OR(ISBLANK($B352),ISBLANK($AA352)),"",IFERROR(IF($AA352&lt;=DATE('ESTADO CONTABLE'!$B$2,9,5),VLOOKUP($B352,COSTOS!$A$2:$B1014,2,FALSE)-150,VLOOKUP($B352,COSTOS!$A$2:$B1014,2,FALSE)),"No encontrado o error"))</f>
        <v/>
      </c>
      <c r="AC352" s="395"/>
      <c r="AD352" s="394"/>
      <c r="AE352" s="429" t="str">
        <f>IF(OR(ISBLANK($B352),ISBLANK($AD352)),"",IFERROR(IF($AD352&lt;=DATE('ESTADO CONTABLE'!$B$2,10,5),VLOOKUP($B352,COSTOS!$A$2:$B1014,2,FALSE)-150,VLOOKUP($B352,COSTOS!$A$2:$B1014,2,FALSE)),"No encontrado o error"))</f>
        <v/>
      </c>
      <c r="AF352" s="395"/>
      <c r="AG352" s="394"/>
      <c r="AH352" s="429" t="str">
        <f>IF(OR(ISBLANK($B352),ISBLANK($AG352)),"",IFERROR(IF($AG352&lt;=DATE('ESTADO CONTABLE'!$B$2,11,5),VLOOKUP($B352,COSTOS!$A$2:$B1014,2,FALSE)-150,VLOOKUP($B352,COSTOS!$A$2:$B1014,2,FALSE)),"No encontrado o error"))</f>
        <v/>
      </c>
      <c r="AI352" s="395"/>
      <c r="AJ352" s="394"/>
      <c r="AK352" s="429" t="str">
        <f>IF(OR(ISBLANK($B352),ISBLANK($AJ352)),"",IFERROR(IF($AJ352&lt;=DATE('ESTADO CONTABLE'!$B$2,12,5),VLOOKUP($B352,COSTOS!$A$2:$B1014,2,FALSE)-150,VLOOKUP($B352,COSTOS!$A$2:$B1014,2,FALSE)),"No encontrado o error"))</f>
        <v/>
      </c>
      <c r="AL352" s="395"/>
      <c r="AM352" s="254"/>
      <c r="AN352" s="255"/>
      <c r="AO352" s="256"/>
    </row>
    <row r="353" ht="22.5" customHeight="1">
      <c r="A353" s="431" t="str">
        <f>'BASE DE DATOSS'!A427</f>
        <v/>
      </c>
      <c r="B353" s="432" t="str">
        <f>'BASE DE DATOSS'!C427</f>
        <v/>
      </c>
      <c r="C353" s="263"/>
      <c r="D353" s="249"/>
      <c r="E353" s="250"/>
      <c r="F353" s="251"/>
      <c r="G353" s="262"/>
      <c r="H353" s="257"/>
      <c r="I353" s="249"/>
      <c r="J353" s="193" t="str">
        <f>IF(OR(ISBLANK($B353),ISBLANK($I353)),"",IFERROR(IF($I353&lt;=DATE('ESTADO CONTABLE'!$B$2,3,5),VLOOKUP($B353,COSTOS!$A$2:$B1014,2,FALSE)-150,VLOOKUP($B353,COSTOS!$A$2:$B1014,2,FALSE)),"No encontrado o error"))</f>
        <v/>
      </c>
      <c r="K353" s="264"/>
      <c r="L353" s="249"/>
      <c r="M353" s="189"/>
      <c r="N353" s="264"/>
      <c r="O353" s="249"/>
      <c r="P353" s="250"/>
      <c r="Q353" s="264"/>
      <c r="R353" s="249"/>
      <c r="S353" s="250"/>
      <c r="T353" s="264"/>
      <c r="U353" s="249"/>
      <c r="V353" s="250"/>
      <c r="W353" s="264"/>
      <c r="X353" s="394"/>
      <c r="Y353" s="429"/>
      <c r="Z353" s="395"/>
      <c r="AA353" s="394"/>
      <c r="AB353" s="118" t="str">
        <f>IF(OR(ISBLANK($B353),ISBLANK($AA353)),"",IFERROR(IF($AA353&lt;=DATE('ESTADO CONTABLE'!$B$2,9,5),VLOOKUP($B353,COSTOS!$A$2:$B1014,2,FALSE)-150,VLOOKUP($B353,COSTOS!$A$2:$B1014,2,FALSE)),"No encontrado o error"))</f>
        <v/>
      </c>
      <c r="AC353" s="395"/>
      <c r="AD353" s="394"/>
      <c r="AE353" s="429" t="str">
        <f>IF(OR(ISBLANK($B353),ISBLANK($AD353)),"",IFERROR(IF($AD353&lt;=DATE('ESTADO CONTABLE'!$B$2,10,5),VLOOKUP($B353,COSTOS!$A$2:$B1014,2,FALSE)-150,VLOOKUP($B353,COSTOS!$A$2:$B1014,2,FALSE)),"No encontrado o error"))</f>
        <v/>
      </c>
      <c r="AF353" s="395"/>
      <c r="AG353" s="394"/>
      <c r="AH353" s="429" t="str">
        <f>IF(OR(ISBLANK($B353),ISBLANK($AG353)),"",IFERROR(IF($AG353&lt;=DATE('ESTADO CONTABLE'!$B$2,11,5),VLOOKUP($B353,COSTOS!$A$2:$B1014,2,FALSE)-150,VLOOKUP($B353,COSTOS!$A$2:$B1014,2,FALSE)),"No encontrado o error"))</f>
        <v/>
      </c>
      <c r="AI353" s="395"/>
      <c r="AJ353" s="394"/>
      <c r="AK353" s="429" t="str">
        <f>IF(OR(ISBLANK($B353),ISBLANK($AJ353)),"",IFERROR(IF($AJ353&lt;=DATE('ESTADO CONTABLE'!$B$2,12,5),VLOOKUP($B353,COSTOS!$A$2:$B1014,2,FALSE)-150,VLOOKUP($B353,COSTOS!$A$2:$B1014,2,FALSE)),"No encontrado o error"))</f>
        <v/>
      </c>
      <c r="AL353" s="395"/>
      <c r="AM353" s="254"/>
      <c r="AN353" s="255"/>
      <c r="AO353" s="256"/>
    </row>
    <row r="354" ht="22.5" customHeight="1">
      <c r="A354" s="431" t="str">
        <f>'BASE DE DATOSS'!A428</f>
        <v/>
      </c>
      <c r="B354" s="432" t="str">
        <f>'BASE DE DATOSS'!C428</f>
        <v/>
      </c>
      <c r="C354" s="263"/>
      <c r="D354" s="249"/>
      <c r="E354" s="250"/>
      <c r="F354" s="251"/>
      <c r="G354" s="262"/>
      <c r="H354" s="257"/>
      <c r="I354" s="249"/>
      <c r="J354" s="193" t="str">
        <f>IF(OR(ISBLANK($B354),ISBLANK($I354)),"",IFERROR(IF($I354&lt;=DATE('ESTADO CONTABLE'!$B$2,3,5),VLOOKUP($B354,COSTOS!$A$2:$B1014,2,FALSE)-150,VLOOKUP($B354,COSTOS!$A$2:$B1014,2,FALSE)),"No encontrado o error"))</f>
        <v/>
      </c>
      <c r="K354" s="264"/>
      <c r="L354" s="249"/>
      <c r="M354" s="189"/>
      <c r="N354" s="264"/>
      <c r="O354" s="249"/>
      <c r="P354" s="250"/>
      <c r="Q354" s="264"/>
      <c r="R354" s="249"/>
      <c r="S354" s="250"/>
      <c r="T354" s="264"/>
      <c r="U354" s="249"/>
      <c r="V354" s="250"/>
      <c r="W354" s="264"/>
      <c r="X354" s="394"/>
      <c r="Y354" s="429"/>
      <c r="Z354" s="395"/>
      <c r="AA354" s="394"/>
      <c r="AB354" s="118" t="str">
        <f>IF(OR(ISBLANK($B354),ISBLANK($AA354)),"",IFERROR(IF($AA354&lt;=DATE('ESTADO CONTABLE'!$B$2,9,5),VLOOKUP($B354,COSTOS!$A$2:$B1014,2,FALSE)-150,VLOOKUP($B354,COSTOS!$A$2:$B1014,2,FALSE)),"No encontrado o error"))</f>
        <v/>
      </c>
      <c r="AC354" s="395"/>
      <c r="AD354" s="394"/>
      <c r="AE354" s="429" t="str">
        <f>IF(OR(ISBLANK($B354),ISBLANK($AD354)),"",IFERROR(IF($AD354&lt;=DATE('ESTADO CONTABLE'!$B$2,10,5),VLOOKUP($B354,COSTOS!$A$2:$B1014,2,FALSE)-150,VLOOKUP($B354,COSTOS!$A$2:$B1014,2,FALSE)),"No encontrado o error"))</f>
        <v/>
      </c>
      <c r="AF354" s="395"/>
      <c r="AG354" s="394"/>
      <c r="AH354" s="429" t="str">
        <f>IF(OR(ISBLANK($B354),ISBLANK($AG354)),"",IFERROR(IF($AG354&lt;=DATE('ESTADO CONTABLE'!$B$2,11,5),VLOOKUP($B354,COSTOS!$A$2:$B1014,2,FALSE)-150,VLOOKUP($B354,COSTOS!$A$2:$B1014,2,FALSE)),"No encontrado o error"))</f>
        <v/>
      </c>
      <c r="AI354" s="395"/>
      <c r="AJ354" s="394"/>
      <c r="AK354" s="429" t="str">
        <f>IF(OR(ISBLANK($B354),ISBLANK($AJ354)),"",IFERROR(IF($AJ354&lt;=DATE('ESTADO CONTABLE'!$B$2,12,5),VLOOKUP($B354,COSTOS!$A$2:$B1014,2,FALSE)-150,VLOOKUP($B354,COSTOS!$A$2:$B1014,2,FALSE)),"No encontrado o error"))</f>
        <v/>
      </c>
      <c r="AL354" s="395"/>
      <c r="AM354" s="254"/>
      <c r="AN354" s="255"/>
      <c r="AO354" s="256"/>
    </row>
    <row r="355" ht="22.5" customHeight="1">
      <c r="A355" s="431" t="str">
        <f>'BASE DE DATOSS'!A429</f>
        <v/>
      </c>
      <c r="B355" s="432" t="str">
        <f>'BASE DE DATOSS'!C429</f>
        <v/>
      </c>
      <c r="C355" s="263"/>
      <c r="D355" s="249"/>
      <c r="E355" s="250"/>
      <c r="F355" s="251"/>
      <c r="G355" s="262"/>
      <c r="H355" s="257"/>
      <c r="I355" s="249"/>
      <c r="J355" s="193" t="str">
        <f>IF(OR(ISBLANK($B355),ISBLANK($I355)),"",IFERROR(IF($I355&lt;=DATE('ESTADO CONTABLE'!$B$2,3,5),VLOOKUP($B355,COSTOS!$A$2:$B1014,2,FALSE)-150,VLOOKUP($B355,COSTOS!$A$2:$B1014,2,FALSE)),"No encontrado o error"))</f>
        <v/>
      </c>
      <c r="K355" s="264"/>
      <c r="L355" s="249"/>
      <c r="M355" s="189"/>
      <c r="N355" s="264"/>
      <c r="O355" s="249"/>
      <c r="P355" s="250"/>
      <c r="Q355" s="264"/>
      <c r="R355" s="249"/>
      <c r="S355" s="250"/>
      <c r="T355" s="264"/>
      <c r="U355" s="249"/>
      <c r="V355" s="250"/>
      <c r="W355" s="264"/>
      <c r="X355" s="394"/>
      <c r="Y355" s="429"/>
      <c r="Z355" s="395"/>
      <c r="AA355" s="394"/>
      <c r="AB355" s="118" t="str">
        <f>IF(OR(ISBLANK($B355),ISBLANK($AA355)),"",IFERROR(IF($AA355&lt;=DATE('ESTADO CONTABLE'!$B$2,9,5),VLOOKUP($B355,COSTOS!$A$2:$B1014,2,FALSE)-150,VLOOKUP($B355,COSTOS!$A$2:$B1014,2,FALSE)),"No encontrado o error"))</f>
        <v/>
      </c>
      <c r="AC355" s="395"/>
      <c r="AD355" s="394"/>
      <c r="AE355" s="429" t="str">
        <f>IF(OR(ISBLANK($B355),ISBLANK($AD355)),"",IFERROR(IF($AD355&lt;=DATE('ESTADO CONTABLE'!$B$2,10,5),VLOOKUP($B355,COSTOS!$A$2:$B1014,2,FALSE)-150,VLOOKUP($B355,COSTOS!$A$2:$B1014,2,FALSE)),"No encontrado o error"))</f>
        <v/>
      </c>
      <c r="AF355" s="395"/>
      <c r="AG355" s="394"/>
      <c r="AH355" s="429" t="str">
        <f>IF(OR(ISBLANK($B355),ISBLANK($AG355)),"",IFERROR(IF($AG355&lt;=DATE('ESTADO CONTABLE'!$B$2,11,5),VLOOKUP($B355,COSTOS!$A$2:$B1014,2,FALSE)-150,VLOOKUP($B355,COSTOS!$A$2:$B1014,2,FALSE)),"No encontrado o error"))</f>
        <v/>
      </c>
      <c r="AI355" s="395"/>
      <c r="AJ355" s="394"/>
      <c r="AK355" s="429" t="str">
        <f>IF(OR(ISBLANK($B355),ISBLANK($AJ355)),"",IFERROR(IF($AJ355&lt;=DATE('ESTADO CONTABLE'!$B$2,12,5),VLOOKUP($B355,COSTOS!$A$2:$B1014,2,FALSE)-150,VLOOKUP($B355,COSTOS!$A$2:$B1014,2,FALSE)),"No encontrado o error"))</f>
        <v/>
      </c>
      <c r="AL355" s="395"/>
      <c r="AM355" s="254"/>
      <c r="AN355" s="255"/>
      <c r="AO355" s="256"/>
    </row>
    <row r="356" ht="22.5" customHeight="1">
      <c r="A356" s="431" t="str">
        <f>'BASE DE DATOSS'!A430</f>
        <v/>
      </c>
      <c r="B356" s="432" t="str">
        <f>'BASE DE DATOSS'!C430</f>
        <v/>
      </c>
      <c r="C356" s="263"/>
      <c r="D356" s="249"/>
      <c r="E356" s="250"/>
      <c r="F356" s="251"/>
      <c r="G356" s="262"/>
      <c r="H356" s="257"/>
      <c r="I356" s="249"/>
      <c r="J356" s="193" t="str">
        <f>IF(OR(ISBLANK($B356),ISBLANK($I356)),"",IFERROR(IF($I356&lt;=DATE('ESTADO CONTABLE'!$B$2,3,5),VLOOKUP($B356,COSTOS!$A$2:$B1014,2,FALSE)-150,VLOOKUP($B356,COSTOS!$A$2:$B1014,2,FALSE)),"No encontrado o error"))</f>
        <v/>
      </c>
      <c r="K356" s="264"/>
      <c r="L356" s="249"/>
      <c r="M356" s="189"/>
      <c r="N356" s="264"/>
      <c r="O356" s="249"/>
      <c r="P356" s="250"/>
      <c r="Q356" s="264"/>
      <c r="R356" s="249"/>
      <c r="S356" s="250"/>
      <c r="T356" s="264"/>
      <c r="U356" s="249"/>
      <c r="V356" s="250"/>
      <c r="W356" s="264"/>
      <c r="X356" s="394"/>
      <c r="Y356" s="429"/>
      <c r="Z356" s="395"/>
      <c r="AA356" s="394"/>
      <c r="AB356" s="118" t="str">
        <f>IF(OR(ISBLANK($B356),ISBLANK($AA356)),"",IFERROR(IF($AA356&lt;=DATE('ESTADO CONTABLE'!$B$2,9,5),VLOOKUP($B356,COSTOS!$A$2:$B1014,2,FALSE)-150,VLOOKUP($B356,COSTOS!$A$2:$B1014,2,FALSE)),"No encontrado o error"))</f>
        <v/>
      </c>
      <c r="AC356" s="395"/>
      <c r="AD356" s="394"/>
      <c r="AE356" s="429" t="str">
        <f>IF(OR(ISBLANK($B356),ISBLANK($AD356)),"",IFERROR(IF($AD356&lt;=DATE('ESTADO CONTABLE'!$B$2,10,5),VLOOKUP($B356,COSTOS!$A$2:$B1014,2,FALSE)-150,VLOOKUP($B356,COSTOS!$A$2:$B1014,2,FALSE)),"No encontrado o error"))</f>
        <v/>
      </c>
      <c r="AF356" s="395"/>
      <c r="AG356" s="394"/>
      <c r="AH356" s="429" t="str">
        <f>IF(OR(ISBLANK($B356),ISBLANK($AG356)),"",IFERROR(IF($AG356&lt;=DATE('ESTADO CONTABLE'!$B$2,11,5),VLOOKUP($B356,COSTOS!$A$2:$B1014,2,FALSE)-150,VLOOKUP($B356,COSTOS!$A$2:$B1014,2,FALSE)),"No encontrado o error"))</f>
        <v/>
      </c>
      <c r="AI356" s="395"/>
      <c r="AJ356" s="394"/>
      <c r="AK356" s="429" t="str">
        <f>IF(OR(ISBLANK($B356),ISBLANK($AJ356)),"",IFERROR(IF($AJ356&lt;=DATE('ESTADO CONTABLE'!$B$2,12,5),VLOOKUP($B356,COSTOS!$A$2:$B1014,2,FALSE)-150,VLOOKUP($B356,COSTOS!$A$2:$B1014,2,FALSE)),"No encontrado o error"))</f>
        <v/>
      </c>
      <c r="AL356" s="395"/>
      <c r="AM356" s="254"/>
      <c r="AN356" s="255"/>
      <c r="AO356" s="256"/>
    </row>
    <row r="357" ht="22.5" customHeight="1">
      <c r="A357" s="431" t="str">
        <f>'BASE DE DATOSS'!A431</f>
        <v/>
      </c>
      <c r="B357" s="432" t="str">
        <f>'BASE DE DATOSS'!C431</f>
        <v/>
      </c>
      <c r="C357" s="263"/>
      <c r="D357" s="249"/>
      <c r="E357" s="250"/>
      <c r="F357" s="251"/>
      <c r="G357" s="262"/>
      <c r="H357" s="257"/>
      <c r="I357" s="249"/>
      <c r="J357" s="193" t="str">
        <f>IF(OR(ISBLANK($B357),ISBLANK($I357)),"",IFERROR(IF($I357&lt;=DATE('ESTADO CONTABLE'!$B$2,3,5),VLOOKUP($B357,COSTOS!$A$2:$B1014,2,FALSE)-150,VLOOKUP($B357,COSTOS!$A$2:$B1014,2,FALSE)),"No encontrado o error"))</f>
        <v/>
      </c>
      <c r="K357" s="264"/>
      <c r="L357" s="249"/>
      <c r="M357" s="189"/>
      <c r="N357" s="264"/>
      <c r="O357" s="249"/>
      <c r="P357" s="250"/>
      <c r="Q357" s="264"/>
      <c r="R357" s="249"/>
      <c r="S357" s="250"/>
      <c r="T357" s="264"/>
      <c r="U357" s="249"/>
      <c r="V357" s="250"/>
      <c r="W357" s="264"/>
      <c r="X357" s="394"/>
      <c r="Y357" s="429"/>
      <c r="Z357" s="395"/>
      <c r="AA357" s="394"/>
      <c r="AB357" s="118" t="str">
        <f>IF(OR(ISBLANK($B357),ISBLANK($AA357)),"",IFERROR(IF($AA357&lt;=DATE('ESTADO CONTABLE'!$B$2,9,5),VLOOKUP($B357,COSTOS!$A$2:$B1014,2,FALSE)-150,VLOOKUP($B357,COSTOS!$A$2:$B1014,2,FALSE)),"No encontrado o error"))</f>
        <v/>
      </c>
      <c r="AC357" s="395"/>
      <c r="AD357" s="394"/>
      <c r="AE357" s="429" t="str">
        <f>IF(OR(ISBLANK($B357),ISBLANK($AD357)),"",IFERROR(IF($AD357&lt;=DATE('ESTADO CONTABLE'!$B$2,10,5),VLOOKUP($B357,COSTOS!$A$2:$B1014,2,FALSE)-150,VLOOKUP($B357,COSTOS!$A$2:$B1014,2,FALSE)),"No encontrado o error"))</f>
        <v/>
      </c>
      <c r="AF357" s="395"/>
      <c r="AG357" s="394"/>
      <c r="AH357" s="429" t="str">
        <f>IF(OR(ISBLANK($B357),ISBLANK($AG357)),"",IFERROR(IF($AG357&lt;=DATE('ESTADO CONTABLE'!$B$2,11,5),VLOOKUP($B357,COSTOS!$A$2:$B1014,2,FALSE)-150,VLOOKUP($B357,COSTOS!$A$2:$B1014,2,FALSE)),"No encontrado o error"))</f>
        <v/>
      </c>
      <c r="AI357" s="395"/>
      <c r="AJ357" s="394"/>
      <c r="AK357" s="429" t="str">
        <f>IF(OR(ISBLANK($B357),ISBLANK($AJ357)),"",IFERROR(IF($AJ357&lt;=DATE('ESTADO CONTABLE'!$B$2,12,5),VLOOKUP($B357,COSTOS!$A$2:$B1014,2,FALSE)-150,VLOOKUP($B357,COSTOS!$A$2:$B1014,2,FALSE)),"No encontrado o error"))</f>
        <v/>
      </c>
      <c r="AL357" s="395"/>
      <c r="AM357" s="254"/>
      <c r="AN357" s="255"/>
      <c r="AO357" s="256"/>
    </row>
    <row r="358" ht="22.5" customHeight="1">
      <c r="A358" s="431" t="str">
        <f>'BASE DE DATOSS'!A432</f>
        <v/>
      </c>
      <c r="B358" s="432" t="str">
        <f>'BASE DE DATOSS'!C432</f>
        <v/>
      </c>
      <c r="C358" s="263"/>
      <c r="D358" s="249"/>
      <c r="E358" s="250"/>
      <c r="F358" s="251"/>
      <c r="G358" s="262"/>
      <c r="H358" s="257"/>
      <c r="I358" s="249"/>
      <c r="J358" s="193" t="str">
        <f>IF(OR(ISBLANK($B358),ISBLANK($I358)),"",IFERROR(IF($I358&lt;=DATE('ESTADO CONTABLE'!$B$2,3,5),VLOOKUP($B358,COSTOS!$A$2:$B1014,2,FALSE)-150,VLOOKUP($B358,COSTOS!$A$2:$B1014,2,FALSE)),"No encontrado o error"))</f>
        <v/>
      </c>
      <c r="K358" s="264"/>
      <c r="L358" s="249"/>
      <c r="M358" s="189"/>
      <c r="N358" s="264"/>
      <c r="O358" s="249"/>
      <c r="P358" s="250"/>
      <c r="Q358" s="264"/>
      <c r="R358" s="249"/>
      <c r="S358" s="250"/>
      <c r="T358" s="264"/>
      <c r="U358" s="249"/>
      <c r="V358" s="250"/>
      <c r="W358" s="264"/>
      <c r="X358" s="394"/>
      <c r="Y358" s="429"/>
      <c r="Z358" s="395"/>
      <c r="AA358" s="394"/>
      <c r="AB358" s="118" t="str">
        <f>IF(OR(ISBLANK($B358),ISBLANK($AA358)),"",IFERROR(IF($AA358&lt;=DATE('ESTADO CONTABLE'!$B$2,9,5),VLOOKUP($B358,COSTOS!$A$2:$B1014,2,FALSE)-150,VLOOKUP($B358,COSTOS!$A$2:$B1014,2,FALSE)),"No encontrado o error"))</f>
        <v/>
      </c>
      <c r="AC358" s="395"/>
      <c r="AD358" s="394"/>
      <c r="AE358" s="429" t="str">
        <f>IF(OR(ISBLANK($B358),ISBLANK($AD358)),"",IFERROR(IF($AD358&lt;=DATE('ESTADO CONTABLE'!$B$2,10,5),VLOOKUP($B358,COSTOS!$A$2:$B1014,2,FALSE)-150,VLOOKUP($B358,COSTOS!$A$2:$B1014,2,FALSE)),"No encontrado o error"))</f>
        <v/>
      </c>
      <c r="AF358" s="395"/>
      <c r="AG358" s="394"/>
      <c r="AH358" s="429" t="str">
        <f>IF(OR(ISBLANK($B358),ISBLANK($AG358)),"",IFERROR(IF($AG358&lt;=DATE('ESTADO CONTABLE'!$B$2,11,5),VLOOKUP($B358,COSTOS!$A$2:$B1014,2,FALSE)-150,VLOOKUP($B358,COSTOS!$A$2:$B1014,2,FALSE)),"No encontrado o error"))</f>
        <v/>
      </c>
      <c r="AI358" s="395"/>
      <c r="AJ358" s="394"/>
      <c r="AK358" s="429" t="str">
        <f>IF(OR(ISBLANK($B358),ISBLANK($AJ358)),"",IFERROR(IF($AJ358&lt;=DATE('ESTADO CONTABLE'!$B$2,12,5),VLOOKUP($B358,COSTOS!$A$2:$B1014,2,FALSE)-150,VLOOKUP($B358,COSTOS!$A$2:$B1014,2,FALSE)),"No encontrado o error"))</f>
        <v/>
      </c>
      <c r="AL358" s="395"/>
      <c r="AM358" s="254"/>
      <c r="AN358" s="255"/>
      <c r="AO358" s="256"/>
    </row>
    <row r="359" ht="22.5" customHeight="1">
      <c r="A359" s="431" t="str">
        <f>'BASE DE DATOSS'!A433</f>
        <v/>
      </c>
      <c r="B359" s="432" t="str">
        <f>'BASE DE DATOSS'!C433</f>
        <v/>
      </c>
      <c r="C359" s="263"/>
      <c r="D359" s="249"/>
      <c r="E359" s="250"/>
      <c r="F359" s="251"/>
      <c r="G359" s="262"/>
      <c r="H359" s="257"/>
      <c r="I359" s="249"/>
      <c r="J359" s="193" t="str">
        <f>IF(OR(ISBLANK($B359),ISBLANK($I359)),"",IFERROR(IF($I359&lt;=DATE('ESTADO CONTABLE'!$B$2,3,5),VLOOKUP($B359,COSTOS!$A$2:$B1014,2,FALSE)-150,VLOOKUP($B359,COSTOS!$A$2:$B1014,2,FALSE)),"No encontrado o error"))</f>
        <v/>
      </c>
      <c r="K359" s="264"/>
      <c r="L359" s="249"/>
      <c r="M359" s="189"/>
      <c r="N359" s="264"/>
      <c r="O359" s="249"/>
      <c r="P359" s="250"/>
      <c r="Q359" s="264"/>
      <c r="R359" s="249"/>
      <c r="S359" s="250"/>
      <c r="T359" s="264"/>
      <c r="U359" s="249"/>
      <c r="V359" s="250"/>
      <c r="W359" s="264"/>
      <c r="X359" s="394"/>
      <c r="Y359" s="429"/>
      <c r="Z359" s="395"/>
      <c r="AA359" s="394"/>
      <c r="AB359" s="118" t="str">
        <f>IF(OR(ISBLANK($B359),ISBLANK($AA359)),"",IFERROR(IF($AA359&lt;=DATE('ESTADO CONTABLE'!$B$2,9,5),VLOOKUP($B359,COSTOS!$A$2:$B1014,2,FALSE)-150,VLOOKUP($B359,COSTOS!$A$2:$B1014,2,FALSE)),"No encontrado o error"))</f>
        <v/>
      </c>
      <c r="AC359" s="395"/>
      <c r="AD359" s="394"/>
      <c r="AE359" s="429" t="str">
        <f>IF(OR(ISBLANK($B359),ISBLANK($AD359)),"",IFERROR(IF($AD359&lt;=DATE('ESTADO CONTABLE'!$B$2,10,5),VLOOKUP($B359,COSTOS!$A$2:$B1014,2,FALSE)-150,VLOOKUP($B359,COSTOS!$A$2:$B1014,2,FALSE)),"No encontrado o error"))</f>
        <v/>
      </c>
      <c r="AF359" s="395"/>
      <c r="AG359" s="394"/>
      <c r="AH359" s="429" t="str">
        <f>IF(OR(ISBLANK($B359),ISBLANK($AG359)),"",IFERROR(IF($AG359&lt;=DATE('ESTADO CONTABLE'!$B$2,11,5),VLOOKUP($B359,COSTOS!$A$2:$B1014,2,FALSE)-150,VLOOKUP($B359,COSTOS!$A$2:$B1014,2,FALSE)),"No encontrado o error"))</f>
        <v/>
      </c>
      <c r="AI359" s="395"/>
      <c r="AJ359" s="394"/>
      <c r="AK359" s="429" t="str">
        <f>IF(OR(ISBLANK($B359),ISBLANK($AJ359)),"",IFERROR(IF($AJ359&lt;=DATE('ESTADO CONTABLE'!$B$2,12,5),VLOOKUP($B359,COSTOS!$A$2:$B1014,2,FALSE)-150,VLOOKUP($B359,COSTOS!$A$2:$B1014,2,FALSE)),"No encontrado o error"))</f>
        <v/>
      </c>
      <c r="AL359" s="395"/>
      <c r="AM359" s="254"/>
      <c r="AN359" s="255"/>
      <c r="AO359" s="256"/>
    </row>
    <row r="360" ht="22.5" customHeight="1">
      <c r="A360" s="431" t="str">
        <f>'BASE DE DATOSS'!A434</f>
        <v/>
      </c>
      <c r="B360" s="432" t="str">
        <f>'BASE DE DATOSS'!C434</f>
        <v/>
      </c>
      <c r="C360" s="263"/>
      <c r="D360" s="249"/>
      <c r="E360" s="250"/>
      <c r="F360" s="251"/>
      <c r="G360" s="262"/>
      <c r="H360" s="257"/>
      <c r="I360" s="249"/>
      <c r="J360" s="193" t="str">
        <f>IF(OR(ISBLANK($B360),ISBLANK($I360)),"",IFERROR(IF($I360&lt;=DATE('ESTADO CONTABLE'!$B$2,3,5),VLOOKUP($B360,COSTOS!$A$2:$B1014,2,FALSE)-150,VLOOKUP($B360,COSTOS!$A$2:$B1014,2,FALSE)),"No encontrado o error"))</f>
        <v/>
      </c>
      <c r="K360" s="264"/>
      <c r="L360" s="249"/>
      <c r="M360" s="189"/>
      <c r="N360" s="264"/>
      <c r="O360" s="249"/>
      <c r="P360" s="250"/>
      <c r="Q360" s="264"/>
      <c r="R360" s="249"/>
      <c r="S360" s="250"/>
      <c r="T360" s="264"/>
      <c r="U360" s="249"/>
      <c r="V360" s="250"/>
      <c r="W360" s="264"/>
      <c r="X360" s="394"/>
      <c r="Y360" s="429"/>
      <c r="Z360" s="395"/>
      <c r="AA360" s="394"/>
      <c r="AB360" s="118" t="str">
        <f>IF(OR(ISBLANK($B360),ISBLANK($AA360)),"",IFERROR(IF($AA360&lt;=DATE('ESTADO CONTABLE'!$B$2,9,5),VLOOKUP($B360,COSTOS!$A$2:$B1014,2,FALSE)-150,VLOOKUP($B360,COSTOS!$A$2:$B1014,2,FALSE)),"No encontrado o error"))</f>
        <v/>
      </c>
      <c r="AC360" s="395"/>
      <c r="AD360" s="394"/>
      <c r="AE360" s="429" t="str">
        <f>IF(OR(ISBLANK($B360),ISBLANK($AD360)),"",IFERROR(IF($AD360&lt;=DATE('ESTADO CONTABLE'!$B$2,10,5),VLOOKUP($B360,COSTOS!$A$2:$B1014,2,FALSE)-150,VLOOKUP($B360,COSTOS!$A$2:$B1014,2,FALSE)),"No encontrado o error"))</f>
        <v/>
      </c>
      <c r="AF360" s="395"/>
      <c r="AG360" s="394"/>
      <c r="AH360" s="429" t="str">
        <f>IF(OR(ISBLANK($B360),ISBLANK($AG360)),"",IFERROR(IF($AG360&lt;=DATE('ESTADO CONTABLE'!$B$2,11,5),VLOOKUP($B360,COSTOS!$A$2:$B1014,2,FALSE)-150,VLOOKUP($B360,COSTOS!$A$2:$B1014,2,FALSE)),"No encontrado o error"))</f>
        <v/>
      </c>
      <c r="AI360" s="395"/>
      <c r="AJ360" s="394"/>
      <c r="AK360" s="429" t="str">
        <f>IF(OR(ISBLANK($B360),ISBLANK($AJ360)),"",IFERROR(IF($AJ360&lt;=DATE('ESTADO CONTABLE'!$B$2,12,5),VLOOKUP($B360,COSTOS!$A$2:$B1014,2,FALSE)-150,VLOOKUP($B360,COSTOS!$A$2:$B1014,2,FALSE)),"No encontrado o error"))</f>
        <v/>
      </c>
      <c r="AL360" s="395"/>
      <c r="AM360" s="254"/>
      <c r="AN360" s="255"/>
      <c r="AO360" s="256"/>
    </row>
    <row r="361" ht="22.5" customHeight="1">
      <c r="A361" s="431" t="str">
        <f>'BASE DE DATOSS'!A435</f>
        <v/>
      </c>
      <c r="B361" s="432" t="str">
        <f>'BASE DE DATOSS'!C435</f>
        <v/>
      </c>
      <c r="C361" s="263"/>
      <c r="D361" s="249"/>
      <c r="E361" s="250"/>
      <c r="F361" s="251"/>
      <c r="G361" s="262"/>
      <c r="H361" s="257"/>
      <c r="I361" s="249"/>
      <c r="J361" s="193" t="str">
        <f>IF(OR(ISBLANK($B361),ISBLANK($I361)),"",IFERROR(IF($I361&lt;=DATE('ESTADO CONTABLE'!$B$2,3,5),VLOOKUP($B361,COSTOS!$A$2:$B1014,2,FALSE)-150,VLOOKUP($B361,COSTOS!$A$2:$B1014,2,FALSE)),"No encontrado o error"))</f>
        <v/>
      </c>
      <c r="K361" s="264"/>
      <c r="L361" s="249"/>
      <c r="M361" s="189"/>
      <c r="N361" s="264"/>
      <c r="O361" s="249"/>
      <c r="P361" s="250"/>
      <c r="Q361" s="264"/>
      <c r="R361" s="249"/>
      <c r="S361" s="250"/>
      <c r="T361" s="264"/>
      <c r="U361" s="249"/>
      <c r="V361" s="250"/>
      <c r="W361" s="264"/>
      <c r="X361" s="394"/>
      <c r="Y361" s="429"/>
      <c r="Z361" s="395"/>
      <c r="AA361" s="394"/>
      <c r="AB361" s="118" t="str">
        <f>IF(OR(ISBLANK($B361),ISBLANK($AA361)),"",IFERROR(IF($AA361&lt;=DATE('ESTADO CONTABLE'!$B$2,9,5),VLOOKUP($B361,COSTOS!$A$2:$B1014,2,FALSE)-150,VLOOKUP($B361,COSTOS!$A$2:$B1014,2,FALSE)),"No encontrado o error"))</f>
        <v/>
      </c>
      <c r="AC361" s="395"/>
      <c r="AD361" s="394"/>
      <c r="AE361" s="429" t="str">
        <f>IF(OR(ISBLANK($B361),ISBLANK($AD361)),"",IFERROR(IF($AD361&lt;=DATE('ESTADO CONTABLE'!$B$2,10,5),VLOOKUP($B361,COSTOS!$A$2:$B1014,2,FALSE)-150,VLOOKUP($B361,COSTOS!$A$2:$B1014,2,FALSE)),"No encontrado o error"))</f>
        <v/>
      </c>
      <c r="AF361" s="395"/>
      <c r="AG361" s="394"/>
      <c r="AH361" s="429" t="str">
        <f>IF(OR(ISBLANK($B361),ISBLANK($AG361)),"",IFERROR(IF($AG361&lt;=DATE('ESTADO CONTABLE'!$B$2,11,5),VLOOKUP($B361,COSTOS!$A$2:$B1014,2,FALSE)-150,VLOOKUP($B361,COSTOS!$A$2:$B1014,2,FALSE)),"No encontrado o error"))</f>
        <v/>
      </c>
      <c r="AI361" s="395"/>
      <c r="AJ361" s="394"/>
      <c r="AK361" s="429" t="str">
        <f>IF(OR(ISBLANK($B361),ISBLANK($AJ361)),"",IFERROR(IF($AJ361&lt;=DATE('ESTADO CONTABLE'!$B$2,12,5),VLOOKUP($B361,COSTOS!$A$2:$B1014,2,FALSE)-150,VLOOKUP($B361,COSTOS!$A$2:$B1014,2,FALSE)),"No encontrado o error"))</f>
        <v/>
      </c>
      <c r="AL361" s="395"/>
      <c r="AM361" s="254"/>
      <c r="AN361" s="255"/>
      <c r="AO361" s="256"/>
    </row>
    <row r="362" ht="22.5" customHeight="1">
      <c r="A362" s="431" t="str">
        <f>'BASE DE DATOSS'!A436</f>
        <v/>
      </c>
      <c r="B362" s="432" t="str">
        <f>'BASE DE DATOSS'!C436</f>
        <v/>
      </c>
      <c r="C362" s="263"/>
      <c r="D362" s="249"/>
      <c r="E362" s="250"/>
      <c r="F362" s="251"/>
      <c r="G362" s="262"/>
      <c r="H362" s="257"/>
      <c r="I362" s="249"/>
      <c r="J362" s="193" t="str">
        <f>IF(OR(ISBLANK($B362),ISBLANK($I362)),"",IFERROR(IF($I362&lt;=DATE('ESTADO CONTABLE'!$B$2,3,5),VLOOKUP($B362,COSTOS!$A$2:$B1014,2,FALSE)-150,VLOOKUP($B362,COSTOS!$A$2:$B1014,2,FALSE)),"No encontrado o error"))</f>
        <v/>
      </c>
      <c r="K362" s="264"/>
      <c r="L362" s="249"/>
      <c r="M362" s="189"/>
      <c r="N362" s="264"/>
      <c r="O362" s="249"/>
      <c r="P362" s="250"/>
      <c r="Q362" s="264"/>
      <c r="R362" s="249"/>
      <c r="S362" s="250"/>
      <c r="T362" s="264"/>
      <c r="U362" s="249"/>
      <c r="V362" s="250"/>
      <c r="W362" s="264"/>
      <c r="X362" s="394"/>
      <c r="Y362" s="429"/>
      <c r="Z362" s="395"/>
      <c r="AA362" s="394"/>
      <c r="AB362" s="118" t="str">
        <f>IF(OR(ISBLANK($B362),ISBLANK($AA362)),"",IFERROR(IF($AA362&lt;=DATE('ESTADO CONTABLE'!$B$2,9,5),VLOOKUP($B362,COSTOS!$A$2:$B1014,2,FALSE)-150,VLOOKUP($B362,COSTOS!$A$2:$B1014,2,FALSE)),"No encontrado o error"))</f>
        <v/>
      </c>
      <c r="AC362" s="395"/>
      <c r="AD362" s="394"/>
      <c r="AE362" s="429" t="str">
        <f>IF(OR(ISBLANK($B362),ISBLANK($AD362)),"",IFERROR(IF($AD362&lt;=DATE('ESTADO CONTABLE'!$B$2,10,5),VLOOKUP($B362,COSTOS!$A$2:$B1014,2,FALSE)-150,VLOOKUP($B362,COSTOS!$A$2:$B1014,2,FALSE)),"No encontrado o error"))</f>
        <v/>
      </c>
      <c r="AF362" s="395"/>
      <c r="AG362" s="394"/>
      <c r="AH362" s="429" t="str">
        <f>IF(OR(ISBLANK($B362),ISBLANK($AG362)),"",IFERROR(IF($AG362&lt;=DATE('ESTADO CONTABLE'!$B$2,11,5),VLOOKUP($B362,COSTOS!$A$2:$B1014,2,FALSE)-150,VLOOKUP($B362,COSTOS!$A$2:$B1014,2,FALSE)),"No encontrado o error"))</f>
        <v/>
      </c>
      <c r="AI362" s="395"/>
      <c r="AJ362" s="394"/>
      <c r="AK362" s="429" t="str">
        <f>IF(OR(ISBLANK($B362),ISBLANK($AJ362)),"",IFERROR(IF($AJ362&lt;=DATE('ESTADO CONTABLE'!$B$2,12,5),VLOOKUP($B362,COSTOS!$A$2:$B1014,2,FALSE)-150,VLOOKUP($B362,COSTOS!$A$2:$B1014,2,FALSE)),"No encontrado o error"))</f>
        <v/>
      </c>
      <c r="AL362" s="395"/>
      <c r="AM362" s="254"/>
      <c r="AN362" s="255"/>
      <c r="AO362" s="256"/>
    </row>
    <row r="363" ht="22.5" customHeight="1">
      <c r="A363" s="431" t="str">
        <f>'BASE DE DATOSS'!A437</f>
        <v/>
      </c>
      <c r="B363" s="432" t="str">
        <f>'BASE DE DATOSS'!C437</f>
        <v/>
      </c>
      <c r="C363" s="263"/>
      <c r="D363" s="249"/>
      <c r="E363" s="250"/>
      <c r="F363" s="251"/>
      <c r="G363" s="262"/>
      <c r="H363" s="257"/>
      <c r="I363" s="249"/>
      <c r="J363" s="193" t="str">
        <f>IF(OR(ISBLANK($B363),ISBLANK($I363)),"",IFERROR(IF($I363&lt;=DATE('ESTADO CONTABLE'!$B$2,3,5),VLOOKUP($B363,COSTOS!$A$2:$B1014,2,FALSE)-150,VLOOKUP($B363,COSTOS!$A$2:$B1014,2,FALSE)),"No encontrado o error"))</f>
        <v/>
      </c>
      <c r="K363" s="264"/>
      <c r="L363" s="249"/>
      <c r="M363" s="189"/>
      <c r="N363" s="264"/>
      <c r="O363" s="249"/>
      <c r="P363" s="250"/>
      <c r="Q363" s="264"/>
      <c r="R363" s="249"/>
      <c r="S363" s="250"/>
      <c r="T363" s="264"/>
      <c r="U363" s="249"/>
      <c r="V363" s="250"/>
      <c r="W363" s="264"/>
      <c r="X363" s="394"/>
      <c r="Y363" s="429"/>
      <c r="Z363" s="395"/>
      <c r="AA363" s="394"/>
      <c r="AB363" s="118" t="str">
        <f>IF(OR(ISBLANK($B363),ISBLANK($AA363)),"",IFERROR(IF($AA363&lt;=DATE('ESTADO CONTABLE'!$B$2,9,5),VLOOKUP($B363,COSTOS!$A$2:$B1014,2,FALSE)-150,VLOOKUP($B363,COSTOS!$A$2:$B1014,2,FALSE)),"No encontrado o error"))</f>
        <v/>
      </c>
      <c r="AC363" s="395"/>
      <c r="AD363" s="394"/>
      <c r="AE363" s="429" t="str">
        <f>IF(OR(ISBLANK($B363),ISBLANK($AD363)),"",IFERROR(IF($AD363&lt;=DATE('ESTADO CONTABLE'!$B$2,10,5),VLOOKUP($B363,COSTOS!$A$2:$B1014,2,FALSE)-150,VLOOKUP($B363,COSTOS!$A$2:$B1014,2,FALSE)),"No encontrado o error"))</f>
        <v/>
      </c>
      <c r="AF363" s="395"/>
      <c r="AG363" s="394"/>
      <c r="AH363" s="429" t="str">
        <f>IF(OR(ISBLANK($B363),ISBLANK($AG363)),"",IFERROR(IF($AG363&lt;=DATE('ESTADO CONTABLE'!$B$2,11,5),VLOOKUP($B363,COSTOS!$A$2:$B1014,2,FALSE)-150,VLOOKUP($B363,COSTOS!$A$2:$B1014,2,FALSE)),"No encontrado o error"))</f>
        <v/>
      </c>
      <c r="AI363" s="395"/>
      <c r="AJ363" s="394"/>
      <c r="AK363" s="429" t="str">
        <f>IF(OR(ISBLANK($B363),ISBLANK($AJ363)),"",IFERROR(IF($AJ363&lt;=DATE('ESTADO CONTABLE'!$B$2,12,5),VLOOKUP($B363,COSTOS!$A$2:$B1014,2,FALSE)-150,VLOOKUP($B363,COSTOS!$A$2:$B1014,2,FALSE)),"No encontrado o error"))</f>
        <v/>
      </c>
      <c r="AL363" s="395"/>
      <c r="AM363" s="254"/>
      <c r="AN363" s="255"/>
      <c r="AO363" s="256"/>
    </row>
    <row r="364" ht="22.5" customHeight="1">
      <c r="A364" s="431" t="str">
        <f>'BASE DE DATOSS'!A438</f>
        <v/>
      </c>
      <c r="B364" s="432" t="str">
        <f>'BASE DE DATOSS'!C438</f>
        <v/>
      </c>
      <c r="C364" s="263"/>
      <c r="D364" s="249"/>
      <c r="E364" s="250"/>
      <c r="F364" s="251"/>
      <c r="G364" s="262"/>
      <c r="H364" s="257"/>
      <c r="I364" s="249"/>
      <c r="J364" s="193" t="str">
        <f>IF(OR(ISBLANK($B364),ISBLANK($I364)),"",IFERROR(IF($I364&lt;=DATE('ESTADO CONTABLE'!$B$2,3,5),VLOOKUP($B364,COSTOS!$A$2:$B1014,2,FALSE)-150,VLOOKUP($B364,COSTOS!$A$2:$B1014,2,FALSE)),"No encontrado o error"))</f>
        <v/>
      </c>
      <c r="K364" s="264"/>
      <c r="L364" s="249"/>
      <c r="M364" s="189"/>
      <c r="N364" s="264"/>
      <c r="O364" s="249"/>
      <c r="P364" s="250"/>
      <c r="Q364" s="264"/>
      <c r="R364" s="249"/>
      <c r="S364" s="250"/>
      <c r="T364" s="264"/>
      <c r="U364" s="249"/>
      <c r="V364" s="250"/>
      <c r="W364" s="264"/>
      <c r="X364" s="394"/>
      <c r="Y364" s="429"/>
      <c r="Z364" s="395"/>
      <c r="AA364" s="394"/>
      <c r="AB364" s="118" t="str">
        <f>IF(OR(ISBLANK($B364),ISBLANK($AA364)),"",IFERROR(IF($AA364&lt;=DATE('ESTADO CONTABLE'!$B$2,9,5),VLOOKUP($B364,COSTOS!$A$2:$B1014,2,FALSE)-150,VLOOKUP($B364,COSTOS!$A$2:$B1014,2,FALSE)),"No encontrado o error"))</f>
        <v/>
      </c>
      <c r="AC364" s="395"/>
      <c r="AD364" s="394"/>
      <c r="AE364" s="429" t="str">
        <f>IF(OR(ISBLANK($B364),ISBLANK($AD364)),"",IFERROR(IF($AD364&lt;=DATE('ESTADO CONTABLE'!$B$2,10,5),VLOOKUP($B364,COSTOS!$A$2:$B1014,2,FALSE)-150,VLOOKUP($B364,COSTOS!$A$2:$B1014,2,FALSE)),"No encontrado o error"))</f>
        <v/>
      </c>
      <c r="AF364" s="395"/>
      <c r="AG364" s="394"/>
      <c r="AH364" s="429" t="str">
        <f>IF(OR(ISBLANK($B364),ISBLANK($AG364)),"",IFERROR(IF($AG364&lt;=DATE('ESTADO CONTABLE'!$B$2,11,5),VLOOKUP($B364,COSTOS!$A$2:$B1014,2,FALSE)-150,VLOOKUP($B364,COSTOS!$A$2:$B1014,2,FALSE)),"No encontrado o error"))</f>
        <v/>
      </c>
      <c r="AI364" s="395"/>
      <c r="AJ364" s="394"/>
      <c r="AK364" s="429" t="str">
        <f>IF(OR(ISBLANK($B364),ISBLANK($AJ364)),"",IFERROR(IF($AJ364&lt;=DATE('ESTADO CONTABLE'!$B$2,12,5),VLOOKUP($B364,COSTOS!$A$2:$B1014,2,FALSE)-150,VLOOKUP($B364,COSTOS!$A$2:$B1014,2,FALSE)),"No encontrado o error"))</f>
        <v/>
      </c>
      <c r="AL364" s="395"/>
      <c r="AM364" s="254"/>
      <c r="AN364" s="255"/>
      <c r="AO364" s="256"/>
    </row>
    <row r="365" ht="22.5" customHeight="1">
      <c r="A365" s="431" t="str">
        <f>'BASE DE DATOSS'!A439</f>
        <v/>
      </c>
      <c r="B365" s="432" t="str">
        <f>'BASE DE DATOSS'!C439</f>
        <v/>
      </c>
      <c r="C365" s="263"/>
      <c r="D365" s="249"/>
      <c r="E365" s="250"/>
      <c r="F365" s="251"/>
      <c r="G365" s="262"/>
      <c r="H365" s="257"/>
      <c r="I365" s="249"/>
      <c r="J365" s="193" t="str">
        <f>IF(OR(ISBLANK($B365),ISBLANK($I365)),"",IFERROR(IF($I365&lt;=DATE('ESTADO CONTABLE'!$B$2,3,5),VLOOKUP($B365,COSTOS!$A$2:$B1014,2,FALSE)-150,VLOOKUP($B365,COSTOS!$A$2:$B1014,2,FALSE)),"No encontrado o error"))</f>
        <v/>
      </c>
      <c r="K365" s="264"/>
      <c r="L365" s="249"/>
      <c r="M365" s="189"/>
      <c r="N365" s="264"/>
      <c r="O365" s="249"/>
      <c r="P365" s="250"/>
      <c r="Q365" s="264"/>
      <c r="R365" s="249"/>
      <c r="S365" s="250"/>
      <c r="T365" s="264"/>
      <c r="U365" s="249"/>
      <c r="V365" s="250"/>
      <c r="W365" s="264"/>
      <c r="X365" s="394"/>
      <c r="Y365" s="429"/>
      <c r="Z365" s="395"/>
      <c r="AA365" s="394"/>
      <c r="AB365" s="118" t="str">
        <f>IF(OR(ISBLANK($B365),ISBLANK($AA365)),"",IFERROR(IF($AA365&lt;=DATE('ESTADO CONTABLE'!$B$2,9,5),VLOOKUP($B365,COSTOS!$A$2:$B1014,2,FALSE)-150,VLOOKUP($B365,COSTOS!$A$2:$B1014,2,FALSE)),"No encontrado o error"))</f>
        <v/>
      </c>
      <c r="AC365" s="395"/>
      <c r="AD365" s="394"/>
      <c r="AE365" s="429" t="str">
        <f>IF(OR(ISBLANK($B365),ISBLANK($AD365)),"",IFERROR(IF($AD365&lt;=DATE('ESTADO CONTABLE'!$B$2,10,5),VLOOKUP($B365,COSTOS!$A$2:$B1014,2,FALSE)-150,VLOOKUP($B365,COSTOS!$A$2:$B1014,2,FALSE)),"No encontrado o error"))</f>
        <v/>
      </c>
      <c r="AF365" s="395"/>
      <c r="AG365" s="394"/>
      <c r="AH365" s="429" t="str">
        <f>IF(OR(ISBLANK($B365),ISBLANK($AG365)),"",IFERROR(IF($AG365&lt;=DATE('ESTADO CONTABLE'!$B$2,11,5),VLOOKUP($B365,COSTOS!$A$2:$B1014,2,FALSE)-150,VLOOKUP($B365,COSTOS!$A$2:$B1014,2,FALSE)),"No encontrado o error"))</f>
        <v/>
      </c>
      <c r="AI365" s="395"/>
      <c r="AJ365" s="394"/>
      <c r="AK365" s="429" t="str">
        <f>IF(OR(ISBLANK($B365),ISBLANK($AJ365)),"",IFERROR(IF($AJ365&lt;=DATE('ESTADO CONTABLE'!$B$2,12,5),VLOOKUP($B365,COSTOS!$A$2:$B1014,2,FALSE)-150,VLOOKUP($B365,COSTOS!$A$2:$B1014,2,FALSE)),"No encontrado o error"))</f>
        <v/>
      </c>
      <c r="AL365" s="395"/>
      <c r="AM365" s="254"/>
      <c r="AN365" s="255"/>
      <c r="AO365" s="256"/>
    </row>
    <row r="366" ht="22.5" customHeight="1">
      <c r="A366" s="431" t="str">
        <f>'BASE DE DATOSS'!A440</f>
        <v/>
      </c>
      <c r="B366" s="432" t="str">
        <f>'BASE DE DATOSS'!C440</f>
        <v/>
      </c>
      <c r="C366" s="263"/>
      <c r="D366" s="249"/>
      <c r="E366" s="250"/>
      <c r="F366" s="251"/>
      <c r="G366" s="262"/>
      <c r="H366" s="257"/>
      <c r="I366" s="249"/>
      <c r="J366" s="193" t="str">
        <f>IF(OR(ISBLANK($B366),ISBLANK($I366)),"",IFERROR(IF($I366&lt;=DATE('ESTADO CONTABLE'!$B$2,3,5),VLOOKUP($B366,COSTOS!$A$2:$B1014,2,FALSE)-150,VLOOKUP($B366,COSTOS!$A$2:$B1014,2,FALSE)),"No encontrado o error"))</f>
        <v/>
      </c>
      <c r="K366" s="264"/>
      <c r="L366" s="249"/>
      <c r="M366" s="189"/>
      <c r="N366" s="264"/>
      <c r="O366" s="249"/>
      <c r="P366" s="250"/>
      <c r="Q366" s="264"/>
      <c r="R366" s="249"/>
      <c r="S366" s="250"/>
      <c r="T366" s="264"/>
      <c r="U366" s="249"/>
      <c r="V366" s="250"/>
      <c r="W366" s="264"/>
      <c r="X366" s="394"/>
      <c r="Y366" s="429"/>
      <c r="Z366" s="395"/>
      <c r="AA366" s="394"/>
      <c r="AB366" s="118" t="str">
        <f>IF(OR(ISBLANK($B366),ISBLANK($AA366)),"",IFERROR(IF($AA366&lt;=DATE('ESTADO CONTABLE'!$B$2,9,5),VLOOKUP($B366,COSTOS!$A$2:$B1014,2,FALSE)-150,VLOOKUP($B366,COSTOS!$A$2:$B1014,2,FALSE)),"No encontrado o error"))</f>
        <v/>
      </c>
      <c r="AC366" s="395"/>
      <c r="AD366" s="394"/>
      <c r="AE366" s="429" t="str">
        <f>IF(OR(ISBLANK($B366),ISBLANK($AD366)),"",IFERROR(IF($AD366&lt;=DATE('ESTADO CONTABLE'!$B$2,10,5),VLOOKUP($B366,COSTOS!$A$2:$B1014,2,FALSE)-150,VLOOKUP($B366,COSTOS!$A$2:$B1014,2,FALSE)),"No encontrado o error"))</f>
        <v/>
      </c>
      <c r="AF366" s="395"/>
      <c r="AG366" s="394"/>
      <c r="AH366" s="429" t="str">
        <f>IF(OR(ISBLANK($B366),ISBLANK($AG366)),"",IFERROR(IF($AG366&lt;=DATE('ESTADO CONTABLE'!$B$2,11,5),VLOOKUP($B366,COSTOS!$A$2:$B1014,2,FALSE)-150,VLOOKUP($B366,COSTOS!$A$2:$B1014,2,FALSE)),"No encontrado o error"))</f>
        <v/>
      </c>
      <c r="AI366" s="395"/>
      <c r="AJ366" s="394"/>
      <c r="AK366" s="429" t="str">
        <f>IF(OR(ISBLANK($B366),ISBLANK($AJ366)),"",IFERROR(IF($AJ366&lt;=DATE('ESTADO CONTABLE'!$B$2,12,5),VLOOKUP($B366,COSTOS!$A$2:$B1014,2,FALSE)-150,VLOOKUP($B366,COSTOS!$A$2:$B1014,2,FALSE)),"No encontrado o error"))</f>
        <v/>
      </c>
      <c r="AL366" s="395"/>
      <c r="AM366" s="254"/>
      <c r="AN366" s="255"/>
      <c r="AO366" s="256"/>
    </row>
    <row r="367" ht="22.5" customHeight="1">
      <c r="A367" s="431" t="str">
        <f>'BASE DE DATOSS'!A441</f>
        <v/>
      </c>
      <c r="B367" s="432" t="str">
        <f>'BASE DE DATOSS'!C441</f>
        <v/>
      </c>
      <c r="C367" s="263"/>
      <c r="D367" s="249"/>
      <c r="E367" s="250"/>
      <c r="F367" s="251"/>
      <c r="G367" s="262"/>
      <c r="H367" s="257"/>
      <c r="I367" s="249"/>
      <c r="J367" s="193" t="str">
        <f>IF(OR(ISBLANK($B367),ISBLANK($I367)),"",IFERROR(IF($I367&lt;=DATE('ESTADO CONTABLE'!$B$2,3,5),VLOOKUP($B367,COSTOS!$A$2:$B1014,2,FALSE)-150,VLOOKUP($B367,COSTOS!$A$2:$B1014,2,FALSE)),"No encontrado o error"))</f>
        <v/>
      </c>
      <c r="K367" s="264"/>
      <c r="L367" s="249"/>
      <c r="M367" s="189"/>
      <c r="N367" s="264"/>
      <c r="O367" s="249"/>
      <c r="P367" s="250"/>
      <c r="Q367" s="264"/>
      <c r="R367" s="249"/>
      <c r="S367" s="250"/>
      <c r="T367" s="264"/>
      <c r="U367" s="249"/>
      <c r="V367" s="250"/>
      <c r="W367" s="264"/>
      <c r="X367" s="394"/>
      <c r="Y367" s="429"/>
      <c r="Z367" s="395"/>
      <c r="AA367" s="394"/>
      <c r="AB367" s="118" t="str">
        <f>IF(OR(ISBLANK($B367),ISBLANK($AA367)),"",IFERROR(IF($AA367&lt;=DATE('ESTADO CONTABLE'!$B$2,9,5),VLOOKUP($B367,COSTOS!$A$2:$B1014,2,FALSE)-150,VLOOKUP($B367,COSTOS!$A$2:$B1014,2,FALSE)),"No encontrado o error"))</f>
        <v/>
      </c>
      <c r="AC367" s="395"/>
      <c r="AD367" s="394"/>
      <c r="AE367" s="429" t="str">
        <f>IF(OR(ISBLANK($B367),ISBLANK($AD367)),"",IFERROR(IF($AD367&lt;=DATE('ESTADO CONTABLE'!$B$2,10,5),VLOOKUP($B367,COSTOS!$A$2:$B1014,2,FALSE)-150,VLOOKUP($B367,COSTOS!$A$2:$B1014,2,FALSE)),"No encontrado o error"))</f>
        <v/>
      </c>
      <c r="AF367" s="395"/>
      <c r="AG367" s="394"/>
      <c r="AH367" s="429" t="str">
        <f>IF(OR(ISBLANK($B367),ISBLANK($AG367)),"",IFERROR(IF($AG367&lt;=DATE('ESTADO CONTABLE'!$B$2,11,5),VLOOKUP($B367,COSTOS!$A$2:$B1014,2,FALSE)-150,VLOOKUP($B367,COSTOS!$A$2:$B1014,2,FALSE)),"No encontrado o error"))</f>
        <v/>
      </c>
      <c r="AI367" s="395"/>
      <c r="AJ367" s="394"/>
      <c r="AK367" s="429" t="str">
        <f>IF(OR(ISBLANK($B367),ISBLANK($AJ367)),"",IFERROR(IF($AJ367&lt;=DATE('ESTADO CONTABLE'!$B$2,12,5),VLOOKUP($B367,COSTOS!$A$2:$B1014,2,FALSE)-150,VLOOKUP($B367,COSTOS!$A$2:$B1014,2,FALSE)),"No encontrado o error"))</f>
        <v/>
      </c>
      <c r="AL367" s="395"/>
      <c r="AM367" s="254"/>
      <c r="AN367" s="255"/>
      <c r="AO367" s="256"/>
    </row>
    <row r="368" ht="22.5" customHeight="1">
      <c r="A368" s="431" t="str">
        <f>'BASE DE DATOSS'!A442</f>
        <v/>
      </c>
      <c r="B368" s="432" t="str">
        <f>'BASE DE DATOSS'!C442</f>
        <v/>
      </c>
      <c r="C368" s="263"/>
      <c r="D368" s="249"/>
      <c r="E368" s="250"/>
      <c r="F368" s="251"/>
      <c r="G368" s="262"/>
      <c r="H368" s="257"/>
      <c r="I368" s="249"/>
      <c r="J368" s="193" t="str">
        <f>IF(OR(ISBLANK($B368),ISBLANK($I368)),"",IFERROR(IF($I368&lt;=DATE('ESTADO CONTABLE'!$B$2,3,5),VLOOKUP($B368,COSTOS!$A$2:$B1014,2,FALSE)-150,VLOOKUP($B368,COSTOS!$A$2:$B1014,2,FALSE)),"No encontrado o error"))</f>
        <v/>
      </c>
      <c r="K368" s="264"/>
      <c r="L368" s="249"/>
      <c r="M368" s="189"/>
      <c r="N368" s="264"/>
      <c r="O368" s="249"/>
      <c r="P368" s="250"/>
      <c r="Q368" s="264"/>
      <c r="R368" s="249"/>
      <c r="S368" s="250"/>
      <c r="T368" s="264"/>
      <c r="U368" s="249"/>
      <c r="V368" s="250"/>
      <c r="W368" s="264"/>
      <c r="X368" s="394"/>
      <c r="Y368" s="429"/>
      <c r="Z368" s="395"/>
      <c r="AA368" s="394"/>
      <c r="AB368" s="118" t="str">
        <f>IF(OR(ISBLANK($B368),ISBLANK($AA368)),"",IFERROR(IF($AA368&lt;=DATE('ESTADO CONTABLE'!$B$2,9,5),VLOOKUP($B368,COSTOS!$A$2:$B1014,2,FALSE)-150,VLOOKUP($B368,COSTOS!$A$2:$B1014,2,FALSE)),"No encontrado o error"))</f>
        <v/>
      </c>
      <c r="AC368" s="395"/>
      <c r="AD368" s="394"/>
      <c r="AE368" s="429" t="str">
        <f>IF(OR(ISBLANK($B368),ISBLANK($AD368)),"",IFERROR(IF($AD368&lt;=DATE('ESTADO CONTABLE'!$B$2,10,5),VLOOKUP($B368,COSTOS!$A$2:$B1014,2,FALSE)-150,VLOOKUP($B368,COSTOS!$A$2:$B1014,2,FALSE)),"No encontrado o error"))</f>
        <v/>
      </c>
      <c r="AF368" s="395"/>
      <c r="AG368" s="394"/>
      <c r="AH368" s="429" t="str">
        <f>IF(OR(ISBLANK($B368),ISBLANK($AG368)),"",IFERROR(IF($AG368&lt;=DATE('ESTADO CONTABLE'!$B$2,11,5),VLOOKUP($B368,COSTOS!$A$2:$B1014,2,FALSE)-150,VLOOKUP($B368,COSTOS!$A$2:$B1014,2,FALSE)),"No encontrado o error"))</f>
        <v/>
      </c>
      <c r="AI368" s="395"/>
      <c r="AJ368" s="394"/>
      <c r="AK368" s="429" t="str">
        <f>IF(OR(ISBLANK($B368),ISBLANK($AJ368)),"",IFERROR(IF($AJ368&lt;=DATE('ESTADO CONTABLE'!$B$2,12,5),VLOOKUP($B368,COSTOS!$A$2:$B1014,2,FALSE)-150,VLOOKUP($B368,COSTOS!$A$2:$B1014,2,FALSE)),"No encontrado o error"))</f>
        <v/>
      </c>
      <c r="AL368" s="395"/>
      <c r="AM368" s="254"/>
      <c r="AN368" s="255"/>
      <c r="AO368" s="256"/>
    </row>
    <row r="369" ht="22.5" customHeight="1">
      <c r="A369" s="431" t="str">
        <f>'BASE DE DATOSS'!A443</f>
        <v/>
      </c>
      <c r="B369" s="432" t="str">
        <f>'BASE DE DATOSS'!C443</f>
        <v/>
      </c>
      <c r="C369" s="263"/>
      <c r="D369" s="249"/>
      <c r="E369" s="250"/>
      <c r="F369" s="251"/>
      <c r="G369" s="262"/>
      <c r="H369" s="257"/>
      <c r="I369" s="249"/>
      <c r="J369" s="193" t="str">
        <f>IF(OR(ISBLANK($B369),ISBLANK($I369)),"",IFERROR(IF($I369&lt;=DATE('ESTADO CONTABLE'!$B$2,3,5),VLOOKUP($B369,COSTOS!$A$2:$B1014,2,FALSE)-150,VLOOKUP($B369,COSTOS!$A$2:$B1014,2,FALSE)),"No encontrado o error"))</f>
        <v/>
      </c>
      <c r="K369" s="264"/>
      <c r="L369" s="249"/>
      <c r="M369" s="189"/>
      <c r="N369" s="264"/>
      <c r="O369" s="249"/>
      <c r="P369" s="250"/>
      <c r="Q369" s="264"/>
      <c r="R369" s="249"/>
      <c r="S369" s="250"/>
      <c r="T369" s="264"/>
      <c r="U369" s="249"/>
      <c r="V369" s="250"/>
      <c r="W369" s="264"/>
      <c r="X369" s="394"/>
      <c r="Y369" s="429"/>
      <c r="Z369" s="395"/>
      <c r="AA369" s="394"/>
      <c r="AB369" s="118" t="str">
        <f>IF(OR(ISBLANK($B369),ISBLANK($AA369)),"",IFERROR(IF($AA369&lt;=DATE('ESTADO CONTABLE'!$B$2,9,5),VLOOKUP($B369,COSTOS!$A$2:$B1014,2,FALSE)-150,VLOOKUP($B369,COSTOS!$A$2:$B1014,2,FALSE)),"No encontrado o error"))</f>
        <v/>
      </c>
      <c r="AC369" s="395"/>
      <c r="AD369" s="394"/>
      <c r="AE369" s="429" t="str">
        <f>IF(OR(ISBLANK($B369),ISBLANK($AD369)),"",IFERROR(IF($AD369&lt;=DATE('ESTADO CONTABLE'!$B$2,10,5),VLOOKUP($B369,COSTOS!$A$2:$B1014,2,FALSE)-150,VLOOKUP($B369,COSTOS!$A$2:$B1014,2,FALSE)),"No encontrado o error"))</f>
        <v/>
      </c>
      <c r="AF369" s="395"/>
      <c r="AG369" s="394"/>
      <c r="AH369" s="429" t="str">
        <f>IF(OR(ISBLANK($B369),ISBLANK($AG369)),"",IFERROR(IF($AG369&lt;=DATE('ESTADO CONTABLE'!$B$2,11,5),VLOOKUP($B369,COSTOS!$A$2:$B1014,2,FALSE)-150,VLOOKUP($B369,COSTOS!$A$2:$B1014,2,FALSE)),"No encontrado o error"))</f>
        <v/>
      </c>
      <c r="AI369" s="395"/>
      <c r="AJ369" s="394"/>
      <c r="AK369" s="429" t="str">
        <f>IF(OR(ISBLANK($B369),ISBLANK($AJ369)),"",IFERROR(IF($AJ369&lt;=DATE('ESTADO CONTABLE'!$B$2,12,5),VLOOKUP($B369,COSTOS!$A$2:$B1014,2,FALSE)-150,VLOOKUP($B369,COSTOS!$A$2:$B1014,2,FALSE)),"No encontrado o error"))</f>
        <v/>
      </c>
      <c r="AL369" s="395"/>
      <c r="AM369" s="254"/>
      <c r="AN369" s="255"/>
      <c r="AO369" s="256"/>
    </row>
    <row r="370" ht="22.5" customHeight="1">
      <c r="A370" s="431" t="str">
        <f>'BASE DE DATOSS'!A444</f>
        <v/>
      </c>
      <c r="B370" s="432" t="str">
        <f>'BASE DE DATOSS'!C444</f>
        <v/>
      </c>
      <c r="C370" s="263"/>
      <c r="D370" s="249"/>
      <c r="E370" s="250"/>
      <c r="F370" s="251"/>
      <c r="G370" s="262"/>
      <c r="H370" s="257"/>
      <c r="I370" s="249"/>
      <c r="J370" s="193" t="str">
        <f>IF(OR(ISBLANK($B370),ISBLANK($I370)),"",IFERROR(IF($I370&lt;=DATE('ESTADO CONTABLE'!$B$2,3,5),VLOOKUP($B370,COSTOS!$A$2:$B1014,2,FALSE)-150,VLOOKUP($B370,COSTOS!$A$2:$B1014,2,FALSE)),"No encontrado o error"))</f>
        <v/>
      </c>
      <c r="K370" s="264"/>
      <c r="L370" s="249"/>
      <c r="M370" s="189"/>
      <c r="N370" s="264"/>
      <c r="O370" s="249"/>
      <c r="P370" s="250"/>
      <c r="Q370" s="264"/>
      <c r="R370" s="249"/>
      <c r="S370" s="250"/>
      <c r="T370" s="264"/>
      <c r="U370" s="249"/>
      <c r="V370" s="250"/>
      <c r="W370" s="264"/>
      <c r="X370" s="394"/>
      <c r="Y370" s="429"/>
      <c r="Z370" s="395"/>
      <c r="AA370" s="394"/>
      <c r="AB370" s="118" t="str">
        <f>IF(OR(ISBLANK($B370),ISBLANK($AA370)),"",IFERROR(IF($AA370&lt;=DATE('ESTADO CONTABLE'!$B$2,9,5),VLOOKUP($B370,COSTOS!$A$2:$B1014,2,FALSE)-150,VLOOKUP($B370,COSTOS!$A$2:$B1014,2,FALSE)),"No encontrado o error"))</f>
        <v/>
      </c>
      <c r="AC370" s="395"/>
      <c r="AD370" s="394"/>
      <c r="AE370" s="429" t="str">
        <f>IF(OR(ISBLANK($B370),ISBLANK($AD370)),"",IFERROR(IF($AD370&lt;=DATE('ESTADO CONTABLE'!$B$2,10,5),VLOOKUP($B370,COSTOS!$A$2:$B1014,2,FALSE)-150,VLOOKUP($B370,COSTOS!$A$2:$B1014,2,FALSE)),"No encontrado o error"))</f>
        <v/>
      </c>
      <c r="AF370" s="395"/>
      <c r="AG370" s="394"/>
      <c r="AH370" s="429" t="str">
        <f>IF(OR(ISBLANK($B370),ISBLANK($AG370)),"",IFERROR(IF($AG370&lt;=DATE('ESTADO CONTABLE'!$B$2,11,5),VLOOKUP($B370,COSTOS!$A$2:$B1014,2,FALSE)-150,VLOOKUP($B370,COSTOS!$A$2:$B1014,2,FALSE)),"No encontrado o error"))</f>
        <v/>
      </c>
      <c r="AI370" s="395"/>
      <c r="AJ370" s="394"/>
      <c r="AK370" s="429" t="str">
        <f>IF(OR(ISBLANK($B370),ISBLANK($AJ370)),"",IFERROR(IF($AJ370&lt;=DATE('ESTADO CONTABLE'!$B$2,12,5),VLOOKUP($B370,COSTOS!$A$2:$B1014,2,FALSE)-150,VLOOKUP($B370,COSTOS!$A$2:$B1014,2,FALSE)),"No encontrado o error"))</f>
        <v/>
      </c>
      <c r="AL370" s="395"/>
      <c r="AM370" s="254"/>
      <c r="AN370" s="255"/>
      <c r="AO370" s="256"/>
    </row>
    <row r="371" ht="22.5" customHeight="1">
      <c r="A371" s="431" t="str">
        <f>'BASE DE DATOSS'!A445</f>
        <v/>
      </c>
      <c r="B371" s="432" t="str">
        <f>'BASE DE DATOSS'!C445</f>
        <v/>
      </c>
      <c r="C371" s="263"/>
      <c r="D371" s="249"/>
      <c r="E371" s="250"/>
      <c r="F371" s="251"/>
      <c r="G371" s="262"/>
      <c r="H371" s="257"/>
      <c r="I371" s="249"/>
      <c r="J371" s="193" t="str">
        <f>IF(OR(ISBLANK($B371),ISBLANK($I371)),"",IFERROR(IF($I371&lt;=DATE('ESTADO CONTABLE'!$B$2,3,5),VLOOKUP($B371,COSTOS!$A$2:$B1014,2,FALSE)-150,VLOOKUP($B371,COSTOS!$A$2:$B1014,2,FALSE)),"No encontrado o error"))</f>
        <v/>
      </c>
      <c r="K371" s="264"/>
      <c r="L371" s="249"/>
      <c r="M371" s="189"/>
      <c r="N371" s="264"/>
      <c r="O371" s="249"/>
      <c r="P371" s="250"/>
      <c r="Q371" s="264"/>
      <c r="R371" s="249"/>
      <c r="S371" s="250"/>
      <c r="T371" s="264"/>
      <c r="U371" s="249"/>
      <c r="V371" s="250"/>
      <c r="W371" s="264"/>
      <c r="X371" s="394"/>
      <c r="Y371" s="429"/>
      <c r="Z371" s="395"/>
      <c r="AA371" s="394"/>
      <c r="AB371" s="118" t="str">
        <f>IF(OR(ISBLANK($B371),ISBLANK($AA371)),"",IFERROR(IF($AA371&lt;=DATE('ESTADO CONTABLE'!$B$2,9,5),VLOOKUP($B371,COSTOS!$A$2:$B1014,2,FALSE)-150,VLOOKUP($B371,COSTOS!$A$2:$B1014,2,FALSE)),"No encontrado o error"))</f>
        <v/>
      </c>
      <c r="AC371" s="395"/>
      <c r="AD371" s="394"/>
      <c r="AE371" s="429" t="str">
        <f>IF(OR(ISBLANK($B371),ISBLANK($AD371)),"",IFERROR(IF($AD371&lt;=DATE('ESTADO CONTABLE'!$B$2,10,5),VLOOKUP($B371,COSTOS!$A$2:$B1014,2,FALSE)-150,VLOOKUP($B371,COSTOS!$A$2:$B1014,2,FALSE)),"No encontrado o error"))</f>
        <v/>
      </c>
      <c r="AF371" s="395"/>
      <c r="AG371" s="394"/>
      <c r="AH371" s="429" t="str">
        <f>IF(OR(ISBLANK($B371),ISBLANK($AG371)),"",IFERROR(IF($AG371&lt;=DATE('ESTADO CONTABLE'!$B$2,11,5),VLOOKUP($B371,COSTOS!$A$2:$B1014,2,FALSE)-150,VLOOKUP($B371,COSTOS!$A$2:$B1014,2,FALSE)),"No encontrado o error"))</f>
        <v/>
      </c>
      <c r="AI371" s="395"/>
      <c r="AJ371" s="394"/>
      <c r="AK371" s="429" t="str">
        <f>IF(OR(ISBLANK($B371),ISBLANK($AJ371)),"",IFERROR(IF($AJ371&lt;=DATE('ESTADO CONTABLE'!$B$2,12,5),VLOOKUP($B371,COSTOS!$A$2:$B1014,2,FALSE)-150,VLOOKUP($B371,COSTOS!$A$2:$B1014,2,FALSE)),"No encontrado o error"))</f>
        <v/>
      </c>
      <c r="AL371" s="395"/>
      <c r="AM371" s="254"/>
      <c r="AN371" s="255"/>
      <c r="AO371" s="256"/>
    </row>
    <row r="372" ht="22.5" customHeight="1">
      <c r="A372" s="431" t="str">
        <f>'BASE DE DATOSS'!A446</f>
        <v/>
      </c>
      <c r="B372" s="432" t="str">
        <f>'BASE DE DATOSS'!C446</f>
        <v/>
      </c>
      <c r="C372" s="263"/>
      <c r="D372" s="249"/>
      <c r="E372" s="250"/>
      <c r="F372" s="251"/>
      <c r="G372" s="262"/>
      <c r="H372" s="257"/>
      <c r="I372" s="249"/>
      <c r="J372" s="193" t="str">
        <f>IF(OR(ISBLANK($B372),ISBLANK($I372)),"",IFERROR(IF($I372&lt;=DATE('ESTADO CONTABLE'!$B$2,3,5),VLOOKUP($B372,COSTOS!$A$2:$B1014,2,FALSE)-150,VLOOKUP($B372,COSTOS!$A$2:$B1014,2,FALSE)),"No encontrado o error"))</f>
        <v/>
      </c>
      <c r="K372" s="264"/>
      <c r="L372" s="249"/>
      <c r="M372" s="189"/>
      <c r="N372" s="264"/>
      <c r="O372" s="249"/>
      <c r="P372" s="250"/>
      <c r="Q372" s="264"/>
      <c r="R372" s="249"/>
      <c r="S372" s="250"/>
      <c r="T372" s="264"/>
      <c r="U372" s="249"/>
      <c r="V372" s="250"/>
      <c r="W372" s="264"/>
      <c r="X372" s="394"/>
      <c r="Y372" s="429"/>
      <c r="Z372" s="395"/>
      <c r="AA372" s="394"/>
      <c r="AB372" s="118" t="str">
        <f>IF(OR(ISBLANK($B372),ISBLANK($AA372)),"",IFERROR(IF($AA372&lt;=DATE('ESTADO CONTABLE'!$B$2,9,5),VLOOKUP($B372,COSTOS!$A$2:$B1014,2,FALSE)-150,VLOOKUP($B372,COSTOS!$A$2:$B1014,2,FALSE)),"No encontrado o error"))</f>
        <v/>
      </c>
      <c r="AC372" s="395"/>
      <c r="AD372" s="394"/>
      <c r="AE372" s="429" t="str">
        <f>IF(OR(ISBLANK($B372),ISBLANK($AD372)),"",IFERROR(IF($AD372&lt;=DATE('ESTADO CONTABLE'!$B$2,10,5),VLOOKUP($B372,COSTOS!$A$2:$B1014,2,FALSE)-150,VLOOKUP($B372,COSTOS!$A$2:$B1014,2,FALSE)),"No encontrado o error"))</f>
        <v/>
      </c>
      <c r="AF372" s="395"/>
      <c r="AG372" s="394"/>
      <c r="AH372" s="429" t="str">
        <f>IF(OR(ISBLANK($B372),ISBLANK($AG372)),"",IFERROR(IF($AG372&lt;=DATE('ESTADO CONTABLE'!$B$2,11,5),VLOOKUP($B372,COSTOS!$A$2:$B1014,2,FALSE)-150,VLOOKUP($B372,COSTOS!$A$2:$B1014,2,FALSE)),"No encontrado o error"))</f>
        <v/>
      </c>
      <c r="AI372" s="395"/>
      <c r="AJ372" s="394"/>
      <c r="AK372" s="429" t="str">
        <f>IF(OR(ISBLANK($B372),ISBLANK($AJ372)),"",IFERROR(IF($AJ372&lt;=DATE('ESTADO CONTABLE'!$B$2,12,5),VLOOKUP($B372,COSTOS!$A$2:$B1014,2,FALSE)-150,VLOOKUP($B372,COSTOS!$A$2:$B1014,2,FALSE)),"No encontrado o error"))</f>
        <v/>
      </c>
      <c r="AL372" s="395"/>
      <c r="AM372" s="254"/>
      <c r="AN372" s="255"/>
      <c r="AO372" s="256"/>
    </row>
    <row r="373" ht="22.5" customHeight="1">
      <c r="A373" s="431" t="str">
        <f>'BASE DE DATOSS'!A447</f>
        <v/>
      </c>
      <c r="B373" s="432" t="str">
        <f>'BASE DE DATOSS'!C447</f>
        <v/>
      </c>
      <c r="C373" s="263"/>
      <c r="D373" s="249"/>
      <c r="E373" s="250"/>
      <c r="F373" s="251"/>
      <c r="G373" s="262"/>
      <c r="H373" s="257"/>
      <c r="I373" s="249"/>
      <c r="J373" s="193" t="str">
        <f>IF(OR(ISBLANK($B373),ISBLANK($I373)),"",IFERROR(IF($I373&lt;=DATE('ESTADO CONTABLE'!$B$2,3,5),VLOOKUP($B373,COSTOS!$A$2:$B1014,2,FALSE)-150,VLOOKUP($B373,COSTOS!$A$2:$B1014,2,FALSE)),"No encontrado o error"))</f>
        <v/>
      </c>
      <c r="K373" s="264"/>
      <c r="L373" s="249"/>
      <c r="M373" s="189"/>
      <c r="N373" s="264"/>
      <c r="O373" s="249"/>
      <c r="P373" s="250"/>
      <c r="Q373" s="264"/>
      <c r="R373" s="249"/>
      <c r="S373" s="250"/>
      <c r="T373" s="264"/>
      <c r="U373" s="249"/>
      <c r="V373" s="250"/>
      <c r="W373" s="264"/>
      <c r="X373" s="394"/>
      <c r="Y373" s="429"/>
      <c r="Z373" s="395"/>
      <c r="AA373" s="394"/>
      <c r="AB373" s="118" t="str">
        <f>IF(OR(ISBLANK($B373),ISBLANK($AA373)),"",IFERROR(IF($AA373&lt;=DATE('ESTADO CONTABLE'!$B$2,9,5),VLOOKUP($B373,COSTOS!$A$2:$B1014,2,FALSE)-150,VLOOKUP($B373,COSTOS!$A$2:$B1014,2,FALSE)),"No encontrado o error"))</f>
        <v/>
      </c>
      <c r="AC373" s="395"/>
      <c r="AD373" s="394"/>
      <c r="AE373" s="429" t="str">
        <f>IF(OR(ISBLANK($B373),ISBLANK($AD373)),"",IFERROR(IF($AD373&lt;=DATE('ESTADO CONTABLE'!$B$2,10,5),VLOOKUP($B373,COSTOS!$A$2:$B1014,2,FALSE)-150,VLOOKUP($B373,COSTOS!$A$2:$B1014,2,FALSE)),"No encontrado o error"))</f>
        <v/>
      </c>
      <c r="AF373" s="395"/>
      <c r="AG373" s="394"/>
      <c r="AH373" s="429" t="str">
        <f>IF(OR(ISBLANK($B373),ISBLANK($AG373)),"",IFERROR(IF($AG373&lt;=DATE('ESTADO CONTABLE'!$B$2,11,5),VLOOKUP($B373,COSTOS!$A$2:$B1014,2,FALSE)-150,VLOOKUP($B373,COSTOS!$A$2:$B1014,2,FALSE)),"No encontrado o error"))</f>
        <v/>
      </c>
      <c r="AI373" s="395"/>
      <c r="AJ373" s="394"/>
      <c r="AK373" s="429" t="str">
        <f>IF(OR(ISBLANK($B373),ISBLANK($AJ373)),"",IFERROR(IF($AJ373&lt;=DATE('ESTADO CONTABLE'!$B$2,12,5),VLOOKUP($B373,COSTOS!$A$2:$B1014,2,FALSE)-150,VLOOKUP($B373,COSTOS!$A$2:$B1014,2,FALSE)),"No encontrado o error"))</f>
        <v/>
      </c>
      <c r="AL373" s="395"/>
      <c r="AM373" s="254"/>
      <c r="AN373" s="255"/>
      <c r="AO373" s="256"/>
    </row>
    <row r="374" ht="22.5" customHeight="1">
      <c r="A374" s="431" t="str">
        <f>'BASE DE DATOSS'!A448</f>
        <v/>
      </c>
      <c r="B374" s="432" t="str">
        <f>'BASE DE DATOSS'!C448</f>
        <v/>
      </c>
      <c r="C374" s="263"/>
      <c r="D374" s="249"/>
      <c r="E374" s="250"/>
      <c r="F374" s="251"/>
      <c r="G374" s="262"/>
      <c r="H374" s="257"/>
      <c r="I374" s="249"/>
      <c r="J374" s="193" t="str">
        <f>IF(OR(ISBLANK($B374),ISBLANK($I374)),"",IFERROR(IF($I374&lt;=DATE('ESTADO CONTABLE'!$B$2,3,5),VLOOKUP($B374,COSTOS!$A$2:$B1014,2,FALSE)-150,VLOOKUP($B374,COSTOS!$A$2:$B1014,2,FALSE)),"No encontrado o error"))</f>
        <v/>
      </c>
      <c r="K374" s="264"/>
      <c r="L374" s="249"/>
      <c r="M374" s="189"/>
      <c r="N374" s="264"/>
      <c r="O374" s="249"/>
      <c r="P374" s="250"/>
      <c r="Q374" s="264"/>
      <c r="R374" s="249"/>
      <c r="S374" s="250"/>
      <c r="T374" s="264"/>
      <c r="U374" s="249"/>
      <c r="V374" s="250"/>
      <c r="W374" s="264"/>
      <c r="X374" s="394"/>
      <c r="Y374" s="429"/>
      <c r="Z374" s="395"/>
      <c r="AA374" s="394"/>
      <c r="AB374" s="118" t="str">
        <f>IF(OR(ISBLANK($B374),ISBLANK($AA374)),"",IFERROR(IF($AA374&lt;=DATE('ESTADO CONTABLE'!$B$2,9,5),VLOOKUP($B374,COSTOS!$A$2:$B1014,2,FALSE)-150,VLOOKUP($B374,COSTOS!$A$2:$B1014,2,FALSE)),"No encontrado o error"))</f>
        <v/>
      </c>
      <c r="AC374" s="395"/>
      <c r="AD374" s="394"/>
      <c r="AE374" s="429" t="str">
        <f>IF(OR(ISBLANK($B374),ISBLANK($AD374)),"",IFERROR(IF($AD374&lt;=DATE('ESTADO CONTABLE'!$B$2,10,5),VLOOKUP($B374,COSTOS!$A$2:$B1014,2,FALSE)-150,VLOOKUP($B374,COSTOS!$A$2:$B1014,2,FALSE)),"No encontrado o error"))</f>
        <v/>
      </c>
      <c r="AF374" s="395"/>
      <c r="AG374" s="394"/>
      <c r="AH374" s="429" t="str">
        <f>IF(OR(ISBLANK($B374),ISBLANK($AG374)),"",IFERROR(IF($AG374&lt;=DATE('ESTADO CONTABLE'!$B$2,11,5),VLOOKUP($B374,COSTOS!$A$2:$B1014,2,FALSE)-150,VLOOKUP($B374,COSTOS!$A$2:$B1014,2,FALSE)),"No encontrado o error"))</f>
        <v/>
      </c>
      <c r="AI374" s="395"/>
      <c r="AJ374" s="394"/>
      <c r="AK374" s="429" t="str">
        <f>IF(OR(ISBLANK($B374),ISBLANK($AJ374)),"",IFERROR(IF($AJ374&lt;=DATE('ESTADO CONTABLE'!$B$2,12,5),VLOOKUP($B374,COSTOS!$A$2:$B1014,2,FALSE)-150,VLOOKUP($B374,COSTOS!$A$2:$B1014,2,FALSE)),"No encontrado o error"))</f>
        <v/>
      </c>
      <c r="AL374" s="395"/>
      <c r="AM374" s="254"/>
      <c r="AN374" s="255"/>
      <c r="AO374" s="256"/>
    </row>
    <row r="375" ht="22.5" customHeight="1">
      <c r="A375" s="431" t="str">
        <f>'BASE DE DATOSS'!A449</f>
        <v/>
      </c>
      <c r="B375" s="432" t="str">
        <f>'BASE DE DATOSS'!C449</f>
        <v/>
      </c>
      <c r="C375" s="263"/>
      <c r="D375" s="249"/>
      <c r="E375" s="250"/>
      <c r="F375" s="251"/>
      <c r="G375" s="262"/>
      <c r="H375" s="257"/>
      <c r="I375" s="249"/>
      <c r="J375" s="193" t="str">
        <f>IF(OR(ISBLANK($B375),ISBLANK($I375)),"",IFERROR(IF($I375&lt;=DATE('ESTADO CONTABLE'!$B$2,3,5),VLOOKUP($B375,COSTOS!$A$2:$B1014,2,FALSE)-150,VLOOKUP($B375,COSTOS!$A$2:$B1014,2,FALSE)),"No encontrado o error"))</f>
        <v/>
      </c>
      <c r="K375" s="264"/>
      <c r="L375" s="249"/>
      <c r="M375" s="189"/>
      <c r="N375" s="264"/>
      <c r="O375" s="249"/>
      <c r="P375" s="250"/>
      <c r="Q375" s="264"/>
      <c r="R375" s="249"/>
      <c r="S375" s="250"/>
      <c r="T375" s="264"/>
      <c r="U375" s="249"/>
      <c r="V375" s="250"/>
      <c r="W375" s="264"/>
      <c r="X375" s="394"/>
      <c r="Y375" s="429"/>
      <c r="Z375" s="395"/>
      <c r="AA375" s="394"/>
      <c r="AB375" s="118" t="str">
        <f>IF(OR(ISBLANK($B375),ISBLANK($AA375)),"",IFERROR(IF($AA375&lt;=DATE('ESTADO CONTABLE'!$B$2,9,5),VLOOKUP($B375,COSTOS!$A$2:$B1014,2,FALSE)-150,VLOOKUP($B375,COSTOS!$A$2:$B1014,2,FALSE)),"No encontrado o error"))</f>
        <v/>
      </c>
      <c r="AC375" s="395"/>
      <c r="AD375" s="394"/>
      <c r="AE375" s="429" t="str">
        <f>IF(OR(ISBLANK($B375),ISBLANK($AD375)),"",IFERROR(IF($AD375&lt;=DATE('ESTADO CONTABLE'!$B$2,10,5),VLOOKUP($B375,COSTOS!$A$2:$B1014,2,FALSE)-150,VLOOKUP($B375,COSTOS!$A$2:$B1014,2,FALSE)),"No encontrado o error"))</f>
        <v/>
      </c>
      <c r="AF375" s="395"/>
      <c r="AG375" s="394"/>
      <c r="AH375" s="429" t="str">
        <f>IF(OR(ISBLANK($B375),ISBLANK($AG375)),"",IFERROR(IF($AG375&lt;=DATE('ESTADO CONTABLE'!$B$2,11,5),VLOOKUP($B375,COSTOS!$A$2:$B1014,2,FALSE)-150,VLOOKUP($B375,COSTOS!$A$2:$B1014,2,FALSE)),"No encontrado o error"))</f>
        <v/>
      </c>
      <c r="AI375" s="395"/>
      <c r="AJ375" s="394"/>
      <c r="AK375" s="429" t="str">
        <f>IF(OR(ISBLANK($B375),ISBLANK($AJ375)),"",IFERROR(IF($AJ375&lt;=DATE('ESTADO CONTABLE'!$B$2,12,5),VLOOKUP($B375,COSTOS!$A$2:$B1014,2,FALSE)-150,VLOOKUP($B375,COSTOS!$A$2:$B1014,2,FALSE)),"No encontrado o error"))</f>
        <v/>
      </c>
      <c r="AL375" s="395"/>
      <c r="AM375" s="254"/>
      <c r="AN375" s="255"/>
      <c r="AO375" s="256"/>
    </row>
    <row r="376" ht="22.5" customHeight="1">
      <c r="A376" s="431" t="str">
        <f>'BASE DE DATOSS'!A450</f>
        <v/>
      </c>
      <c r="B376" s="432" t="str">
        <f>'BASE DE DATOSS'!C450</f>
        <v/>
      </c>
      <c r="C376" s="263"/>
      <c r="D376" s="249"/>
      <c r="E376" s="250"/>
      <c r="F376" s="251"/>
      <c r="G376" s="262"/>
      <c r="H376" s="257"/>
      <c r="I376" s="249"/>
      <c r="J376" s="193" t="str">
        <f>IF(OR(ISBLANK($B376),ISBLANK($I376)),"",IFERROR(IF($I376&lt;=DATE('ESTADO CONTABLE'!$B$2,3,5),VLOOKUP($B376,COSTOS!$A$2:$B1014,2,FALSE)-150,VLOOKUP($B376,COSTOS!$A$2:$B1014,2,FALSE)),"No encontrado o error"))</f>
        <v/>
      </c>
      <c r="K376" s="264"/>
      <c r="L376" s="249"/>
      <c r="M376" s="189"/>
      <c r="N376" s="264"/>
      <c r="O376" s="249"/>
      <c r="P376" s="250"/>
      <c r="Q376" s="264"/>
      <c r="R376" s="249"/>
      <c r="S376" s="250"/>
      <c r="T376" s="264"/>
      <c r="U376" s="249"/>
      <c r="V376" s="250"/>
      <c r="W376" s="264"/>
      <c r="X376" s="394"/>
      <c r="Y376" s="429"/>
      <c r="Z376" s="395"/>
      <c r="AA376" s="394"/>
      <c r="AB376" s="118" t="str">
        <f>IF(OR(ISBLANK($B376),ISBLANK($AA376)),"",IFERROR(IF($AA376&lt;=DATE('ESTADO CONTABLE'!$B$2,9,5),VLOOKUP($B376,COSTOS!$A$2:$B1014,2,FALSE)-150,VLOOKUP($B376,COSTOS!$A$2:$B1014,2,FALSE)),"No encontrado o error"))</f>
        <v/>
      </c>
      <c r="AC376" s="395"/>
      <c r="AD376" s="394"/>
      <c r="AE376" s="429" t="str">
        <f>IF(OR(ISBLANK($B376),ISBLANK($AD376)),"",IFERROR(IF($AD376&lt;=DATE('ESTADO CONTABLE'!$B$2,10,5),VLOOKUP($B376,COSTOS!$A$2:$B1014,2,FALSE)-150,VLOOKUP($B376,COSTOS!$A$2:$B1014,2,FALSE)),"No encontrado o error"))</f>
        <v/>
      </c>
      <c r="AF376" s="395"/>
      <c r="AG376" s="394"/>
      <c r="AH376" s="429" t="str">
        <f>IF(OR(ISBLANK($B376),ISBLANK($AG376)),"",IFERROR(IF($AG376&lt;=DATE('ESTADO CONTABLE'!$B$2,11,5),VLOOKUP($B376,COSTOS!$A$2:$B1014,2,FALSE)-150,VLOOKUP($B376,COSTOS!$A$2:$B1014,2,FALSE)),"No encontrado o error"))</f>
        <v/>
      </c>
      <c r="AI376" s="395"/>
      <c r="AJ376" s="394"/>
      <c r="AK376" s="429" t="str">
        <f>IF(OR(ISBLANK($B376),ISBLANK($AJ376)),"",IFERROR(IF($AJ376&lt;=DATE('ESTADO CONTABLE'!$B$2,12,5),VLOOKUP($B376,COSTOS!$A$2:$B1014,2,FALSE)-150,VLOOKUP($B376,COSTOS!$A$2:$B1014,2,FALSE)),"No encontrado o error"))</f>
        <v/>
      </c>
      <c r="AL376" s="395"/>
      <c r="AM376" s="254"/>
      <c r="AN376" s="255"/>
      <c r="AO376" s="256"/>
    </row>
    <row r="377" ht="22.5" customHeight="1">
      <c r="A377" s="431" t="str">
        <f>'BASE DE DATOSS'!A451</f>
        <v/>
      </c>
      <c r="B377" s="432" t="str">
        <f>'BASE DE DATOSS'!C451</f>
        <v/>
      </c>
      <c r="C377" s="263"/>
      <c r="D377" s="249"/>
      <c r="E377" s="250"/>
      <c r="F377" s="251"/>
      <c r="G377" s="262"/>
      <c r="H377" s="257"/>
      <c r="I377" s="249"/>
      <c r="J377" s="193" t="str">
        <f>IF(OR(ISBLANK($B377),ISBLANK($I377)),"",IFERROR(IF($I377&lt;=DATE('ESTADO CONTABLE'!$B$2,3,5),VLOOKUP($B377,COSTOS!$A$2:$B1014,2,FALSE)-150,VLOOKUP($B377,COSTOS!$A$2:$B1014,2,FALSE)),"No encontrado o error"))</f>
        <v/>
      </c>
      <c r="K377" s="264"/>
      <c r="L377" s="249"/>
      <c r="M377" s="189"/>
      <c r="N377" s="264"/>
      <c r="O377" s="249"/>
      <c r="P377" s="250"/>
      <c r="Q377" s="264"/>
      <c r="R377" s="249"/>
      <c r="S377" s="250"/>
      <c r="T377" s="264"/>
      <c r="U377" s="249"/>
      <c r="V377" s="250"/>
      <c r="W377" s="264"/>
      <c r="X377" s="394"/>
      <c r="Y377" s="429"/>
      <c r="Z377" s="395"/>
      <c r="AA377" s="394"/>
      <c r="AB377" s="118" t="str">
        <f>IF(OR(ISBLANK($B377),ISBLANK($AA377)),"",IFERROR(IF($AA377&lt;=DATE('ESTADO CONTABLE'!$B$2,9,5),VLOOKUP($B377,COSTOS!$A$2:$B1014,2,FALSE)-150,VLOOKUP($B377,COSTOS!$A$2:$B1014,2,FALSE)),"No encontrado o error"))</f>
        <v/>
      </c>
      <c r="AC377" s="395"/>
      <c r="AD377" s="394"/>
      <c r="AE377" s="429" t="str">
        <f>IF(OR(ISBLANK($B377),ISBLANK($AD377)),"",IFERROR(IF($AD377&lt;=DATE('ESTADO CONTABLE'!$B$2,10,5),VLOOKUP($B377,COSTOS!$A$2:$B1014,2,FALSE)-150,VLOOKUP($B377,COSTOS!$A$2:$B1014,2,FALSE)),"No encontrado o error"))</f>
        <v/>
      </c>
      <c r="AF377" s="395"/>
      <c r="AG377" s="394"/>
      <c r="AH377" s="429" t="str">
        <f>IF(OR(ISBLANK($B377),ISBLANK($AG377)),"",IFERROR(IF($AG377&lt;=DATE('ESTADO CONTABLE'!$B$2,11,5),VLOOKUP($B377,COSTOS!$A$2:$B1014,2,FALSE)-150,VLOOKUP($B377,COSTOS!$A$2:$B1014,2,FALSE)),"No encontrado o error"))</f>
        <v/>
      </c>
      <c r="AI377" s="395"/>
      <c r="AJ377" s="394"/>
      <c r="AK377" s="429" t="str">
        <f>IF(OR(ISBLANK($B377),ISBLANK($AJ377)),"",IFERROR(IF($AJ377&lt;=DATE('ESTADO CONTABLE'!$B$2,12,5),VLOOKUP($B377,COSTOS!$A$2:$B1014,2,FALSE)-150,VLOOKUP($B377,COSTOS!$A$2:$B1014,2,FALSE)),"No encontrado o error"))</f>
        <v/>
      </c>
      <c r="AL377" s="395"/>
      <c r="AM377" s="254"/>
      <c r="AN377" s="255"/>
      <c r="AO377" s="256"/>
    </row>
    <row r="378" ht="22.5" customHeight="1">
      <c r="A378" s="431" t="str">
        <f>'BASE DE DATOSS'!A452</f>
        <v/>
      </c>
      <c r="B378" s="432" t="str">
        <f>'BASE DE DATOSS'!C452</f>
        <v/>
      </c>
      <c r="C378" s="263"/>
      <c r="D378" s="249"/>
      <c r="E378" s="250"/>
      <c r="F378" s="251"/>
      <c r="G378" s="262"/>
      <c r="H378" s="257"/>
      <c r="I378" s="249"/>
      <c r="J378" s="193" t="str">
        <f>IF(OR(ISBLANK($B378),ISBLANK($I378)),"",IFERROR(IF($I378&lt;=DATE('ESTADO CONTABLE'!$B$2,3,5),VLOOKUP($B378,COSTOS!$A$2:$B1014,2,FALSE)-150,VLOOKUP($B378,COSTOS!$A$2:$B1014,2,FALSE)),"No encontrado o error"))</f>
        <v/>
      </c>
      <c r="K378" s="264"/>
      <c r="L378" s="249"/>
      <c r="M378" s="189"/>
      <c r="N378" s="264"/>
      <c r="O378" s="249"/>
      <c r="P378" s="250"/>
      <c r="Q378" s="264"/>
      <c r="R378" s="249"/>
      <c r="S378" s="250"/>
      <c r="T378" s="264"/>
      <c r="U378" s="249"/>
      <c r="V378" s="250"/>
      <c r="W378" s="264"/>
      <c r="X378" s="394"/>
      <c r="Y378" s="429"/>
      <c r="Z378" s="395"/>
      <c r="AA378" s="394"/>
      <c r="AB378" s="118" t="str">
        <f>IF(OR(ISBLANK($B378),ISBLANK($AA378)),"",IFERROR(IF($AA378&lt;=DATE('ESTADO CONTABLE'!$B$2,9,5),VLOOKUP($B378,COSTOS!$A$2:$B1014,2,FALSE)-150,VLOOKUP($B378,COSTOS!$A$2:$B1014,2,FALSE)),"No encontrado o error"))</f>
        <v/>
      </c>
      <c r="AC378" s="395"/>
      <c r="AD378" s="394"/>
      <c r="AE378" s="429" t="str">
        <f>IF(OR(ISBLANK($B378),ISBLANK($AD378)),"",IFERROR(IF($AD378&lt;=DATE('ESTADO CONTABLE'!$B$2,10,5),VLOOKUP($B378,COSTOS!$A$2:$B1014,2,FALSE)-150,VLOOKUP($B378,COSTOS!$A$2:$B1014,2,FALSE)),"No encontrado o error"))</f>
        <v/>
      </c>
      <c r="AF378" s="395"/>
      <c r="AG378" s="394"/>
      <c r="AH378" s="429" t="str">
        <f>IF(OR(ISBLANK($B378),ISBLANK($AG378)),"",IFERROR(IF($AG378&lt;=DATE('ESTADO CONTABLE'!$B$2,11,5),VLOOKUP($B378,COSTOS!$A$2:$B1014,2,FALSE)-150,VLOOKUP($B378,COSTOS!$A$2:$B1014,2,FALSE)),"No encontrado o error"))</f>
        <v/>
      </c>
      <c r="AI378" s="395"/>
      <c r="AJ378" s="394"/>
      <c r="AK378" s="429" t="str">
        <f>IF(OR(ISBLANK($B378),ISBLANK($AJ378)),"",IFERROR(IF($AJ378&lt;=DATE('ESTADO CONTABLE'!$B$2,12,5),VLOOKUP($B378,COSTOS!$A$2:$B1014,2,FALSE)-150,VLOOKUP($B378,COSTOS!$A$2:$B1014,2,FALSE)),"No encontrado o error"))</f>
        <v/>
      </c>
      <c r="AL378" s="395"/>
      <c r="AM378" s="254"/>
      <c r="AN378" s="255"/>
      <c r="AO378" s="256"/>
    </row>
    <row r="379" ht="22.5" customHeight="1">
      <c r="A379" s="431" t="str">
        <f>'BASE DE DATOSS'!A453</f>
        <v/>
      </c>
      <c r="B379" s="432" t="str">
        <f>'BASE DE DATOSS'!C453</f>
        <v/>
      </c>
      <c r="C379" s="263"/>
      <c r="D379" s="249"/>
      <c r="E379" s="250"/>
      <c r="F379" s="251"/>
      <c r="G379" s="262"/>
      <c r="H379" s="257"/>
      <c r="I379" s="249"/>
      <c r="J379" s="193" t="str">
        <f>IF(OR(ISBLANK($B379),ISBLANK($I379)),"",IFERROR(IF($I379&lt;=DATE('ESTADO CONTABLE'!$B$2,3,5),VLOOKUP($B379,COSTOS!$A$2:$B1014,2,FALSE)-150,VLOOKUP($B379,COSTOS!$A$2:$B1014,2,FALSE)),"No encontrado o error"))</f>
        <v/>
      </c>
      <c r="K379" s="264"/>
      <c r="L379" s="249"/>
      <c r="M379" s="189"/>
      <c r="N379" s="264"/>
      <c r="O379" s="249"/>
      <c r="P379" s="250"/>
      <c r="Q379" s="264"/>
      <c r="R379" s="249"/>
      <c r="S379" s="250"/>
      <c r="T379" s="264"/>
      <c r="U379" s="249"/>
      <c r="V379" s="250"/>
      <c r="W379" s="264"/>
      <c r="X379" s="394"/>
      <c r="Y379" s="429"/>
      <c r="Z379" s="395"/>
      <c r="AA379" s="394"/>
      <c r="AB379" s="118" t="str">
        <f>IF(OR(ISBLANK($B379),ISBLANK($AA379)),"",IFERROR(IF($AA379&lt;=DATE('ESTADO CONTABLE'!$B$2,9,5),VLOOKUP($B379,COSTOS!$A$2:$B1014,2,FALSE)-150,VLOOKUP($B379,COSTOS!$A$2:$B1014,2,FALSE)),"No encontrado o error"))</f>
        <v/>
      </c>
      <c r="AC379" s="395"/>
      <c r="AD379" s="394"/>
      <c r="AE379" s="429" t="str">
        <f>IF(OR(ISBLANK($B379),ISBLANK($AD379)),"",IFERROR(IF($AD379&lt;=DATE('ESTADO CONTABLE'!$B$2,10,5),VLOOKUP($B379,COSTOS!$A$2:$B1014,2,FALSE)-150,VLOOKUP($B379,COSTOS!$A$2:$B1014,2,FALSE)),"No encontrado o error"))</f>
        <v/>
      </c>
      <c r="AF379" s="395"/>
      <c r="AG379" s="394"/>
      <c r="AH379" s="429" t="str">
        <f>IF(OR(ISBLANK($B379),ISBLANK($AG379)),"",IFERROR(IF($AG379&lt;=DATE('ESTADO CONTABLE'!$B$2,11,5),VLOOKUP($B379,COSTOS!$A$2:$B1014,2,FALSE)-150,VLOOKUP($B379,COSTOS!$A$2:$B1014,2,FALSE)),"No encontrado o error"))</f>
        <v/>
      </c>
      <c r="AI379" s="395"/>
      <c r="AJ379" s="394"/>
      <c r="AK379" s="429" t="str">
        <f>IF(OR(ISBLANK($B379),ISBLANK($AJ379)),"",IFERROR(IF($AJ379&lt;=DATE('ESTADO CONTABLE'!$B$2,12,5),VLOOKUP($B379,COSTOS!$A$2:$B1014,2,FALSE)-150,VLOOKUP($B379,COSTOS!$A$2:$B1014,2,FALSE)),"No encontrado o error"))</f>
        <v/>
      </c>
      <c r="AL379" s="395"/>
      <c r="AM379" s="254"/>
      <c r="AN379" s="255"/>
      <c r="AO379" s="256"/>
    </row>
    <row r="380" ht="22.5" customHeight="1">
      <c r="A380" s="431" t="str">
        <f>'BASE DE DATOSS'!A454</f>
        <v/>
      </c>
      <c r="B380" s="432" t="str">
        <f>'BASE DE DATOSS'!C454</f>
        <v/>
      </c>
      <c r="C380" s="263"/>
      <c r="D380" s="249"/>
      <c r="E380" s="250"/>
      <c r="F380" s="251"/>
      <c r="G380" s="262"/>
      <c r="H380" s="257"/>
      <c r="I380" s="249"/>
      <c r="J380" s="193" t="str">
        <f>IF(OR(ISBLANK($B380),ISBLANK($I380)),"",IFERROR(IF($I380&lt;=DATE('ESTADO CONTABLE'!$B$2,3,5),VLOOKUP($B380,COSTOS!$A$2:$B1014,2,FALSE)-150,VLOOKUP($B380,COSTOS!$A$2:$B1014,2,FALSE)),"No encontrado o error"))</f>
        <v/>
      </c>
      <c r="K380" s="264"/>
      <c r="L380" s="249"/>
      <c r="M380" s="189"/>
      <c r="N380" s="264"/>
      <c r="O380" s="249"/>
      <c r="P380" s="250"/>
      <c r="Q380" s="264"/>
      <c r="R380" s="249"/>
      <c r="S380" s="250"/>
      <c r="T380" s="264"/>
      <c r="U380" s="249"/>
      <c r="V380" s="250"/>
      <c r="W380" s="264"/>
      <c r="X380" s="394"/>
      <c r="Y380" s="429"/>
      <c r="Z380" s="395"/>
      <c r="AA380" s="394"/>
      <c r="AB380" s="118" t="str">
        <f>IF(OR(ISBLANK($B380),ISBLANK($AA380)),"",IFERROR(IF($AA380&lt;=DATE('ESTADO CONTABLE'!$B$2,9,5),VLOOKUP($B380,COSTOS!$A$2:$B1014,2,FALSE)-150,VLOOKUP($B380,COSTOS!$A$2:$B1014,2,FALSE)),"No encontrado o error"))</f>
        <v/>
      </c>
      <c r="AC380" s="395"/>
      <c r="AD380" s="394"/>
      <c r="AE380" s="429" t="str">
        <f>IF(OR(ISBLANK($B380),ISBLANK($AD380)),"",IFERROR(IF($AD380&lt;=DATE('ESTADO CONTABLE'!$B$2,10,5),VLOOKUP($B380,COSTOS!$A$2:$B1014,2,FALSE)-150,VLOOKUP($B380,COSTOS!$A$2:$B1014,2,FALSE)),"No encontrado o error"))</f>
        <v/>
      </c>
      <c r="AF380" s="395"/>
      <c r="AG380" s="394"/>
      <c r="AH380" s="429" t="str">
        <f>IF(OR(ISBLANK($B380),ISBLANK($AG380)),"",IFERROR(IF($AG380&lt;=DATE('ESTADO CONTABLE'!$B$2,11,5),VLOOKUP($B380,COSTOS!$A$2:$B1014,2,FALSE)-150,VLOOKUP($B380,COSTOS!$A$2:$B1014,2,FALSE)),"No encontrado o error"))</f>
        <v/>
      </c>
      <c r="AI380" s="395"/>
      <c r="AJ380" s="394"/>
      <c r="AK380" s="429" t="str">
        <f>IF(OR(ISBLANK($B380),ISBLANK($AJ380)),"",IFERROR(IF($AJ380&lt;=DATE('ESTADO CONTABLE'!$B$2,12,5),VLOOKUP($B380,COSTOS!$A$2:$B1014,2,FALSE)-150,VLOOKUP($B380,COSTOS!$A$2:$B1014,2,FALSE)),"No encontrado o error"))</f>
        <v/>
      </c>
      <c r="AL380" s="395"/>
      <c r="AM380" s="254"/>
      <c r="AN380" s="255"/>
      <c r="AO380" s="256"/>
    </row>
    <row r="381" ht="22.5" customHeight="1">
      <c r="A381" s="431" t="str">
        <f>'BASE DE DATOSS'!A455</f>
        <v/>
      </c>
      <c r="B381" s="432" t="str">
        <f>'BASE DE DATOSS'!C455</f>
        <v/>
      </c>
      <c r="C381" s="263"/>
      <c r="D381" s="249"/>
      <c r="E381" s="250"/>
      <c r="F381" s="251"/>
      <c r="G381" s="262"/>
      <c r="H381" s="257"/>
      <c r="I381" s="249"/>
      <c r="J381" s="193" t="str">
        <f>IF(OR(ISBLANK($B381),ISBLANK($I381)),"",IFERROR(IF($I381&lt;=DATE('ESTADO CONTABLE'!$B$2,3,5),VLOOKUP($B381,COSTOS!$A$2:$B1014,2,FALSE)-150,VLOOKUP($B381,COSTOS!$A$2:$B1014,2,FALSE)),"No encontrado o error"))</f>
        <v/>
      </c>
      <c r="K381" s="264"/>
      <c r="L381" s="249"/>
      <c r="M381" s="189"/>
      <c r="N381" s="264"/>
      <c r="O381" s="249"/>
      <c r="P381" s="250"/>
      <c r="Q381" s="264"/>
      <c r="R381" s="249"/>
      <c r="S381" s="250"/>
      <c r="T381" s="264"/>
      <c r="U381" s="249"/>
      <c r="V381" s="250"/>
      <c r="W381" s="264"/>
      <c r="X381" s="394"/>
      <c r="Y381" s="429"/>
      <c r="Z381" s="395"/>
      <c r="AA381" s="394"/>
      <c r="AB381" s="118" t="str">
        <f>IF(OR(ISBLANK($B381),ISBLANK($AA381)),"",IFERROR(IF($AA381&lt;=DATE('ESTADO CONTABLE'!$B$2,9,5),VLOOKUP($B381,COSTOS!$A$2:$B1014,2,FALSE)-150,VLOOKUP($B381,COSTOS!$A$2:$B1014,2,FALSE)),"No encontrado o error"))</f>
        <v/>
      </c>
      <c r="AC381" s="395"/>
      <c r="AD381" s="394"/>
      <c r="AE381" s="429" t="str">
        <f>IF(OR(ISBLANK($B381),ISBLANK($AD381)),"",IFERROR(IF($AD381&lt;=DATE('ESTADO CONTABLE'!$B$2,10,5),VLOOKUP($B381,COSTOS!$A$2:$B1014,2,FALSE)-150,VLOOKUP($B381,COSTOS!$A$2:$B1014,2,FALSE)),"No encontrado o error"))</f>
        <v/>
      </c>
      <c r="AF381" s="395"/>
      <c r="AG381" s="394"/>
      <c r="AH381" s="429" t="str">
        <f>IF(OR(ISBLANK($B381),ISBLANK($AG381)),"",IFERROR(IF($AG381&lt;=DATE('ESTADO CONTABLE'!$B$2,11,5),VLOOKUP($B381,COSTOS!$A$2:$B1014,2,FALSE)-150,VLOOKUP($B381,COSTOS!$A$2:$B1014,2,FALSE)),"No encontrado o error"))</f>
        <v/>
      </c>
      <c r="AI381" s="395"/>
      <c r="AJ381" s="394"/>
      <c r="AK381" s="429" t="str">
        <f>IF(OR(ISBLANK($B381),ISBLANK($AJ381)),"",IFERROR(IF($AJ381&lt;=DATE('ESTADO CONTABLE'!$B$2,12,5),VLOOKUP($B381,COSTOS!$A$2:$B1014,2,FALSE)-150,VLOOKUP($B381,COSTOS!$A$2:$B1014,2,FALSE)),"No encontrado o error"))</f>
        <v/>
      </c>
      <c r="AL381" s="395"/>
      <c r="AM381" s="254"/>
      <c r="AN381" s="255"/>
      <c r="AO381" s="256"/>
    </row>
    <row r="382" ht="22.5" customHeight="1">
      <c r="A382" s="431" t="str">
        <f>'BASE DE DATOSS'!A456</f>
        <v/>
      </c>
      <c r="B382" s="432" t="str">
        <f>'BASE DE DATOSS'!C456</f>
        <v/>
      </c>
      <c r="C382" s="263"/>
      <c r="D382" s="249"/>
      <c r="E382" s="250"/>
      <c r="F382" s="251"/>
      <c r="G382" s="262"/>
      <c r="H382" s="257"/>
      <c r="I382" s="249"/>
      <c r="J382" s="193" t="str">
        <f>IF(OR(ISBLANK($B382),ISBLANK($I382)),"",IFERROR(IF($I382&lt;=DATE('ESTADO CONTABLE'!$B$2,3,5),VLOOKUP($B382,COSTOS!$A$2:$B1014,2,FALSE)-150,VLOOKUP($B382,COSTOS!$A$2:$B1014,2,FALSE)),"No encontrado o error"))</f>
        <v/>
      </c>
      <c r="K382" s="264"/>
      <c r="L382" s="249"/>
      <c r="M382" s="189"/>
      <c r="N382" s="264"/>
      <c r="O382" s="249"/>
      <c r="P382" s="250"/>
      <c r="Q382" s="264"/>
      <c r="R382" s="249"/>
      <c r="S382" s="250"/>
      <c r="T382" s="264"/>
      <c r="U382" s="249"/>
      <c r="V382" s="250"/>
      <c r="W382" s="264"/>
      <c r="X382" s="394"/>
      <c r="Y382" s="429"/>
      <c r="Z382" s="395"/>
      <c r="AA382" s="394"/>
      <c r="AB382" s="118" t="str">
        <f>IF(OR(ISBLANK($B382),ISBLANK($AA382)),"",IFERROR(IF($AA382&lt;=DATE('ESTADO CONTABLE'!$B$2,9,5),VLOOKUP($B382,COSTOS!$A$2:$B1014,2,FALSE)-150,VLOOKUP($B382,COSTOS!$A$2:$B1014,2,FALSE)),"No encontrado o error"))</f>
        <v/>
      </c>
      <c r="AC382" s="395"/>
      <c r="AD382" s="394"/>
      <c r="AE382" s="429" t="str">
        <f>IF(OR(ISBLANK($B382),ISBLANK($AD382)),"",IFERROR(IF($AD382&lt;=DATE('ESTADO CONTABLE'!$B$2,10,5),VLOOKUP($B382,COSTOS!$A$2:$B1014,2,FALSE)-150,VLOOKUP($B382,COSTOS!$A$2:$B1014,2,FALSE)),"No encontrado o error"))</f>
        <v/>
      </c>
      <c r="AF382" s="395"/>
      <c r="AG382" s="394"/>
      <c r="AH382" s="429" t="str">
        <f>IF(OR(ISBLANK($B382),ISBLANK($AG382)),"",IFERROR(IF($AG382&lt;=DATE('ESTADO CONTABLE'!$B$2,11,5),VLOOKUP($B382,COSTOS!$A$2:$B1014,2,FALSE)-150,VLOOKUP($B382,COSTOS!$A$2:$B1014,2,FALSE)),"No encontrado o error"))</f>
        <v/>
      </c>
      <c r="AI382" s="395"/>
      <c r="AJ382" s="394"/>
      <c r="AK382" s="429" t="str">
        <f>IF(OR(ISBLANK($B382),ISBLANK($AJ382)),"",IFERROR(IF($AJ382&lt;=DATE('ESTADO CONTABLE'!$B$2,12,5),VLOOKUP($B382,COSTOS!$A$2:$B1014,2,FALSE)-150,VLOOKUP($B382,COSTOS!$A$2:$B1014,2,FALSE)),"No encontrado o error"))</f>
        <v/>
      </c>
      <c r="AL382" s="395"/>
      <c r="AM382" s="254"/>
      <c r="AN382" s="255"/>
      <c r="AO382" s="256"/>
    </row>
    <row r="383" ht="22.5" customHeight="1">
      <c r="A383" s="431" t="str">
        <f>'BASE DE DATOSS'!A457</f>
        <v/>
      </c>
      <c r="B383" s="432" t="str">
        <f>'BASE DE DATOSS'!C457</f>
        <v/>
      </c>
      <c r="C383" s="263"/>
      <c r="D383" s="249"/>
      <c r="E383" s="250"/>
      <c r="F383" s="251"/>
      <c r="G383" s="262"/>
      <c r="H383" s="257"/>
      <c r="I383" s="249"/>
      <c r="J383" s="193" t="str">
        <f>IF(OR(ISBLANK($B383),ISBLANK($I383)),"",IFERROR(IF($I383&lt;=DATE('ESTADO CONTABLE'!$B$2,3,5),VLOOKUP($B383,COSTOS!$A$2:$B1014,2,FALSE)-150,VLOOKUP($B383,COSTOS!$A$2:$B1014,2,FALSE)),"No encontrado o error"))</f>
        <v/>
      </c>
      <c r="K383" s="264"/>
      <c r="L383" s="249"/>
      <c r="M383" s="189"/>
      <c r="N383" s="264"/>
      <c r="O383" s="249"/>
      <c r="P383" s="250"/>
      <c r="Q383" s="264"/>
      <c r="R383" s="249"/>
      <c r="S383" s="250"/>
      <c r="T383" s="264"/>
      <c r="U383" s="249"/>
      <c r="V383" s="250"/>
      <c r="W383" s="264"/>
      <c r="X383" s="394"/>
      <c r="Y383" s="429"/>
      <c r="Z383" s="395"/>
      <c r="AA383" s="394"/>
      <c r="AB383" s="118" t="str">
        <f>IF(OR(ISBLANK($B383),ISBLANK($AA383)),"",IFERROR(IF($AA383&lt;=DATE('ESTADO CONTABLE'!$B$2,9,5),VLOOKUP($B383,COSTOS!$A$2:$B1014,2,FALSE)-150,VLOOKUP($B383,COSTOS!$A$2:$B1014,2,FALSE)),"No encontrado o error"))</f>
        <v/>
      </c>
      <c r="AC383" s="395"/>
      <c r="AD383" s="394"/>
      <c r="AE383" s="429" t="str">
        <f>IF(OR(ISBLANK($B383),ISBLANK($AD383)),"",IFERROR(IF($AD383&lt;=DATE('ESTADO CONTABLE'!$B$2,10,5),VLOOKUP($B383,COSTOS!$A$2:$B1014,2,FALSE)-150,VLOOKUP($B383,COSTOS!$A$2:$B1014,2,FALSE)),"No encontrado o error"))</f>
        <v/>
      </c>
      <c r="AF383" s="395"/>
      <c r="AG383" s="394"/>
      <c r="AH383" s="429" t="str">
        <f>IF(OR(ISBLANK($B383),ISBLANK($AG383)),"",IFERROR(IF($AG383&lt;=DATE('ESTADO CONTABLE'!$B$2,11,5),VLOOKUP($B383,COSTOS!$A$2:$B1014,2,FALSE)-150,VLOOKUP($B383,COSTOS!$A$2:$B1014,2,FALSE)),"No encontrado o error"))</f>
        <v/>
      </c>
      <c r="AI383" s="395"/>
      <c r="AJ383" s="394"/>
      <c r="AK383" s="429" t="str">
        <f>IF(OR(ISBLANK($B383),ISBLANK($AJ383)),"",IFERROR(IF($AJ383&lt;=DATE('ESTADO CONTABLE'!$B$2,12,5),VLOOKUP($B383,COSTOS!$A$2:$B1014,2,FALSE)-150,VLOOKUP($B383,COSTOS!$A$2:$B1014,2,FALSE)),"No encontrado o error"))</f>
        <v/>
      </c>
      <c r="AL383" s="395"/>
      <c r="AM383" s="254"/>
      <c r="AN383" s="255"/>
      <c r="AO383" s="256"/>
    </row>
    <row r="384" ht="22.5" customHeight="1">
      <c r="A384" s="431" t="str">
        <f>'BASE DE DATOSS'!A458</f>
        <v/>
      </c>
      <c r="B384" s="432" t="str">
        <f>'BASE DE DATOSS'!C458</f>
        <v/>
      </c>
      <c r="C384" s="263"/>
      <c r="D384" s="249"/>
      <c r="E384" s="250"/>
      <c r="F384" s="251"/>
      <c r="G384" s="262"/>
      <c r="H384" s="257"/>
      <c r="I384" s="249"/>
      <c r="J384" s="193" t="str">
        <f>IF(OR(ISBLANK($B384),ISBLANK($I384)),"",IFERROR(IF($I384&lt;=DATE('ESTADO CONTABLE'!$B$2,3,5),VLOOKUP($B384,COSTOS!$A$2:$B1014,2,FALSE)-150,VLOOKUP($B384,COSTOS!$A$2:$B1014,2,FALSE)),"No encontrado o error"))</f>
        <v/>
      </c>
      <c r="K384" s="264"/>
      <c r="L384" s="249"/>
      <c r="M384" s="189"/>
      <c r="N384" s="264"/>
      <c r="O384" s="249"/>
      <c r="P384" s="250"/>
      <c r="Q384" s="264"/>
      <c r="R384" s="249"/>
      <c r="S384" s="250"/>
      <c r="T384" s="264"/>
      <c r="U384" s="249"/>
      <c r="V384" s="250"/>
      <c r="W384" s="264"/>
      <c r="X384" s="394"/>
      <c r="Y384" s="429"/>
      <c r="Z384" s="395"/>
      <c r="AA384" s="394"/>
      <c r="AB384" s="118" t="str">
        <f>IF(OR(ISBLANK($B384),ISBLANK($AA384)),"",IFERROR(IF($AA384&lt;=DATE('ESTADO CONTABLE'!$B$2,9,5),VLOOKUP($B384,COSTOS!$A$2:$B1014,2,FALSE)-150,VLOOKUP($B384,COSTOS!$A$2:$B1014,2,FALSE)),"No encontrado o error"))</f>
        <v/>
      </c>
      <c r="AC384" s="395"/>
      <c r="AD384" s="394"/>
      <c r="AE384" s="429" t="str">
        <f>IF(OR(ISBLANK($B384),ISBLANK($AD384)),"",IFERROR(IF($AD384&lt;=DATE('ESTADO CONTABLE'!$B$2,10,5),VLOOKUP($B384,COSTOS!$A$2:$B1014,2,FALSE)-150,VLOOKUP($B384,COSTOS!$A$2:$B1014,2,FALSE)),"No encontrado o error"))</f>
        <v/>
      </c>
      <c r="AF384" s="395"/>
      <c r="AG384" s="394"/>
      <c r="AH384" s="429" t="str">
        <f>IF(OR(ISBLANK($B384),ISBLANK($AG384)),"",IFERROR(IF($AG384&lt;=DATE('ESTADO CONTABLE'!$B$2,11,5),VLOOKUP($B384,COSTOS!$A$2:$B1014,2,FALSE)-150,VLOOKUP($B384,COSTOS!$A$2:$B1014,2,FALSE)),"No encontrado o error"))</f>
        <v/>
      </c>
      <c r="AI384" s="395"/>
      <c r="AJ384" s="394"/>
      <c r="AK384" s="429" t="str">
        <f>IF(OR(ISBLANK($B384),ISBLANK($AJ384)),"",IFERROR(IF($AJ384&lt;=DATE('ESTADO CONTABLE'!$B$2,12,5),VLOOKUP($B384,COSTOS!$A$2:$B1014,2,FALSE)-150,VLOOKUP($B384,COSTOS!$A$2:$B1014,2,FALSE)),"No encontrado o error"))</f>
        <v/>
      </c>
      <c r="AL384" s="395"/>
      <c r="AM384" s="254"/>
      <c r="AN384" s="255"/>
      <c r="AO384" s="256"/>
    </row>
    <row r="385" ht="22.5" customHeight="1">
      <c r="A385" s="431" t="str">
        <f>'BASE DE DATOSS'!A459</f>
        <v/>
      </c>
      <c r="B385" s="432" t="str">
        <f>'BASE DE DATOSS'!C459</f>
        <v/>
      </c>
      <c r="C385" s="263"/>
      <c r="D385" s="249"/>
      <c r="E385" s="250"/>
      <c r="F385" s="251"/>
      <c r="G385" s="262"/>
      <c r="H385" s="257"/>
      <c r="I385" s="249"/>
      <c r="J385" s="193" t="str">
        <f>IF(OR(ISBLANK($B385),ISBLANK($I385)),"",IFERROR(IF($I385&lt;=DATE('ESTADO CONTABLE'!$B$2,3,5),VLOOKUP($B385,COSTOS!$A$2:$B1014,2,FALSE)-150,VLOOKUP($B385,COSTOS!$A$2:$B1014,2,FALSE)),"No encontrado o error"))</f>
        <v/>
      </c>
      <c r="K385" s="264"/>
      <c r="L385" s="249"/>
      <c r="M385" s="189"/>
      <c r="N385" s="264"/>
      <c r="O385" s="249"/>
      <c r="P385" s="250"/>
      <c r="Q385" s="264"/>
      <c r="R385" s="249"/>
      <c r="S385" s="250"/>
      <c r="T385" s="264"/>
      <c r="U385" s="249"/>
      <c r="V385" s="250"/>
      <c r="W385" s="264"/>
      <c r="X385" s="394"/>
      <c r="Y385" s="429"/>
      <c r="Z385" s="395"/>
      <c r="AA385" s="394"/>
      <c r="AB385" s="118" t="str">
        <f>IF(OR(ISBLANK($B385),ISBLANK($AA385)),"",IFERROR(IF($AA385&lt;=DATE('ESTADO CONTABLE'!$B$2,9,5),VLOOKUP($B385,COSTOS!$A$2:$B1014,2,FALSE)-150,VLOOKUP($B385,COSTOS!$A$2:$B1014,2,FALSE)),"No encontrado o error"))</f>
        <v/>
      </c>
      <c r="AC385" s="395"/>
      <c r="AD385" s="394"/>
      <c r="AE385" s="429" t="str">
        <f>IF(OR(ISBLANK($B385),ISBLANK($AD385)),"",IFERROR(IF($AD385&lt;=DATE('ESTADO CONTABLE'!$B$2,10,5),VLOOKUP($B385,COSTOS!$A$2:$B1014,2,FALSE)-150,VLOOKUP($B385,COSTOS!$A$2:$B1014,2,FALSE)),"No encontrado o error"))</f>
        <v/>
      </c>
      <c r="AF385" s="395"/>
      <c r="AG385" s="394"/>
      <c r="AH385" s="429" t="str">
        <f>IF(OR(ISBLANK($B385),ISBLANK($AG385)),"",IFERROR(IF($AG385&lt;=DATE('ESTADO CONTABLE'!$B$2,11,5),VLOOKUP($B385,COSTOS!$A$2:$B1014,2,FALSE)-150,VLOOKUP($B385,COSTOS!$A$2:$B1014,2,FALSE)),"No encontrado o error"))</f>
        <v/>
      </c>
      <c r="AI385" s="395"/>
      <c r="AJ385" s="394"/>
      <c r="AK385" s="429" t="str">
        <f>IF(OR(ISBLANK($B385),ISBLANK($AJ385)),"",IFERROR(IF($AJ385&lt;=DATE('ESTADO CONTABLE'!$B$2,12,5),VLOOKUP($B385,COSTOS!$A$2:$B1014,2,FALSE)-150,VLOOKUP($B385,COSTOS!$A$2:$B1014,2,FALSE)),"No encontrado o error"))</f>
        <v/>
      </c>
      <c r="AL385" s="395"/>
      <c r="AM385" s="254"/>
      <c r="AN385" s="255"/>
      <c r="AO385" s="256"/>
    </row>
    <row r="386" ht="22.5" customHeight="1">
      <c r="A386" s="431" t="str">
        <f>'BASE DE DATOSS'!A460</f>
        <v/>
      </c>
      <c r="B386" s="432" t="str">
        <f>'BASE DE DATOSS'!C460</f>
        <v/>
      </c>
      <c r="C386" s="263"/>
      <c r="D386" s="249"/>
      <c r="E386" s="250"/>
      <c r="F386" s="251"/>
      <c r="G386" s="262"/>
      <c r="H386" s="257"/>
      <c r="I386" s="249"/>
      <c r="J386" s="193" t="str">
        <f>IF(OR(ISBLANK($B386),ISBLANK($I386)),"",IFERROR(IF($I386&lt;=DATE('ESTADO CONTABLE'!$B$2,3,5),VLOOKUP($B386,COSTOS!$A$2:$B1014,2,FALSE)-150,VLOOKUP($B386,COSTOS!$A$2:$B1014,2,FALSE)),"No encontrado o error"))</f>
        <v/>
      </c>
      <c r="K386" s="264"/>
      <c r="L386" s="249"/>
      <c r="M386" s="189"/>
      <c r="N386" s="264"/>
      <c r="O386" s="249"/>
      <c r="P386" s="250"/>
      <c r="Q386" s="264"/>
      <c r="R386" s="249"/>
      <c r="S386" s="250"/>
      <c r="T386" s="264"/>
      <c r="U386" s="249"/>
      <c r="V386" s="250"/>
      <c r="W386" s="264"/>
      <c r="X386" s="394"/>
      <c r="Y386" s="429"/>
      <c r="Z386" s="395"/>
      <c r="AA386" s="394"/>
      <c r="AB386" s="118" t="str">
        <f>IF(OR(ISBLANK($B386),ISBLANK($AA386)),"",IFERROR(IF($AA386&lt;=DATE('ESTADO CONTABLE'!$B$2,9,5),VLOOKUP($B386,COSTOS!$A$2:$B1014,2,FALSE)-150,VLOOKUP($B386,COSTOS!$A$2:$B1014,2,FALSE)),"No encontrado o error"))</f>
        <v/>
      </c>
      <c r="AC386" s="395"/>
      <c r="AD386" s="394"/>
      <c r="AE386" s="429" t="str">
        <f>IF(OR(ISBLANK($B386),ISBLANK($AD386)),"",IFERROR(IF($AD386&lt;=DATE('ESTADO CONTABLE'!$B$2,10,5),VLOOKUP($B386,COSTOS!$A$2:$B1014,2,FALSE)-150,VLOOKUP($B386,COSTOS!$A$2:$B1014,2,FALSE)),"No encontrado o error"))</f>
        <v/>
      </c>
      <c r="AF386" s="395"/>
      <c r="AG386" s="394"/>
      <c r="AH386" s="429" t="str">
        <f>IF(OR(ISBLANK($B386),ISBLANK($AG386)),"",IFERROR(IF($AG386&lt;=DATE('ESTADO CONTABLE'!$B$2,11,5),VLOOKUP($B386,COSTOS!$A$2:$B1014,2,FALSE)-150,VLOOKUP($B386,COSTOS!$A$2:$B1014,2,FALSE)),"No encontrado o error"))</f>
        <v/>
      </c>
      <c r="AI386" s="395"/>
      <c r="AJ386" s="394"/>
      <c r="AK386" s="429" t="str">
        <f>IF(OR(ISBLANK($B386),ISBLANK($AJ386)),"",IFERROR(IF($AJ386&lt;=DATE('ESTADO CONTABLE'!$B$2,12,5),VLOOKUP($B386,COSTOS!$A$2:$B1014,2,FALSE)-150,VLOOKUP($B386,COSTOS!$A$2:$B1014,2,FALSE)),"No encontrado o error"))</f>
        <v/>
      </c>
      <c r="AL386" s="395"/>
      <c r="AM386" s="254"/>
      <c r="AN386" s="255"/>
      <c r="AO386" s="256"/>
    </row>
    <row r="387" ht="22.5" customHeight="1">
      <c r="A387" s="431" t="str">
        <f>'BASE DE DATOSS'!A461</f>
        <v/>
      </c>
      <c r="B387" s="432" t="str">
        <f>'BASE DE DATOSS'!C461</f>
        <v/>
      </c>
      <c r="C387" s="263"/>
      <c r="D387" s="249"/>
      <c r="E387" s="250"/>
      <c r="F387" s="251"/>
      <c r="G387" s="262"/>
      <c r="H387" s="257"/>
      <c r="I387" s="249"/>
      <c r="J387" s="193" t="str">
        <f>IF(OR(ISBLANK($B387),ISBLANK($I387)),"",IFERROR(IF($I387&lt;=DATE('ESTADO CONTABLE'!$B$2,3,5),VLOOKUP($B387,COSTOS!$A$2:$B1014,2,FALSE)-150,VLOOKUP($B387,COSTOS!$A$2:$B1014,2,FALSE)),"No encontrado o error"))</f>
        <v/>
      </c>
      <c r="K387" s="264"/>
      <c r="L387" s="249"/>
      <c r="M387" s="189"/>
      <c r="N387" s="264"/>
      <c r="O387" s="249"/>
      <c r="P387" s="250"/>
      <c r="Q387" s="264"/>
      <c r="R387" s="249"/>
      <c r="S387" s="250"/>
      <c r="T387" s="264"/>
      <c r="U387" s="249"/>
      <c r="V387" s="250"/>
      <c r="W387" s="264"/>
      <c r="X387" s="394"/>
      <c r="Y387" s="429"/>
      <c r="Z387" s="395"/>
      <c r="AA387" s="394"/>
      <c r="AB387" s="118" t="str">
        <f>IF(OR(ISBLANK($B387),ISBLANK($AA387)),"",IFERROR(IF($AA387&lt;=DATE('ESTADO CONTABLE'!$B$2,9,5),VLOOKUP($B387,COSTOS!$A$2:$B1014,2,FALSE)-150,VLOOKUP($B387,COSTOS!$A$2:$B1014,2,FALSE)),"No encontrado o error"))</f>
        <v/>
      </c>
      <c r="AC387" s="395"/>
      <c r="AD387" s="394"/>
      <c r="AE387" s="429" t="str">
        <f>IF(OR(ISBLANK($B387),ISBLANK($AD387)),"",IFERROR(IF($AD387&lt;=DATE('ESTADO CONTABLE'!$B$2,10,5),VLOOKUP($B387,COSTOS!$A$2:$B1014,2,FALSE)-150,VLOOKUP($B387,COSTOS!$A$2:$B1014,2,FALSE)),"No encontrado o error"))</f>
        <v/>
      </c>
      <c r="AF387" s="395"/>
      <c r="AG387" s="394"/>
      <c r="AH387" s="429" t="str">
        <f>IF(OR(ISBLANK($B387),ISBLANK($AG387)),"",IFERROR(IF($AG387&lt;=DATE('ESTADO CONTABLE'!$B$2,11,5),VLOOKUP($B387,COSTOS!$A$2:$B1014,2,FALSE)-150,VLOOKUP($B387,COSTOS!$A$2:$B1014,2,FALSE)),"No encontrado o error"))</f>
        <v/>
      </c>
      <c r="AI387" s="395"/>
      <c r="AJ387" s="394"/>
      <c r="AK387" s="429" t="str">
        <f>IF(OR(ISBLANK($B387),ISBLANK($AJ387)),"",IFERROR(IF($AJ387&lt;=DATE('ESTADO CONTABLE'!$B$2,12,5),VLOOKUP($B387,COSTOS!$A$2:$B1014,2,FALSE)-150,VLOOKUP($B387,COSTOS!$A$2:$B1014,2,FALSE)),"No encontrado o error"))</f>
        <v/>
      </c>
      <c r="AL387" s="395"/>
      <c r="AM387" s="254"/>
      <c r="AN387" s="255"/>
      <c r="AO387" s="256"/>
    </row>
    <row r="388" ht="22.5" customHeight="1">
      <c r="A388" s="431" t="str">
        <f>'BASE DE DATOSS'!A462</f>
        <v/>
      </c>
      <c r="B388" s="432" t="str">
        <f>'BASE DE DATOSS'!C462</f>
        <v/>
      </c>
      <c r="C388" s="263"/>
      <c r="D388" s="249"/>
      <c r="E388" s="250"/>
      <c r="F388" s="251"/>
      <c r="G388" s="262"/>
      <c r="H388" s="257"/>
      <c r="I388" s="249"/>
      <c r="J388" s="193" t="str">
        <f>IF(OR(ISBLANK($B388),ISBLANK($I388)),"",IFERROR(IF($I388&lt;=DATE('ESTADO CONTABLE'!$B$2,3,5),VLOOKUP($B388,COSTOS!$A$2:$B1014,2,FALSE)-150,VLOOKUP($B388,COSTOS!$A$2:$B1014,2,FALSE)),"No encontrado o error"))</f>
        <v/>
      </c>
      <c r="K388" s="264"/>
      <c r="L388" s="249"/>
      <c r="M388" s="189"/>
      <c r="N388" s="264"/>
      <c r="O388" s="249"/>
      <c r="P388" s="250"/>
      <c r="Q388" s="264"/>
      <c r="R388" s="249"/>
      <c r="S388" s="250"/>
      <c r="T388" s="264"/>
      <c r="U388" s="249"/>
      <c r="V388" s="250"/>
      <c r="W388" s="264"/>
      <c r="X388" s="394"/>
      <c r="Y388" s="429"/>
      <c r="Z388" s="395"/>
      <c r="AA388" s="394"/>
      <c r="AB388" s="118" t="str">
        <f>IF(OR(ISBLANK($B388),ISBLANK($AA388)),"",IFERROR(IF($AA388&lt;=DATE('ESTADO CONTABLE'!$B$2,9,5),VLOOKUP($B388,COSTOS!$A$2:$B1014,2,FALSE)-150,VLOOKUP($B388,COSTOS!$A$2:$B1014,2,FALSE)),"No encontrado o error"))</f>
        <v/>
      </c>
      <c r="AC388" s="395"/>
      <c r="AD388" s="394"/>
      <c r="AE388" s="429" t="str">
        <f>IF(OR(ISBLANK($B388),ISBLANK($AD388)),"",IFERROR(IF($AD388&lt;=DATE('ESTADO CONTABLE'!$B$2,10,5),VLOOKUP($B388,COSTOS!$A$2:$B1014,2,FALSE)-150,VLOOKUP($B388,COSTOS!$A$2:$B1014,2,FALSE)),"No encontrado o error"))</f>
        <v/>
      </c>
      <c r="AF388" s="395"/>
      <c r="AG388" s="394"/>
      <c r="AH388" s="429" t="str">
        <f>IF(OR(ISBLANK($B388),ISBLANK($AG388)),"",IFERROR(IF($AG388&lt;=DATE('ESTADO CONTABLE'!$B$2,11,5),VLOOKUP($B388,COSTOS!$A$2:$B1014,2,FALSE)-150,VLOOKUP($B388,COSTOS!$A$2:$B1014,2,FALSE)),"No encontrado o error"))</f>
        <v/>
      </c>
      <c r="AI388" s="395"/>
      <c r="AJ388" s="394"/>
      <c r="AK388" s="429" t="str">
        <f>IF(OR(ISBLANK($B388),ISBLANK($AJ388)),"",IFERROR(IF($AJ388&lt;=DATE('ESTADO CONTABLE'!$B$2,12,5),VLOOKUP($B388,COSTOS!$A$2:$B1014,2,FALSE)-150,VLOOKUP($B388,COSTOS!$A$2:$B1014,2,FALSE)),"No encontrado o error"))</f>
        <v/>
      </c>
      <c r="AL388" s="395"/>
      <c r="AM388" s="254"/>
      <c r="AN388" s="255"/>
      <c r="AO388" s="256"/>
    </row>
    <row r="389" ht="22.5" customHeight="1">
      <c r="A389" s="431" t="str">
        <f>'BASE DE DATOSS'!A463</f>
        <v/>
      </c>
      <c r="B389" s="432" t="str">
        <f>'BASE DE DATOSS'!C463</f>
        <v/>
      </c>
      <c r="C389" s="263"/>
      <c r="D389" s="249"/>
      <c r="E389" s="250"/>
      <c r="F389" s="251"/>
      <c r="G389" s="262"/>
      <c r="H389" s="257"/>
      <c r="I389" s="249"/>
      <c r="J389" s="193" t="str">
        <f>IF(OR(ISBLANK($B389),ISBLANK($I389)),"",IFERROR(IF($I389&lt;=DATE('ESTADO CONTABLE'!$B$2,3,5),VLOOKUP($B389,COSTOS!$A$2:$B1014,2,FALSE)-150,VLOOKUP($B389,COSTOS!$A$2:$B1014,2,FALSE)),"No encontrado o error"))</f>
        <v/>
      </c>
      <c r="K389" s="264"/>
      <c r="L389" s="249"/>
      <c r="M389" s="189"/>
      <c r="N389" s="264"/>
      <c r="O389" s="249"/>
      <c r="P389" s="250"/>
      <c r="Q389" s="264"/>
      <c r="R389" s="249"/>
      <c r="S389" s="250"/>
      <c r="T389" s="264"/>
      <c r="U389" s="249"/>
      <c r="V389" s="250"/>
      <c r="W389" s="264"/>
      <c r="X389" s="394"/>
      <c r="Y389" s="429"/>
      <c r="Z389" s="395"/>
      <c r="AA389" s="394"/>
      <c r="AB389" s="118" t="str">
        <f>IF(OR(ISBLANK($B389),ISBLANK($AA389)),"",IFERROR(IF($AA389&lt;=DATE('ESTADO CONTABLE'!$B$2,9,5),VLOOKUP($B389,COSTOS!$A$2:$B1014,2,FALSE)-150,VLOOKUP($B389,COSTOS!$A$2:$B1014,2,FALSE)),"No encontrado o error"))</f>
        <v/>
      </c>
      <c r="AC389" s="395"/>
      <c r="AD389" s="394"/>
      <c r="AE389" s="429" t="str">
        <f>IF(OR(ISBLANK($B389),ISBLANK($AD389)),"",IFERROR(IF($AD389&lt;=DATE('ESTADO CONTABLE'!$B$2,10,5),VLOOKUP($B389,COSTOS!$A$2:$B1014,2,FALSE)-150,VLOOKUP($B389,COSTOS!$A$2:$B1014,2,FALSE)),"No encontrado o error"))</f>
        <v/>
      </c>
      <c r="AF389" s="395"/>
      <c r="AG389" s="394"/>
      <c r="AH389" s="429" t="str">
        <f>IF(OR(ISBLANK($B389),ISBLANK($AG389)),"",IFERROR(IF($AG389&lt;=DATE('ESTADO CONTABLE'!$B$2,11,5),VLOOKUP($B389,COSTOS!$A$2:$B1014,2,FALSE)-150,VLOOKUP($B389,COSTOS!$A$2:$B1014,2,FALSE)),"No encontrado o error"))</f>
        <v/>
      </c>
      <c r="AI389" s="395"/>
      <c r="AJ389" s="394"/>
      <c r="AK389" s="429" t="str">
        <f>IF(OR(ISBLANK($B389),ISBLANK($AJ389)),"",IFERROR(IF($AJ389&lt;=DATE('ESTADO CONTABLE'!$B$2,12,5),VLOOKUP($B389,COSTOS!$A$2:$B1014,2,FALSE)-150,VLOOKUP($B389,COSTOS!$A$2:$B1014,2,FALSE)),"No encontrado o error"))</f>
        <v/>
      </c>
      <c r="AL389" s="395"/>
      <c r="AM389" s="254"/>
      <c r="AN389" s="255"/>
      <c r="AO389" s="256"/>
    </row>
    <row r="390" ht="22.5" customHeight="1">
      <c r="A390" s="431" t="str">
        <f>'BASE DE DATOSS'!A464</f>
        <v/>
      </c>
      <c r="B390" s="432" t="str">
        <f>'BASE DE DATOSS'!C464</f>
        <v/>
      </c>
      <c r="C390" s="263"/>
      <c r="D390" s="249"/>
      <c r="E390" s="250"/>
      <c r="F390" s="251"/>
      <c r="G390" s="262"/>
      <c r="H390" s="257"/>
      <c r="I390" s="249"/>
      <c r="J390" s="193" t="str">
        <f>IF(OR(ISBLANK($B390),ISBLANK($I390)),"",IFERROR(IF($I390&lt;=DATE('ESTADO CONTABLE'!$B$2,3,5),VLOOKUP($B390,COSTOS!$A$2:$B1014,2,FALSE)-150,VLOOKUP($B390,COSTOS!$A$2:$B1014,2,FALSE)),"No encontrado o error"))</f>
        <v/>
      </c>
      <c r="K390" s="264"/>
      <c r="L390" s="249"/>
      <c r="M390" s="189"/>
      <c r="N390" s="264"/>
      <c r="O390" s="249"/>
      <c r="P390" s="250"/>
      <c r="Q390" s="264"/>
      <c r="R390" s="249"/>
      <c r="S390" s="250"/>
      <c r="T390" s="264"/>
      <c r="U390" s="249"/>
      <c r="V390" s="250"/>
      <c r="W390" s="264"/>
      <c r="X390" s="394"/>
      <c r="Y390" s="429"/>
      <c r="Z390" s="395"/>
      <c r="AA390" s="394"/>
      <c r="AB390" s="118" t="str">
        <f>IF(OR(ISBLANK($B390),ISBLANK($AA390)),"",IFERROR(IF($AA390&lt;=DATE('ESTADO CONTABLE'!$B$2,9,5),VLOOKUP($B390,COSTOS!$A$2:$B1014,2,FALSE)-150,VLOOKUP($B390,COSTOS!$A$2:$B1014,2,FALSE)),"No encontrado o error"))</f>
        <v/>
      </c>
      <c r="AC390" s="395"/>
      <c r="AD390" s="394"/>
      <c r="AE390" s="429" t="str">
        <f>IF(OR(ISBLANK($B390),ISBLANK($AD390)),"",IFERROR(IF($AD390&lt;=DATE('ESTADO CONTABLE'!$B$2,10,5),VLOOKUP($B390,COSTOS!$A$2:$B1014,2,FALSE)-150,VLOOKUP($B390,COSTOS!$A$2:$B1014,2,FALSE)),"No encontrado o error"))</f>
        <v/>
      </c>
      <c r="AF390" s="395"/>
      <c r="AG390" s="394"/>
      <c r="AH390" s="429" t="str">
        <f>IF(OR(ISBLANK($B390),ISBLANK($AG390)),"",IFERROR(IF($AG390&lt;=DATE('ESTADO CONTABLE'!$B$2,11,5),VLOOKUP($B390,COSTOS!$A$2:$B1014,2,FALSE)-150,VLOOKUP($B390,COSTOS!$A$2:$B1014,2,FALSE)),"No encontrado o error"))</f>
        <v/>
      </c>
      <c r="AI390" s="395"/>
      <c r="AJ390" s="394"/>
      <c r="AK390" s="429" t="str">
        <f>IF(OR(ISBLANK($B390),ISBLANK($AJ390)),"",IFERROR(IF($AJ390&lt;=DATE('ESTADO CONTABLE'!$B$2,12,5),VLOOKUP($B390,COSTOS!$A$2:$B1014,2,FALSE)-150,VLOOKUP($B390,COSTOS!$A$2:$B1014,2,FALSE)),"No encontrado o error"))</f>
        <v/>
      </c>
      <c r="AL390" s="395"/>
      <c r="AM390" s="254"/>
      <c r="AN390" s="255"/>
      <c r="AO390" s="256"/>
    </row>
    <row r="391" ht="22.5" customHeight="1">
      <c r="A391" s="431" t="str">
        <f>'BASE DE DATOSS'!A465</f>
        <v/>
      </c>
      <c r="B391" s="432" t="str">
        <f>'BASE DE DATOSS'!C465</f>
        <v/>
      </c>
      <c r="C391" s="263"/>
      <c r="D391" s="249"/>
      <c r="E391" s="250"/>
      <c r="F391" s="251"/>
      <c r="G391" s="262"/>
      <c r="H391" s="257"/>
      <c r="I391" s="249"/>
      <c r="J391" s="193" t="str">
        <f>IF(OR(ISBLANK($B391),ISBLANK($I391)),"",IFERROR(IF($I391&lt;=DATE('ESTADO CONTABLE'!$B$2,3,5),VLOOKUP($B391,COSTOS!$A$2:$B1014,2,FALSE)-150,VLOOKUP($B391,COSTOS!$A$2:$B1014,2,FALSE)),"No encontrado o error"))</f>
        <v/>
      </c>
      <c r="K391" s="264"/>
      <c r="L391" s="249"/>
      <c r="M391" s="189"/>
      <c r="N391" s="264"/>
      <c r="O391" s="249"/>
      <c r="P391" s="250"/>
      <c r="Q391" s="264"/>
      <c r="R391" s="249"/>
      <c r="S391" s="250"/>
      <c r="T391" s="264"/>
      <c r="U391" s="249"/>
      <c r="V391" s="250"/>
      <c r="W391" s="264"/>
      <c r="X391" s="394"/>
      <c r="Y391" s="429"/>
      <c r="Z391" s="395"/>
      <c r="AA391" s="394"/>
      <c r="AB391" s="118" t="str">
        <f>IF(OR(ISBLANK($B391),ISBLANK($AA391)),"",IFERROR(IF($AA391&lt;=DATE('ESTADO CONTABLE'!$B$2,9,5),VLOOKUP($B391,COSTOS!$A$2:$B1014,2,FALSE)-150,VLOOKUP($B391,COSTOS!$A$2:$B1014,2,FALSE)),"No encontrado o error"))</f>
        <v/>
      </c>
      <c r="AC391" s="395"/>
      <c r="AD391" s="394"/>
      <c r="AE391" s="429" t="str">
        <f>IF(OR(ISBLANK($B391),ISBLANK($AD391)),"",IFERROR(IF($AD391&lt;=DATE('ESTADO CONTABLE'!$B$2,10,5),VLOOKUP($B391,COSTOS!$A$2:$B1014,2,FALSE)-150,VLOOKUP($B391,COSTOS!$A$2:$B1014,2,FALSE)),"No encontrado o error"))</f>
        <v/>
      </c>
      <c r="AF391" s="395"/>
      <c r="AG391" s="394"/>
      <c r="AH391" s="429" t="str">
        <f>IF(OR(ISBLANK($B391),ISBLANK($AG391)),"",IFERROR(IF($AG391&lt;=DATE('ESTADO CONTABLE'!$B$2,11,5),VLOOKUP($B391,COSTOS!$A$2:$B1014,2,FALSE)-150,VLOOKUP($B391,COSTOS!$A$2:$B1014,2,FALSE)),"No encontrado o error"))</f>
        <v/>
      </c>
      <c r="AI391" s="395"/>
      <c r="AJ391" s="394"/>
      <c r="AK391" s="429" t="str">
        <f>IF(OR(ISBLANK($B391),ISBLANK($AJ391)),"",IFERROR(IF($AJ391&lt;=DATE('ESTADO CONTABLE'!$B$2,12,5),VLOOKUP($B391,COSTOS!$A$2:$B1014,2,FALSE)-150,VLOOKUP($B391,COSTOS!$A$2:$B1014,2,FALSE)),"No encontrado o error"))</f>
        <v/>
      </c>
      <c r="AL391" s="395"/>
      <c r="AM391" s="254"/>
      <c r="AN391" s="255"/>
      <c r="AO391" s="256"/>
    </row>
    <row r="392" ht="22.5" customHeight="1">
      <c r="A392" s="431" t="str">
        <f>'BASE DE DATOSS'!A466</f>
        <v/>
      </c>
      <c r="B392" s="432" t="str">
        <f>'BASE DE DATOSS'!C466</f>
        <v/>
      </c>
      <c r="C392" s="263"/>
      <c r="D392" s="249"/>
      <c r="E392" s="250"/>
      <c r="F392" s="251"/>
      <c r="G392" s="262"/>
      <c r="H392" s="257"/>
      <c r="I392" s="249"/>
      <c r="J392" s="193" t="str">
        <f>IF(OR(ISBLANK($B392),ISBLANK($I392)),"",IFERROR(IF($I392&lt;=DATE('ESTADO CONTABLE'!$B$2,3,5),VLOOKUP($B392,COSTOS!$A$2:$B1014,2,FALSE)-150,VLOOKUP($B392,COSTOS!$A$2:$B1014,2,FALSE)),"No encontrado o error"))</f>
        <v/>
      </c>
      <c r="K392" s="264"/>
      <c r="L392" s="249"/>
      <c r="M392" s="189"/>
      <c r="N392" s="264"/>
      <c r="O392" s="249"/>
      <c r="P392" s="250"/>
      <c r="Q392" s="264"/>
      <c r="R392" s="249"/>
      <c r="S392" s="250"/>
      <c r="T392" s="264"/>
      <c r="U392" s="249"/>
      <c r="V392" s="250"/>
      <c r="W392" s="264"/>
      <c r="X392" s="394"/>
      <c r="Y392" s="429"/>
      <c r="Z392" s="395"/>
      <c r="AA392" s="394"/>
      <c r="AB392" s="118" t="str">
        <f>IF(OR(ISBLANK($B392),ISBLANK($AA392)),"",IFERROR(IF($AA392&lt;=DATE('ESTADO CONTABLE'!$B$2,9,5),VLOOKUP($B392,COSTOS!$A$2:$B1014,2,FALSE)-150,VLOOKUP($B392,COSTOS!$A$2:$B1014,2,FALSE)),"No encontrado o error"))</f>
        <v/>
      </c>
      <c r="AC392" s="395"/>
      <c r="AD392" s="394"/>
      <c r="AE392" s="429" t="str">
        <f>IF(OR(ISBLANK($B392),ISBLANK($AD392)),"",IFERROR(IF($AD392&lt;=DATE('ESTADO CONTABLE'!$B$2,10,5),VLOOKUP($B392,COSTOS!$A$2:$B1014,2,FALSE)-150,VLOOKUP($B392,COSTOS!$A$2:$B1014,2,FALSE)),"No encontrado o error"))</f>
        <v/>
      </c>
      <c r="AF392" s="395"/>
      <c r="AG392" s="394"/>
      <c r="AH392" s="429" t="str">
        <f>IF(OR(ISBLANK($B392),ISBLANK($AG392)),"",IFERROR(IF($AG392&lt;=DATE('ESTADO CONTABLE'!$B$2,11,5),VLOOKUP($B392,COSTOS!$A$2:$B1014,2,FALSE)-150,VLOOKUP($B392,COSTOS!$A$2:$B1014,2,FALSE)),"No encontrado o error"))</f>
        <v/>
      </c>
      <c r="AI392" s="395"/>
      <c r="AJ392" s="394"/>
      <c r="AK392" s="429" t="str">
        <f>IF(OR(ISBLANK($B392),ISBLANK($AJ392)),"",IFERROR(IF($AJ392&lt;=DATE('ESTADO CONTABLE'!$B$2,12,5),VLOOKUP($B392,COSTOS!$A$2:$B1014,2,FALSE)-150,VLOOKUP($B392,COSTOS!$A$2:$B1014,2,FALSE)),"No encontrado o error"))</f>
        <v/>
      </c>
      <c r="AL392" s="395"/>
      <c r="AM392" s="254"/>
      <c r="AN392" s="255"/>
      <c r="AO392" s="256"/>
    </row>
    <row r="393" ht="22.5" customHeight="1">
      <c r="A393" s="431" t="str">
        <f>'BASE DE DATOSS'!A467</f>
        <v/>
      </c>
      <c r="B393" s="432" t="str">
        <f>'BASE DE DATOSS'!C467</f>
        <v/>
      </c>
      <c r="C393" s="263"/>
      <c r="D393" s="249"/>
      <c r="E393" s="250"/>
      <c r="F393" s="251"/>
      <c r="G393" s="262"/>
      <c r="H393" s="257"/>
      <c r="I393" s="249"/>
      <c r="J393" s="193" t="str">
        <f>IF(OR(ISBLANK($B393),ISBLANK($I393)),"",IFERROR(IF($I393&lt;=DATE('ESTADO CONTABLE'!$B$2,3,5),VLOOKUP($B393,COSTOS!$A$2:$B1014,2,FALSE)-150,VLOOKUP($B393,COSTOS!$A$2:$B1014,2,FALSE)),"No encontrado o error"))</f>
        <v/>
      </c>
      <c r="K393" s="264"/>
      <c r="L393" s="249"/>
      <c r="M393" s="189"/>
      <c r="N393" s="264"/>
      <c r="O393" s="249"/>
      <c r="P393" s="250"/>
      <c r="Q393" s="264"/>
      <c r="R393" s="249"/>
      <c r="S393" s="250"/>
      <c r="T393" s="264"/>
      <c r="U393" s="249"/>
      <c r="V393" s="250"/>
      <c r="W393" s="264"/>
      <c r="X393" s="394"/>
      <c r="Y393" s="429"/>
      <c r="Z393" s="395"/>
      <c r="AA393" s="394"/>
      <c r="AB393" s="118" t="str">
        <f>IF(OR(ISBLANK($B393),ISBLANK($AA393)),"",IFERROR(IF($AA393&lt;=DATE('ESTADO CONTABLE'!$B$2,9,5),VLOOKUP($B393,COSTOS!$A$2:$B1014,2,FALSE)-150,VLOOKUP($B393,COSTOS!$A$2:$B1014,2,FALSE)),"No encontrado o error"))</f>
        <v/>
      </c>
      <c r="AC393" s="395"/>
      <c r="AD393" s="394"/>
      <c r="AE393" s="429" t="str">
        <f>IF(OR(ISBLANK($B393),ISBLANK($AD393)),"",IFERROR(IF($AD393&lt;=DATE('ESTADO CONTABLE'!$B$2,10,5),VLOOKUP($B393,COSTOS!$A$2:$B1014,2,FALSE)-150,VLOOKUP($B393,COSTOS!$A$2:$B1014,2,FALSE)),"No encontrado o error"))</f>
        <v/>
      </c>
      <c r="AF393" s="395"/>
      <c r="AG393" s="394"/>
      <c r="AH393" s="429" t="str">
        <f>IF(OR(ISBLANK($B393),ISBLANK($AG393)),"",IFERROR(IF($AG393&lt;=DATE('ESTADO CONTABLE'!$B$2,11,5),VLOOKUP($B393,COSTOS!$A$2:$B1014,2,FALSE)-150,VLOOKUP($B393,COSTOS!$A$2:$B1014,2,FALSE)),"No encontrado o error"))</f>
        <v/>
      </c>
      <c r="AI393" s="395"/>
      <c r="AJ393" s="394"/>
      <c r="AK393" s="429" t="str">
        <f>IF(OR(ISBLANK($B393),ISBLANK($AJ393)),"",IFERROR(IF($AJ393&lt;=DATE('ESTADO CONTABLE'!$B$2,12,5),VLOOKUP($B393,COSTOS!$A$2:$B1014,2,FALSE)-150,VLOOKUP($B393,COSTOS!$A$2:$B1014,2,FALSE)),"No encontrado o error"))</f>
        <v/>
      </c>
      <c r="AL393" s="395"/>
      <c r="AM393" s="254"/>
      <c r="AN393" s="255"/>
      <c r="AO393" s="256"/>
    </row>
    <row r="394" ht="22.5" customHeight="1">
      <c r="A394" s="431" t="str">
        <f>'BASE DE DATOSS'!A468</f>
        <v/>
      </c>
      <c r="B394" s="432" t="str">
        <f>'BASE DE DATOSS'!C468</f>
        <v/>
      </c>
      <c r="C394" s="263"/>
      <c r="D394" s="249"/>
      <c r="E394" s="250"/>
      <c r="F394" s="251"/>
      <c r="G394" s="262"/>
      <c r="H394" s="257"/>
      <c r="I394" s="249"/>
      <c r="J394" s="193" t="str">
        <f>IF(OR(ISBLANK($B394),ISBLANK($I394)),"",IFERROR(IF($I394&lt;=DATE('ESTADO CONTABLE'!$B$2,3,5),VLOOKUP($B394,COSTOS!$A$2:$B1014,2,FALSE)-150,VLOOKUP($B394,COSTOS!$A$2:$B1014,2,FALSE)),"No encontrado o error"))</f>
        <v/>
      </c>
      <c r="K394" s="264"/>
      <c r="L394" s="249"/>
      <c r="M394" s="189"/>
      <c r="N394" s="264"/>
      <c r="O394" s="249"/>
      <c r="P394" s="250"/>
      <c r="Q394" s="264"/>
      <c r="R394" s="249"/>
      <c r="S394" s="250"/>
      <c r="T394" s="264"/>
      <c r="U394" s="249"/>
      <c r="V394" s="250"/>
      <c r="W394" s="264"/>
      <c r="X394" s="394"/>
      <c r="Y394" s="429"/>
      <c r="Z394" s="395"/>
      <c r="AA394" s="394"/>
      <c r="AB394" s="118" t="str">
        <f>IF(OR(ISBLANK($B394),ISBLANK($AA394)),"",IFERROR(IF($AA394&lt;=DATE('ESTADO CONTABLE'!$B$2,9,5),VLOOKUP($B394,COSTOS!$A$2:$B1014,2,FALSE)-150,VLOOKUP($B394,COSTOS!$A$2:$B1014,2,FALSE)),"No encontrado o error"))</f>
        <v/>
      </c>
      <c r="AC394" s="395"/>
      <c r="AD394" s="394"/>
      <c r="AE394" s="429" t="str">
        <f>IF(OR(ISBLANK($B394),ISBLANK($AD394)),"",IFERROR(IF($AD394&lt;=DATE('ESTADO CONTABLE'!$B$2,10,5),VLOOKUP($B394,COSTOS!$A$2:$B1014,2,FALSE)-150,VLOOKUP($B394,COSTOS!$A$2:$B1014,2,FALSE)),"No encontrado o error"))</f>
        <v/>
      </c>
      <c r="AF394" s="395"/>
      <c r="AG394" s="394"/>
      <c r="AH394" s="429" t="str">
        <f>IF(OR(ISBLANK($B394),ISBLANK($AG394)),"",IFERROR(IF($AG394&lt;=DATE('ESTADO CONTABLE'!$B$2,11,5),VLOOKUP($B394,COSTOS!$A$2:$B1014,2,FALSE)-150,VLOOKUP($B394,COSTOS!$A$2:$B1014,2,FALSE)),"No encontrado o error"))</f>
        <v/>
      </c>
      <c r="AI394" s="395"/>
      <c r="AJ394" s="394"/>
      <c r="AK394" s="429" t="str">
        <f>IF(OR(ISBLANK($B394),ISBLANK($AJ394)),"",IFERROR(IF($AJ394&lt;=DATE('ESTADO CONTABLE'!$B$2,12,5),VLOOKUP($B394,COSTOS!$A$2:$B1014,2,FALSE)-150,VLOOKUP($B394,COSTOS!$A$2:$B1014,2,FALSE)),"No encontrado o error"))</f>
        <v/>
      </c>
      <c r="AL394" s="395"/>
      <c r="AM394" s="254"/>
      <c r="AN394" s="255"/>
      <c r="AO394" s="256"/>
    </row>
    <row r="395" ht="22.5" customHeight="1">
      <c r="A395" s="431" t="str">
        <f>'BASE DE DATOSS'!A469</f>
        <v/>
      </c>
      <c r="B395" s="432" t="str">
        <f>'BASE DE DATOSS'!C469</f>
        <v/>
      </c>
      <c r="C395" s="263"/>
      <c r="D395" s="249"/>
      <c r="E395" s="250"/>
      <c r="F395" s="251"/>
      <c r="G395" s="262"/>
      <c r="H395" s="257"/>
      <c r="I395" s="249"/>
      <c r="J395" s="193" t="str">
        <f>IF(OR(ISBLANK($B395),ISBLANK($I395)),"",IFERROR(IF($I395&lt;=DATE('ESTADO CONTABLE'!$B$2,3,5),VLOOKUP($B395,COSTOS!$A$2:$B1014,2,FALSE)-150,VLOOKUP($B395,COSTOS!$A$2:$B1014,2,FALSE)),"No encontrado o error"))</f>
        <v/>
      </c>
      <c r="K395" s="264"/>
      <c r="L395" s="249"/>
      <c r="M395" s="189"/>
      <c r="N395" s="264"/>
      <c r="O395" s="249"/>
      <c r="P395" s="250"/>
      <c r="Q395" s="264"/>
      <c r="R395" s="249"/>
      <c r="S395" s="250"/>
      <c r="T395" s="264"/>
      <c r="U395" s="249"/>
      <c r="V395" s="250"/>
      <c r="W395" s="264"/>
      <c r="X395" s="394"/>
      <c r="Y395" s="429"/>
      <c r="Z395" s="395"/>
      <c r="AA395" s="394"/>
      <c r="AB395" s="118" t="str">
        <f>IF(OR(ISBLANK($B395),ISBLANK($AA395)),"",IFERROR(IF($AA395&lt;=DATE('ESTADO CONTABLE'!$B$2,9,5),VLOOKUP($B395,COSTOS!$A$2:$B1014,2,FALSE)-150,VLOOKUP($B395,COSTOS!$A$2:$B1014,2,FALSE)),"No encontrado o error"))</f>
        <v/>
      </c>
      <c r="AC395" s="395"/>
      <c r="AD395" s="394"/>
      <c r="AE395" s="429" t="str">
        <f>IF(OR(ISBLANK($B395),ISBLANK($AD395)),"",IFERROR(IF($AD395&lt;=DATE('ESTADO CONTABLE'!$B$2,10,5),VLOOKUP($B395,COSTOS!$A$2:$B1014,2,FALSE)-150,VLOOKUP($B395,COSTOS!$A$2:$B1014,2,FALSE)),"No encontrado o error"))</f>
        <v/>
      </c>
      <c r="AF395" s="395"/>
      <c r="AG395" s="394"/>
      <c r="AH395" s="429" t="str">
        <f>IF(OR(ISBLANK($B395),ISBLANK($AG395)),"",IFERROR(IF($AG395&lt;=DATE('ESTADO CONTABLE'!$B$2,11,5),VLOOKUP($B395,COSTOS!$A$2:$B1014,2,FALSE)-150,VLOOKUP($B395,COSTOS!$A$2:$B1014,2,FALSE)),"No encontrado o error"))</f>
        <v/>
      </c>
      <c r="AI395" s="395"/>
      <c r="AJ395" s="394"/>
      <c r="AK395" s="429" t="str">
        <f>IF(OR(ISBLANK($B395),ISBLANK($AJ395)),"",IFERROR(IF($AJ395&lt;=DATE('ESTADO CONTABLE'!$B$2,12,5),VLOOKUP($B395,COSTOS!$A$2:$B1014,2,FALSE)-150,VLOOKUP($B395,COSTOS!$A$2:$B1014,2,FALSE)),"No encontrado o error"))</f>
        <v/>
      </c>
      <c r="AL395" s="395"/>
      <c r="AM395" s="254"/>
      <c r="AN395" s="255"/>
      <c r="AO395" s="256"/>
    </row>
    <row r="396" ht="22.5" customHeight="1">
      <c r="A396" s="431" t="str">
        <f>'BASE DE DATOSS'!A470</f>
        <v/>
      </c>
      <c r="B396" s="432" t="str">
        <f>'BASE DE DATOSS'!C470</f>
        <v/>
      </c>
      <c r="C396" s="263"/>
      <c r="D396" s="249"/>
      <c r="E396" s="250"/>
      <c r="F396" s="251"/>
      <c r="G396" s="262"/>
      <c r="H396" s="257"/>
      <c r="I396" s="249"/>
      <c r="J396" s="193" t="str">
        <f>IF(OR(ISBLANK($B396),ISBLANK($I396)),"",IFERROR(IF($I396&lt;=DATE('ESTADO CONTABLE'!$B$2,3,5),VLOOKUP($B396,COSTOS!$A$2:$B1014,2,FALSE)-150,VLOOKUP($B396,COSTOS!$A$2:$B1014,2,FALSE)),"No encontrado o error"))</f>
        <v/>
      </c>
      <c r="K396" s="264"/>
      <c r="L396" s="249"/>
      <c r="M396" s="189"/>
      <c r="N396" s="264"/>
      <c r="O396" s="249"/>
      <c r="P396" s="250"/>
      <c r="Q396" s="264"/>
      <c r="R396" s="249"/>
      <c r="S396" s="250"/>
      <c r="T396" s="264"/>
      <c r="U396" s="249"/>
      <c r="V396" s="250"/>
      <c r="W396" s="264"/>
      <c r="X396" s="394"/>
      <c r="Y396" s="429"/>
      <c r="Z396" s="395"/>
      <c r="AA396" s="394"/>
      <c r="AB396" s="118" t="str">
        <f>IF(OR(ISBLANK($B396),ISBLANK($AA396)),"",IFERROR(IF($AA396&lt;=DATE('ESTADO CONTABLE'!$B$2,9,5),VLOOKUP($B396,COSTOS!$A$2:$B1014,2,FALSE)-150,VLOOKUP($B396,COSTOS!$A$2:$B1014,2,FALSE)),"No encontrado o error"))</f>
        <v/>
      </c>
      <c r="AC396" s="395"/>
      <c r="AD396" s="394"/>
      <c r="AE396" s="429" t="str">
        <f>IF(OR(ISBLANK($B396),ISBLANK($AD396)),"",IFERROR(IF($AD396&lt;=DATE('ESTADO CONTABLE'!$B$2,10,5),VLOOKUP($B396,COSTOS!$A$2:$B1014,2,FALSE)-150,VLOOKUP($B396,COSTOS!$A$2:$B1014,2,FALSE)),"No encontrado o error"))</f>
        <v/>
      </c>
      <c r="AF396" s="395"/>
      <c r="AG396" s="394"/>
      <c r="AH396" s="429" t="str">
        <f>IF(OR(ISBLANK($B396),ISBLANK($AG396)),"",IFERROR(IF($AG396&lt;=DATE('ESTADO CONTABLE'!$B$2,11,5),VLOOKUP($B396,COSTOS!$A$2:$B1014,2,FALSE)-150,VLOOKUP($B396,COSTOS!$A$2:$B1014,2,FALSE)),"No encontrado o error"))</f>
        <v/>
      </c>
      <c r="AI396" s="395"/>
      <c r="AJ396" s="394"/>
      <c r="AK396" s="429" t="str">
        <f>IF(OR(ISBLANK($B396),ISBLANK($AJ396)),"",IFERROR(IF($AJ396&lt;=DATE('ESTADO CONTABLE'!$B$2,12,5),VLOOKUP($B396,COSTOS!$A$2:$B1014,2,FALSE)-150,VLOOKUP($B396,COSTOS!$A$2:$B1014,2,FALSE)),"No encontrado o error"))</f>
        <v/>
      </c>
      <c r="AL396" s="395"/>
      <c r="AM396" s="254"/>
      <c r="AN396" s="255"/>
      <c r="AO396" s="256"/>
    </row>
    <row r="397" ht="22.5" customHeight="1">
      <c r="A397" s="431" t="str">
        <f>'BASE DE DATOSS'!A471</f>
        <v/>
      </c>
      <c r="B397" s="432" t="str">
        <f>'BASE DE DATOSS'!C471</f>
        <v/>
      </c>
      <c r="C397" s="263"/>
      <c r="D397" s="249"/>
      <c r="E397" s="250"/>
      <c r="F397" s="251"/>
      <c r="G397" s="262"/>
      <c r="H397" s="257"/>
      <c r="I397" s="249"/>
      <c r="J397" s="193" t="str">
        <f>IF(OR(ISBLANK($B397),ISBLANK($I397)),"",IFERROR(IF($I397&lt;=DATE('ESTADO CONTABLE'!$B$2,3,5),VLOOKUP($B397,COSTOS!$A$2:$B1014,2,FALSE)-150,VLOOKUP($B397,COSTOS!$A$2:$B1014,2,FALSE)),"No encontrado o error"))</f>
        <v/>
      </c>
      <c r="K397" s="264"/>
      <c r="L397" s="249"/>
      <c r="M397" s="189"/>
      <c r="N397" s="264"/>
      <c r="O397" s="249"/>
      <c r="P397" s="250"/>
      <c r="Q397" s="264"/>
      <c r="R397" s="249"/>
      <c r="S397" s="250"/>
      <c r="T397" s="264"/>
      <c r="U397" s="249"/>
      <c r="V397" s="250"/>
      <c r="W397" s="264"/>
      <c r="X397" s="394"/>
      <c r="Y397" s="429"/>
      <c r="Z397" s="395"/>
      <c r="AA397" s="394"/>
      <c r="AB397" s="118" t="str">
        <f>IF(OR(ISBLANK($B397),ISBLANK($AA397)),"",IFERROR(IF($AA397&lt;=DATE('ESTADO CONTABLE'!$B$2,9,5),VLOOKUP($B397,COSTOS!$A$2:$B1014,2,FALSE)-150,VLOOKUP($B397,COSTOS!$A$2:$B1014,2,FALSE)),"No encontrado o error"))</f>
        <v/>
      </c>
      <c r="AC397" s="395"/>
      <c r="AD397" s="394"/>
      <c r="AE397" s="429" t="str">
        <f>IF(OR(ISBLANK($B397),ISBLANK($AD397)),"",IFERROR(IF($AD397&lt;=DATE('ESTADO CONTABLE'!$B$2,10,5),VLOOKUP($B397,COSTOS!$A$2:$B1014,2,FALSE)-150,VLOOKUP($B397,COSTOS!$A$2:$B1014,2,FALSE)),"No encontrado o error"))</f>
        <v/>
      </c>
      <c r="AF397" s="395"/>
      <c r="AG397" s="394"/>
      <c r="AH397" s="429" t="str">
        <f>IF(OR(ISBLANK($B397),ISBLANK($AG397)),"",IFERROR(IF($AG397&lt;=DATE('ESTADO CONTABLE'!$B$2,11,5),VLOOKUP($B397,COSTOS!$A$2:$B1014,2,FALSE)-150,VLOOKUP($B397,COSTOS!$A$2:$B1014,2,FALSE)),"No encontrado o error"))</f>
        <v/>
      </c>
      <c r="AI397" s="395"/>
      <c r="AJ397" s="394"/>
      <c r="AK397" s="429" t="str">
        <f>IF(OR(ISBLANK($B397),ISBLANK($AJ397)),"",IFERROR(IF($AJ397&lt;=DATE('ESTADO CONTABLE'!$B$2,12,5),VLOOKUP($B397,COSTOS!$A$2:$B1014,2,FALSE)-150,VLOOKUP($B397,COSTOS!$A$2:$B1014,2,FALSE)),"No encontrado o error"))</f>
        <v/>
      </c>
      <c r="AL397" s="395"/>
      <c r="AM397" s="254"/>
      <c r="AN397" s="255"/>
      <c r="AO397" s="256"/>
    </row>
    <row r="398" ht="22.5" customHeight="1">
      <c r="A398" s="431" t="str">
        <f>'BASE DE DATOSS'!A472</f>
        <v/>
      </c>
      <c r="B398" s="432" t="str">
        <f>'BASE DE DATOSS'!C472</f>
        <v/>
      </c>
      <c r="C398" s="263"/>
      <c r="D398" s="249"/>
      <c r="E398" s="250"/>
      <c r="F398" s="251"/>
      <c r="G398" s="262"/>
      <c r="H398" s="257"/>
      <c r="I398" s="249"/>
      <c r="J398" s="193" t="str">
        <f>IF(OR(ISBLANK($B398),ISBLANK($I398)),"",IFERROR(IF($I398&lt;=DATE('ESTADO CONTABLE'!$B$2,3,5),VLOOKUP($B398,COSTOS!$A$2:$B1014,2,FALSE)-150,VLOOKUP($B398,COSTOS!$A$2:$B1014,2,FALSE)),"No encontrado o error"))</f>
        <v/>
      </c>
      <c r="K398" s="264"/>
      <c r="L398" s="249"/>
      <c r="M398" s="189"/>
      <c r="N398" s="264"/>
      <c r="O398" s="249"/>
      <c r="P398" s="250"/>
      <c r="Q398" s="264"/>
      <c r="R398" s="249"/>
      <c r="S398" s="250"/>
      <c r="T398" s="264"/>
      <c r="U398" s="249"/>
      <c r="V398" s="250"/>
      <c r="W398" s="264"/>
      <c r="X398" s="394"/>
      <c r="Y398" s="429"/>
      <c r="Z398" s="395"/>
      <c r="AA398" s="394"/>
      <c r="AB398" s="118" t="str">
        <f>IF(OR(ISBLANK($B398),ISBLANK($AA398)),"",IFERROR(IF($AA398&lt;=DATE('ESTADO CONTABLE'!$B$2,9,5),VLOOKUP($B398,COSTOS!$A$2:$B1014,2,FALSE)-150,VLOOKUP($B398,COSTOS!$A$2:$B1014,2,FALSE)),"No encontrado o error"))</f>
        <v/>
      </c>
      <c r="AC398" s="395"/>
      <c r="AD398" s="394"/>
      <c r="AE398" s="429" t="str">
        <f>IF(OR(ISBLANK($B398),ISBLANK($AD398)),"",IFERROR(IF($AD398&lt;=DATE('ESTADO CONTABLE'!$B$2,10,5),VLOOKUP($B398,COSTOS!$A$2:$B1014,2,FALSE)-150,VLOOKUP($B398,COSTOS!$A$2:$B1014,2,FALSE)),"No encontrado o error"))</f>
        <v/>
      </c>
      <c r="AF398" s="395"/>
      <c r="AG398" s="394"/>
      <c r="AH398" s="429" t="str">
        <f>IF(OR(ISBLANK($B398),ISBLANK($AG398)),"",IFERROR(IF($AG398&lt;=DATE('ESTADO CONTABLE'!$B$2,11,5),VLOOKUP($B398,COSTOS!$A$2:$B1014,2,FALSE)-150,VLOOKUP($B398,COSTOS!$A$2:$B1014,2,FALSE)),"No encontrado o error"))</f>
        <v/>
      </c>
      <c r="AI398" s="395"/>
      <c r="AJ398" s="394"/>
      <c r="AK398" s="429" t="str">
        <f>IF(OR(ISBLANK($B398),ISBLANK($AJ398)),"",IFERROR(IF($AJ398&lt;=DATE('ESTADO CONTABLE'!$B$2,12,5),VLOOKUP($B398,COSTOS!$A$2:$B1014,2,FALSE)-150,VLOOKUP($B398,COSTOS!$A$2:$B1014,2,FALSE)),"No encontrado o error"))</f>
        <v/>
      </c>
      <c r="AL398" s="395"/>
      <c r="AM398" s="254"/>
      <c r="AN398" s="255"/>
      <c r="AO398" s="256"/>
    </row>
    <row r="399" ht="22.5" customHeight="1">
      <c r="A399" s="431" t="str">
        <f>'BASE DE DATOSS'!A473</f>
        <v/>
      </c>
      <c r="B399" s="432" t="str">
        <f>'BASE DE DATOSS'!C473</f>
        <v/>
      </c>
      <c r="C399" s="263"/>
      <c r="D399" s="249"/>
      <c r="E399" s="250"/>
      <c r="F399" s="251"/>
      <c r="G399" s="262"/>
      <c r="H399" s="257"/>
      <c r="I399" s="249"/>
      <c r="J399" s="193" t="str">
        <f>IF(OR(ISBLANK($B399),ISBLANK($I399)),"",IFERROR(IF($I399&lt;=DATE('ESTADO CONTABLE'!$B$2,3,5),VLOOKUP($B399,COSTOS!$A$2:$B1014,2,FALSE)-150,VLOOKUP($B399,COSTOS!$A$2:$B1014,2,FALSE)),"No encontrado o error"))</f>
        <v/>
      </c>
      <c r="K399" s="264"/>
      <c r="L399" s="249"/>
      <c r="M399" s="189"/>
      <c r="N399" s="264"/>
      <c r="O399" s="249"/>
      <c r="P399" s="250"/>
      <c r="Q399" s="264"/>
      <c r="R399" s="249"/>
      <c r="S399" s="250"/>
      <c r="T399" s="264"/>
      <c r="U399" s="249"/>
      <c r="V399" s="250"/>
      <c r="W399" s="264"/>
      <c r="X399" s="394"/>
      <c r="Y399" s="429"/>
      <c r="Z399" s="395"/>
      <c r="AA399" s="394"/>
      <c r="AB399" s="118" t="str">
        <f>IF(OR(ISBLANK($B399),ISBLANK($AA399)),"",IFERROR(IF($AA399&lt;=DATE('ESTADO CONTABLE'!$B$2,9,5),VLOOKUP($B399,COSTOS!$A$2:$B1014,2,FALSE)-150,VLOOKUP($B399,COSTOS!$A$2:$B1014,2,FALSE)),"No encontrado o error"))</f>
        <v/>
      </c>
      <c r="AC399" s="395"/>
      <c r="AD399" s="394"/>
      <c r="AE399" s="429" t="str">
        <f>IF(OR(ISBLANK($B399),ISBLANK($AD399)),"",IFERROR(IF($AD399&lt;=DATE('ESTADO CONTABLE'!$B$2,10,5),VLOOKUP($B399,COSTOS!$A$2:$B1014,2,FALSE)-150,VLOOKUP($B399,COSTOS!$A$2:$B1014,2,FALSE)),"No encontrado o error"))</f>
        <v/>
      </c>
      <c r="AF399" s="395"/>
      <c r="AG399" s="394"/>
      <c r="AH399" s="429" t="str">
        <f>IF(OR(ISBLANK($B399),ISBLANK($AG399)),"",IFERROR(IF($AG399&lt;=DATE('ESTADO CONTABLE'!$B$2,11,5),VLOOKUP($B399,COSTOS!$A$2:$B1014,2,FALSE)-150,VLOOKUP($B399,COSTOS!$A$2:$B1014,2,FALSE)),"No encontrado o error"))</f>
        <v/>
      </c>
      <c r="AI399" s="395"/>
      <c r="AJ399" s="394"/>
      <c r="AK399" s="429" t="str">
        <f>IF(OR(ISBLANK($B399),ISBLANK($AJ399)),"",IFERROR(IF($AJ399&lt;=DATE('ESTADO CONTABLE'!$B$2,12,5),VLOOKUP($B399,COSTOS!$A$2:$B1014,2,FALSE)-150,VLOOKUP($B399,COSTOS!$A$2:$B1014,2,FALSE)),"No encontrado o error"))</f>
        <v/>
      </c>
      <c r="AL399" s="395"/>
      <c r="AM399" s="254"/>
      <c r="AN399" s="255"/>
      <c r="AO399" s="256"/>
    </row>
    <row r="400" ht="22.5" customHeight="1">
      <c r="A400" s="431" t="str">
        <f>'BASE DE DATOSS'!A474</f>
        <v/>
      </c>
      <c r="B400" s="432" t="str">
        <f>'BASE DE DATOSS'!C474</f>
        <v/>
      </c>
      <c r="C400" s="263"/>
      <c r="D400" s="249"/>
      <c r="E400" s="250"/>
      <c r="F400" s="251"/>
      <c r="G400" s="262"/>
      <c r="H400" s="257"/>
      <c r="I400" s="249"/>
      <c r="J400" s="193" t="str">
        <f>IF(OR(ISBLANK($B400),ISBLANK($I400)),"",IFERROR(IF($I400&lt;=DATE('ESTADO CONTABLE'!$B$2,3,5),VLOOKUP($B400,COSTOS!$A$2:$B1014,2,FALSE)-150,VLOOKUP($B400,COSTOS!$A$2:$B1014,2,FALSE)),"No encontrado o error"))</f>
        <v/>
      </c>
      <c r="K400" s="264"/>
      <c r="L400" s="249"/>
      <c r="M400" s="189"/>
      <c r="N400" s="264"/>
      <c r="O400" s="249"/>
      <c r="P400" s="250"/>
      <c r="Q400" s="264"/>
      <c r="R400" s="249"/>
      <c r="S400" s="250"/>
      <c r="T400" s="264"/>
      <c r="U400" s="249"/>
      <c r="V400" s="250"/>
      <c r="W400" s="264"/>
      <c r="X400" s="394"/>
      <c r="Y400" s="429"/>
      <c r="Z400" s="395"/>
      <c r="AA400" s="394"/>
      <c r="AB400" s="118" t="str">
        <f>IF(OR(ISBLANK($B400),ISBLANK($AA400)),"",IFERROR(IF($AA400&lt;=DATE('ESTADO CONTABLE'!$B$2,9,5),VLOOKUP($B400,COSTOS!$A$2:$B1014,2,FALSE)-150,VLOOKUP($B400,COSTOS!$A$2:$B1014,2,FALSE)),"No encontrado o error"))</f>
        <v/>
      </c>
      <c r="AC400" s="395"/>
      <c r="AD400" s="394"/>
      <c r="AE400" s="429" t="str">
        <f>IF(OR(ISBLANK($B400),ISBLANK($AD400)),"",IFERROR(IF($AD400&lt;=DATE('ESTADO CONTABLE'!$B$2,10,5),VLOOKUP($B400,COSTOS!$A$2:$B1014,2,FALSE)-150,VLOOKUP($B400,COSTOS!$A$2:$B1014,2,FALSE)),"No encontrado o error"))</f>
        <v/>
      </c>
      <c r="AF400" s="395"/>
      <c r="AG400" s="394"/>
      <c r="AH400" s="429" t="str">
        <f>IF(OR(ISBLANK($B400),ISBLANK($AG400)),"",IFERROR(IF($AG400&lt;=DATE('ESTADO CONTABLE'!$B$2,11,5),VLOOKUP($B400,COSTOS!$A$2:$B1014,2,FALSE)-150,VLOOKUP($B400,COSTOS!$A$2:$B1014,2,FALSE)),"No encontrado o error"))</f>
        <v/>
      </c>
      <c r="AI400" s="395"/>
      <c r="AJ400" s="394"/>
      <c r="AK400" s="429" t="str">
        <f>IF(OR(ISBLANK($B400),ISBLANK($AJ400)),"",IFERROR(IF($AJ400&lt;=DATE('ESTADO CONTABLE'!$B$2,12,5),VLOOKUP($B400,COSTOS!$A$2:$B1014,2,FALSE)-150,VLOOKUP($B400,COSTOS!$A$2:$B1014,2,FALSE)),"No encontrado o error"))</f>
        <v/>
      </c>
      <c r="AL400" s="395"/>
      <c r="AM400" s="254"/>
      <c r="AN400" s="255"/>
      <c r="AO400" s="256"/>
    </row>
    <row r="401" ht="22.5" customHeight="1">
      <c r="A401" s="431" t="str">
        <f>'BASE DE DATOSS'!A475</f>
        <v/>
      </c>
      <c r="B401" s="432" t="str">
        <f>'BASE DE DATOSS'!C475</f>
        <v/>
      </c>
      <c r="C401" s="263"/>
      <c r="D401" s="249"/>
      <c r="E401" s="250"/>
      <c r="F401" s="251"/>
      <c r="G401" s="262"/>
      <c r="H401" s="257"/>
      <c r="I401" s="249"/>
      <c r="J401" s="193" t="str">
        <f>IF(OR(ISBLANK($B401),ISBLANK($I401)),"",IFERROR(IF($I401&lt;=DATE('ESTADO CONTABLE'!$B$2,3,5),VLOOKUP($B401,COSTOS!$A$2:$B1014,2,FALSE)-150,VLOOKUP($B401,COSTOS!$A$2:$B1014,2,FALSE)),"No encontrado o error"))</f>
        <v/>
      </c>
      <c r="K401" s="264"/>
      <c r="L401" s="249"/>
      <c r="M401" s="189"/>
      <c r="N401" s="264"/>
      <c r="O401" s="249"/>
      <c r="P401" s="250"/>
      <c r="Q401" s="264"/>
      <c r="R401" s="249"/>
      <c r="S401" s="250"/>
      <c r="T401" s="264"/>
      <c r="U401" s="249"/>
      <c r="V401" s="250"/>
      <c r="W401" s="264"/>
      <c r="X401" s="394"/>
      <c r="Y401" s="429"/>
      <c r="Z401" s="395"/>
      <c r="AA401" s="394"/>
      <c r="AB401" s="118" t="str">
        <f>IF(OR(ISBLANK($B401),ISBLANK($AA401)),"",IFERROR(IF($AA401&lt;=DATE('ESTADO CONTABLE'!$B$2,9,5),VLOOKUP($B401,COSTOS!$A$2:$B1014,2,FALSE)-150,VLOOKUP($B401,COSTOS!$A$2:$B1014,2,FALSE)),"No encontrado o error"))</f>
        <v/>
      </c>
      <c r="AC401" s="395"/>
      <c r="AD401" s="394"/>
      <c r="AE401" s="429" t="str">
        <f>IF(OR(ISBLANK($B401),ISBLANK($AD401)),"",IFERROR(IF($AD401&lt;=DATE('ESTADO CONTABLE'!$B$2,10,5),VLOOKUP($B401,COSTOS!$A$2:$B1014,2,FALSE)-150,VLOOKUP($B401,COSTOS!$A$2:$B1014,2,FALSE)),"No encontrado o error"))</f>
        <v/>
      </c>
      <c r="AF401" s="395"/>
      <c r="AG401" s="394"/>
      <c r="AH401" s="429" t="str">
        <f>IF(OR(ISBLANK($B401),ISBLANK($AG401)),"",IFERROR(IF($AG401&lt;=DATE('ESTADO CONTABLE'!$B$2,11,5),VLOOKUP($B401,COSTOS!$A$2:$B1014,2,FALSE)-150,VLOOKUP($B401,COSTOS!$A$2:$B1014,2,FALSE)),"No encontrado o error"))</f>
        <v/>
      </c>
      <c r="AI401" s="395"/>
      <c r="AJ401" s="394"/>
      <c r="AK401" s="429" t="str">
        <f>IF(OR(ISBLANK($B401),ISBLANK($AJ401)),"",IFERROR(IF($AJ401&lt;=DATE('ESTADO CONTABLE'!$B$2,12,5),VLOOKUP($B401,COSTOS!$A$2:$B1014,2,FALSE)-150,VLOOKUP($B401,COSTOS!$A$2:$B1014,2,FALSE)),"No encontrado o error"))</f>
        <v/>
      </c>
      <c r="AL401" s="395"/>
      <c r="AM401" s="254"/>
      <c r="AN401" s="255"/>
      <c r="AO401" s="256"/>
    </row>
    <row r="402" ht="22.5" customHeight="1">
      <c r="A402" s="431" t="str">
        <f>'BASE DE DATOSS'!A476</f>
        <v/>
      </c>
      <c r="B402" s="432" t="str">
        <f>'BASE DE DATOSS'!C476</f>
        <v/>
      </c>
      <c r="C402" s="263"/>
      <c r="D402" s="249"/>
      <c r="E402" s="250"/>
      <c r="F402" s="251"/>
      <c r="G402" s="262"/>
      <c r="H402" s="257"/>
      <c r="I402" s="249"/>
      <c r="J402" s="193" t="str">
        <f>IF(OR(ISBLANK($B402),ISBLANK($I402)),"",IFERROR(IF($I402&lt;=DATE('ESTADO CONTABLE'!$B$2,3,5),VLOOKUP($B402,COSTOS!$A$2:$B1014,2,FALSE)-150,VLOOKUP($B402,COSTOS!$A$2:$B1014,2,FALSE)),"No encontrado o error"))</f>
        <v/>
      </c>
      <c r="K402" s="264"/>
      <c r="L402" s="249"/>
      <c r="M402" s="189"/>
      <c r="N402" s="264"/>
      <c r="O402" s="249"/>
      <c r="P402" s="250"/>
      <c r="Q402" s="264"/>
      <c r="R402" s="249"/>
      <c r="S402" s="250"/>
      <c r="T402" s="264"/>
      <c r="U402" s="249"/>
      <c r="V402" s="250"/>
      <c r="W402" s="264"/>
      <c r="X402" s="394"/>
      <c r="Y402" s="429"/>
      <c r="Z402" s="395"/>
      <c r="AA402" s="394"/>
      <c r="AB402" s="118" t="str">
        <f>IF(OR(ISBLANK($B402),ISBLANK($AA402)),"",IFERROR(IF($AA402&lt;=DATE('ESTADO CONTABLE'!$B$2,9,5),VLOOKUP($B402,COSTOS!$A$2:$B1014,2,FALSE)-150,VLOOKUP($B402,COSTOS!$A$2:$B1014,2,FALSE)),"No encontrado o error"))</f>
        <v/>
      </c>
      <c r="AC402" s="395"/>
      <c r="AD402" s="394"/>
      <c r="AE402" s="429" t="str">
        <f>IF(OR(ISBLANK($B402),ISBLANK($AD402)),"",IFERROR(IF($AD402&lt;=DATE('ESTADO CONTABLE'!$B$2,10,5),VLOOKUP($B402,COSTOS!$A$2:$B1014,2,FALSE)-150,VLOOKUP($B402,COSTOS!$A$2:$B1014,2,FALSE)),"No encontrado o error"))</f>
        <v/>
      </c>
      <c r="AF402" s="395"/>
      <c r="AG402" s="394"/>
      <c r="AH402" s="429" t="str">
        <f>IF(OR(ISBLANK($B402),ISBLANK($AG402)),"",IFERROR(IF($AG402&lt;=DATE('ESTADO CONTABLE'!$B$2,11,5),VLOOKUP($B402,COSTOS!$A$2:$B1014,2,FALSE)-150,VLOOKUP($B402,COSTOS!$A$2:$B1014,2,FALSE)),"No encontrado o error"))</f>
        <v/>
      </c>
      <c r="AI402" s="395"/>
      <c r="AJ402" s="394"/>
      <c r="AK402" s="429" t="str">
        <f>IF(OR(ISBLANK($B402),ISBLANK($AJ402)),"",IFERROR(IF($AJ402&lt;=DATE('ESTADO CONTABLE'!$B$2,12,5),VLOOKUP($B402,COSTOS!$A$2:$B1014,2,FALSE)-150,VLOOKUP($B402,COSTOS!$A$2:$B1014,2,FALSE)),"No encontrado o error"))</f>
        <v/>
      </c>
      <c r="AL402" s="395"/>
      <c r="AM402" s="254"/>
      <c r="AN402" s="255"/>
      <c r="AO402" s="256"/>
    </row>
    <row r="403" ht="22.5" customHeight="1">
      <c r="A403" s="431" t="str">
        <f>'BASE DE DATOSS'!A477</f>
        <v/>
      </c>
      <c r="B403" s="432" t="str">
        <f>'BASE DE DATOSS'!C477</f>
        <v/>
      </c>
      <c r="C403" s="263"/>
      <c r="D403" s="249"/>
      <c r="E403" s="250"/>
      <c r="F403" s="251"/>
      <c r="G403" s="262"/>
      <c r="H403" s="257"/>
      <c r="I403" s="249"/>
      <c r="J403" s="193" t="str">
        <f>IF(OR(ISBLANK($B403),ISBLANK($I403)),"",IFERROR(IF($I403&lt;=DATE('ESTADO CONTABLE'!$B$2,3,5),VLOOKUP($B403,COSTOS!$A$2:$B1014,2,FALSE)-150,VLOOKUP($B403,COSTOS!$A$2:$B1014,2,FALSE)),"No encontrado o error"))</f>
        <v/>
      </c>
      <c r="K403" s="264"/>
      <c r="L403" s="249"/>
      <c r="M403" s="189"/>
      <c r="N403" s="264"/>
      <c r="O403" s="249"/>
      <c r="P403" s="250"/>
      <c r="Q403" s="264"/>
      <c r="R403" s="249"/>
      <c r="S403" s="250"/>
      <c r="T403" s="264"/>
      <c r="U403" s="249"/>
      <c r="V403" s="250"/>
      <c r="W403" s="264"/>
      <c r="X403" s="394"/>
      <c r="Y403" s="429"/>
      <c r="Z403" s="395"/>
      <c r="AA403" s="394"/>
      <c r="AB403" s="118" t="str">
        <f>IF(OR(ISBLANK($B403),ISBLANK($AA403)),"",IFERROR(IF($AA403&lt;=DATE('ESTADO CONTABLE'!$B$2,9,5),VLOOKUP($B403,COSTOS!$A$2:$B1014,2,FALSE)-150,VLOOKUP($B403,COSTOS!$A$2:$B1014,2,FALSE)),"No encontrado o error"))</f>
        <v/>
      </c>
      <c r="AC403" s="395"/>
      <c r="AD403" s="394"/>
      <c r="AE403" s="429" t="str">
        <f>IF(OR(ISBLANK($B403),ISBLANK($AD403)),"",IFERROR(IF($AD403&lt;=DATE('ESTADO CONTABLE'!$B$2,10,5),VLOOKUP($B403,COSTOS!$A$2:$B1014,2,FALSE)-150,VLOOKUP($B403,COSTOS!$A$2:$B1014,2,FALSE)),"No encontrado o error"))</f>
        <v/>
      </c>
      <c r="AF403" s="395"/>
      <c r="AG403" s="394"/>
      <c r="AH403" s="429" t="str">
        <f>IF(OR(ISBLANK($B403),ISBLANK($AG403)),"",IFERROR(IF($AG403&lt;=DATE('ESTADO CONTABLE'!$B$2,11,5),VLOOKUP($B403,COSTOS!$A$2:$B1014,2,FALSE)-150,VLOOKUP($B403,COSTOS!$A$2:$B1014,2,FALSE)),"No encontrado o error"))</f>
        <v/>
      </c>
      <c r="AI403" s="395"/>
      <c r="AJ403" s="394"/>
      <c r="AK403" s="429" t="str">
        <f>IF(OR(ISBLANK($B403),ISBLANK($AJ403)),"",IFERROR(IF($AJ403&lt;=DATE('ESTADO CONTABLE'!$B$2,12,5),VLOOKUP($B403,COSTOS!$A$2:$B1014,2,FALSE)-150,VLOOKUP($B403,COSTOS!$A$2:$B1014,2,FALSE)),"No encontrado o error"))</f>
        <v/>
      </c>
      <c r="AL403" s="395"/>
      <c r="AM403" s="254"/>
      <c r="AN403" s="255"/>
      <c r="AO403" s="256"/>
    </row>
    <row r="404" ht="22.5" customHeight="1">
      <c r="A404" s="431" t="str">
        <f>'BASE DE DATOSS'!A478</f>
        <v/>
      </c>
      <c r="B404" s="432" t="str">
        <f>'BASE DE DATOSS'!C478</f>
        <v/>
      </c>
      <c r="C404" s="263"/>
      <c r="D404" s="249"/>
      <c r="E404" s="250"/>
      <c r="F404" s="251"/>
      <c r="G404" s="262"/>
      <c r="H404" s="257"/>
      <c r="I404" s="249"/>
      <c r="J404" s="193" t="str">
        <f>IF(OR(ISBLANK($B404),ISBLANK($I404)),"",IFERROR(IF($I404&lt;=DATE('ESTADO CONTABLE'!$B$2,3,5),VLOOKUP($B404,COSTOS!$A$2:$B1014,2,FALSE)-150,VLOOKUP($B404,COSTOS!$A$2:$B1014,2,FALSE)),"No encontrado o error"))</f>
        <v/>
      </c>
      <c r="K404" s="264"/>
      <c r="L404" s="249"/>
      <c r="M404" s="189"/>
      <c r="N404" s="264"/>
      <c r="O404" s="249"/>
      <c r="P404" s="250"/>
      <c r="Q404" s="264"/>
      <c r="R404" s="249"/>
      <c r="S404" s="250"/>
      <c r="T404" s="264"/>
      <c r="U404" s="249"/>
      <c r="V404" s="250"/>
      <c r="W404" s="264"/>
      <c r="X404" s="394"/>
      <c r="Y404" s="429"/>
      <c r="Z404" s="395"/>
      <c r="AA404" s="394"/>
      <c r="AB404" s="118" t="str">
        <f>IF(OR(ISBLANK($B404),ISBLANK($AA404)),"",IFERROR(IF($AA404&lt;=DATE('ESTADO CONTABLE'!$B$2,9,5),VLOOKUP($B404,COSTOS!$A$2:$B1014,2,FALSE)-150,VLOOKUP($B404,COSTOS!$A$2:$B1014,2,FALSE)),"No encontrado o error"))</f>
        <v/>
      </c>
      <c r="AC404" s="395"/>
      <c r="AD404" s="394"/>
      <c r="AE404" s="429" t="str">
        <f>IF(OR(ISBLANK($B404),ISBLANK($AD404)),"",IFERROR(IF($AD404&lt;=DATE('ESTADO CONTABLE'!$B$2,10,5),VLOOKUP($B404,COSTOS!$A$2:$B1014,2,FALSE)-150,VLOOKUP($B404,COSTOS!$A$2:$B1014,2,FALSE)),"No encontrado o error"))</f>
        <v/>
      </c>
      <c r="AF404" s="395"/>
      <c r="AG404" s="394"/>
      <c r="AH404" s="429" t="str">
        <f>IF(OR(ISBLANK($B404),ISBLANK($AG404)),"",IFERROR(IF($AG404&lt;=DATE('ESTADO CONTABLE'!$B$2,11,5),VLOOKUP($B404,COSTOS!$A$2:$B1014,2,FALSE)-150,VLOOKUP($B404,COSTOS!$A$2:$B1014,2,FALSE)),"No encontrado o error"))</f>
        <v/>
      </c>
      <c r="AI404" s="395"/>
      <c r="AJ404" s="394"/>
      <c r="AK404" s="429" t="str">
        <f>IF(OR(ISBLANK($B404),ISBLANK($AJ404)),"",IFERROR(IF($AJ404&lt;=DATE('ESTADO CONTABLE'!$B$2,12,5),VLOOKUP($B404,COSTOS!$A$2:$B1014,2,FALSE)-150,VLOOKUP($B404,COSTOS!$A$2:$B1014,2,FALSE)),"No encontrado o error"))</f>
        <v/>
      </c>
      <c r="AL404" s="395"/>
      <c r="AM404" s="254"/>
      <c r="AN404" s="255"/>
      <c r="AO404" s="256"/>
    </row>
    <row r="405" ht="22.5" customHeight="1">
      <c r="A405" s="431" t="str">
        <f>'BASE DE DATOSS'!A479</f>
        <v/>
      </c>
      <c r="B405" s="432" t="str">
        <f>'BASE DE DATOSS'!C479</f>
        <v/>
      </c>
      <c r="C405" s="263"/>
      <c r="D405" s="249"/>
      <c r="E405" s="250"/>
      <c r="F405" s="251"/>
      <c r="G405" s="262"/>
      <c r="H405" s="257"/>
      <c r="I405" s="249"/>
      <c r="J405" s="193" t="str">
        <f>IF(OR(ISBLANK($B405),ISBLANK($I405)),"",IFERROR(IF($I405&lt;=DATE('ESTADO CONTABLE'!$B$2,3,5),VLOOKUP($B405,COSTOS!$A$2:$B1014,2,FALSE)-150,VLOOKUP($B405,COSTOS!$A$2:$B1014,2,FALSE)),"No encontrado o error"))</f>
        <v/>
      </c>
      <c r="K405" s="264"/>
      <c r="L405" s="249"/>
      <c r="M405" s="189"/>
      <c r="N405" s="264"/>
      <c r="O405" s="249"/>
      <c r="P405" s="250"/>
      <c r="Q405" s="264"/>
      <c r="R405" s="249"/>
      <c r="S405" s="250"/>
      <c r="T405" s="264"/>
      <c r="U405" s="249"/>
      <c r="V405" s="250"/>
      <c r="W405" s="264"/>
      <c r="X405" s="394"/>
      <c r="Y405" s="429"/>
      <c r="Z405" s="395"/>
      <c r="AA405" s="394"/>
      <c r="AB405" s="118" t="str">
        <f>IF(OR(ISBLANK($B405),ISBLANK($AA405)),"",IFERROR(IF($AA405&lt;=DATE('ESTADO CONTABLE'!$B$2,9,5),VLOOKUP($B405,COSTOS!$A$2:$B1014,2,FALSE)-150,VLOOKUP($B405,COSTOS!$A$2:$B1014,2,FALSE)),"No encontrado o error"))</f>
        <v/>
      </c>
      <c r="AC405" s="395"/>
      <c r="AD405" s="394"/>
      <c r="AE405" s="429" t="str">
        <f>IF(OR(ISBLANK($B405),ISBLANK($AD405)),"",IFERROR(IF($AD405&lt;=DATE('ESTADO CONTABLE'!$B$2,10,5),VLOOKUP($B405,COSTOS!$A$2:$B1014,2,FALSE)-150,VLOOKUP($B405,COSTOS!$A$2:$B1014,2,FALSE)),"No encontrado o error"))</f>
        <v/>
      </c>
      <c r="AF405" s="395"/>
      <c r="AG405" s="394"/>
      <c r="AH405" s="429" t="str">
        <f>IF(OR(ISBLANK($B405),ISBLANK($AG405)),"",IFERROR(IF($AG405&lt;=DATE('ESTADO CONTABLE'!$B$2,11,5),VLOOKUP($B405,COSTOS!$A$2:$B1014,2,FALSE)-150,VLOOKUP($B405,COSTOS!$A$2:$B1014,2,FALSE)),"No encontrado o error"))</f>
        <v/>
      </c>
      <c r="AI405" s="395"/>
      <c r="AJ405" s="394"/>
      <c r="AK405" s="429" t="str">
        <f>IF(OR(ISBLANK($B405),ISBLANK($AJ405)),"",IFERROR(IF($AJ405&lt;=DATE('ESTADO CONTABLE'!$B$2,12,5),VLOOKUP($B405,COSTOS!$A$2:$B1014,2,FALSE)-150,VLOOKUP($B405,COSTOS!$A$2:$B1014,2,FALSE)),"No encontrado o error"))</f>
        <v/>
      </c>
      <c r="AL405" s="395"/>
      <c r="AM405" s="254"/>
      <c r="AN405" s="255"/>
      <c r="AO405" s="256"/>
    </row>
    <row r="406" ht="22.5" customHeight="1">
      <c r="A406" s="431" t="str">
        <f>'BASE DE DATOSS'!A480</f>
        <v/>
      </c>
      <c r="B406" s="432" t="str">
        <f>'BASE DE DATOSS'!C480</f>
        <v/>
      </c>
      <c r="C406" s="263"/>
      <c r="D406" s="249"/>
      <c r="E406" s="250"/>
      <c r="F406" s="251"/>
      <c r="G406" s="262"/>
      <c r="H406" s="257"/>
      <c r="I406" s="249"/>
      <c r="J406" s="193" t="str">
        <f>IF(OR(ISBLANK($B406),ISBLANK($I406)),"",IFERROR(IF($I406&lt;=DATE('ESTADO CONTABLE'!$B$2,3,5),VLOOKUP($B406,COSTOS!$A$2:$B1014,2,FALSE)-150,VLOOKUP($B406,COSTOS!$A$2:$B1014,2,FALSE)),"No encontrado o error"))</f>
        <v/>
      </c>
      <c r="K406" s="264"/>
      <c r="L406" s="249"/>
      <c r="M406" s="189"/>
      <c r="N406" s="264"/>
      <c r="O406" s="249"/>
      <c r="P406" s="250"/>
      <c r="Q406" s="264"/>
      <c r="R406" s="249"/>
      <c r="S406" s="250"/>
      <c r="T406" s="264"/>
      <c r="U406" s="249"/>
      <c r="V406" s="250"/>
      <c r="W406" s="264"/>
      <c r="X406" s="394"/>
      <c r="Y406" s="429"/>
      <c r="Z406" s="395"/>
      <c r="AA406" s="394"/>
      <c r="AB406" s="118" t="str">
        <f>IF(OR(ISBLANK($B406),ISBLANK($AA406)),"",IFERROR(IF($AA406&lt;=DATE('ESTADO CONTABLE'!$B$2,9,5),VLOOKUP($B406,COSTOS!$A$2:$B1014,2,FALSE)-150,VLOOKUP($B406,COSTOS!$A$2:$B1014,2,FALSE)),"No encontrado o error"))</f>
        <v/>
      </c>
      <c r="AC406" s="395"/>
      <c r="AD406" s="394"/>
      <c r="AE406" s="429" t="str">
        <f>IF(OR(ISBLANK($B406),ISBLANK($AD406)),"",IFERROR(IF($AD406&lt;=DATE('ESTADO CONTABLE'!$B$2,10,5),VLOOKUP($B406,COSTOS!$A$2:$B1014,2,FALSE)-150,VLOOKUP($B406,COSTOS!$A$2:$B1014,2,FALSE)),"No encontrado o error"))</f>
        <v/>
      </c>
      <c r="AF406" s="395"/>
      <c r="AG406" s="394"/>
      <c r="AH406" s="429" t="str">
        <f>IF(OR(ISBLANK($B406),ISBLANK($AG406)),"",IFERROR(IF($AG406&lt;=DATE('ESTADO CONTABLE'!$B$2,11,5),VLOOKUP($B406,COSTOS!$A$2:$B1014,2,FALSE)-150,VLOOKUP($B406,COSTOS!$A$2:$B1014,2,FALSE)),"No encontrado o error"))</f>
        <v/>
      </c>
      <c r="AI406" s="395"/>
      <c r="AJ406" s="394"/>
      <c r="AK406" s="429" t="str">
        <f>IF(OR(ISBLANK($B406),ISBLANK($AJ406)),"",IFERROR(IF($AJ406&lt;=DATE('ESTADO CONTABLE'!$B$2,12,5),VLOOKUP($B406,COSTOS!$A$2:$B1014,2,FALSE)-150,VLOOKUP($B406,COSTOS!$A$2:$B1014,2,FALSE)),"No encontrado o error"))</f>
        <v/>
      </c>
      <c r="AL406" s="395"/>
      <c r="AM406" s="254"/>
      <c r="AN406" s="255"/>
      <c r="AO406" s="256"/>
    </row>
    <row r="407" ht="22.5" customHeight="1">
      <c r="A407" s="431" t="str">
        <f>'BASE DE DATOSS'!A481</f>
        <v/>
      </c>
      <c r="B407" s="432" t="str">
        <f>'BASE DE DATOSS'!C481</f>
        <v/>
      </c>
      <c r="C407" s="263"/>
      <c r="D407" s="249"/>
      <c r="E407" s="250"/>
      <c r="F407" s="251"/>
      <c r="G407" s="262"/>
      <c r="H407" s="257"/>
      <c r="I407" s="249"/>
      <c r="J407" s="193" t="str">
        <f>IF(OR(ISBLANK($B407),ISBLANK($I407)),"",IFERROR(IF($I407&lt;=DATE('ESTADO CONTABLE'!$B$2,3,5),VLOOKUP($B407,COSTOS!$A$2:$B1014,2,FALSE)-150,VLOOKUP($B407,COSTOS!$A$2:$B1014,2,FALSE)),"No encontrado o error"))</f>
        <v/>
      </c>
      <c r="K407" s="264"/>
      <c r="L407" s="249"/>
      <c r="M407" s="189"/>
      <c r="N407" s="264"/>
      <c r="O407" s="249"/>
      <c r="P407" s="250"/>
      <c r="Q407" s="264"/>
      <c r="R407" s="249"/>
      <c r="S407" s="250"/>
      <c r="T407" s="264"/>
      <c r="U407" s="249"/>
      <c r="V407" s="250"/>
      <c r="W407" s="264"/>
      <c r="X407" s="394"/>
      <c r="Y407" s="429"/>
      <c r="Z407" s="395"/>
      <c r="AA407" s="394"/>
      <c r="AB407" s="118" t="str">
        <f>IF(OR(ISBLANK($B407),ISBLANK($AA407)),"",IFERROR(IF($AA407&lt;=DATE('ESTADO CONTABLE'!$B$2,9,5),VLOOKUP($B407,COSTOS!$A$2:$B1014,2,FALSE)-150,VLOOKUP($B407,COSTOS!$A$2:$B1014,2,FALSE)),"No encontrado o error"))</f>
        <v/>
      </c>
      <c r="AC407" s="395"/>
      <c r="AD407" s="394"/>
      <c r="AE407" s="429" t="str">
        <f>IF(OR(ISBLANK($B407),ISBLANK($AD407)),"",IFERROR(IF($AD407&lt;=DATE('ESTADO CONTABLE'!$B$2,10,5),VLOOKUP($B407,COSTOS!$A$2:$B1014,2,FALSE)-150,VLOOKUP($B407,COSTOS!$A$2:$B1014,2,FALSE)),"No encontrado o error"))</f>
        <v/>
      </c>
      <c r="AF407" s="395"/>
      <c r="AG407" s="394"/>
      <c r="AH407" s="429" t="str">
        <f>IF(OR(ISBLANK($B407),ISBLANK($AG407)),"",IFERROR(IF($AG407&lt;=DATE('ESTADO CONTABLE'!$B$2,11,5),VLOOKUP($B407,COSTOS!$A$2:$B1014,2,FALSE)-150,VLOOKUP($B407,COSTOS!$A$2:$B1014,2,FALSE)),"No encontrado o error"))</f>
        <v/>
      </c>
      <c r="AI407" s="395"/>
      <c r="AJ407" s="394"/>
      <c r="AK407" s="429" t="str">
        <f>IF(OR(ISBLANK($B407),ISBLANK($AJ407)),"",IFERROR(IF($AJ407&lt;=DATE('ESTADO CONTABLE'!$B$2,12,5),VLOOKUP($B407,COSTOS!$A$2:$B1014,2,FALSE)-150,VLOOKUP($B407,COSTOS!$A$2:$B1014,2,FALSE)),"No encontrado o error"))</f>
        <v/>
      </c>
      <c r="AL407" s="395"/>
      <c r="AM407" s="254"/>
      <c r="AN407" s="255"/>
      <c r="AO407" s="256"/>
    </row>
    <row r="408" ht="22.5" customHeight="1">
      <c r="A408" s="431" t="str">
        <f>'BASE DE DATOSS'!A482</f>
        <v/>
      </c>
      <c r="B408" s="432" t="str">
        <f>'BASE DE DATOSS'!C482</f>
        <v/>
      </c>
      <c r="C408" s="263"/>
      <c r="D408" s="249"/>
      <c r="E408" s="250"/>
      <c r="F408" s="251"/>
      <c r="G408" s="262"/>
      <c r="H408" s="257"/>
      <c r="I408" s="249"/>
      <c r="J408" s="193" t="str">
        <f>IF(OR(ISBLANK($B408),ISBLANK($I408)),"",IFERROR(IF($I408&lt;=DATE('ESTADO CONTABLE'!$B$2,3,5),VLOOKUP($B408,COSTOS!$A$2:$B1014,2,FALSE)-150,VLOOKUP($B408,COSTOS!$A$2:$B1014,2,FALSE)),"No encontrado o error"))</f>
        <v/>
      </c>
      <c r="K408" s="264"/>
      <c r="L408" s="249"/>
      <c r="M408" s="189"/>
      <c r="N408" s="264"/>
      <c r="O408" s="249"/>
      <c r="P408" s="250"/>
      <c r="Q408" s="264"/>
      <c r="R408" s="249"/>
      <c r="S408" s="250"/>
      <c r="T408" s="264"/>
      <c r="U408" s="249"/>
      <c r="V408" s="250"/>
      <c r="W408" s="264"/>
      <c r="X408" s="394"/>
      <c r="Y408" s="429"/>
      <c r="Z408" s="395"/>
      <c r="AA408" s="394"/>
      <c r="AB408" s="118" t="str">
        <f>IF(OR(ISBLANK($B408),ISBLANK($AA408)),"",IFERROR(IF($AA408&lt;=DATE('ESTADO CONTABLE'!$B$2,9,5),VLOOKUP($B408,COSTOS!$A$2:$B1014,2,FALSE)-150,VLOOKUP($B408,COSTOS!$A$2:$B1014,2,FALSE)),"No encontrado o error"))</f>
        <v/>
      </c>
      <c r="AC408" s="395"/>
      <c r="AD408" s="394"/>
      <c r="AE408" s="429" t="str">
        <f>IF(OR(ISBLANK($B408),ISBLANK($AD408)),"",IFERROR(IF($AD408&lt;=DATE('ESTADO CONTABLE'!$B$2,10,5),VLOOKUP($B408,COSTOS!$A$2:$B1014,2,FALSE)-150,VLOOKUP($B408,COSTOS!$A$2:$B1014,2,FALSE)),"No encontrado o error"))</f>
        <v/>
      </c>
      <c r="AF408" s="395"/>
      <c r="AG408" s="394"/>
      <c r="AH408" s="429" t="str">
        <f>IF(OR(ISBLANK($B408),ISBLANK($AG408)),"",IFERROR(IF($AG408&lt;=DATE('ESTADO CONTABLE'!$B$2,11,5),VLOOKUP($B408,COSTOS!$A$2:$B1014,2,FALSE)-150,VLOOKUP($B408,COSTOS!$A$2:$B1014,2,FALSE)),"No encontrado o error"))</f>
        <v/>
      </c>
      <c r="AI408" s="395"/>
      <c r="AJ408" s="394"/>
      <c r="AK408" s="429" t="str">
        <f>IF(OR(ISBLANK($B408),ISBLANK($AJ408)),"",IFERROR(IF($AJ408&lt;=DATE('ESTADO CONTABLE'!$B$2,12,5),VLOOKUP($B408,COSTOS!$A$2:$B1014,2,FALSE)-150,VLOOKUP($B408,COSTOS!$A$2:$B1014,2,FALSE)),"No encontrado o error"))</f>
        <v/>
      </c>
      <c r="AL408" s="395"/>
      <c r="AM408" s="254"/>
      <c r="AN408" s="255"/>
      <c r="AO408" s="256"/>
    </row>
    <row r="409" ht="22.5" customHeight="1">
      <c r="A409" s="431" t="str">
        <f>'BASE DE DATOSS'!A483</f>
        <v/>
      </c>
      <c r="B409" s="432" t="str">
        <f>'BASE DE DATOSS'!C483</f>
        <v/>
      </c>
      <c r="C409" s="263"/>
      <c r="D409" s="249"/>
      <c r="E409" s="250"/>
      <c r="F409" s="251"/>
      <c r="G409" s="262"/>
      <c r="H409" s="257"/>
      <c r="I409" s="249"/>
      <c r="J409" s="193" t="str">
        <f>IF(OR(ISBLANK($B409),ISBLANK($I409)),"",IFERROR(IF($I409&lt;=DATE('ESTADO CONTABLE'!$B$2,3,5),VLOOKUP($B409,COSTOS!$A$2:$B1014,2,FALSE)-150,VLOOKUP($B409,COSTOS!$A$2:$B1014,2,FALSE)),"No encontrado o error"))</f>
        <v/>
      </c>
      <c r="K409" s="264"/>
      <c r="L409" s="249"/>
      <c r="M409" s="189"/>
      <c r="N409" s="264"/>
      <c r="O409" s="249"/>
      <c r="P409" s="250"/>
      <c r="Q409" s="264"/>
      <c r="R409" s="249"/>
      <c r="S409" s="250"/>
      <c r="T409" s="264"/>
      <c r="U409" s="249"/>
      <c r="V409" s="250"/>
      <c r="W409" s="264"/>
      <c r="X409" s="394"/>
      <c r="Y409" s="429"/>
      <c r="Z409" s="395"/>
      <c r="AA409" s="394"/>
      <c r="AB409" s="118" t="str">
        <f>IF(OR(ISBLANK($B409),ISBLANK($AA409)),"",IFERROR(IF($AA409&lt;=DATE('ESTADO CONTABLE'!$B$2,9,5),VLOOKUP($B409,COSTOS!$A$2:$B1014,2,FALSE)-150,VLOOKUP($B409,COSTOS!$A$2:$B1014,2,FALSE)),"No encontrado o error"))</f>
        <v/>
      </c>
      <c r="AC409" s="395"/>
      <c r="AD409" s="394"/>
      <c r="AE409" s="429" t="str">
        <f>IF(OR(ISBLANK($B409),ISBLANK($AD409)),"",IFERROR(IF($AD409&lt;=DATE('ESTADO CONTABLE'!$B$2,10,5),VLOOKUP($B409,COSTOS!$A$2:$B1014,2,FALSE)-150,VLOOKUP($B409,COSTOS!$A$2:$B1014,2,FALSE)),"No encontrado o error"))</f>
        <v/>
      </c>
      <c r="AF409" s="395"/>
      <c r="AG409" s="394"/>
      <c r="AH409" s="429" t="str">
        <f>IF(OR(ISBLANK($B409),ISBLANK($AG409)),"",IFERROR(IF($AG409&lt;=DATE('ESTADO CONTABLE'!$B$2,11,5),VLOOKUP($B409,COSTOS!$A$2:$B1014,2,FALSE)-150,VLOOKUP($B409,COSTOS!$A$2:$B1014,2,FALSE)),"No encontrado o error"))</f>
        <v/>
      </c>
      <c r="AI409" s="395"/>
      <c r="AJ409" s="394"/>
      <c r="AK409" s="429" t="str">
        <f>IF(OR(ISBLANK($B409),ISBLANK($AJ409)),"",IFERROR(IF($AJ409&lt;=DATE('ESTADO CONTABLE'!$B$2,12,5),VLOOKUP($B409,COSTOS!$A$2:$B1014,2,FALSE)-150,VLOOKUP($B409,COSTOS!$A$2:$B1014,2,FALSE)),"No encontrado o error"))</f>
        <v/>
      </c>
      <c r="AL409" s="395"/>
      <c r="AM409" s="254"/>
      <c r="AN409" s="255"/>
      <c r="AO409" s="256"/>
    </row>
    <row r="410" ht="22.5" customHeight="1">
      <c r="A410" s="431" t="str">
        <f>'BASE DE DATOSS'!A484</f>
        <v/>
      </c>
      <c r="B410" s="432" t="str">
        <f>'BASE DE DATOSS'!C484</f>
        <v/>
      </c>
      <c r="C410" s="263"/>
      <c r="D410" s="249"/>
      <c r="E410" s="250"/>
      <c r="F410" s="251"/>
      <c r="G410" s="262"/>
      <c r="H410" s="257"/>
      <c r="I410" s="249"/>
      <c r="J410" s="193" t="str">
        <f>IF(OR(ISBLANK($B410),ISBLANK($I410)),"",IFERROR(IF($I410&lt;=DATE('ESTADO CONTABLE'!$B$2,3,5),VLOOKUP($B410,COSTOS!$A$2:$B1014,2,FALSE)-150,VLOOKUP($B410,COSTOS!$A$2:$B1014,2,FALSE)),"No encontrado o error"))</f>
        <v/>
      </c>
      <c r="K410" s="264"/>
      <c r="L410" s="249"/>
      <c r="M410" s="189"/>
      <c r="N410" s="264"/>
      <c r="O410" s="249"/>
      <c r="P410" s="250"/>
      <c r="Q410" s="264"/>
      <c r="R410" s="249"/>
      <c r="S410" s="250"/>
      <c r="T410" s="264"/>
      <c r="U410" s="249"/>
      <c r="V410" s="250"/>
      <c r="W410" s="264"/>
      <c r="X410" s="394"/>
      <c r="Y410" s="429"/>
      <c r="Z410" s="395"/>
      <c r="AA410" s="394"/>
      <c r="AB410" s="118" t="str">
        <f>IF(OR(ISBLANK($B410),ISBLANK($AA410)),"",IFERROR(IF($AA410&lt;=DATE('ESTADO CONTABLE'!$B$2,9,5),VLOOKUP($B410,COSTOS!$A$2:$B1014,2,FALSE)-150,VLOOKUP($B410,COSTOS!$A$2:$B1014,2,FALSE)),"No encontrado o error"))</f>
        <v/>
      </c>
      <c r="AC410" s="395"/>
      <c r="AD410" s="394"/>
      <c r="AE410" s="429" t="str">
        <f>IF(OR(ISBLANK($B410),ISBLANK($AD410)),"",IFERROR(IF($AD410&lt;=DATE('ESTADO CONTABLE'!$B$2,10,5),VLOOKUP($B410,COSTOS!$A$2:$B1014,2,FALSE)-150,VLOOKUP($B410,COSTOS!$A$2:$B1014,2,FALSE)),"No encontrado o error"))</f>
        <v/>
      </c>
      <c r="AF410" s="395"/>
      <c r="AG410" s="394"/>
      <c r="AH410" s="429" t="str">
        <f>IF(OR(ISBLANK($B410),ISBLANK($AG410)),"",IFERROR(IF($AG410&lt;=DATE('ESTADO CONTABLE'!$B$2,11,5),VLOOKUP($B410,COSTOS!$A$2:$B1014,2,FALSE)-150,VLOOKUP($B410,COSTOS!$A$2:$B1014,2,FALSE)),"No encontrado o error"))</f>
        <v/>
      </c>
      <c r="AI410" s="395"/>
      <c r="AJ410" s="394"/>
      <c r="AK410" s="429" t="str">
        <f>IF(OR(ISBLANK($B410),ISBLANK($AJ410)),"",IFERROR(IF($AJ410&lt;=DATE('ESTADO CONTABLE'!$B$2,12,5),VLOOKUP($B410,COSTOS!$A$2:$B1014,2,FALSE)-150,VLOOKUP($B410,COSTOS!$A$2:$B1014,2,FALSE)),"No encontrado o error"))</f>
        <v/>
      </c>
      <c r="AL410" s="395"/>
      <c r="AM410" s="254"/>
      <c r="AN410" s="255"/>
      <c r="AO410" s="256"/>
    </row>
    <row r="411" ht="22.5" customHeight="1">
      <c r="A411" s="431" t="str">
        <f>'BASE DE DATOSS'!A485</f>
        <v/>
      </c>
      <c r="B411" s="432" t="str">
        <f>'BASE DE DATOSS'!C485</f>
        <v/>
      </c>
      <c r="C411" s="263"/>
      <c r="D411" s="249"/>
      <c r="E411" s="250"/>
      <c r="F411" s="251"/>
      <c r="G411" s="262"/>
      <c r="H411" s="257"/>
      <c r="I411" s="249"/>
      <c r="J411" s="193" t="str">
        <f>IF(OR(ISBLANK($B411),ISBLANK($I411)),"",IFERROR(IF($I411&lt;=DATE('ESTADO CONTABLE'!$B$2,3,5),VLOOKUP($B411,COSTOS!$A$2:$B1014,2,FALSE)-150,VLOOKUP($B411,COSTOS!$A$2:$B1014,2,FALSE)),"No encontrado o error"))</f>
        <v/>
      </c>
      <c r="K411" s="264"/>
      <c r="L411" s="249"/>
      <c r="M411" s="189"/>
      <c r="N411" s="264"/>
      <c r="O411" s="249"/>
      <c r="P411" s="250"/>
      <c r="Q411" s="264"/>
      <c r="R411" s="249"/>
      <c r="S411" s="250"/>
      <c r="T411" s="264"/>
      <c r="U411" s="249"/>
      <c r="V411" s="250"/>
      <c r="W411" s="264"/>
      <c r="X411" s="394"/>
      <c r="Y411" s="429"/>
      <c r="Z411" s="395"/>
      <c r="AA411" s="394"/>
      <c r="AB411" s="118" t="str">
        <f>IF(OR(ISBLANK($B411),ISBLANK($AA411)),"",IFERROR(IF($AA411&lt;=DATE('ESTADO CONTABLE'!$B$2,9,5),VLOOKUP($B411,COSTOS!$A$2:$B1014,2,FALSE)-150,VLOOKUP($B411,COSTOS!$A$2:$B1014,2,FALSE)),"No encontrado o error"))</f>
        <v/>
      </c>
      <c r="AC411" s="395"/>
      <c r="AD411" s="394"/>
      <c r="AE411" s="429" t="str">
        <f>IF(OR(ISBLANK($B411),ISBLANK($AD411)),"",IFERROR(IF($AD411&lt;=DATE('ESTADO CONTABLE'!$B$2,10,5),VLOOKUP($B411,COSTOS!$A$2:$B1014,2,FALSE)-150,VLOOKUP($B411,COSTOS!$A$2:$B1014,2,FALSE)),"No encontrado o error"))</f>
        <v/>
      </c>
      <c r="AF411" s="395"/>
      <c r="AG411" s="394"/>
      <c r="AH411" s="429" t="str">
        <f>IF(OR(ISBLANK($B411),ISBLANK($AG411)),"",IFERROR(IF($AG411&lt;=DATE('ESTADO CONTABLE'!$B$2,11,5),VLOOKUP($B411,COSTOS!$A$2:$B1014,2,FALSE)-150,VLOOKUP($B411,COSTOS!$A$2:$B1014,2,FALSE)),"No encontrado o error"))</f>
        <v/>
      </c>
      <c r="AI411" s="395"/>
      <c r="AJ411" s="394"/>
      <c r="AK411" s="429" t="str">
        <f>IF(OR(ISBLANK($B411),ISBLANK($AJ411)),"",IFERROR(IF($AJ411&lt;=DATE('ESTADO CONTABLE'!$B$2,12,5),VLOOKUP($B411,COSTOS!$A$2:$B1014,2,FALSE)-150,VLOOKUP($B411,COSTOS!$A$2:$B1014,2,FALSE)),"No encontrado o error"))</f>
        <v/>
      </c>
      <c r="AL411" s="395"/>
      <c r="AM411" s="254"/>
      <c r="AN411" s="255"/>
      <c r="AO411" s="256"/>
    </row>
    <row r="412" ht="22.5" customHeight="1">
      <c r="A412" s="431" t="str">
        <f>'BASE DE DATOSS'!A486</f>
        <v/>
      </c>
      <c r="B412" s="432" t="str">
        <f>'BASE DE DATOSS'!C486</f>
        <v/>
      </c>
      <c r="C412" s="263"/>
      <c r="D412" s="249"/>
      <c r="E412" s="250"/>
      <c r="F412" s="251"/>
      <c r="G412" s="262"/>
      <c r="H412" s="257"/>
      <c r="I412" s="249"/>
      <c r="J412" s="193" t="str">
        <f>IF(OR(ISBLANK($B412),ISBLANK($I412)),"",IFERROR(IF($I412&lt;=DATE('ESTADO CONTABLE'!$B$2,3,5),VLOOKUP($B412,COSTOS!$A$2:$B1014,2,FALSE)-150,VLOOKUP($B412,COSTOS!$A$2:$B1014,2,FALSE)),"No encontrado o error"))</f>
        <v/>
      </c>
      <c r="K412" s="264"/>
      <c r="L412" s="249"/>
      <c r="M412" s="189"/>
      <c r="N412" s="264"/>
      <c r="O412" s="249"/>
      <c r="P412" s="250"/>
      <c r="Q412" s="264"/>
      <c r="R412" s="249"/>
      <c r="S412" s="250"/>
      <c r="T412" s="264"/>
      <c r="U412" s="249"/>
      <c r="V412" s="250"/>
      <c r="W412" s="264"/>
      <c r="X412" s="394"/>
      <c r="Y412" s="429"/>
      <c r="Z412" s="395"/>
      <c r="AA412" s="394"/>
      <c r="AB412" s="118" t="str">
        <f>IF(OR(ISBLANK($B412),ISBLANK($AA412)),"",IFERROR(IF($AA412&lt;=DATE('ESTADO CONTABLE'!$B$2,9,5),VLOOKUP($B412,COSTOS!$A$2:$B1014,2,FALSE)-150,VLOOKUP($B412,COSTOS!$A$2:$B1014,2,FALSE)),"No encontrado o error"))</f>
        <v/>
      </c>
      <c r="AC412" s="395"/>
      <c r="AD412" s="394"/>
      <c r="AE412" s="429" t="str">
        <f>IF(OR(ISBLANK($B412),ISBLANK($AD412)),"",IFERROR(IF($AD412&lt;=DATE('ESTADO CONTABLE'!$B$2,10,5),VLOOKUP($B412,COSTOS!$A$2:$B1014,2,FALSE)-150,VLOOKUP($B412,COSTOS!$A$2:$B1014,2,FALSE)),"No encontrado o error"))</f>
        <v/>
      </c>
      <c r="AF412" s="395"/>
      <c r="AG412" s="394"/>
      <c r="AH412" s="429" t="str">
        <f>IF(OR(ISBLANK($B412),ISBLANK($AG412)),"",IFERROR(IF($AG412&lt;=DATE('ESTADO CONTABLE'!$B$2,11,5),VLOOKUP($B412,COSTOS!$A$2:$B1014,2,FALSE)-150,VLOOKUP($B412,COSTOS!$A$2:$B1014,2,FALSE)),"No encontrado o error"))</f>
        <v/>
      </c>
      <c r="AI412" s="395"/>
      <c r="AJ412" s="394"/>
      <c r="AK412" s="429" t="str">
        <f>IF(OR(ISBLANK($B412),ISBLANK($AJ412)),"",IFERROR(IF($AJ412&lt;=DATE('ESTADO CONTABLE'!$B$2,12,5),VLOOKUP($B412,COSTOS!$A$2:$B1014,2,FALSE)-150,VLOOKUP($B412,COSTOS!$A$2:$B1014,2,FALSE)),"No encontrado o error"))</f>
        <v/>
      </c>
      <c r="AL412" s="395"/>
      <c r="AM412" s="254"/>
      <c r="AN412" s="255"/>
      <c r="AO412" s="256"/>
    </row>
    <row r="413" ht="22.5" customHeight="1">
      <c r="A413" s="431" t="str">
        <f>'BASE DE DATOSS'!A487</f>
        <v/>
      </c>
      <c r="B413" s="432" t="str">
        <f>'BASE DE DATOSS'!C487</f>
        <v/>
      </c>
      <c r="C413" s="263"/>
      <c r="D413" s="249"/>
      <c r="E413" s="250"/>
      <c r="F413" s="251"/>
      <c r="G413" s="262"/>
      <c r="H413" s="257"/>
      <c r="I413" s="249"/>
      <c r="J413" s="193" t="str">
        <f>IF(OR(ISBLANK($B413),ISBLANK($I413)),"",IFERROR(IF($I413&lt;=DATE('ESTADO CONTABLE'!$B$2,3,5),VLOOKUP($B413,COSTOS!$A$2:$B1014,2,FALSE)-150,VLOOKUP($B413,COSTOS!$A$2:$B1014,2,FALSE)),"No encontrado o error"))</f>
        <v/>
      </c>
      <c r="K413" s="264"/>
      <c r="L413" s="249"/>
      <c r="M413" s="189"/>
      <c r="N413" s="264"/>
      <c r="O413" s="249"/>
      <c r="P413" s="250"/>
      <c r="Q413" s="264"/>
      <c r="R413" s="249"/>
      <c r="S413" s="250"/>
      <c r="T413" s="264"/>
      <c r="U413" s="249"/>
      <c r="V413" s="250"/>
      <c r="W413" s="264"/>
      <c r="X413" s="394"/>
      <c r="Y413" s="429"/>
      <c r="Z413" s="395"/>
      <c r="AA413" s="394"/>
      <c r="AB413" s="118" t="str">
        <f>IF(OR(ISBLANK($B413),ISBLANK($AA413)),"",IFERROR(IF($AA413&lt;=DATE('ESTADO CONTABLE'!$B$2,9,5),VLOOKUP($B413,COSTOS!$A$2:$B1014,2,FALSE)-150,VLOOKUP($B413,COSTOS!$A$2:$B1014,2,FALSE)),"No encontrado o error"))</f>
        <v/>
      </c>
      <c r="AC413" s="395"/>
      <c r="AD413" s="394"/>
      <c r="AE413" s="429" t="str">
        <f>IF(OR(ISBLANK($B413),ISBLANK($AD413)),"",IFERROR(IF($AD413&lt;=DATE('ESTADO CONTABLE'!$B$2,10,5),VLOOKUP($B413,COSTOS!$A$2:$B1014,2,FALSE)-150,VLOOKUP($B413,COSTOS!$A$2:$B1014,2,FALSE)),"No encontrado o error"))</f>
        <v/>
      </c>
      <c r="AF413" s="395"/>
      <c r="AG413" s="394"/>
      <c r="AH413" s="429" t="str">
        <f>IF(OR(ISBLANK($B413),ISBLANK($AG413)),"",IFERROR(IF($AG413&lt;=DATE('ESTADO CONTABLE'!$B$2,11,5),VLOOKUP($B413,COSTOS!$A$2:$B1014,2,FALSE)-150,VLOOKUP($B413,COSTOS!$A$2:$B1014,2,FALSE)),"No encontrado o error"))</f>
        <v/>
      </c>
      <c r="AI413" s="395"/>
      <c r="AJ413" s="394"/>
      <c r="AK413" s="429" t="str">
        <f>IF(OR(ISBLANK($B413),ISBLANK($AJ413)),"",IFERROR(IF($AJ413&lt;=DATE('ESTADO CONTABLE'!$B$2,12,5),VLOOKUP($B413,COSTOS!$A$2:$B1014,2,FALSE)-150,VLOOKUP($B413,COSTOS!$A$2:$B1014,2,FALSE)),"No encontrado o error"))</f>
        <v/>
      </c>
      <c r="AL413" s="395"/>
      <c r="AM413" s="254"/>
      <c r="AN413" s="255"/>
      <c r="AO413" s="256"/>
    </row>
    <row r="414" ht="22.5" customHeight="1">
      <c r="A414" s="431" t="str">
        <f>'BASE DE DATOSS'!A488</f>
        <v/>
      </c>
      <c r="B414" s="432" t="str">
        <f>'BASE DE DATOSS'!C488</f>
        <v/>
      </c>
      <c r="C414" s="263"/>
      <c r="D414" s="249"/>
      <c r="E414" s="250"/>
      <c r="F414" s="251"/>
      <c r="G414" s="262"/>
      <c r="H414" s="257"/>
      <c r="I414" s="249"/>
      <c r="J414" s="193" t="str">
        <f>IF(OR(ISBLANK($B414),ISBLANK($I414)),"",IFERROR(IF($I414&lt;=DATE('ESTADO CONTABLE'!$B$2,3,5),VLOOKUP($B414,COSTOS!$A$2:$B1014,2,FALSE)-150,VLOOKUP($B414,COSTOS!$A$2:$B1014,2,FALSE)),"No encontrado o error"))</f>
        <v/>
      </c>
      <c r="K414" s="264"/>
      <c r="L414" s="249"/>
      <c r="M414" s="189"/>
      <c r="N414" s="264"/>
      <c r="O414" s="249"/>
      <c r="P414" s="250"/>
      <c r="Q414" s="264"/>
      <c r="R414" s="249"/>
      <c r="S414" s="250"/>
      <c r="T414" s="264"/>
      <c r="U414" s="249"/>
      <c r="V414" s="250"/>
      <c r="W414" s="264"/>
      <c r="X414" s="394"/>
      <c r="Y414" s="429"/>
      <c r="Z414" s="395"/>
      <c r="AA414" s="394"/>
      <c r="AB414" s="118" t="str">
        <f>IF(OR(ISBLANK($B414),ISBLANK($AA414)),"",IFERROR(IF($AA414&lt;=DATE('ESTADO CONTABLE'!$B$2,9,5),VLOOKUP($B414,COSTOS!$A$2:$B1014,2,FALSE)-150,VLOOKUP($B414,COSTOS!$A$2:$B1014,2,FALSE)),"No encontrado o error"))</f>
        <v/>
      </c>
      <c r="AC414" s="395"/>
      <c r="AD414" s="394"/>
      <c r="AE414" s="429" t="str">
        <f>IF(OR(ISBLANK($B414),ISBLANK($AD414)),"",IFERROR(IF($AD414&lt;=DATE('ESTADO CONTABLE'!$B$2,10,5),VLOOKUP($B414,COSTOS!$A$2:$B1014,2,FALSE)-150,VLOOKUP($B414,COSTOS!$A$2:$B1014,2,FALSE)),"No encontrado o error"))</f>
        <v/>
      </c>
      <c r="AF414" s="395"/>
      <c r="AG414" s="394"/>
      <c r="AH414" s="429" t="str">
        <f>IF(OR(ISBLANK($B414),ISBLANK($AG414)),"",IFERROR(IF($AG414&lt;=DATE('ESTADO CONTABLE'!$B$2,11,5),VLOOKUP($B414,COSTOS!$A$2:$B1014,2,FALSE)-150,VLOOKUP($B414,COSTOS!$A$2:$B1014,2,FALSE)),"No encontrado o error"))</f>
        <v/>
      </c>
      <c r="AI414" s="395"/>
      <c r="AJ414" s="394"/>
      <c r="AK414" s="429" t="str">
        <f>IF(OR(ISBLANK($B414),ISBLANK($AJ414)),"",IFERROR(IF($AJ414&lt;=DATE('ESTADO CONTABLE'!$B$2,12,5),VLOOKUP($B414,COSTOS!$A$2:$B1014,2,FALSE)-150,VLOOKUP($B414,COSTOS!$A$2:$B1014,2,FALSE)),"No encontrado o error"))</f>
        <v/>
      </c>
      <c r="AL414" s="395"/>
      <c r="AM414" s="254"/>
      <c r="AN414" s="255"/>
      <c r="AO414" s="256"/>
    </row>
    <row r="415" ht="22.5" customHeight="1">
      <c r="A415" s="431" t="str">
        <f>'BASE DE DATOSS'!A489</f>
        <v/>
      </c>
      <c r="B415" s="432" t="str">
        <f>'BASE DE DATOSS'!C489</f>
        <v/>
      </c>
      <c r="C415" s="263"/>
      <c r="D415" s="249"/>
      <c r="E415" s="250"/>
      <c r="F415" s="251"/>
      <c r="G415" s="262"/>
      <c r="H415" s="257"/>
      <c r="I415" s="249"/>
      <c r="J415" s="193" t="str">
        <f>IF(OR(ISBLANK($B415),ISBLANK($I415)),"",IFERROR(IF($I415&lt;=DATE('ESTADO CONTABLE'!$B$2,3,5),VLOOKUP($B415,COSTOS!$A$2:$B1014,2,FALSE)-150,VLOOKUP($B415,COSTOS!$A$2:$B1014,2,FALSE)),"No encontrado o error"))</f>
        <v/>
      </c>
      <c r="K415" s="264"/>
      <c r="L415" s="249"/>
      <c r="M415" s="189"/>
      <c r="N415" s="264"/>
      <c r="O415" s="249"/>
      <c r="P415" s="250"/>
      <c r="Q415" s="264"/>
      <c r="R415" s="249"/>
      <c r="S415" s="250"/>
      <c r="T415" s="264"/>
      <c r="U415" s="249"/>
      <c r="V415" s="250"/>
      <c r="W415" s="264"/>
      <c r="X415" s="394"/>
      <c r="Y415" s="429"/>
      <c r="Z415" s="395"/>
      <c r="AA415" s="394"/>
      <c r="AB415" s="118" t="str">
        <f>IF(OR(ISBLANK($B415),ISBLANK($AA415)),"",IFERROR(IF($AA415&lt;=DATE('ESTADO CONTABLE'!$B$2,9,5),VLOOKUP($B415,COSTOS!$A$2:$B1014,2,FALSE)-150,VLOOKUP($B415,COSTOS!$A$2:$B1014,2,FALSE)),"No encontrado o error"))</f>
        <v/>
      </c>
      <c r="AC415" s="395"/>
      <c r="AD415" s="394"/>
      <c r="AE415" s="429" t="str">
        <f>IF(OR(ISBLANK($B415),ISBLANK($AD415)),"",IFERROR(IF($AD415&lt;=DATE('ESTADO CONTABLE'!$B$2,10,5),VLOOKUP($B415,COSTOS!$A$2:$B1014,2,FALSE)-150,VLOOKUP($B415,COSTOS!$A$2:$B1014,2,FALSE)),"No encontrado o error"))</f>
        <v/>
      </c>
      <c r="AF415" s="395"/>
      <c r="AG415" s="394"/>
      <c r="AH415" s="429" t="str">
        <f>IF(OR(ISBLANK($B415),ISBLANK($AG415)),"",IFERROR(IF($AG415&lt;=DATE('ESTADO CONTABLE'!$B$2,11,5),VLOOKUP($B415,COSTOS!$A$2:$B1014,2,FALSE)-150,VLOOKUP($B415,COSTOS!$A$2:$B1014,2,FALSE)),"No encontrado o error"))</f>
        <v/>
      </c>
      <c r="AI415" s="395"/>
      <c r="AJ415" s="394"/>
      <c r="AK415" s="429" t="str">
        <f>IF(OR(ISBLANK($B415),ISBLANK($AJ415)),"",IFERROR(IF($AJ415&lt;=DATE('ESTADO CONTABLE'!$B$2,12,5),VLOOKUP($B415,COSTOS!$A$2:$B1014,2,FALSE)-150,VLOOKUP($B415,COSTOS!$A$2:$B1014,2,FALSE)),"No encontrado o error"))</f>
        <v/>
      </c>
      <c r="AL415" s="395"/>
      <c r="AM415" s="254"/>
      <c r="AN415" s="255"/>
      <c r="AO415" s="256"/>
    </row>
    <row r="416" ht="22.5" customHeight="1">
      <c r="A416" s="431" t="str">
        <f>'BASE DE DATOSS'!A490</f>
        <v/>
      </c>
      <c r="B416" s="432" t="str">
        <f>'BASE DE DATOSS'!C490</f>
        <v/>
      </c>
      <c r="C416" s="263"/>
      <c r="D416" s="249"/>
      <c r="E416" s="250"/>
      <c r="F416" s="251"/>
      <c r="G416" s="262"/>
      <c r="H416" s="257"/>
      <c r="I416" s="249"/>
      <c r="J416" s="193" t="str">
        <f>IF(OR(ISBLANK($B416),ISBLANK($I416)),"",IFERROR(IF($I416&lt;=DATE('ESTADO CONTABLE'!$B$2,3,5),VLOOKUP($B416,COSTOS!$A$2:$B1014,2,FALSE)-150,VLOOKUP($B416,COSTOS!$A$2:$B1014,2,FALSE)),"No encontrado o error"))</f>
        <v/>
      </c>
      <c r="K416" s="264"/>
      <c r="L416" s="249"/>
      <c r="M416" s="189"/>
      <c r="N416" s="264"/>
      <c r="O416" s="249"/>
      <c r="P416" s="250"/>
      <c r="Q416" s="264"/>
      <c r="R416" s="249"/>
      <c r="S416" s="250"/>
      <c r="T416" s="264"/>
      <c r="U416" s="249"/>
      <c r="V416" s="250"/>
      <c r="W416" s="264"/>
      <c r="X416" s="394"/>
      <c r="Y416" s="429"/>
      <c r="Z416" s="395"/>
      <c r="AA416" s="394"/>
      <c r="AB416" s="118" t="str">
        <f>IF(OR(ISBLANK($B416),ISBLANK($AA416)),"",IFERROR(IF($AA416&lt;=DATE('ESTADO CONTABLE'!$B$2,9,5),VLOOKUP($B416,COSTOS!$A$2:$B1014,2,FALSE)-150,VLOOKUP($B416,COSTOS!$A$2:$B1014,2,FALSE)),"No encontrado o error"))</f>
        <v/>
      </c>
      <c r="AC416" s="395"/>
      <c r="AD416" s="394"/>
      <c r="AE416" s="429" t="str">
        <f>IF(OR(ISBLANK($B416),ISBLANK($AD416)),"",IFERROR(IF($AD416&lt;=DATE('ESTADO CONTABLE'!$B$2,10,5),VLOOKUP($B416,COSTOS!$A$2:$B1014,2,FALSE)-150,VLOOKUP($B416,COSTOS!$A$2:$B1014,2,FALSE)),"No encontrado o error"))</f>
        <v/>
      </c>
      <c r="AF416" s="395"/>
      <c r="AG416" s="394"/>
      <c r="AH416" s="429" t="str">
        <f>IF(OR(ISBLANK($B416),ISBLANK($AG416)),"",IFERROR(IF($AG416&lt;=DATE('ESTADO CONTABLE'!$B$2,11,5),VLOOKUP($B416,COSTOS!$A$2:$B1014,2,FALSE)-150,VLOOKUP($B416,COSTOS!$A$2:$B1014,2,FALSE)),"No encontrado o error"))</f>
        <v/>
      </c>
      <c r="AI416" s="395"/>
      <c r="AJ416" s="394"/>
      <c r="AK416" s="429" t="str">
        <f>IF(OR(ISBLANK($B416),ISBLANK($AJ416)),"",IFERROR(IF($AJ416&lt;=DATE('ESTADO CONTABLE'!$B$2,12,5),VLOOKUP($B416,COSTOS!$A$2:$B1014,2,FALSE)-150,VLOOKUP($B416,COSTOS!$A$2:$B1014,2,FALSE)),"No encontrado o error"))</f>
        <v/>
      </c>
      <c r="AL416" s="395"/>
      <c r="AM416" s="254"/>
      <c r="AN416" s="255"/>
      <c r="AO416" s="256"/>
    </row>
    <row r="417" ht="22.5" customHeight="1">
      <c r="A417" s="431" t="str">
        <f>'BASE DE DATOSS'!A491</f>
        <v/>
      </c>
      <c r="B417" s="432" t="str">
        <f>'BASE DE DATOSS'!C491</f>
        <v/>
      </c>
      <c r="C417" s="263"/>
      <c r="D417" s="249"/>
      <c r="E417" s="250"/>
      <c r="F417" s="251"/>
      <c r="G417" s="262"/>
      <c r="H417" s="257"/>
      <c r="I417" s="249"/>
      <c r="J417" s="193" t="str">
        <f>IF(OR(ISBLANK($B417),ISBLANK($I417)),"",IFERROR(IF($I417&lt;=DATE('ESTADO CONTABLE'!$B$2,3,5),VLOOKUP($B417,COSTOS!$A$2:$B1014,2,FALSE)-150,VLOOKUP($B417,COSTOS!$A$2:$B1014,2,FALSE)),"No encontrado o error"))</f>
        <v/>
      </c>
      <c r="K417" s="264"/>
      <c r="L417" s="249"/>
      <c r="M417" s="189"/>
      <c r="N417" s="264"/>
      <c r="O417" s="249"/>
      <c r="P417" s="250"/>
      <c r="Q417" s="264"/>
      <c r="R417" s="249"/>
      <c r="S417" s="250"/>
      <c r="T417" s="264"/>
      <c r="U417" s="249"/>
      <c r="V417" s="250"/>
      <c r="W417" s="264"/>
      <c r="X417" s="394"/>
      <c r="Y417" s="429"/>
      <c r="Z417" s="395"/>
      <c r="AA417" s="394"/>
      <c r="AB417" s="118" t="str">
        <f>IF(OR(ISBLANK($B417),ISBLANK($AA417)),"",IFERROR(IF($AA417&lt;=DATE('ESTADO CONTABLE'!$B$2,9,5),VLOOKUP($B417,COSTOS!$A$2:$B1014,2,FALSE)-150,VLOOKUP($B417,COSTOS!$A$2:$B1014,2,FALSE)),"No encontrado o error"))</f>
        <v/>
      </c>
      <c r="AC417" s="395"/>
      <c r="AD417" s="394"/>
      <c r="AE417" s="429" t="str">
        <f>IF(OR(ISBLANK($B417),ISBLANK($AD417)),"",IFERROR(IF($AD417&lt;=DATE('ESTADO CONTABLE'!$B$2,10,5),VLOOKUP($B417,COSTOS!$A$2:$B1014,2,FALSE)-150,VLOOKUP($B417,COSTOS!$A$2:$B1014,2,FALSE)),"No encontrado o error"))</f>
        <v/>
      </c>
      <c r="AF417" s="395"/>
      <c r="AG417" s="394"/>
      <c r="AH417" s="429" t="str">
        <f>IF(OR(ISBLANK($B417),ISBLANK($AG417)),"",IFERROR(IF($AG417&lt;=DATE('ESTADO CONTABLE'!$B$2,11,5),VLOOKUP($B417,COSTOS!$A$2:$B1014,2,FALSE)-150,VLOOKUP($B417,COSTOS!$A$2:$B1014,2,FALSE)),"No encontrado o error"))</f>
        <v/>
      </c>
      <c r="AI417" s="395"/>
      <c r="AJ417" s="394"/>
      <c r="AK417" s="429" t="str">
        <f>IF(OR(ISBLANK($B417),ISBLANK($AJ417)),"",IFERROR(IF($AJ417&lt;=DATE('ESTADO CONTABLE'!$B$2,12,5),VLOOKUP($B417,COSTOS!$A$2:$B1014,2,FALSE)-150,VLOOKUP($B417,COSTOS!$A$2:$B1014,2,FALSE)),"No encontrado o error"))</f>
        <v/>
      </c>
      <c r="AL417" s="395"/>
      <c r="AM417" s="254"/>
      <c r="AN417" s="255"/>
      <c r="AO417" s="256"/>
    </row>
    <row r="418" ht="22.5" customHeight="1">
      <c r="A418" s="431" t="str">
        <f>'BASE DE DATOSS'!A492</f>
        <v/>
      </c>
      <c r="B418" s="432" t="str">
        <f>'BASE DE DATOSS'!C492</f>
        <v/>
      </c>
      <c r="C418" s="263"/>
      <c r="D418" s="249"/>
      <c r="E418" s="250"/>
      <c r="F418" s="251"/>
      <c r="G418" s="262"/>
      <c r="H418" s="257"/>
      <c r="I418" s="249"/>
      <c r="J418" s="193" t="str">
        <f>IF(OR(ISBLANK($B418),ISBLANK($I418)),"",IFERROR(IF($I418&lt;=DATE('ESTADO CONTABLE'!$B$2,3,5),VLOOKUP($B418,COSTOS!$A$2:$B1014,2,FALSE)-150,VLOOKUP($B418,COSTOS!$A$2:$B1014,2,FALSE)),"No encontrado o error"))</f>
        <v/>
      </c>
      <c r="K418" s="264"/>
      <c r="L418" s="249"/>
      <c r="M418" s="189"/>
      <c r="N418" s="264"/>
      <c r="O418" s="249"/>
      <c r="P418" s="250"/>
      <c r="Q418" s="264"/>
      <c r="R418" s="249"/>
      <c r="S418" s="250"/>
      <c r="T418" s="264"/>
      <c r="U418" s="249"/>
      <c r="V418" s="250"/>
      <c r="W418" s="264"/>
      <c r="X418" s="394"/>
      <c r="Y418" s="429"/>
      <c r="Z418" s="395"/>
      <c r="AA418" s="394"/>
      <c r="AB418" s="118" t="str">
        <f>IF(OR(ISBLANK($B418),ISBLANK($AA418)),"",IFERROR(IF($AA418&lt;=DATE('ESTADO CONTABLE'!$B$2,9,5),VLOOKUP($B418,COSTOS!$A$2:$B1014,2,FALSE)-150,VLOOKUP($B418,COSTOS!$A$2:$B1014,2,FALSE)),"No encontrado o error"))</f>
        <v/>
      </c>
      <c r="AC418" s="395"/>
      <c r="AD418" s="394"/>
      <c r="AE418" s="429" t="str">
        <f>IF(OR(ISBLANK($B418),ISBLANK($AD418)),"",IFERROR(IF($AD418&lt;=DATE('ESTADO CONTABLE'!$B$2,10,5),VLOOKUP($B418,COSTOS!$A$2:$B1014,2,FALSE)-150,VLOOKUP($B418,COSTOS!$A$2:$B1014,2,FALSE)),"No encontrado o error"))</f>
        <v/>
      </c>
      <c r="AF418" s="395"/>
      <c r="AG418" s="394"/>
      <c r="AH418" s="429" t="str">
        <f>IF(OR(ISBLANK($B418),ISBLANK($AG418)),"",IFERROR(IF($AG418&lt;=DATE('ESTADO CONTABLE'!$B$2,11,5),VLOOKUP($B418,COSTOS!$A$2:$B1014,2,FALSE)-150,VLOOKUP($B418,COSTOS!$A$2:$B1014,2,FALSE)),"No encontrado o error"))</f>
        <v/>
      </c>
      <c r="AI418" s="395"/>
      <c r="AJ418" s="394"/>
      <c r="AK418" s="429" t="str">
        <f>IF(OR(ISBLANK($B418),ISBLANK($AJ418)),"",IFERROR(IF($AJ418&lt;=DATE('ESTADO CONTABLE'!$B$2,12,5),VLOOKUP($B418,COSTOS!$A$2:$B1014,2,FALSE)-150,VLOOKUP($B418,COSTOS!$A$2:$B1014,2,FALSE)),"No encontrado o error"))</f>
        <v/>
      </c>
      <c r="AL418" s="395"/>
      <c r="AM418" s="254"/>
      <c r="AN418" s="255"/>
      <c r="AO418" s="256"/>
    </row>
    <row r="419" ht="22.5" customHeight="1">
      <c r="A419" s="431" t="str">
        <f>'BASE DE DATOSS'!A493</f>
        <v/>
      </c>
      <c r="B419" s="432" t="str">
        <f>'BASE DE DATOSS'!C493</f>
        <v/>
      </c>
      <c r="C419" s="263"/>
      <c r="D419" s="249"/>
      <c r="E419" s="250"/>
      <c r="F419" s="251"/>
      <c r="G419" s="262"/>
      <c r="H419" s="257"/>
      <c r="I419" s="249"/>
      <c r="J419" s="193" t="str">
        <f>IF(OR(ISBLANK($B419),ISBLANK($I419)),"",IFERROR(IF($I419&lt;=DATE('ESTADO CONTABLE'!$B$2,3,5),VLOOKUP($B419,COSTOS!$A$2:$B1014,2,FALSE)-150,VLOOKUP($B419,COSTOS!$A$2:$B1014,2,FALSE)),"No encontrado o error"))</f>
        <v/>
      </c>
      <c r="K419" s="264"/>
      <c r="L419" s="249"/>
      <c r="M419" s="189"/>
      <c r="N419" s="264"/>
      <c r="O419" s="249"/>
      <c r="P419" s="250"/>
      <c r="Q419" s="264"/>
      <c r="R419" s="249"/>
      <c r="S419" s="250"/>
      <c r="T419" s="264"/>
      <c r="U419" s="249"/>
      <c r="V419" s="250"/>
      <c r="W419" s="264"/>
      <c r="X419" s="394"/>
      <c r="Y419" s="429"/>
      <c r="Z419" s="395"/>
      <c r="AA419" s="394"/>
      <c r="AB419" s="118" t="str">
        <f>IF(OR(ISBLANK($B419),ISBLANK($AA419)),"",IFERROR(IF($AA419&lt;=DATE('ESTADO CONTABLE'!$B$2,9,5),VLOOKUP($B419,COSTOS!$A$2:$B1014,2,FALSE)-150,VLOOKUP($B419,COSTOS!$A$2:$B1014,2,FALSE)),"No encontrado o error"))</f>
        <v/>
      </c>
      <c r="AC419" s="395"/>
      <c r="AD419" s="394"/>
      <c r="AE419" s="429" t="str">
        <f>IF(OR(ISBLANK($B419),ISBLANK($AD419)),"",IFERROR(IF($AD419&lt;=DATE('ESTADO CONTABLE'!$B$2,10,5),VLOOKUP($B419,COSTOS!$A$2:$B1014,2,FALSE)-150,VLOOKUP($B419,COSTOS!$A$2:$B1014,2,FALSE)),"No encontrado o error"))</f>
        <v/>
      </c>
      <c r="AF419" s="395"/>
      <c r="AG419" s="394"/>
      <c r="AH419" s="429" t="str">
        <f>IF(OR(ISBLANK($B419),ISBLANK($AG419)),"",IFERROR(IF($AG419&lt;=DATE('ESTADO CONTABLE'!$B$2,11,5),VLOOKUP($B419,COSTOS!$A$2:$B1014,2,FALSE)-150,VLOOKUP($B419,COSTOS!$A$2:$B1014,2,FALSE)),"No encontrado o error"))</f>
        <v/>
      </c>
      <c r="AI419" s="395"/>
      <c r="AJ419" s="394"/>
      <c r="AK419" s="429" t="str">
        <f>IF(OR(ISBLANK($B419),ISBLANK($AJ419)),"",IFERROR(IF($AJ419&lt;=DATE('ESTADO CONTABLE'!$B$2,12,5),VLOOKUP($B419,COSTOS!$A$2:$B1014,2,FALSE)-150,VLOOKUP($B419,COSTOS!$A$2:$B1014,2,FALSE)),"No encontrado o error"))</f>
        <v/>
      </c>
      <c r="AL419" s="395"/>
      <c r="AM419" s="254"/>
      <c r="AN419" s="255"/>
      <c r="AO419" s="256"/>
    </row>
    <row r="420" ht="22.5" customHeight="1">
      <c r="A420" s="431" t="str">
        <f>'BASE DE DATOSS'!A494</f>
        <v/>
      </c>
      <c r="B420" s="432" t="str">
        <f>'BASE DE DATOSS'!C494</f>
        <v/>
      </c>
      <c r="C420" s="263"/>
      <c r="D420" s="249"/>
      <c r="E420" s="250"/>
      <c r="F420" s="251"/>
      <c r="G420" s="262"/>
      <c r="H420" s="257"/>
      <c r="I420" s="249"/>
      <c r="J420" s="193" t="str">
        <f>IF(OR(ISBLANK($B420),ISBLANK($I420)),"",IFERROR(IF($I420&lt;=DATE('ESTADO CONTABLE'!$B$2,3,5),VLOOKUP($B420,COSTOS!$A$2:$B1014,2,FALSE)-150,VLOOKUP($B420,COSTOS!$A$2:$B1014,2,FALSE)),"No encontrado o error"))</f>
        <v/>
      </c>
      <c r="K420" s="264"/>
      <c r="L420" s="249"/>
      <c r="M420" s="189"/>
      <c r="N420" s="264"/>
      <c r="O420" s="249"/>
      <c r="P420" s="250"/>
      <c r="Q420" s="264"/>
      <c r="R420" s="249"/>
      <c r="S420" s="250"/>
      <c r="T420" s="264"/>
      <c r="U420" s="249"/>
      <c r="V420" s="250"/>
      <c r="W420" s="264"/>
      <c r="X420" s="394"/>
      <c r="Y420" s="429"/>
      <c r="Z420" s="395"/>
      <c r="AA420" s="394"/>
      <c r="AB420" s="118" t="str">
        <f>IF(OR(ISBLANK($B420),ISBLANK($AA420)),"",IFERROR(IF($AA420&lt;=DATE('ESTADO CONTABLE'!$B$2,9,5),VLOOKUP($B420,COSTOS!$A$2:$B1014,2,FALSE)-150,VLOOKUP($B420,COSTOS!$A$2:$B1014,2,FALSE)),"No encontrado o error"))</f>
        <v/>
      </c>
      <c r="AC420" s="395"/>
      <c r="AD420" s="394"/>
      <c r="AE420" s="429" t="str">
        <f>IF(OR(ISBLANK($B420),ISBLANK($AD420)),"",IFERROR(IF($AD420&lt;=DATE('ESTADO CONTABLE'!$B$2,10,5),VLOOKUP($B420,COSTOS!$A$2:$B1014,2,FALSE)-150,VLOOKUP($B420,COSTOS!$A$2:$B1014,2,FALSE)),"No encontrado o error"))</f>
        <v/>
      </c>
      <c r="AF420" s="395"/>
      <c r="AG420" s="394"/>
      <c r="AH420" s="429" t="str">
        <f>IF(OR(ISBLANK($B420),ISBLANK($AG420)),"",IFERROR(IF($AG420&lt;=DATE('ESTADO CONTABLE'!$B$2,11,5),VLOOKUP($B420,COSTOS!$A$2:$B1014,2,FALSE)-150,VLOOKUP($B420,COSTOS!$A$2:$B1014,2,FALSE)),"No encontrado o error"))</f>
        <v/>
      </c>
      <c r="AI420" s="395"/>
      <c r="AJ420" s="394"/>
      <c r="AK420" s="429" t="str">
        <f>IF(OR(ISBLANK($B420),ISBLANK($AJ420)),"",IFERROR(IF($AJ420&lt;=DATE('ESTADO CONTABLE'!$B$2,12,5),VLOOKUP($B420,COSTOS!$A$2:$B1014,2,FALSE)-150,VLOOKUP($B420,COSTOS!$A$2:$B1014,2,FALSE)),"No encontrado o error"))</f>
        <v/>
      </c>
      <c r="AL420" s="395"/>
      <c r="AM420" s="254"/>
      <c r="AN420" s="255"/>
      <c r="AO420" s="256"/>
    </row>
    <row r="421" ht="22.5" customHeight="1">
      <c r="A421" s="431" t="str">
        <f>'BASE DE DATOSS'!A495</f>
        <v/>
      </c>
      <c r="B421" s="432" t="str">
        <f>'BASE DE DATOSS'!C495</f>
        <v/>
      </c>
      <c r="C421" s="263"/>
      <c r="D421" s="249"/>
      <c r="E421" s="250"/>
      <c r="F421" s="251"/>
      <c r="G421" s="262"/>
      <c r="H421" s="257"/>
      <c r="I421" s="249"/>
      <c r="J421" s="193" t="str">
        <f>IF(OR(ISBLANK($B421),ISBLANK($I421)),"",IFERROR(IF($I421&lt;=DATE('ESTADO CONTABLE'!$B$2,3,5),VLOOKUP($B421,COSTOS!$A$2:$B1014,2,FALSE)-150,VLOOKUP($B421,COSTOS!$A$2:$B1014,2,FALSE)),"No encontrado o error"))</f>
        <v/>
      </c>
      <c r="K421" s="264"/>
      <c r="L421" s="249"/>
      <c r="M421" s="189"/>
      <c r="N421" s="264"/>
      <c r="O421" s="249"/>
      <c r="P421" s="250"/>
      <c r="Q421" s="264"/>
      <c r="R421" s="249"/>
      <c r="S421" s="250"/>
      <c r="T421" s="264"/>
      <c r="U421" s="249"/>
      <c r="V421" s="250"/>
      <c r="W421" s="264"/>
      <c r="X421" s="394"/>
      <c r="Y421" s="429"/>
      <c r="Z421" s="395"/>
      <c r="AA421" s="394"/>
      <c r="AB421" s="118" t="str">
        <f>IF(OR(ISBLANK($B421),ISBLANK($AA421)),"",IFERROR(IF($AA421&lt;=DATE('ESTADO CONTABLE'!$B$2,9,5),VLOOKUP($B421,COSTOS!$A$2:$B1014,2,FALSE)-150,VLOOKUP($B421,COSTOS!$A$2:$B1014,2,FALSE)),"No encontrado o error"))</f>
        <v/>
      </c>
      <c r="AC421" s="395"/>
      <c r="AD421" s="394"/>
      <c r="AE421" s="429" t="str">
        <f>IF(OR(ISBLANK($B421),ISBLANK($AD421)),"",IFERROR(IF($AD421&lt;=DATE('ESTADO CONTABLE'!$B$2,10,5),VLOOKUP($B421,COSTOS!$A$2:$B1014,2,FALSE)-150,VLOOKUP($B421,COSTOS!$A$2:$B1014,2,FALSE)),"No encontrado o error"))</f>
        <v/>
      </c>
      <c r="AF421" s="395"/>
      <c r="AG421" s="394"/>
      <c r="AH421" s="429" t="str">
        <f>IF(OR(ISBLANK($B421),ISBLANK($AG421)),"",IFERROR(IF($AG421&lt;=DATE('ESTADO CONTABLE'!$B$2,11,5),VLOOKUP($B421,COSTOS!$A$2:$B1014,2,FALSE)-150,VLOOKUP($B421,COSTOS!$A$2:$B1014,2,FALSE)),"No encontrado o error"))</f>
        <v/>
      </c>
      <c r="AI421" s="395"/>
      <c r="AJ421" s="394"/>
      <c r="AK421" s="429" t="str">
        <f>IF(OR(ISBLANK($B421),ISBLANK($AJ421)),"",IFERROR(IF($AJ421&lt;=DATE('ESTADO CONTABLE'!$B$2,12,5),VLOOKUP($B421,COSTOS!$A$2:$B1014,2,FALSE)-150,VLOOKUP($B421,COSTOS!$A$2:$B1014,2,FALSE)),"No encontrado o error"))</f>
        <v/>
      </c>
      <c r="AL421" s="395"/>
      <c r="AM421" s="254"/>
      <c r="AN421" s="255"/>
      <c r="AO421" s="256"/>
    </row>
    <row r="422" ht="22.5" customHeight="1">
      <c r="A422" s="431" t="str">
        <f>'BASE DE DATOSS'!A496</f>
        <v/>
      </c>
      <c r="B422" s="432" t="str">
        <f>'BASE DE DATOSS'!C496</f>
        <v/>
      </c>
      <c r="C422" s="263"/>
      <c r="D422" s="249"/>
      <c r="E422" s="250"/>
      <c r="F422" s="251"/>
      <c r="G422" s="262"/>
      <c r="H422" s="257"/>
      <c r="I422" s="249"/>
      <c r="J422" s="193" t="str">
        <f>IF(OR(ISBLANK($B422),ISBLANK($I422)),"",IFERROR(IF($I422&lt;=DATE('ESTADO CONTABLE'!$B$2,3,5),VLOOKUP($B422,COSTOS!$A$2:$B1014,2,FALSE)-150,VLOOKUP($B422,COSTOS!$A$2:$B1014,2,FALSE)),"No encontrado o error"))</f>
        <v/>
      </c>
      <c r="K422" s="264"/>
      <c r="L422" s="249"/>
      <c r="M422" s="189"/>
      <c r="N422" s="264"/>
      <c r="O422" s="249"/>
      <c r="P422" s="250"/>
      <c r="Q422" s="264"/>
      <c r="R422" s="249"/>
      <c r="S422" s="250"/>
      <c r="T422" s="264"/>
      <c r="U422" s="249"/>
      <c r="V422" s="250"/>
      <c r="W422" s="264"/>
      <c r="X422" s="394"/>
      <c r="Y422" s="429"/>
      <c r="Z422" s="395"/>
      <c r="AA422" s="394"/>
      <c r="AB422" s="118" t="str">
        <f>IF(OR(ISBLANK($B422),ISBLANK($AA422)),"",IFERROR(IF($AA422&lt;=DATE('ESTADO CONTABLE'!$B$2,9,5),VLOOKUP($B422,COSTOS!$A$2:$B1014,2,FALSE)-150,VLOOKUP($B422,COSTOS!$A$2:$B1014,2,FALSE)),"No encontrado o error"))</f>
        <v/>
      </c>
      <c r="AC422" s="395"/>
      <c r="AD422" s="394"/>
      <c r="AE422" s="429" t="str">
        <f>IF(OR(ISBLANK($B422),ISBLANK($AD422)),"",IFERROR(IF($AD422&lt;=DATE('ESTADO CONTABLE'!$B$2,10,5),VLOOKUP($B422,COSTOS!$A$2:$B1014,2,FALSE)-150,VLOOKUP($B422,COSTOS!$A$2:$B1014,2,FALSE)),"No encontrado o error"))</f>
        <v/>
      </c>
      <c r="AF422" s="395"/>
      <c r="AG422" s="394"/>
      <c r="AH422" s="429" t="str">
        <f>IF(OR(ISBLANK($B422),ISBLANK($AG422)),"",IFERROR(IF($AG422&lt;=DATE('ESTADO CONTABLE'!$B$2,11,5),VLOOKUP($B422,COSTOS!$A$2:$B1014,2,FALSE)-150,VLOOKUP($B422,COSTOS!$A$2:$B1014,2,FALSE)),"No encontrado o error"))</f>
        <v/>
      </c>
      <c r="AI422" s="395"/>
      <c r="AJ422" s="394"/>
      <c r="AK422" s="429" t="str">
        <f>IF(OR(ISBLANK($B422),ISBLANK($AJ422)),"",IFERROR(IF($AJ422&lt;=DATE('ESTADO CONTABLE'!$B$2,12,5),VLOOKUP($B422,COSTOS!$A$2:$B1014,2,FALSE)-150,VLOOKUP($B422,COSTOS!$A$2:$B1014,2,FALSE)),"No encontrado o error"))</f>
        <v/>
      </c>
      <c r="AL422" s="395"/>
      <c r="AM422" s="254"/>
      <c r="AN422" s="255"/>
      <c r="AO422" s="256"/>
    </row>
    <row r="423" ht="22.5" customHeight="1">
      <c r="A423" s="431" t="str">
        <f>'BASE DE DATOSS'!A497</f>
        <v/>
      </c>
      <c r="B423" s="432" t="str">
        <f>'BASE DE DATOSS'!C497</f>
        <v/>
      </c>
      <c r="C423" s="263"/>
      <c r="D423" s="249"/>
      <c r="E423" s="250"/>
      <c r="F423" s="251"/>
      <c r="G423" s="262"/>
      <c r="H423" s="257"/>
      <c r="I423" s="249"/>
      <c r="J423" s="193" t="str">
        <f>IF(OR(ISBLANK($B423),ISBLANK($I423)),"",IFERROR(IF($I423&lt;=DATE('ESTADO CONTABLE'!$B$2,3,5),VLOOKUP($B423,COSTOS!$A$2:$B1014,2,FALSE)-150,VLOOKUP($B423,COSTOS!$A$2:$B1014,2,FALSE)),"No encontrado o error"))</f>
        <v/>
      </c>
      <c r="K423" s="264"/>
      <c r="L423" s="249"/>
      <c r="M423" s="189"/>
      <c r="N423" s="264"/>
      <c r="O423" s="249"/>
      <c r="P423" s="250"/>
      <c r="Q423" s="264"/>
      <c r="R423" s="249"/>
      <c r="S423" s="250"/>
      <c r="T423" s="264"/>
      <c r="U423" s="249"/>
      <c r="V423" s="250"/>
      <c r="W423" s="264"/>
      <c r="X423" s="394"/>
      <c r="Y423" s="429"/>
      <c r="Z423" s="395"/>
      <c r="AA423" s="394"/>
      <c r="AB423" s="118" t="str">
        <f>IF(OR(ISBLANK($B423),ISBLANK($AA423)),"",IFERROR(IF($AA423&lt;=DATE('ESTADO CONTABLE'!$B$2,9,5),VLOOKUP($B423,COSTOS!$A$2:$B1014,2,FALSE)-150,VLOOKUP($B423,COSTOS!$A$2:$B1014,2,FALSE)),"No encontrado o error"))</f>
        <v/>
      </c>
      <c r="AC423" s="395"/>
      <c r="AD423" s="394"/>
      <c r="AE423" s="429" t="str">
        <f>IF(OR(ISBLANK($B423),ISBLANK($AD423)),"",IFERROR(IF($AD423&lt;=DATE('ESTADO CONTABLE'!$B$2,10,5),VLOOKUP($B423,COSTOS!$A$2:$B1014,2,FALSE)-150,VLOOKUP($B423,COSTOS!$A$2:$B1014,2,FALSE)),"No encontrado o error"))</f>
        <v/>
      </c>
      <c r="AF423" s="395"/>
      <c r="AG423" s="394"/>
      <c r="AH423" s="429" t="str">
        <f>IF(OR(ISBLANK($B423),ISBLANK($AG423)),"",IFERROR(IF($AG423&lt;=DATE('ESTADO CONTABLE'!$B$2,11,5),VLOOKUP($B423,COSTOS!$A$2:$B1014,2,FALSE)-150,VLOOKUP($B423,COSTOS!$A$2:$B1014,2,FALSE)),"No encontrado o error"))</f>
        <v/>
      </c>
      <c r="AI423" s="395"/>
      <c r="AJ423" s="394"/>
      <c r="AK423" s="429" t="str">
        <f>IF(OR(ISBLANK($B423),ISBLANK($AJ423)),"",IFERROR(IF($AJ423&lt;=DATE('ESTADO CONTABLE'!$B$2,12,5),VLOOKUP($B423,COSTOS!$A$2:$B1014,2,FALSE)-150,VLOOKUP($B423,COSTOS!$A$2:$B1014,2,FALSE)),"No encontrado o error"))</f>
        <v/>
      </c>
      <c r="AL423" s="395"/>
      <c r="AM423" s="254"/>
      <c r="AN423" s="255"/>
      <c r="AO423" s="256"/>
    </row>
    <row r="424" ht="22.5" customHeight="1">
      <c r="A424" s="431" t="str">
        <f>'BASE DE DATOSS'!A498</f>
        <v/>
      </c>
      <c r="B424" s="432" t="str">
        <f>'BASE DE DATOSS'!C498</f>
        <v/>
      </c>
      <c r="C424" s="263"/>
      <c r="D424" s="249"/>
      <c r="E424" s="250"/>
      <c r="F424" s="251"/>
      <c r="G424" s="262"/>
      <c r="H424" s="257"/>
      <c r="I424" s="249"/>
      <c r="J424" s="193" t="str">
        <f>IF(OR(ISBLANK($B424),ISBLANK($I424)),"",IFERROR(IF($I424&lt;=DATE('ESTADO CONTABLE'!$B$2,3,5),VLOOKUP($B424,COSTOS!$A$2:$B1014,2,FALSE)-150,VLOOKUP($B424,COSTOS!$A$2:$B1014,2,FALSE)),"No encontrado o error"))</f>
        <v/>
      </c>
      <c r="K424" s="264"/>
      <c r="L424" s="249"/>
      <c r="M424" s="189"/>
      <c r="N424" s="264"/>
      <c r="O424" s="249"/>
      <c r="P424" s="250"/>
      <c r="Q424" s="264"/>
      <c r="R424" s="249"/>
      <c r="S424" s="250"/>
      <c r="T424" s="264"/>
      <c r="U424" s="249"/>
      <c r="V424" s="250"/>
      <c r="W424" s="264"/>
      <c r="X424" s="394"/>
      <c r="Y424" s="429"/>
      <c r="Z424" s="395"/>
      <c r="AA424" s="394"/>
      <c r="AB424" s="118" t="str">
        <f>IF(OR(ISBLANK($B424),ISBLANK($AA424)),"",IFERROR(IF($AA424&lt;=DATE('ESTADO CONTABLE'!$B$2,9,5),VLOOKUP($B424,COSTOS!$A$2:$B1014,2,FALSE)-150,VLOOKUP($B424,COSTOS!$A$2:$B1014,2,FALSE)),"No encontrado o error"))</f>
        <v/>
      </c>
      <c r="AC424" s="395"/>
      <c r="AD424" s="394"/>
      <c r="AE424" s="429" t="str">
        <f>IF(OR(ISBLANK($B424),ISBLANK($AD424)),"",IFERROR(IF($AD424&lt;=DATE('ESTADO CONTABLE'!$B$2,10,5),VLOOKUP($B424,COSTOS!$A$2:$B1014,2,FALSE)-150,VLOOKUP($B424,COSTOS!$A$2:$B1014,2,FALSE)),"No encontrado o error"))</f>
        <v/>
      </c>
      <c r="AF424" s="395"/>
      <c r="AG424" s="394"/>
      <c r="AH424" s="429" t="str">
        <f>IF(OR(ISBLANK($B424),ISBLANK($AG424)),"",IFERROR(IF($AG424&lt;=DATE('ESTADO CONTABLE'!$B$2,11,5),VLOOKUP($B424,COSTOS!$A$2:$B1014,2,FALSE)-150,VLOOKUP($B424,COSTOS!$A$2:$B1014,2,FALSE)),"No encontrado o error"))</f>
        <v/>
      </c>
      <c r="AI424" s="395"/>
      <c r="AJ424" s="394"/>
      <c r="AK424" s="429" t="str">
        <f>IF(OR(ISBLANK($B424),ISBLANK($AJ424)),"",IFERROR(IF($AJ424&lt;=DATE('ESTADO CONTABLE'!$B$2,12,5),VLOOKUP($B424,COSTOS!$A$2:$B1014,2,FALSE)-150,VLOOKUP($B424,COSTOS!$A$2:$B1014,2,FALSE)),"No encontrado o error"))</f>
        <v/>
      </c>
      <c r="AL424" s="395"/>
      <c r="AM424" s="254"/>
      <c r="AN424" s="255"/>
      <c r="AO424" s="256"/>
    </row>
    <row r="425" ht="22.5" customHeight="1">
      <c r="A425" s="431" t="str">
        <f>'BASE DE DATOSS'!A499</f>
        <v/>
      </c>
      <c r="B425" s="432" t="str">
        <f>'BASE DE DATOSS'!C499</f>
        <v/>
      </c>
      <c r="C425" s="263"/>
      <c r="D425" s="249"/>
      <c r="E425" s="250"/>
      <c r="F425" s="251"/>
      <c r="G425" s="262"/>
      <c r="H425" s="257"/>
      <c r="I425" s="249"/>
      <c r="J425" s="193" t="str">
        <f>IF(OR(ISBLANK($B425),ISBLANK($I425)),"",IFERROR(IF($I425&lt;=DATE('ESTADO CONTABLE'!$B$2,3,5),VLOOKUP($B425,COSTOS!$A$2:$B1014,2,FALSE)-150,VLOOKUP($B425,COSTOS!$A$2:$B1014,2,FALSE)),"No encontrado o error"))</f>
        <v/>
      </c>
      <c r="K425" s="264"/>
      <c r="L425" s="249"/>
      <c r="M425" s="189"/>
      <c r="N425" s="264"/>
      <c r="O425" s="249"/>
      <c r="P425" s="250"/>
      <c r="Q425" s="264"/>
      <c r="R425" s="249"/>
      <c r="S425" s="250"/>
      <c r="T425" s="264"/>
      <c r="U425" s="249"/>
      <c r="V425" s="250"/>
      <c r="W425" s="264"/>
      <c r="X425" s="394"/>
      <c r="Y425" s="429"/>
      <c r="Z425" s="395"/>
      <c r="AA425" s="394"/>
      <c r="AB425" s="118" t="str">
        <f>IF(OR(ISBLANK($B425),ISBLANK($AA425)),"",IFERROR(IF($AA425&lt;=DATE('ESTADO CONTABLE'!$B$2,9,5),VLOOKUP($B425,COSTOS!$A$2:$B1014,2,FALSE)-150,VLOOKUP($B425,COSTOS!$A$2:$B1014,2,FALSE)),"No encontrado o error"))</f>
        <v/>
      </c>
      <c r="AC425" s="395"/>
      <c r="AD425" s="394"/>
      <c r="AE425" s="429" t="str">
        <f>IF(OR(ISBLANK($B425),ISBLANK($AD425)),"",IFERROR(IF($AD425&lt;=DATE('ESTADO CONTABLE'!$B$2,10,5),VLOOKUP($B425,COSTOS!$A$2:$B1014,2,FALSE)-150,VLOOKUP($B425,COSTOS!$A$2:$B1014,2,FALSE)),"No encontrado o error"))</f>
        <v/>
      </c>
      <c r="AF425" s="395"/>
      <c r="AG425" s="394"/>
      <c r="AH425" s="429" t="str">
        <f>IF(OR(ISBLANK($B425),ISBLANK($AG425)),"",IFERROR(IF($AG425&lt;=DATE('ESTADO CONTABLE'!$B$2,11,5),VLOOKUP($B425,COSTOS!$A$2:$B1014,2,FALSE)-150,VLOOKUP($B425,COSTOS!$A$2:$B1014,2,FALSE)),"No encontrado o error"))</f>
        <v/>
      </c>
      <c r="AI425" s="395"/>
      <c r="AJ425" s="394"/>
      <c r="AK425" s="429" t="str">
        <f>IF(OR(ISBLANK($B425),ISBLANK($AJ425)),"",IFERROR(IF($AJ425&lt;=DATE('ESTADO CONTABLE'!$B$2,12,5),VLOOKUP($B425,COSTOS!$A$2:$B1014,2,FALSE)-150,VLOOKUP($B425,COSTOS!$A$2:$B1014,2,FALSE)),"No encontrado o error"))</f>
        <v/>
      </c>
      <c r="AL425" s="395"/>
      <c r="AM425" s="254"/>
      <c r="AN425" s="255"/>
      <c r="AO425" s="256"/>
    </row>
    <row r="426" ht="22.5" customHeight="1">
      <c r="A426" s="431" t="str">
        <f>'BASE DE DATOSS'!A500</f>
        <v/>
      </c>
      <c r="B426" s="432" t="str">
        <f>'BASE DE DATOSS'!C500</f>
        <v/>
      </c>
      <c r="C426" s="263"/>
      <c r="D426" s="249"/>
      <c r="E426" s="250"/>
      <c r="F426" s="251"/>
      <c r="G426" s="262"/>
      <c r="H426" s="257"/>
      <c r="I426" s="249"/>
      <c r="J426" s="193" t="str">
        <f>IF(OR(ISBLANK($B426),ISBLANK($I426)),"",IFERROR(IF($I426&lt;=DATE('ESTADO CONTABLE'!$B$2,3,5),VLOOKUP($B426,COSTOS!$A$2:$B1014,2,FALSE)-150,VLOOKUP($B426,COSTOS!$A$2:$B1014,2,FALSE)),"No encontrado o error"))</f>
        <v/>
      </c>
      <c r="K426" s="264"/>
      <c r="L426" s="249"/>
      <c r="M426" s="189"/>
      <c r="N426" s="264"/>
      <c r="O426" s="249"/>
      <c r="P426" s="250"/>
      <c r="Q426" s="264"/>
      <c r="R426" s="249"/>
      <c r="S426" s="250"/>
      <c r="T426" s="264"/>
      <c r="U426" s="249"/>
      <c r="V426" s="250"/>
      <c r="W426" s="264"/>
      <c r="X426" s="394"/>
      <c r="Y426" s="429"/>
      <c r="Z426" s="395"/>
      <c r="AA426" s="394"/>
      <c r="AB426" s="118" t="str">
        <f>IF(OR(ISBLANK($B426),ISBLANK($AA426)),"",IFERROR(IF($AA426&lt;=DATE('ESTADO CONTABLE'!$B$2,9,5),VLOOKUP($B426,COSTOS!$A$2:$B1014,2,FALSE)-150,VLOOKUP($B426,COSTOS!$A$2:$B1014,2,FALSE)),"No encontrado o error"))</f>
        <v/>
      </c>
      <c r="AC426" s="395"/>
      <c r="AD426" s="394"/>
      <c r="AE426" s="429" t="str">
        <f>IF(OR(ISBLANK($B426),ISBLANK($AD426)),"",IFERROR(IF($AD426&lt;=DATE('ESTADO CONTABLE'!$B$2,10,5),VLOOKUP($B426,COSTOS!$A$2:$B1014,2,FALSE)-150,VLOOKUP($B426,COSTOS!$A$2:$B1014,2,FALSE)),"No encontrado o error"))</f>
        <v/>
      </c>
      <c r="AF426" s="395"/>
      <c r="AG426" s="394"/>
      <c r="AH426" s="429" t="str">
        <f>IF(OR(ISBLANK($B426),ISBLANK($AG426)),"",IFERROR(IF($AG426&lt;=DATE('ESTADO CONTABLE'!$B$2,11,5),VLOOKUP($B426,COSTOS!$A$2:$B1014,2,FALSE)-150,VLOOKUP($B426,COSTOS!$A$2:$B1014,2,FALSE)),"No encontrado o error"))</f>
        <v/>
      </c>
      <c r="AI426" s="395"/>
      <c r="AJ426" s="394"/>
      <c r="AK426" s="429" t="str">
        <f>IF(OR(ISBLANK($B426),ISBLANK($AJ426)),"",IFERROR(IF($AJ426&lt;=DATE('ESTADO CONTABLE'!$B$2,12,5),VLOOKUP($B426,COSTOS!$A$2:$B1014,2,FALSE)-150,VLOOKUP($B426,COSTOS!$A$2:$B1014,2,FALSE)),"No encontrado o error"))</f>
        <v/>
      </c>
      <c r="AL426" s="395"/>
      <c r="AM426" s="254"/>
      <c r="AN426" s="255"/>
      <c r="AO426" s="256"/>
    </row>
    <row r="427" ht="22.5" customHeight="1">
      <c r="A427" s="431" t="str">
        <f>'BASE DE DATOSS'!A501</f>
        <v/>
      </c>
      <c r="B427" s="432" t="str">
        <f>'BASE DE DATOSS'!C501</f>
        <v/>
      </c>
      <c r="C427" s="263"/>
      <c r="D427" s="249"/>
      <c r="E427" s="250"/>
      <c r="F427" s="251"/>
      <c r="G427" s="262"/>
      <c r="H427" s="257"/>
      <c r="I427" s="249"/>
      <c r="J427" s="193" t="str">
        <f>IF(OR(ISBLANK($B427),ISBLANK($I427)),"",IFERROR(IF($I427&lt;=DATE('ESTADO CONTABLE'!$B$2,3,5),VLOOKUP($B427,COSTOS!$A$2:$B1014,2,FALSE)-150,VLOOKUP($B427,COSTOS!$A$2:$B1014,2,FALSE)),"No encontrado o error"))</f>
        <v/>
      </c>
      <c r="K427" s="264"/>
      <c r="L427" s="249"/>
      <c r="M427" s="189"/>
      <c r="N427" s="264"/>
      <c r="O427" s="249"/>
      <c r="P427" s="250"/>
      <c r="Q427" s="264"/>
      <c r="R427" s="249"/>
      <c r="S427" s="250"/>
      <c r="T427" s="264"/>
      <c r="U427" s="249"/>
      <c r="V427" s="250"/>
      <c r="W427" s="264"/>
      <c r="X427" s="394"/>
      <c r="Y427" s="429"/>
      <c r="Z427" s="395"/>
      <c r="AA427" s="394"/>
      <c r="AB427" s="118" t="str">
        <f>IF(OR(ISBLANK($B427),ISBLANK($AA427)),"",IFERROR(IF($AA427&lt;=DATE('ESTADO CONTABLE'!$B$2,9,5),VLOOKUP($B427,COSTOS!$A$2:$B1014,2,FALSE)-150,VLOOKUP($B427,COSTOS!$A$2:$B1014,2,FALSE)),"No encontrado o error"))</f>
        <v/>
      </c>
      <c r="AC427" s="395"/>
      <c r="AD427" s="394"/>
      <c r="AE427" s="429" t="str">
        <f>IF(OR(ISBLANK($B427),ISBLANK($AD427)),"",IFERROR(IF($AD427&lt;=DATE('ESTADO CONTABLE'!$B$2,10,5),VLOOKUP($B427,COSTOS!$A$2:$B1014,2,FALSE)-150,VLOOKUP($B427,COSTOS!$A$2:$B1014,2,FALSE)),"No encontrado o error"))</f>
        <v/>
      </c>
      <c r="AF427" s="395"/>
      <c r="AG427" s="394"/>
      <c r="AH427" s="429" t="str">
        <f>IF(OR(ISBLANK($B427),ISBLANK($AG427)),"",IFERROR(IF($AG427&lt;=DATE('ESTADO CONTABLE'!$B$2,11,5),VLOOKUP($B427,COSTOS!$A$2:$B1014,2,FALSE)-150,VLOOKUP($B427,COSTOS!$A$2:$B1014,2,FALSE)),"No encontrado o error"))</f>
        <v/>
      </c>
      <c r="AI427" s="395"/>
      <c r="AJ427" s="394"/>
      <c r="AK427" s="429" t="str">
        <f>IF(OR(ISBLANK($B427),ISBLANK($AJ427)),"",IFERROR(IF($AJ427&lt;=DATE('ESTADO CONTABLE'!$B$2,12,5),VLOOKUP($B427,COSTOS!$A$2:$B1014,2,FALSE)-150,VLOOKUP($B427,COSTOS!$A$2:$B1014,2,FALSE)),"No encontrado o error"))</f>
        <v/>
      </c>
      <c r="AL427" s="395"/>
      <c r="AM427" s="254"/>
      <c r="AN427" s="255"/>
      <c r="AO427" s="256"/>
    </row>
    <row r="428" ht="22.5" customHeight="1">
      <c r="A428" s="431" t="str">
        <f>'BASE DE DATOSS'!A502</f>
        <v/>
      </c>
      <c r="B428" s="432" t="str">
        <f>'BASE DE DATOSS'!C502</f>
        <v/>
      </c>
      <c r="C428" s="263"/>
      <c r="D428" s="249"/>
      <c r="E428" s="250"/>
      <c r="F428" s="251"/>
      <c r="G428" s="262"/>
      <c r="H428" s="257"/>
      <c r="I428" s="249"/>
      <c r="J428" s="193" t="str">
        <f>IF(OR(ISBLANK($B428),ISBLANK($I428)),"",IFERROR(IF($I428&lt;=DATE('ESTADO CONTABLE'!$B$2,3,5),VLOOKUP($B428,COSTOS!$A$2:$B1014,2,FALSE)-150,VLOOKUP($B428,COSTOS!$A$2:$B1014,2,FALSE)),"No encontrado o error"))</f>
        <v/>
      </c>
      <c r="K428" s="264"/>
      <c r="L428" s="249"/>
      <c r="M428" s="189"/>
      <c r="N428" s="264"/>
      <c r="O428" s="249"/>
      <c r="P428" s="250"/>
      <c r="Q428" s="264"/>
      <c r="R428" s="249"/>
      <c r="S428" s="250"/>
      <c r="T428" s="264"/>
      <c r="U428" s="249"/>
      <c r="V428" s="250"/>
      <c r="W428" s="264"/>
      <c r="X428" s="394"/>
      <c r="Y428" s="429"/>
      <c r="Z428" s="395"/>
      <c r="AA428" s="394"/>
      <c r="AB428" s="118" t="str">
        <f>IF(OR(ISBLANK($B428),ISBLANK($AA428)),"",IFERROR(IF($AA428&lt;=DATE('ESTADO CONTABLE'!$B$2,9,5),VLOOKUP($B428,COSTOS!$A$2:$B1014,2,FALSE)-150,VLOOKUP($B428,COSTOS!$A$2:$B1014,2,FALSE)),"No encontrado o error"))</f>
        <v/>
      </c>
      <c r="AC428" s="395"/>
      <c r="AD428" s="394"/>
      <c r="AE428" s="429" t="str">
        <f>IF(OR(ISBLANK($B428),ISBLANK($AD428)),"",IFERROR(IF($AD428&lt;=DATE('ESTADO CONTABLE'!$B$2,10,5),VLOOKUP($B428,COSTOS!$A$2:$B1014,2,FALSE)-150,VLOOKUP($B428,COSTOS!$A$2:$B1014,2,FALSE)),"No encontrado o error"))</f>
        <v/>
      </c>
      <c r="AF428" s="395"/>
      <c r="AG428" s="394"/>
      <c r="AH428" s="429" t="str">
        <f>IF(OR(ISBLANK($B428),ISBLANK($AG428)),"",IFERROR(IF($AG428&lt;=DATE('ESTADO CONTABLE'!$B$2,11,5),VLOOKUP($B428,COSTOS!$A$2:$B1014,2,FALSE)-150,VLOOKUP($B428,COSTOS!$A$2:$B1014,2,FALSE)),"No encontrado o error"))</f>
        <v/>
      </c>
      <c r="AI428" s="395"/>
      <c r="AJ428" s="394"/>
      <c r="AK428" s="429" t="str">
        <f>IF(OR(ISBLANK($B428),ISBLANK($AJ428)),"",IFERROR(IF($AJ428&lt;=DATE('ESTADO CONTABLE'!$B$2,12,5),VLOOKUP($B428,COSTOS!$A$2:$B1014,2,FALSE)-150,VLOOKUP($B428,COSTOS!$A$2:$B1014,2,FALSE)),"No encontrado o error"))</f>
        <v/>
      </c>
      <c r="AL428" s="395"/>
      <c r="AM428" s="254"/>
      <c r="AN428" s="255"/>
      <c r="AO428" s="256"/>
    </row>
    <row r="429" ht="22.5" customHeight="1">
      <c r="A429" s="431" t="str">
        <f>'BASE DE DATOSS'!A503</f>
        <v/>
      </c>
      <c r="B429" s="432" t="str">
        <f>'BASE DE DATOSS'!C503</f>
        <v/>
      </c>
      <c r="C429" s="263"/>
      <c r="D429" s="249"/>
      <c r="E429" s="250"/>
      <c r="F429" s="251"/>
      <c r="G429" s="262"/>
      <c r="H429" s="257"/>
      <c r="I429" s="249"/>
      <c r="J429" s="193" t="str">
        <f>IF(OR(ISBLANK($B429),ISBLANK($I429)),"",IFERROR(IF($I429&lt;=DATE('ESTADO CONTABLE'!$B$2,3,5),VLOOKUP($B429,COSTOS!$A$2:$B1014,2,FALSE)-150,VLOOKUP($B429,COSTOS!$A$2:$B1014,2,FALSE)),"No encontrado o error"))</f>
        <v/>
      </c>
      <c r="K429" s="264"/>
      <c r="L429" s="249"/>
      <c r="M429" s="189"/>
      <c r="N429" s="264"/>
      <c r="O429" s="249"/>
      <c r="P429" s="250"/>
      <c r="Q429" s="264"/>
      <c r="R429" s="249"/>
      <c r="S429" s="250"/>
      <c r="T429" s="264"/>
      <c r="U429" s="249"/>
      <c r="V429" s="250"/>
      <c r="W429" s="264"/>
      <c r="X429" s="394"/>
      <c r="Y429" s="429"/>
      <c r="Z429" s="395"/>
      <c r="AA429" s="394"/>
      <c r="AB429" s="118" t="str">
        <f>IF(OR(ISBLANK($B429),ISBLANK($AA429)),"",IFERROR(IF($AA429&lt;=DATE('ESTADO CONTABLE'!$B$2,9,5),VLOOKUP($B429,COSTOS!$A$2:$B1014,2,FALSE)-150,VLOOKUP($B429,COSTOS!$A$2:$B1014,2,FALSE)),"No encontrado o error"))</f>
        <v/>
      </c>
      <c r="AC429" s="395"/>
      <c r="AD429" s="394"/>
      <c r="AE429" s="429" t="str">
        <f>IF(OR(ISBLANK($B429),ISBLANK($AD429)),"",IFERROR(IF($AD429&lt;=DATE('ESTADO CONTABLE'!$B$2,10,5),VLOOKUP($B429,COSTOS!$A$2:$B1014,2,FALSE)-150,VLOOKUP($B429,COSTOS!$A$2:$B1014,2,FALSE)),"No encontrado o error"))</f>
        <v/>
      </c>
      <c r="AF429" s="395"/>
      <c r="AG429" s="394"/>
      <c r="AH429" s="429" t="str">
        <f>IF(OR(ISBLANK($B429),ISBLANK($AG429)),"",IFERROR(IF($AG429&lt;=DATE('ESTADO CONTABLE'!$B$2,11,5),VLOOKUP($B429,COSTOS!$A$2:$B1014,2,FALSE)-150,VLOOKUP($B429,COSTOS!$A$2:$B1014,2,FALSE)),"No encontrado o error"))</f>
        <v/>
      </c>
      <c r="AI429" s="395"/>
      <c r="AJ429" s="394"/>
      <c r="AK429" s="429" t="str">
        <f>IF(OR(ISBLANK($B429),ISBLANK($AJ429)),"",IFERROR(IF($AJ429&lt;=DATE('ESTADO CONTABLE'!$B$2,12,5),VLOOKUP($B429,COSTOS!$A$2:$B1014,2,FALSE)-150,VLOOKUP($B429,COSTOS!$A$2:$B1014,2,FALSE)),"No encontrado o error"))</f>
        <v/>
      </c>
      <c r="AL429" s="395"/>
      <c r="AM429" s="254"/>
      <c r="AN429" s="255"/>
      <c r="AO429" s="256"/>
    </row>
    <row r="430" ht="22.5" customHeight="1">
      <c r="A430" s="431" t="str">
        <f>'BASE DE DATOSS'!A504</f>
        <v/>
      </c>
      <c r="B430" s="432" t="str">
        <f>'BASE DE DATOSS'!C504</f>
        <v/>
      </c>
      <c r="C430" s="263"/>
      <c r="D430" s="249"/>
      <c r="E430" s="250"/>
      <c r="F430" s="251"/>
      <c r="G430" s="262"/>
      <c r="H430" s="257"/>
      <c r="I430" s="249"/>
      <c r="J430" s="193" t="str">
        <f>IF(OR(ISBLANK($B430),ISBLANK($I430)),"",IFERROR(IF($I430&lt;=DATE('ESTADO CONTABLE'!$B$2,3,5),VLOOKUP($B430,COSTOS!$A$2:$B1014,2,FALSE)-150,VLOOKUP($B430,COSTOS!$A$2:$B1014,2,FALSE)),"No encontrado o error"))</f>
        <v/>
      </c>
      <c r="K430" s="264"/>
      <c r="L430" s="249"/>
      <c r="M430" s="189"/>
      <c r="N430" s="264"/>
      <c r="O430" s="249"/>
      <c r="P430" s="250"/>
      <c r="Q430" s="264"/>
      <c r="R430" s="249"/>
      <c r="S430" s="250"/>
      <c r="T430" s="264"/>
      <c r="U430" s="249"/>
      <c r="V430" s="250"/>
      <c r="W430" s="264"/>
      <c r="X430" s="394"/>
      <c r="Y430" s="429"/>
      <c r="Z430" s="395"/>
      <c r="AA430" s="394"/>
      <c r="AB430" s="118" t="str">
        <f>IF(OR(ISBLANK($B430),ISBLANK($AA430)),"",IFERROR(IF($AA430&lt;=DATE('ESTADO CONTABLE'!$B$2,9,5),VLOOKUP($B430,COSTOS!$A$2:$B1014,2,FALSE)-150,VLOOKUP($B430,COSTOS!$A$2:$B1014,2,FALSE)),"No encontrado o error"))</f>
        <v/>
      </c>
      <c r="AC430" s="395"/>
      <c r="AD430" s="394"/>
      <c r="AE430" s="429" t="str">
        <f>IF(OR(ISBLANK($B430),ISBLANK($AD430)),"",IFERROR(IF($AD430&lt;=DATE('ESTADO CONTABLE'!$B$2,10,5),VLOOKUP($B430,COSTOS!$A$2:$B1014,2,FALSE)-150,VLOOKUP($B430,COSTOS!$A$2:$B1014,2,FALSE)),"No encontrado o error"))</f>
        <v/>
      </c>
      <c r="AF430" s="395"/>
      <c r="AG430" s="394"/>
      <c r="AH430" s="429" t="str">
        <f>IF(OR(ISBLANK($B430),ISBLANK($AG430)),"",IFERROR(IF($AG430&lt;=DATE('ESTADO CONTABLE'!$B$2,11,5),VLOOKUP($B430,COSTOS!$A$2:$B1014,2,FALSE)-150,VLOOKUP($B430,COSTOS!$A$2:$B1014,2,FALSE)),"No encontrado o error"))</f>
        <v/>
      </c>
      <c r="AI430" s="395"/>
      <c r="AJ430" s="394"/>
      <c r="AK430" s="429" t="str">
        <f>IF(OR(ISBLANK($B430),ISBLANK($AJ430)),"",IFERROR(IF($AJ430&lt;=DATE('ESTADO CONTABLE'!$B$2,12,5),VLOOKUP($B430,COSTOS!$A$2:$B1014,2,FALSE)-150,VLOOKUP($B430,COSTOS!$A$2:$B1014,2,FALSE)),"No encontrado o error"))</f>
        <v/>
      </c>
      <c r="AL430" s="395"/>
      <c r="AM430" s="254"/>
      <c r="AN430" s="255"/>
      <c r="AO430" s="256"/>
    </row>
    <row r="431" ht="22.5" customHeight="1">
      <c r="A431" s="431" t="str">
        <f>'BASE DE DATOSS'!A505</f>
        <v/>
      </c>
      <c r="B431" s="432" t="str">
        <f>'BASE DE DATOSS'!C505</f>
        <v/>
      </c>
      <c r="C431" s="263"/>
      <c r="D431" s="249"/>
      <c r="E431" s="250"/>
      <c r="F431" s="251"/>
      <c r="G431" s="262"/>
      <c r="H431" s="257"/>
      <c r="I431" s="249"/>
      <c r="J431" s="193" t="str">
        <f>IF(OR(ISBLANK($B431),ISBLANK($I431)),"",IFERROR(IF($I431&lt;=DATE('ESTADO CONTABLE'!$B$2,3,5),VLOOKUP($B431,COSTOS!$A$2:$B1014,2,FALSE)-150,VLOOKUP($B431,COSTOS!$A$2:$B1014,2,FALSE)),"No encontrado o error"))</f>
        <v/>
      </c>
      <c r="K431" s="264"/>
      <c r="L431" s="249"/>
      <c r="M431" s="189"/>
      <c r="N431" s="264"/>
      <c r="O431" s="249"/>
      <c r="P431" s="250"/>
      <c r="Q431" s="264"/>
      <c r="R431" s="249"/>
      <c r="S431" s="250"/>
      <c r="T431" s="264"/>
      <c r="U431" s="249"/>
      <c r="V431" s="250"/>
      <c r="W431" s="264"/>
      <c r="X431" s="394"/>
      <c r="Y431" s="429"/>
      <c r="Z431" s="395"/>
      <c r="AA431" s="394"/>
      <c r="AB431" s="118" t="str">
        <f>IF(OR(ISBLANK($B431),ISBLANK($AA431)),"",IFERROR(IF($AA431&lt;=DATE('ESTADO CONTABLE'!$B$2,9,5),VLOOKUP($B431,COSTOS!$A$2:$B1014,2,FALSE)-150,VLOOKUP($B431,COSTOS!$A$2:$B1014,2,FALSE)),"No encontrado o error"))</f>
        <v/>
      </c>
      <c r="AC431" s="395"/>
      <c r="AD431" s="394"/>
      <c r="AE431" s="429" t="str">
        <f>IF(OR(ISBLANK($B431),ISBLANK($AD431)),"",IFERROR(IF($AD431&lt;=DATE('ESTADO CONTABLE'!$B$2,10,5),VLOOKUP($B431,COSTOS!$A$2:$B1014,2,FALSE)-150,VLOOKUP($B431,COSTOS!$A$2:$B1014,2,FALSE)),"No encontrado o error"))</f>
        <v/>
      </c>
      <c r="AF431" s="395"/>
      <c r="AG431" s="394"/>
      <c r="AH431" s="429" t="str">
        <f>IF(OR(ISBLANK($B431),ISBLANK($AG431)),"",IFERROR(IF($AG431&lt;=DATE('ESTADO CONTABLE'!$B$2,11,5),VLOOKUP($B431,COSTOS!$A$2:$B1014,2,FALSE)-150,VLOOKUP($B431,COSTOS!$A$2:$B1014,2,FALSE)),"No encontrado o error"))</f>
        <v/>
      </c>
      <c r="AI431" s="395"/>
      <c r="AJ431" s="394"/>
      <c r="AK431" s="429" t="str">
        <f>IF(OR(ISBLANK($B431),ISBLANK($AJ431)),"",IFERROR(IF($AJ431&lt;=DATE('ESTADO CONTABLE'!$B$2,12,5),VLOOKUP($B431,COSTOS!$A$2:$B1014,2,FALSE)-150,VLOOKUP($B431,COSTOS!$A$2:$B1014,2,FALSE)),"No encontrado o error"))</f>
        <v/>
      </c>
      <c r="AL431" s="395"/>
      <c r="AM431" s="254"/>
      <c r="AN431" s="255"/>
      <c r="AO431" s="256"/>
    </row>
    <row r="432" ht="22.5" customHeight="1">
      <c r="A432" s="431" t="str">
        <f>'BASE DE DATOSS'!A506</f>
        <v/>
      </c>
      <c r="B432" s="432" t="str">
        <f>'BASE DE DATOSS'!C506</f>
        <v/>
      </c>
      <c r="C432" s="263"/>
      <c r="D432" s="249"/>
      <c r="E432" s="250"/>
      <c r="F432" s="251"/>
      <c r="G432" s="262"/>
      <c r="H432" s="257"/>
      <c r="I432" s="249"/>
      <c r="J432" s="193" t="str">
        <f>IF(OR(ISBLANK($B432),ISBLANK($I432)),"",IFERROR(IF($I432&lt;=DATE('ESTADO CONTABLE'!$B$2,3,5),VLOOKUP($B432,COSTOS!$A$2:$B1014,2,FALSE)-150,VLOOKUP($B432,COSTOS!$A$2:$B1014,2,FALSE)),"No encontrado o error"))</f>
        <v/>
      </c>
      <c r="K432" s="264"/>
      <c r="L432" s="249"/>
      <c r="M432" s="189"/>
      <c r="N432" s="264"/>
      <c r="O432" s="249"/>
      <c r="P432" s="250"/>
      <c r="Q432" s="264"/>
      <c r="R432" s="249"/>
      <c r="S432" s="250"/>
      <c r="T432" s="264"/>
      <c r="U432" s="249"/>
      <c r="V432" s="250"/>
      <c r="W432" s="264"/>
      <c r="X432" s="394"/>
      <c r="Y432" s="429"/>
      <c r="Z432" s="395"/>
      <c r="AA432" s="394"/>
      <c r="AB432" s="118" t="str">
        <f>IF(OR(ISBLANK($B432),ISBLANK($AA432)),"",IFERROR(IF($AA432&lt;=DATE('ESTADO CONTABLE'!$B$2,9,5),VLOOKUP($B432,COSTOS!$A$2:$B1014,2,FALSE)-150,VLOOKUP($B432,COSTOS!$A$2:$B1014,2,FALSE)),"No encontrado o error"))</f>
        <v/>
      </c>
      <c r="AC432" s="395"/>
      <c r="AD432" s="394"/>
      <c r="AE432" s="429" t="str">
        <f>IF(OR(ISBLANK($B432),ISBLANK($AD432)),"",IFERROR(IF($AD432&lt;=DATE('ESTADO CONTABLE'!$B$2,10,5),VLOOKUP($B432,COSTOS!$A$2:$B1014,2,FALSE)-150,VLOOKUP($B432,COSTOS!$A$2:$B1014,2,FALSE)),"No encontrado o error"))</f>
        <v/>
      </c>
      <c r="AF432" s="395"/>
      <c r="AG432" s="394"/>
      <c r="AH432" s="429" t="str">
        <f>IF(OR(ISBLANK($B432),ISBLANK($AG432)),"",IFERROR(IF($AG432&lt;=DATE('ESTADO CONTABLE'!$B$2,11,5),VLOOKUP($B432,COSTOS!$A$2:$B1014,2,FALSE)-150,VLOOKUP($B432,COSTOS!$A$2:$B1014,2,FALSE)),"No encontrado o error"))</f>
        <v/>
      </c>
      <c r="AI432" s="395"/>
      <c r="AJ432" s="394"/>
      <c r="AK432" s="429" t="str">
        <f>IF(OR(ISBLANK($B432),ISBLANK($AJ432)),"",IFERROR(IF($AJ432&lt;=DATE('ESTADO CONTABLE'!$B$2,12,5),VLOOKUP($B432,COSTOS!$A$2:$B1014,2,FALSE)-150,VLOOKUP($B432,COSTOS!$A$2:$B1014,2,FALSE)),"No encontrado o error"))</f>
        <v/>
      </c>
      <c r="AL432" s="395"/>
      <c r="AM432" s="254"/>
      <c r="AN432" s="255"/>
      <c r="AO432" s="256"/>
    </row>
    <row r="433" ht="22.5" customHeight="1">
      <c r="A433" s="431" t="str">
        <f>'BASE DE DATOSS'!A507</f>
        <v/>
      </c>
      <c r="B433" s="432" t="str">
        <f>'BASE DE DATOSS'!C507</f>
        <v/>
      </c>
      <c r="C433" s="263"/>
      <c r="D433" s="249"/>
      <c r="E433" s="250"/>
      <c r="F433" s="251"/>
      <c r="G433" s="262"/>
      <c r="H433" s="257"/>
      <c r="I433" s="249"/>
      <c r="J433" s="193" t="str">
        <f>IF(OR(ISBLANK($B433),ISBLANK($I433)),"",IFERROR(IF($I433&lt;=DATE('ESTADO CONTABLE'!$B$2,3,5),VLOOKUP($B433,COSTOS!$A$2:$B1014,2,FALSE)-150,VLOOKUP($B433,COSTOS!$A$2:$B1014,2,FALSE)),"No encontrado o error"))</f>
        <v/>
      </c>
      <c r="K433" s="264"/>
      <c r="L433" s="249"/>
      <c r="M433" s="189"/>
      <c r="N433" s="264"/>
      <c r="O433" s="249"/>
      <c r="P433" s="250"/>
      <c r="Q433" s="264"/>
      <c r="R433" s="249"/>
      <c r="S433" s="250"/>
      <c r="T433" s="264"/>
      <c r="U433" s="249"/>
      <c r="V433" s="250"/>
      <c r="W433" s="264"/>
      <c r="X433" s="394"/>
      <c r="Y433" s="429"/>
      <c r="Z433" s="395"/>
      <c r="AA433" s="394"/>
      <c r="AB433" s="118" t="str">
        <f>IF(OR(ISBLANK($B433),ISBLANK($AA433)),"",IFERROR(IF($AA433&lt;=DATE('ESTADO CONTABLE'!$B$2,9,5),VLOOKUP($B433,COSTOS!$A$2:$B1014,2,FALSE)-150,VLOOKUP($B433,COSTOS!$A$2:$B1014,2,FALSE)),"No encontrado o error"))</f>
        <v/>
      </c>
      <c r="AC433" s="395"/>
      <c r="AD433" s="394"/>
      <c r="AE433" s="429" t="str">
        <f>IF(OR(ISBLANK($B433),ISBLANK($AD433)),"",IFERROR(IF($AD433&lt;=DATE('ESTADO CONTABLE'!$B$2,10,5),VLOOKUP($B433,COSTOS!$A$2:$B1014,2,FALSE)-150,VLOOKUP($B433,COSTOS!$A$2:$B1014,2,FALSE)),"No encontrado o error"))</f>
        <v/>
      </c>
      <c r="AF433" s="395"/>
      <c r="AG433" s="394"/>
      <c r="AH433" s="429" t="str">
        <f>IF(OR(ISBLANK($B433),ISBLANK($AG433)),"",IFERROR(IF($AG433&lt;=DATE('ESTADO CONTABLE'!$B$2,11,5),VLOOKUP($B433,COSTOS!$A$2:$B1014,2,FALSE)-150,VLOOKUP($B433,COSTOS!$A$2:$B1014,2,FALSE)),"No encontrado o error"))</f>
        <v/>
      </c>
      <c r="AI433" s="395"/>
      <c r="AJ433" s="394"/>
      <c r="AK433" s="429" t="str">
        <f>IF(OR(ISBLANK($B433),ISBLANK($AJ433)),"",IFERROR(IF($AJ433&lt;=DATE('ESTADO CONTABLE'!$B$2,12,5),VLOOKUP($B433,COSTOS!$A$2:$B1014,2,FALSE)-150,VLOOKUP($B433,COSTOS!$A$2:$B1014,2,FALSE)),"No encontrado o error"))</f>
        <v/>
      </c>
      <c r="AL433" s="395"/>
      <c r="AM433" s="254"/>
      <c r="AN433" s="255"/>
      <c r="AO433" s="256"/>
    </row>
    <row r="434" ht="22.5" customHeight="1">
      <c r="A434" s="431" t="str">
        <f>'BASE DE DATOSS'!A508</f>
        <v/>
      </c>
      <c r="B434" s="432" t="str">
        <f>'BASE DE DATOSS'!C508</f>
        <v/>
      </c>
      <c r="C434" s="263"/>
      <c r="D434" s="249"/>
      <c r="E434" s="250"/>
      <c r="F434" s="251"/>
      <c r="G434" s="262"/>
      <c r="H434" s="257"/>
      <c r="I434" s="249"/>
      <c r="J434" s="193" t="str">
        <f>IF(OR(ISBLANK($B434),ISBLANK($I434)),"",IFERROR(IF($I434&lt;=DATE('ESTADO CONTABLE'!$B$2,3,5),VLOOKUP($B434,COSTOS!$A$2:$B1014,2,FALSE)-150,VLOOKUP($B434,COSTOS!$A$2:$B1014,2,FALSE)),"No encontrado o error"))</f>
        <v/>
      </c>
      <c r="K434" s="264"/>
      <c r="L434" s="249"/>
      <c r="M434" s="189"/>
      <c r="N434" s="264"/>
      <c r="O434" s="249"/>
      <c r="P434" s="250"/>
      <c r="Q434" s="264"/>
      <c r="R434" s="249"/>
      <c r="S434" s="250"/>
      <c r="T434" s="264"/>
      <c r="U434" s="249"/>
      <c r="V434" s="250"/>
      <c r="W434" s="264"/>
      <c r="X434" s="394"/>
      <c r="Y434" s="429"/>
      <c r="Z434" s="395"/>
      <c r="AA434" s="394"/>
      <c r="AB434" s="118" t="str">
        <f>IF(OR(ISBLANK($B434),ISBLANK($AA434)),"",IFERROR(IF($AA434&lt;=DATE('ESTADO CONTABLE'!$B$2,9,5),VLOOKUP($B434,COSTOS!$A$2:$B1014,2,FALSE)-150,VLOOKUP($B434,COSTOS!$A$2:$B1014,2,FALSE)),"No encontrado o error"))</f>
        <v/>
      </c>
      <c r="AC434" s="395"/>
      <c r="AD434" s="394"/>
      <c r="AE434" s="429" t="str">
        <f>IF(OR(ISBLANK($B434),ISBLANK($AD434)),"",IFERROR(IF($AD434&lt;=DATE('ESTADO CONTABLE'!$B$2,10,5),VLOOKUP($B434,COSTOS!$A$2:$B1014,2,FALSE)-150,VLOOKUP($B434,COSTOS!$A$2:$B1014,2,FALSE)),"No encontrado o error"))</f>
        <v/>
      </c>
      <c r="AF434" s="395"/>
      <c r="AG434" s="394"/>
      <c r="AH434" s="429" t="str">
        <f>IF(OR(ISBLANK($B434),ISBLANK($AG434)),"",IFERROR(IF($AG434&lt;=DATE('ESTADO CONTABLE'!$B$2,11,5),VLOOKUP($B434,COSTOS!$A$2:$B1014,2,FALSE)-150,VLOOKUP($B434,COSTOS!$A$2:$B1014,2,FALSE)),"No encontrado o error"))</f>
        <v/>
      </c>
      <c r="AI434" s="395"/>
      <c r="AJ434" s="394"/>
      <c r="AK434" s="429" t="str">
        <f>IF(OR(ISBLANK($B434),ISBLANK($AJ434)),"",IFERROR(IF($AJ434&lt;=DATE('ESTADO CONTABLE'!$B$2,12,5),VLOOKUP($B434,COSTOS!$A$2:$B1014,2,FALSE)-150,VLOOKUP($B434,COSTOS!$A$2:$B1014,2,FALSE)),"No encontrado o error"))</f>
        <v/>
      </c>
      <c r="AL434" s="395"/>
      <c r="AM434" s="254"/>
      <c r="AN434" s="255"/>
      <c r="AO434" s="256"/>
    </row>
    <row r="435" ht="22.5" customHeight="1">
      <c r="A435" s="431" t="str">
        <f>'BASE DE DATOSS'!A509</f>
        <v/>
      </c>
      <c r="B435" s="432" t="str">
        <f>'BASE DE DATOSS'!C509</f>
        <v/>
      </c>
      <c r="C435" s="263"/>
      <c r="D435" s="249"/>
      <c r="E435" s="250"/>
      <c r="F435" s="251"/>
      <c r="G435" s="262"/>
      <c r="H435" s="257"/>
      <c r="I435" s="249"/>
      <c r="J435" s="193" t="str">
        <f>IF(OR(ISBLANK($B435),ISBLANK($I435)),"",IFERROR(IF($I435&lt;=DATE('ESTADO CONTABLE'!$B$2,3,5),VLOOKUP($B435,COSTOS!$A$2:$B1014,2,FALSE)-150,VLOOKUP($B435,COSTOS!$A$2:$B1014,2,FALSE)),"No encontrado o error"))</f>
        <v/>
      </c>
      <c r="K435" s="264"/>
      <c r="L435" s="249"/>
      <c r="M435" s="189"/>
      <c r="N435" s="264"/>
      <c r="O435" s="249"/>
      <c r="P435" s="250"/>
      <c r="Q435" s="264"/>
      <c r="R435" s="249"/>
      <c r="S435" s="250"/>
      <c r="T435" s="264"/>
      <c r="U435" s="249"/>
      <c r="V435" s="250"/>
      <c r="W435" s="264"/>
      <c r="X435" s="394"/>
      <c r="Y435" s="429"/>
      <c r="Z435" s="395"/>
      <c r="AA435" s="394"/>
      <c r="AB435" s="118" t="str">
        <f>IF(OR(ISBLANK($B435),ISBLANK($AA435)),"",IFERROR(IF($AA435&lt;=DATE('ESTADO CONTABLE'!$B$2,9,5),VLOOKUP($B435,COSTOS!$A$2:$B1014,2,FALSE)-150,VLOOKUP($B435,COSTOS!$A$2:$B1014,2,FALSE)),"No encontrado o error"))</f>
        <v/>
      </c>
      <c r="AC435" s="395"/>
      <c r="AD435" s="394"/>
      <c r="AE435" s="429" t="str">
        <f>IF(OR(ISBLANK($B435),ISBLANK($AD435)),"",IFERROR(IF($AD435&lt;=DATE('ESTADO CONTABLE'!$B$2,10,5),VLOOKUP($B435,COSTOS!$A$2:$B1014,2,FALSE)-150,VLOOKUP($B435,COSTOS!$A$2:$B1014,2,FALSE)),"No encontrado o error"))</f>
        <v/>
      </c>
      <c r="AF435" s="395"/>
      <c r="AG435" s="394"/>
      <c r="AH435" s="429" t="str">
        <f>IF(OR(ISBLANK($B435),ISBLANK($AG435)),"",IFERROR(IF($AG435&lt;=DATE('ESTADO CONTABLE'!$B$2,11,5),VLOOKUP($B435,COSTOS!$A$2:$B1014,2,FALSE)-150,VLOOKUP($B435,COSTOS!$A$2:$B1014,2,FALSE)),"No encontrado o error"))</f>
        <v/>
      </c>
      <c r="AI435" s="395"/>
      <c r="AJ435" s="394"/>
      <c r="AK435" s="429" t="str">
        <f>IF(OR(ISBLANK($B435),ISBLANK($AJ435)),"",IFERROR(IF($AJ435&lt;=DATE('ESTADO CONTABLE'!$B$2,12,5),VLOOKUP($B435,COSTOS!$A$2:$B1014,2,FALSE)-150,VLOOKUP($B435,COSTOS!$A$2:$B1014,2,FALSE)),"No encontrado o error"))</f>
        <v/>
      </c>
      <c r="AL435" s="395"/>
      <c r="AM435" s="254"/>
      <c r="AN435" s="255"/>
      <c r="AO435" s="256"/>
    </row>
    <row r="436" ht="22.5" customHeight="1">
      <c r="A436" s="431" t="str">
        <f>'BASE DE DATOSS'!A510</f>
        <v/>
      </c>
      <c r="B436" s="432" t="str">
        <f>'BASE DE DATOSS'!C510</f>
        <v/>
      </c>
      <c r="C436" s="263"/>
      <c r="D436" s="249"/>
      <c r="E436" s="250"/>
      <c r="F436" s="251"/>
      <c r="G436" s="262"/>
      <c r="H436" s="257"/>
      <c r="I436" s="249"/>
      <c r="J436" s="193" t="str">
        <f>IF(OR(ISBLANK($B436),ISBLANK($I436)),"",IFERROR(IF($I436&lt;=DATE('ESTADO CONTABLE'!$B$2,3,5),VLOOKUP($B436,COSTOS!$A$2:$B1014,2,FALSE)-150,VLOOKUP($B436,COSTOS!$A$2:$B1014,2,FALSE)),"No encontrado o error"))</f>
        <v/>
      </c>
      <c r="K436" s="264"/>
      <c r="L436" s="249"/>
      <c r="M436" s="189"/>
      <c r="N436" s="264"/>
      <c r="O436" s="249"/>
      <c r="P436" s="250"/>
      <c r="Q436" s="264"/>
      <c r="R436" s="249"/>
      <c r="S436" s="250"/>
      <c r="T436" s="264"/>
      <c r="U436" s="249"/>
      <c r="V436" s="250"/>
      <c r="W436" s="264"/>
      <c r="X436" s="394"/>
      <c r="Y436" s="429"/>
      <c r="Z436" s="395"/>
      <c r="AA436" s="394"/>
      <c r="AB436" s="118" t="str">
        <f>IF(OR(ISBLANK($B436),ISBLANK($AA436)),"",IFERROR(IF($AA436&lt;=DATE('ESTADO CONTABLE'!$B$2,9,5),VLOOKUP($B436,COSTOS!$A$2:$B1014,2,FALSE)-150,VLOOKUP($B436,COSTOS!$A$2:$B1014,2,FALSE)),"No encontrado o error"))</f>
        <v/>
      </c>
      <c r="AC436" s="395"/>
      <c r="AD436" s="394"/>
      <c r="AE436" s="429" t="str">
        <f>IF(OR(ISBLANK($B436),ISBLANK($AD436)),"",IFERROR(IF($AD436&lt;=DATE('ESTADO CONTABLE'!$B$2,10,5),VLOOKUP($B436,COSTOS!$A$2:$B1014,2,FALSE)-150,VLOOKUP($B436,COSTOS!$A$2:$B1014,2,FALSE)),"No encontrado o error"))</f>
        <v/>
      </c>
      <c r="AF436" s="395"/>
      <c r="AG436" s="394"/>
      <c r="AH436" s="429" t="str">
        <f>IF(OR(ISBLANK($B436),ISBLANK($AG436)),"",IFERROR(IF($AG436&lt;=DATE('ESTADO CONTABLE'!$B$2,11,5),VLOOKUP($B436,COSTOS!$A$2:$B1014,2,FALSE)-150,VLOOKUP($B436,COSTOS!$A$2:$B1014,2,FALSE)),"No encontrado o error"))</f>
        <v/>
      </c>
      <c r="AI436" s="395"/>
      <c r="AJ436" s="394"/>
      <c r="AK436" s="429" t="str">
        <f>IF(OR(ISBLANK($B436),ISBLANK($AJ436)),"",IFERROR(IF($AJ436&lt;=DATE('ESTADO CONTABLE'!$B$2,12,5),VLOOKUP($B436,COSTOS!$A$2:$B1014,2,FALSE)-150,VLOOKUP($B436,COSTOS!$A$2:$B1014,2,FALSE)),"No encontrado o error"))</f>
        <v/>
      </c>
      <c r="AL436" s="395"/>
      <c r="AM436" s="254"/>
      <c r="AN436" s="255"/>
      <c r="AO436" s="256"/>
    </row>
    <row r="437" ht="22.5" customHeight="1">
      <c r="A437" s="431" t="str">
        <f>'BASE DE DATOSS'!A511</f>
        <v/>
      </c>
      <c r="B437" s="432" t="str">
        <f>'BASE DE DATOSS'!C511</f>
        <v/>
      </c>
      <c r="C437" s="263"/>
      <c r="D437" s="249"/>
      <c r="E437" s="250"/>
      <c r="F437" s="251"/>
      <c r="G437" s="262"/>
      <c r="H437" s="257"/>
      <c r="I437" s="249"/>
      <c r="J437" s="193" t="str">
        <f>IF(OR(ISBLANK($B437),ISBLANK($I437)),"",IFERROR(IF($I437&lt;=DATE('ESTADO CONTABLE'!$B$2,3,5),VLOOKUP($B437,COSTOS!$A$2:$B1014,2,FALSE)-150,VLOOKUP($B437,COSTOS!$A$2:$B1014,2,FALSE)),"No encontrado o error"))</f>
        <v/>
      </c>
      <c r="K437" s="264"/>
      <c r="L437" s="249"/>
      <c r="M437" s="189"/>
      <c r="N437" s="264"/>
      <c r="O437" s="249"/>
      <c r="P437" s="250"/>
      <c r="Q437" s="264"/>
      <c r="R437" s="249"/>
      <c r="S437" s="250"/>
      <c r="T437" s="264"/>
      <c r="U437" s="249"/>
      <c r="V437" s="250"/>
      <c r="W437" s="264"/>
      <c r="X437" s="394"/>
      <c r="Y437" s="429"/>
      <c r="Z437" s="395"/>
      <c r="AA437" s="394"/>
      <c r="AB437" s="118" t="str">
        <f>IF(OR(ISBLANK($B437),ISBLANK($AA437)),"",IFERROR(IF($AA437&lt;=DATE('ESTADO CONTABLE'!$B$2,9,5),VLOOKUP($B437,COSTOS!$A$2:$B1014,2,FALSE)-150,VLOOKUP($B437,COSTOS!$A$2:$B1014,2,FALSE)),"No encontrado o error"))</f>
        <v/>
      </c>
      <c r="AC437" s="395"/>
      <c r="AD437" s="394"/>
      <c r="AE437" s="429" t="str">
        <f>IF(OR(ISBLANK($B437),ISBLANK($AD437)),"",IFERROR(IF($AD437&lt;=DATE('ESTADO CONTABLE'!$B$2,10,5),VLOOKUP($B437,COSTOS!$A$2:$B1014,2,FALSE)-150,VLOOKUP($B437,COSTOS!$A$2:$B1014,2,FALSE)),"No encontrado o error"))</f>
        <v/>
      </c>
      <c r="AF437" s="395"/>
      <c r="AG437" s="394"/>
      <c r="AH437" s="429" t="str">
        <f>IF(OR(ISBLANK($B437),ISBLANK($AG437)),"",IFERROR(IF($AG437&lt;=DATE('ESTADO CONTABLE'!$B$2,11,5),VLOOKUP($B437,COSTOS!$A$2:$B1014,2,FALSE)-150,VLOOKUP($B437,COSTOS!$A$2:$B1014,2,FALSE)),"No encontrado o error"))</f>
        <v/>
      </c>
      <c r="AI437" s="395"/>
      <c r="AJ437" s="394"/>
      <c r="AK437" s="429" t="str">
        <f>IF(OR(ISBLANK($B437),ISBLANK($AJ437)),"",IFERROR(IF($AJ437&lt;=DATE('ESTADO CONTABLE'!$B$2,12,5),VLOOKUP($B437,COSTOS!$A$2:$B1014,2,FALSE)-150,VLOOKUP($B437,COSTOS!$A$2:$B1014,2,FALSE)),"No encontrado o error"))</f>
        <v/>
      </c>
      <c r="AL437" s="395"/>
      <c r="AM437" s="254"/>
      <c r="AN437" s="255"/>
      <c r="AO437" s="256"/>
    </row>
    <row r="438" ht="22.5" customHeight="1">
      <c r="A438" s="431" t="str">
        <f>'BASE DE DATOSS'!A512</f>
        <v/>
      </c>
      <c r="B438" s="432" t="str">
        <f>'BASE DE DATOSS'!C512</f>
        <v/>
      </c>
      <c r="C438" s="263"/>
      <c r="D438" s="249"/>
      <c r="E438" s="250"/>
      <c r="F438" s="251"/>
      <c r="G438" s="262"/>
      <c r="H438" s="257"/>
      <c r="I438" s="249"/>
      <c r="J438" s="193" t="str">
        <f>IF(OR(ISBLANK($B438),ISBLANK($I438)),"",IFERROR(IF($I438&lt;=DATE('ESTADO CONTABLE'!$B$2,3,5),VLOOKUP($B438,COSTOS!$A$2:$B1014,2,FALSE)-150,VLOOKUP($B438,COSTOS!$A$2:$B1014,2,FALSE)),"No encontrado o error"))</f>
        <v/>
      </c>
      <c r="K438" s="264"/>
      <c r="L438" s="249"/>
      <c r="M438" s="189"/>
      <c r="N438" s="264"/>
      <c r="O438" s="249"/>
      <c r="P438" s="250"/>
      <c r="Q438" s="264"/>
      <c r="R438" s="249"/>
      <c r="S438" s="250"/>
      <c r="T438" s="264"/>
      <c r="U438" s="249"/>
      <c r="V438" s="250"/>
      <c r="W438" s="264"/>
      <c r="X438" s="394"/>
      <c r="Y438" s="429"/>
      <c r="Z438" s="395"/>
      <c r="AA438" s="394"/>
      <c r="AB438" s="118" t="str">
        <f>IF(OR(ISBLANK($B438),ISBLANK($AA438)),"",IFERROR(IF($AA438&lt;=DATE('ESTADO CONTABLE'!$B$2,9,5),VLOOKUP($B438,COSTOS!$A$2:$B1014,2,FALSE)-150,VLOOKUP($B438,COSTOS!$A$2:$B1014,2,FALSE)),"No encontrado o error"))</f>
        <v/>
      </c>
      <c r="AC438" s="395"/>
      <c r="AD438" s="394"/>
      <c r="AE438" s="429" t="str">
        <f>IF(OR(ISBLANK($B438),ISBLANK($AD438)),"",IFERROR(IF($AD438&lt;=DATE('ESTADO CONTABLE'!$B$2,10,5),VLOOKUP($B438,COSTOS!$A$2:$B1014,2,FALSE)-150,VLOOKUP($B438,COSTOS!$A$2:$B1014,2,FALSE)),"No encontrado o error"))</f>
        <v/>
      </c>
      <c r="AF438" s="395"/>
      <c r="AG438" s="394"/>
      <c r="AH438" s="429" t="str">
        <f>IF(OR(ISBLANK($B438),ISBLANK($AG438)),"",IFERROR(IF($AG438&lt;=DATE('ESTADO CONTABLE'!$B$2,11,5),VLOOKUP($B438,COSTOS!$A$2:$B1014,2,FALSE)-150,VLOOKUP($B438,COSTOS!$A$2:$B1014,2,FALSE)),"No encontrado o error"))</f>
        <v/>
      </c>
      <c r="AI438" s="395"/>
      <c r="AJ438" s="394"/>
      <c r="AK438" s="429" t="str">
        <f>IF(OR(ISBLANK($B438),ISBLANK($AJ438)),"",IFERROR(IF($AJ438&lt;=DATE('ESTADO CONTABLE'!$B$2,12,5),VLOOKUP($B438,COSTOS!$A$2:$B1014,2,FALSE)-150,VLOOKUP($B438,COSTOS!$A$2:$B1014,2,FALSE)),"No encontrado o error"))</f>
        <v/>
      </c>
      <c r="AL438" s="395"/>
      <c r="AM438" s="254"/>
      <c r="AN438" s="255"/>
      <c r="AO438" s="256"/>
    </row>
    <row r="439" ht="22.5" customHeight="1">
      <c r="A439" s="431" t="str">
        <f>'BASE DE DATOSS'!A513</f>
        <v/>
      </c>
      <c r="B439" s="432" t="str">
        <f>'BASE DE DATOSS'!C513</f>
        <v/>
      </c>
      <c r="C439" s="263"/>
      <c r="D439" s="249"/>
      <c r="E439" s="250"/>
      <c r="F439" s="251"/>
      <c r="G439" s="262"/>
      <c r="H439" s="257"/>
      <c r="I439" s="249"/>
      <c r="J439" s="193" t="str">
        <f>IF(OR(ISBLANK($B439),ISBLANK($I439)),"",IFERROR(IF($I439&lt;=DATE('ESTADO CONTABLE'!$B$2,3,5),VLOOKUP($B439,COSTOS!$A$2:$B1014,2,FALSE)-150,VLOOKUP($B439,COSTOS!$A$2:$B1014,2,FALSE)),"No encontrado o error"))</f>
        <v/>
      </c>
      <c r="K439" s="264"/>
      <c r="L439" s="249"/>
      <c r="M439" s="189"/>
      <c r="N439" s="264"/>
      <c r="O439" s="249"/>
      <c r="P439" s="250"/>
      <c r="Q439" s="264"/>
      <c r="R439" s="249"/>
      <c r="S439" s="250"/>
      <c r="T439" s="264"/>
      <c r="U439" s="249"/>
      <c r="V439" s="250"/>
      <c r="W439" s="264"/>
      <c r="X439" s="394"/>
      <c r="Y439" s="429"/>
      <c r="Z439" s="395"/>
      <c r="AA439" s="394"/>
      <c r="AB439" s="118" t="str">
        <f>IF(OR(ISBLANK($B439),ISBLANK($AA439)),"",IFERROR(IF($AA439&lt;=DATE('ESTADO CONTABLE'!$B$2,9,5),VLOOKUP($B439,COSTOS!$A$2:$B1014,2,FALSE)-150,VLOOKUP($B439,COSTOS!$A$2:$B1014,2,FALSE)),"No encontrado o error"))</f>
        <v/>
      </c>
      <c r="AC439" s="395"/>
      <c r="AD439" s="394"/>
      <c r="AE439" s="429" t="str">
        <f>IF(OR(ISBLANK($B439),ISBLANK($AD439)),"",IFERROR(IF($AD439&lt;=DATE('ESTADO CONTABLE'!$B$2,10,5),VLOOKUP($B439,COSTOS!$A$2:$B1014,2,FALSE)-150,VLOOKUP($B439,COSTOS!$A$2:$B1014,2,FALSE)),"No encontrado o error"))</f>
        <v/>
      </c>
      <c r="AF439" s="395"/>
      <c r="AG439" s="394"/>
      <c r="AH439" s="429" t="str">
        <f>IF(OR(ISBLANK($B439),ISBLANK($AG439)),"",IFERROR(IF($AG439&lt;=DATE('ESTADO CONTABLE'!$B$2,11,5),VLOOKUP($B439,COSTOS!$A$2:$B1014,2,FALSE)-150,VLOOKUP($B439,COSTOS!$A$2:$B1014,2,FALSE)),"No encontrado o error"))</f>
        <v/>
      </c>
      <c r="AI439" s="395"/>
      <c r="AJ439" s="394"/>
      <c r="AK439" s="429" t="str">
        <f>IF(OR(ISBLANK($B439),ISBLANK($AJ439)),"",IFERROR(IF($AJ439&lt;=DATE('ESTADO CONTABLE'!$B$2,12,5),VLOOKUP($B439,COSTOS!$A$2:$B1014,2,FALSE)-150,VLOOKUP($B439,COSTOS!$A$2:$B1014,2,FALSE)),"No encontrado o error"))</f>
        <v/>
      </c>
      <c r="AL439" s="395"/>
      <c r="AM439" s="254"/>
      <c r="AN439" s="255"/>
      <c r="AO439" s="256"/>
    </row>
    <row r="440" ht="22.5" customHeight="1">
      <c r="A440" s="431" t="str">
        <f>'BASE DE DATOSS'!A514</f>
        <v/>
      </c>
      <c r="B440" s="432" t="str">
        <f>'BASE DE DATOSS'!C514</f>
        <v/>
      </c>
      <c r="C440" s="263"/>
      <c r="D440" s="249"/>
      <c r="E440" s="250"/>
      <c r="F440" s="251"/>
      <c r="G440" s="262"/>
      <c r="H440" s="257"/>
      <c r="I440" s="249"/>
      <c r="J440" s="193" t="str">
        <f>IF(OR(ISBLANK($B440),ISBLANK($I440)),"",IFERROR(IF($I440&lt;=DATE('ESTADO CONTABLE'!$B$2,3,5),VLOOKUP($B440,COSTOS!$A$2:$B1014,2,FALSE)-150,VLOOKUP($B440,COSTOS!$A$2:$B1014,2,FALSE)),"No encontrado o error"))</f>
        <v/>
      </c>
      <c r="K440" s="264"/>
      <c r="L440" s="249"/>
      <c r="M440" s="189"/>
      <c r="N440" s="264"/>
      <c r="O440" s="249"/>
      <c r="P440" s="250"/>
      <c r="Q440" s="264"/>
      <c r="R440" s="249"/>
      <c r="S440" s="250"/>
      <c r="T440" s="264"/>
      <c r="U440" s="249"/>
      <c r="V440" s="250"/>
      <c r="W440" s="264"/>
      <c r="X440" s="394"/>
      <c r="Y440" s="429"/>
      <c r="Z440" s="395"/>
      <c r="AA440" s="394"/>
      <c r="AB440" s="118" t="str">
        <f>IF(OR(ISBLANK($B440),ISBLANK($AA440)),"",IFERROR(IF($AA440&lt;=DATE('ESTADO CONTABLE'!$B$2,9,5),VLOOKUP($B440,COSTOS!$A$2:$B1014,2,FALSE)-150,VLOOKUP($B440,COSTOS!$A$2:$B1014,2,FALSE)),"No encontrado o error"))</f>
        <v/>
      </c>
      <c r="AC440" s="395"/>
      <c r="AD440" s="394"/>
      <c r="AE440" s="429" t="str">
        <f>IF(OR(ISBLANK($B440),ISBLANK($AD440)),"",IFERROR(IF($AD440&lt;=DATE('ESTADO CONTABLE'!$B$2,10,5),VLOOKUP($B440,COSTOS!$A$2:$B1014,2,FALSE)-150,VLOOKUP($B440,COSTOS!$A$2:$B1014,2,FALSE)),"No encontrado o error"))</f>
        <v/>
      </c>
      <c r="AF440" s="395"/>
      <c r="AG440" s="394"/>
      <c r="AH440" s="429" t="str">
        <f>IF(OR(ISBLANK($B440),ISBLANK($AG440)),"",IFERROR(IF($AG440&lt;=DATE('ESTADO CONTABLE'!$B$2,11,5),VLOOKUP($B440,COSTOS!$A$2:$B1014,2,FALSE)-150,VLOOKUP($B440,COSTOS!$A$2:$B1014,2,FALSE)),"No encontrado o error"))</f>
        <v/>
      </c>
      <c r="AI440" s="395"/>
      <c r="AJ440" s="394"/>
      <c r="AK440" s="429" t="str">
        <f>IF(OR(ISBLANK($B440),ISBLANK($AJ440)),"",IFERROR(IF($AJ440&lt;=DATE('ESTADO CONTABLE'!$B$2,12,5),VLOOKUP($B440,COSTOS!$A$2:$B1014,2,FALSE)-150,VLOOKUP($B440,COSTOS!$A$2:$B1014,2,FALSE)),"No encontrado o error"))</f>
        <v/>
      </c>
      <c r="AL440" s="395"/>
      <c r="AM440" s="254"/>
      <c r="AN440" s="255"/>
      <c r="AO440" s="256"/>
    </row>
    <row r="441" ht="22.5" customHeight="1">
      <c r="A441" s="431" t="str">
        <f>'BASE DE DATOSS'!A515</f>
        <v/>
      </c>
      <c r="B441" s="432" t="str">
        <f>'BASE DE DATOSS'!C515</f>
        <v/>
      </c>
      <c r="C441" s="263"/>
      <c r="D441" s="249"/>
      <c r="E441" s="250"/>
      <c r="F441" s="251"/>
      <c r="G441" s="262"/>
      <c r="H441" s="257"/>
      <c r="I441" s="249"/>
      <c r="J441" s="193" t="str">
        <f>IF(OR(ISBLANK($B441),ISBLANK($I441)),"",IFERROR(IF($I441&lt;=DATE('ESTADO CONTABLE'!$B$2,3,5),VLOOKUP($B441,COSTOS!$A$2:$B1014,2,FALSE)-150,VLOOKUP($B441,COSTOS!$A$2:$B1014,2,FALSE)),"No encontrado o error"))</f>
        <v/>
      </c>
      <c r="K441" s="264"/>
      <c r="L441" s="249"/>
      <c r="M441" s="189"/>
      <c r="N441" s="264"/>
      <c r="O441" s="249"/>
      <c r="P441" s="250"/>
      <c r="Q441" s="264"/>
      <c r="R441" s="249"/>
      <c r="S441" s="250"/>
      <c r="T441" s="264"/>
      <c r="U441" s="249"/>
      <c r="V441" s="250"/>
      <c r="W441" s="264"/>
      <c r="X441" s="394"/>
      <c r="Y441" s="429"/>
      <c r="Z441" s="395"/>
      <c r="AA441" s="394"/>
      <c r="AB441" s="118" t="str">
        <f>IF(OR(ISBLANK($B441),ISBLANK($AA441)),"",IFERROR(IF($AA441&lt;=DATE('ESTADO CONTABLE'!$B$2,9,5),VLOOKUP($B441,COSTOS!$A$2:$B1014,2,FALSE)-150,VLOOKUP($B441,COSTOS!$A$2:$B1014,2,FALSE)),"No encontrado o error"))</f>
        <v/>
      </c>
      <c r="AC441" s="395"/>
      <c r="AD441" s="394"/>
      <c r="AE441" s="429" t="str">
        <f>IF(OR(ISBLANK($B441),ISBLANK($AD441)),"",IFERROR(IF($AD441&lt;=DATE('ESTADO CONTABLE'!$B$2,10,5),VLOOKUP($B441,COSTOS!$A$2:$B1014,2,FALSE)-150,VLOOKUP($B441,COSTOS!$A$2:$B1014,2,FALSE)),"No encontrado o error"))</f>
        <v/>
      </c>
      <c r="AF441" s="395"/>
      <c r="AG441" s="394"/>
      <c r="AH441" s="429" t="str">
        <f>IF(OR(ISBLANK($B441),ISBLANK($AG441)),"",IFERROR(IF($AG441&lt;=DATE('ESTADO CONTABLE'!$B$2,11,5),VLOOKUP($B441,COSTOS!$A$2:$B1014,2,FALSE)-150,VLOOKUP($B441,COSTOS!$A$2:$B1014,2,FALSE)),"No encontrado o error"))</f>
        <v/>
      </c>
      <c r="AI441" s="395"/>
      <c r="AJ441" s="394"/>
      <c r="AK441" s="429" t="str">
        <f>IF(OR(ISBLANK($B441),ISBLANK($AJ441)),"",IFERROR(IF($AJ441&lt;=DATE('ESTADO CONTABLE'!$B$2,12,5),VLOOKUP($B441,COSTOS!$A$2:$B1014,2,FALSE)-150,VLOOKUP($B441,COSTOS!$A$2:$B1014,2,FALSE)),"No encontrado o error"))</f>
        <v/>
      </c>
      <c r="AL441" s="395"/>
      <c r="AM441" s="254"/>
      <c r="AN441" s="255"/>
      <c r="AO441" s="256"/>
    </row>
    <row r="442" ht="22.5" customHeight="1">
      <c r="A442" s="431" t="str">
        <f>'BASE DE DATOSS'!A516</f>
        <v/>
      </c>
      <c r="B442" s="432" t="str">
        <f>'BASE DE DATOSS'!C516</f>
        <v/>
      </c>
      <c r="C442" s="263"/>
      <c r="D442" s="249"/>
      <c r="E442" s="250"/>
      <c r="F442" s="251"/>
      <c r="G442" s="262"/>
      <c r="H442" s="257"/>
      <c r="I442" s="249"/>
      <c r="J442" s="193" t="str">
        <f>IF(OR(ISBLANK($B442),ISBLANK($I442)),"",IFERROR(IF($I442&lt;=DATE('ESTADO CONTABLE'!$B$2,3,5),VLOOKUP($B442,COSTOS!$A$2:$B1014,2,FALSE)-150,VLOOKUP($B442,COSTOS!$A$2:$B1014,2,FALSE)),"No encontrado o error"))</f>
        <v/>
      </c>
      <c r="K442" s="264"/>
      <c r="L442" s="249"/>
      <c r="M442" s="189"/>
      <c r="N442" s="264"/>
      <c r="O442" s="249"/>
      <c r="P442" s="250"/>
      <c r="Q442" s="264"/>
      <c r="R442" s="249"/>
      <c r="S442" s="250"/>
      <c r="T442" s="264"/>
      <c r="U442" s="249"/>
      <c r="V442" s="250"/>
      <c r="W442" s="264"/>
      <c r="X442" s="394"/>
      <c r="Y442" s="429"/>
      <c r="Z442" s="395"/>
      <c r="AA442" s="394"/>
      <c r="AB442" s="118" t="str">
        <f>IF(OR(ISBLANK($B442),ISBLANK($AA442)),"",IFERROR(IF($AA442&lt;=DATE('ESTADO CONTABLE'!$B$2,9,5),VLOOKUP($B442,COSTOS!$A$2:$B1014,2,FALSE)-150,VLOOKUP($B442,COSTOS!$A$2:$B1014,2,FALSE)),"No encontrado o error"))</f>
        <v/>
      </c>
      <c r="AC442" s="395"/>
      <c r="AD442" s="394"/>
      <c r="AE442" s="429" t="str">
        <f>IF(OR(ISBLANK($B442),ISBLANK($AD442)),"",IFERROR(IF($AD442&lt;=DATE('ESTADO CONTABLE'!$B$2,10,5),VLOOKUP($B442,COSTOS!$A$2:$B1014,2,FALSE)-150,VLOOKUP($B442,COSTOS!$A$2:$B1014,2,FALSE)),"No encontrado o error"))</f>
        <v/>
      </c>
      <c r="AF442" s="395"/>
      <c r="AG442" s="394"/>
      <c r="AH442" s="429" t="str">
        <f>IF(OR(ISBLANK($B442),ISBLANK($AG442)),"",IFERROR(IF($AG442&lt;=DATE('ESTADO CONTABLE'!$B$2,11,5),VLOOKUP($B442,COSTOS!$A$2:$B1014,2,FALSE)-150,VLOOKUP($B442,COSTOS!$A$2:$B1014,2,FALSE)),"No encontrado o error"))</f>
        <v/>
      </c>
      <c r="AI442" s="395"/>
      <c r="AJ442" s="394"/>
      <c r="AK442" s="429" t="str">
        <f>IF(OR(ISBLANK($B442),ISBLANK($AJ442)),"",IFERROR(IF($AJ442&lt;=DATE('ESTADO CONTABLE'!$B$2,12,5),VLOOKUP($B442,COSTOS!$A$2:$B1014,2,FALSE)-150,VLOOKUP($B442,COSTOS!$A$2:$B1014,2,FALSE)),"No encontrado o error"))</f>
        <v/>
      </c>
      <c r="AL442" s="395"/>
      <c r="AM442" s="254"/>
      <c r="AN442" s="255"/>
      <c r="AO442" s="256"/>
    </row>
    <row r="443" ht="22.5" customHeight="1">
      <c r="A443" s="431" t="str">
        <f>'BASE DE DATOSS'!A517</f>
        <v/>
      </c>
      <c r="B443" s="432" t="str">
        <f>'BASE DE DATOSS'!C517</f>
        <v/>
      </c>
      <c r="C443" s="263"/>
      <c r="D443" s="249"/>
      <c r="E443" s="250"/>
      <c r="F443" s="251"/>
      <c r="G443" s="262"/>
      <c r="H443" s="257"/>
      <c r="I443" s="249"/>
      <c r="J443" s="193" t="str">
        <f>IF(OR(ISBLANK($B443),ISBLANK($I443)),"",IFERROR(IF($I443&lt;=DATE('ESTADO CONTABLE'!$B$2,3,5),VLOOKUP($B443,COSTOS!$A$2:$B1014,2,FALSE)-150,VLOOKUP($B443,COSTOS!$A$2:$B1014,2,FALSE)),"No encontrado o error"))</f>
        <v/>
      </c>
      <c r="K443" s="264"/>
      <c r="L443" s="249"/>
      <c r="M443" s="189"/>
      <c r="N443" s="264"/>
      <c r="O443" s="249"/>
      <c r="P443" s="250"/>
      <c r="Q443" s="264"/>
      <c r="R443" s="249"/>
      <c r="S443" s="250"/>
      <c r="T443" s="264"/>
      <c r="U443" s="249"/>
      <c r="V443" s="250"/>
      <c r="W443" s="264"/>
      <c r="X443" s="394"/>
      <c r="Y443" s="429"/>
      <c r="Z443" s="395"/>
      <c r="AA443" s="394"/>
      <c r="AB443" s="118" t="str">
        <f>IF(OR(ISBLANK($B443),ISBLANK($AA443)),"",IFERROR(IF($AA443&lt;=DATE('ESTADO CONTABLE'!$B$2,9,5),VLOOKUP($B443,COSTOS!$A$2:$B1014,2,FALSE)-150,VLOOKUP($B443,COSTOS!$A$2:$B1014,2,FALSE)),"No encontrado o error"))</f>
        <v/>
      </c>
      <c r="AC443" s="395"/>
      <c r="AD443" s="394"/>
      <c r="AE443" s="429" t="str">
        <f>IF(OR(ISBLANK($B443),ISBLANK($AD443)),"",IFERROR(IF($AD443&lt;=DATE('ESTADO CONTABLE'!$B$2,10,5),VLOOKUP($B443,COSTOS!$A$2:$B1014,2,FALSE)-150,VLOOKUP($B443,COSTOS!$A$2:$B1014,2,FALSE)),"No encontrado o error"))</f>
        <v/>
      </c>
      <c r="AF443" s="395"/>
      <c r="AG443" s="394"/>
      <c r="AH443" s="429" t="str">
        <f>IF(OR(ISBLANK($B443),ISBLANK($AG443)),"",IFERROR(IF($AG443&lt;=DATE('ESTADO CONTABLE'!$B$2,11,5),VLOOKUP($B443,COSTOS!$A$2:$B1014,2,FALSE)-150,VLOOKUP($B443,COSTOS!$A$2:$B1014,2,FALSE)),"No encontrado o error"))</f>
        <v/>
      </c>
      <c r="AI443" s="395"/>
      <c r="AJ443" s="394"/>
      <c r="AK443" s="429" t="str">
        <f>IF(OR(ISBLANK($B443),ISBLANK($AJ443)),"",IFERROR(IF($AJ443&lt;=DATE('ESTADO CONTABLE'!$B$2,12,5),VLOOKUP($B443,COSTOS!$A$2:$B1014,2,FALSE)-150,VLOOKUP($B443,COSTOS!$A$2:$B1014,2,FALSE)),"No encontrado o error"))</f>
        <v/>
      </c>
      <c r="AL443" s="395"/>
      <c r="AM443" s="254"/>
      <c r="AN443" s="255"/>
      <c r="AO443" s="256"/>
    </row>
    <row r="444" ht="22.5" customHeight="1">
      <c r="A444" s="431" t="str">
        <f>'BASE DE DATOSS'!A518</f>
        <v/>
      </c>
      <c r="B444" s="432" t="str">
        <f>'BASE DE DATOSS'!C518</f>
        <v/>
      </c>
      <c r="C444" s="263"/>
      <c r="D444" s="249"/>
      <c r="E444" s="250"/>
      <c r="F444" s="251"/>
      <c r="G444" s="262"/>
      <c r="H444" s="257"/>
      <c r="I444" s="249"/>
      <c r="J444" s="193" t="str">
        <f>IF(OR(ISBLANK($B444),ISBLANK($I444)),"",IFERROR(IF($I444&lt;=DATE('ESTADO CONTABLE'!$B$2,3,5),VLOOKUP($B444,COSTOS!$A$2:$B1014,2,FALSE)-150,VLOOKUP($B444,COSTOS!$A$2:$B1014,2,FALSE)),"No encontrado o error"))</f>
        <v/>
      </c>
      <c r="K444" s="264"/>
      <c r="L444" s="249"/>
      <c r="M444" s="189"/>
      <c r="N444" s="264"/>
      <c r="O444" s="249"/>
      <c r="P444" s="250"/>
      <c r="Q444" s="264"/>
      <c r="R444" s="249"/>
      <c r="S444" s="250"/>
      <c r="T444" s="264"/>
      <c r="U444" s="249"/>
      <c r="V444" s="250"/>
      <c r="W444" s="264"/>
      <c r="X444" s="394"/>
      <c r="Y444" s="429"/>
      <c r="Z444" s="395"/>
      <c r="AA444" s="394"/>
      <c r="AB444" s="118" t="str">
        <f>IF(OR(ISBLANK($B444),ISBLANK($AA444)),"",IFERROR(IF($AA444&lt;=DATE('ESTADO CONTABLE'!$B$2,9,5),VLOOKUP($B444,COSTOS!$A$2:$B1014,2,FALSE)-150,VLOOKUP($B444,COSTOS!$A$2:$B1014,2,FALSE)),"No encontrado o error"))</f>
        <v/>
      </c>
      <c r="AC444" s="395"/>
      <c r="AD444" s="394"/>
      <c r="AE444" s="429" t="str">
        <f>IF(OR(ISBLANK($B444),ISBLANK($AD444)),"",IFERROR(IF($AD444&lt;=DATE('ESTADO CONTABLE'!$B$2,10,5),VLOOKUP($B444,COSTOS!$A$2:$B1014,2,FALSE)-150,VLOOKUP($B444,COSTOS!$A$2:$B1014,2,FALSE)),"No encontrado o error"))</f>
        <v/>
      </c>
      <c r="AF444" s="395"/>
      <c r="AG444" s="394"/>
      <c r="AH444" s="429" t="str">
        <f>IF(OR(ISBLANK($B444),ISBLANK($AG444)),"",IFERROR(IF($AG444&lt;=DATE('ESTADO CONTABLE'!$B$2,11,5),VLOOKUP($B444,COSTOS!$A$2:$B1014,2,FALSE)-150,VLOOKUP($B444,COSTOS!$A$2:$B1014,2,FALSE)),"No encontrado o error"))</f>
        <v/>
      </c>
      <c r="AI444" s="395"/>
      <c r="AJ444" s="394"/>
      <c r="AK444" s="429" t="str">
        <f>IF(OR(ISBLANK($B444),ISBLANK($AJ444)),"",IFERROR(IF($AJ444&lt;=DATE('ESTADO CONTABLE'!$B$2,12,5),VLOOKUP($B444,COSTOS!$A$2:$B1014,2,FALSE)-150,VLOOKUP($B444,COSTOS!$A$2:$B1014,2,FALSE)),"No encontrado o error"))</f>
        <v/>
      </c>
      <c r="AL444" s="395"/>
      <c r="AM444" s="254"/>
      <c r="AN444" s="255"/>
      <c r="AO444" s="256"/>
    </row>
    <row r="445" ht="22.5" customHeight="1">
      <c r="A445" s="431" t="str">
        <f>'BASE DE DATOSS'!A519</f>
        <v/>
      </c>
      <c r="B445" s="432" t="str">
        <f>'BASE DE DATOSS'!C519</f>
        <v/>
      </c>
      <c r="C445" s="263"/>
      <c r="D445" s="249"/>
      <c r="E445" s="250"/>
      <c r="F445" s="251"/>
      <c r="G445" s="262"/>
      <c r="H445" s="257"/>
      <c r="I445" s="249"/>
      <c r="J445" s="193" t="str">
        <f>IF(OR(ISBLANK($B445),ISBLANK($I445)),"",IFERROR(IF($I445&lt;=DATE('ESTADO CONTABLE'!$B$2,3,5),VLOOKUP($B445,COSTOS!$A$2:$B1014,2,FALSE)-150,VLOOKUP($B445,COSTOS!$A$2:$B1014,2,FALSE)),"No encontrado o error"))</f>
        <v/>
      </c>
      <c r="K445" s="264"/>
      <c r="L445" s="249"/>
      <c r="M445" s="189"/>
      <c r="N445" s="264"/>
      <c r="O445" s="249"/>
      <c r="P445" s="250"/>
      <c r="Q445" s="264"/>
      <c r="R445" s="249"/>
      <c r="S445" s="250"/>
      <c r="T445" s="264"/>
      <c r="U445" s="249"/>
      <c r="V445" s="250"/>
      <c r="W445" s="264"/>
      <c r="X445" s="394"/>
      <c r="Y445" s="429"/>
      <c r="Z445" s="395"/>
      <c r="AA445" s="394"/>
      <c r="AB445" s="118" t="str">
        <f>IF(OR(ISBLANK($B445),ISBLANK($AA445)),"",IFERROR(IF($AA445&lt;=DATE('ESTADO CONTABLE'!$B$2,9,5),VLOOKUP($B445,COSTOS!$A$2:$B1014,2,FALSE)-150,VLOOKUP($B445,COSTOS!$A$2:$B1014,2,FALSE)),"No encontrado o error"))</f>
        <v/>
      </c>
      <c r="AC445" s="395"/>
      <c r="AD445" s="394"/>
      <c r="AE445" s="429" t="str">
        <f>IF(OR(ISBLANK($B445),ISBLANK($AD445)),"",IFERROR(IF($AD445&lt;=DATE('ESTADO CONTABLE'!$B$2,10,5),VLOOKUP($B445,COSTOS!$A$2:$B1014,2,FALSE)-150,VLOOKUP($B445,COSTOS!$A$2:$B1014,2,FALSE)),"No encontrado o error"))</f>
        <v/>
      </c>
      <c r="AF445" s="395"/>
      <c r="AG445" s="394"/>
      <c r="AH445" s="429" t="str">
        <f>IF(OR(ISBLANK($B445),ISBLANK($AG445)),"",IFERROR(IF($AG445&lt;=DATE('ESTADO CONTABLE'!$B$2,11,5),VLOOKUP($B445,COSTOS!$A$2:$B1014,2,FALSE)-150,VLOOKUP($B445,COSTOS!$A$2:$B1014,2,FALSE)),"No encontrado o error"))</f>
        <v/>
      </c>
      <c r="AI445" s="395"/>
      <c r="AJ445" s="394"/>
      <c r="AK445" s="429" t="str">
        <f>IF(OR(ISBLANK($B445),ISBLANK($AJ445)),"",IFERROR(IF($AJ445&lt;=DATE('ESTADO CONTABLE'!$B$2,12,5),VLOOKUP($B445,COSTOS!$A$2:$B1014,2,FALSE)-150,VLOOKUP($B445,COSTOS!$A$2:$B1014,2,FALSE)),"No encontrado o error"))</f>
        <v/>
      </c>
      <c r="AL445" s="395"/>
      <c r="AM445" s="254"/>
      <c r="AN445" s="255"/>
      <c r="AO445" s="256"/>
    </row>
    <row r="446" ht="22.5" customHeight="1">
      <c r="A446" s="431" t="str">
        <f>'BASE DE DATOSS'!A520</f>
        <v/>
      </c>
      <c r="B446" s="432" t="str">
        <f>'BASE DE DATOSS'!C520</f>
        <v/>
      </c>
      <c r="C446" s="263"/>
      <c r="D446" s="249"/>
      <c r="E446" s="250"/>
      <c r="F446" s="251"/>
      <c r="G446" s="262"/>
      <c r="H446" s="257"/>
      <c r="I446" s="249"/>
      <c r="J446" s="193" t="str">
        <f>IF(OR(ISBLANK($B446),ISBLANK($I446)),"",IFERROR(IF($I446&lt;=DATE('ESTADO CONTABLE'!$B$2,3,5),VLOOKUP($B446,COSTOS!$A$2:$B1014,2,FALSE)-150,VLOOKUP($B446,COSTOS!$A$2:$B1014,2,FALSE)),"No encontrado o error"))</f>
        <v/>
      </c>
      <c r="K446" s="264"/>
      <c r="L446" s="249"/>
      <c r="M446" s="189"/>
      <c r="N446" s="264"/>
      <c r="O446" s="249"/>
      <c r="P446" s="250"/>
      <c r="Q446" s="264"/>
      <c r="R446" s="249"/>
      <c r="S446" s="250"/>
      <c r="T446" s="264"/>
      <c r="U446" s="249"/>
      <c r="V446" s="250"/>
      <c r="W446" s="264"/>
      <c r="X446" s="394"/>
      <c r="Y446" s="429"/>
      <c r="Z446" s="395"/>
      <c r="AA446" s="394"/>
      <c r="AB446" s="118" t="str">
        <f>IF(OR(ISBLANK($B446),ISBLANK($AA446)),"",IFERROR(IF($AA446&lt;=DATE('ESTADO CONTABLE'!$B$2,9,5),VLOOKUP($B446,COSTOS!$A$2:$B1014,2,FALSE)-150,VLOOKUP($B446,COSTOS!$A$2:$B1014,2,FALSE)),"No encontrado o error"))</f>
        <v/>
      </c>
      <c r="AC446" s="395"/>
      <c r="AD446" s="394"/>
      <c r="AE446" s="429" t="str">
        <f>IF(OR(ISBLANK($B446),ISBLANK($AD446)),"",IFERROR(IF($AD446&lt;=DATE('ESTADO CONTABLE'!$B$2,10,5),VLOOKUP($B446,COSTOS!$A$2:$B1014,2,FALSE)-150,VLOOKUP($B446,COSTOS!$A$2:$B1014,2,FALSE)),"No encontrado o error"))</f>
        <v/>
      </c>
      <c r="AF446" s="395"/>
      <c r="AG446" s="394"/>
      <c r="AH446" s="429" t="str">
        <f>IF(OR(ISBLANK($B446),ISBLANK($AG446)),"",IFERROR(IF($AG446&lt;=DATE('ESTADO CONTABLE'!$B$2,11,5),VLOOKUP($B446,COSTOS!$A$2:$B1014,2,FALSE)-150,VLOOKUP($B446,COSTOS!$A$2:$B1014,2,FALSE)),"No encontrado o error"))</f>
        <v/>
      </c>
      <c r="AI446" s="395"/>
      <c r="AJ446" s="394"/>
      <c r="AK446" s="429" t="str">
        <f>IF(OR(ISBLANK($B446),ISBLANK($AJ446)),"",IFERROR(IF($AJ446&lt;=DATE('ESTADO CONTABLE'!$B$2,12,5),VLOOKUP($B446,COSTOS!$A$2:$B1014,2,FALSE)-150,VLOOKUP($B446,COSTOS!$A$2:$B1014,2,FALSE)),"No encontrado o error"))</f>
        <v/>
      </c>
      <c r="AL446" s="395"/>
      <c r="AM446" s="254"/>
      <c r="AN446" s="255"/>
      <c r="AO446" s="256"/>
    </row>
    <row r="447" ht="22.5" customHeight="1">
      <c r="A447" s="431" t="str">
        <f>'BASE DE DATOSS'!A521</f>
        <v/>
      </c>
      <c r="B447" s="432" t="str">
        <f>'BASE DE DATOSS'!C521</f>
        <v/>
      </c>
      <c r="C447" s="263"/>
      <c r="D447" s="249"/>
      <c r="E447" s="250"/>
      <c r="F447" s="251"/>
      <c r="G447" s="262"/>
      <c r="H447" s="257"/>
      <c r="I447" s="249"/>
      <c r="J447" s="193" t="str">
        <f>IF(OR(ISBLANK($B447),ISBLANK($I447)),"",IFERROR(IF($I447&lt;=DATE('ESTADO CONTABLE'!$B$2,3,5),VLOOKUP($B447,COSTOS!$A$2:$B1014,2,FALSE)-150,VLOOKUP($B447,COSTOS!$A$2:$B1014,2,FALSE)),"No encontrado o error"))</f>
        <v/>
      </c>
      <c r="K447" s="264"/>
      <c r="L447" s="249"/>
      <c r="M447" s="189"/>
      <c r="N447" s="264"/>
      <c r="O447" s="249"/>
      <c r="P447" s="250"/>
      <c r="Q447" s="264"/>
      <c r="R447" s="249"/>
      <c r="S447" s="250"/>
      <c r="T447" s="264"/>
      <c r="U447" s="249"/>
      <c r="V447" s="250"/>
      <c r="W447" s="264"/>
      <c r="X447" s="394"/>
      <c r="Y447" s="429"/>
      <c r="Z447" s="395"/>
      <c r="AA447" s="394"/>
      <c r="AB447" s="118" t="str">
        <f>IF(OR(ISBLANK($B447),ISBLANK($AA447)),"",IFERROR(IF($AA447&lt;=DATE('ESTADO CONTABLE'!$B$2,9,5),VLOOKUP($B447,COSTOS!$A$2:$B1014,2,FALSE)-150,VLOOKUP($B447,COSTOS!$A$2:$B1014,2,FALSE)),"No encontrado o error"))</f>
        <v/>
      </c>
      <c r="AC447" s="395"/>
      <c r="AD447" s="394"/>
      <c r="AE447" s="429" t="str">
        <f>IF(OR(ISBLANK($B447),ISBLANK($AD447)),"",IFERROR(IF($AD447&lt;=DATE('ESTADO CONTABLE'!$B$2,10,5),VLOOKUP($B447,COSTOS!$A$2:$B1014,2,FALSE)-150,VLOOKUP($B447,COSTOS!$A$2:$B1014,2,FALSE)),"No encontrado o error"))</f>
        <v/>
      </c>
      <c r="AF447" s="395"/>
      <c r="AG447" s="394"/>
      <c r="AH447" s="429" t="str">
        <f>IF(OR(ISBLANK($B447),ISBLANK($AG447)),"",IFERROR(IF($AG447&lt;=DATE('ESTADO CONTABLE'!$B$2,11,5),VLOOKUP($B447,COSTOS!$A$2:$B1014,2,FALSE)-150,VLOOKUP($B447,COSTOS!$A$2:$B1014,2,FALSE)),"No encontrado o error"))</f>
        <v/>
      </c>
      <c r="AI447" s="395"/>
      <c r="AJ447" s="394"/>
      <c r="AK447" s="429" t="str">
        <f>IF(OR(ISBLANK($B447),ISBLANK($AJ447)),"",IFERROR(IF($AJ447&lt;=DATE('ESTADO CONTABLE'!$B$2,12,5),VLOOKUP($B447,COSTOS!$A$2:$B1014,2,FALSE)-150,VLOOKUP($B447,COSTOS!$A$2:$B1014,2,FALSE)),"No encontrado o error"))</f>
        <v/>
      </c>
      <c r="AL447" s="395"/>
      <c r="AM447" s="254"/>
      <c r="AN447" s="255"/>
      <c r="AO447" s="256"/>
    </row>
    <row r="448" ht="22.5" customHeight="1">
      <c r="A448" s="431" t="str">
        <f>'BASE DE DATOSS'!A522</f>
        <v/>
      </c>
      <c r="B448" s="432" t="str">
        <f>'BASE DE DATOSS'!C522</f>
        <v/>
      </c>
      <c r="C448" s="263"/>
      <c r="D448" s="249"/>
      <c r="E448" s="250"/>
      <c r="F448" s="251"/>
      <c r="G448" s="262"/>
      <c r="H448" s="257"/>
      <c r="I448" s="249"/>
      <c r="J448" s="193" t="str">
        <f>IF(OR(ISBLANK($B448),ISBLANK($I448)),"",IFERROR(IF($I448&lt;=DATE('ESTADO CONTABLE'!$B$2,3,5),VLOOKUP($B448,COSTOS!$A$2:$B1014,2,FALSE)-150,VLOOKUP($B448,COSTOS!$A$2:$B1014,2,FALSE)),"No encontrado o error"))</f>
        <v/>
      </c>
      <c r="K448" s="264"/>
      <c r="L448" s="249"/>
      <c r="M448" s="189"/>
      <c r="N448" s="264"/>
      <c r="O448" s="249"/>
      <c r="P448" s="250"/>
      <c r="Q448" s="264"/>
      <c r="R448" s="249"/>
      <c r="S448" s="250"/>
      <c r="T448" s="264"/>
      <c r="U448" s="249"/>
      <c r="V448" s="250"/>
      <c r="W448" s="264"/>
      <c r="X448" s="394"/>
      <c r="Y448" s="429"/>
      <c r="Z448" s="395"/>
      <c r="AA448" s="394"/>
      <c r="AB448" s="118" t="str">
        <f>IF(OR(ISBLANK($B448),ISBLANK($AA448)),"",IFERROR(IF($AA448&lt;=DATE('ESTADO CONTABLE'!$B$2,9,5),VLOOKUP($B448,COSTOS!$A$2:$B1014,2,FALSE)-150,VLOOKUP($B448,COSTOS!$A$2:$B1014,2,FALSE)),"No encontrado o error"))</f>
        <v/>
      </c>
      <c r="AC448" s="395"/>
      <c r="AD448" s="394"/>
      <c r="AE448" s="429" t="str">
        <f>IF(OR(ISBLANK($B448),ISBLANK($AD448)),"",IFERROR(IF($AD448&lt;=DATE('ESTADO CONTABLE'!$B$2,10,5),VLOOKUP($B448,COSTOS!$A$2:$B1014,2,FALSE)-150,VLOOKUP($B448,COSTOS!$A$2:$B1014,2,FALSE)),"No encontrado o error"))</f>
        <v/>
      </c>
      <c r="AF448" s="395"/>
      <c r="AG448" s="394"/>
      <c r="AH448" s="429" t="str">
        <f>IF(OR(ISBLANK($B448),ISBLANK($AG448)),"",IFERROR(IF($AG448&lt;=DATE('ESTADO CONTABLE'!$B$2,11,5),VLOOKUP($B448,COSTOS!$A$2:$B1014,2,FALSE)-150,VLOOKUP($B448,COSTOS!$A$2:$B1014,2,FALSE)),"No encontrado o error"))</f>
        <v/>
      </c>
      <c r="AI448" s="395"/>
      <c r="AJ448" s="394"/>
      <c r="AK448" s="429" t="str">
        <f>IF(OR(ISBLANK($B448),ISBLANK($AJ448)),"",IFERROR(IF($AJ448&lt;=DATE('ESTADO CONTABLE'!$B$2,12,5),VLOOKUP($B448,COSTOS!$A$2:$B1014,2,FALSE)-150,VLOOKUP($B448,COSTOS!$A$2:$B1014,2,FALSE)),"No encontrado o error"))</f>
        <v/>
      </c>
      <c r="AL448" s="395"/>
      <c r="AM448" s="254"/>
      <c r="AN448" s="255"/>
      <c r="AO448" s="256"/>
    </row>
    <row r="449" ht="22.5" customHeight="1">
      <c r="A449" s="431" t="str">
        <f>'BASE DE DATOSS'!A523</f>
        <v/>
      </c>
      <c r="B449" s="432" t="str">
        <f>'BASE DE DATOSS'!C523</f>
        <v/>
      </c>
      <c r="C449" s="263"/>
      <c r="D449" s="249"/>
      <c r="E449" s="250"/>
      <c r="F449" s="251"/>
      <c r="G449" s="262"/>
      <c r="H449" s="257"/>
      <c r="I449" s="249"/>
      <c r="J449" s="193" t="str">
        <f>IF(OR(ISBLANK($B449),ISBLANK($I449)),"",IFERROR(IF($I449&lt;=DATE('ESTADO CONTABLE'!$B$2,3,5),VLOOKUP($B449,COSTOS!$A$2:$B1014,2,FALSE)-150,VLOOKUP($B449,COSTOS!$A$2:$B1014,2,FALSE)),"No encontrado o error"))</f>
        <v/>
      </c>
      <c r="K449" s="264"/>
      <c r="L449" s="249"/>
      <c r="M449" s="189"/>
      <c r="N449" s="264"/>
      <c r="O449" s="249"/>
      <c r="P449" s="250"/>
      <c r="Q449" s="264"/>
      <c r="R449" s="249"/>
      <c r="S449" s="250"/>
      <c r="T449" s="264"/>
      <c r="U449" s="249"/>
      <c r="V449" s="250"/>
      <c r="W449" s="264"/>
      <c r="X449" s="394"/>
      <c r="Y449" s="429"/>
      <c r="Z449" s="395"/>
      <c r="AA449" s="394"/>
      <c r="AB449" s="118" t="str">
        <f>IF(OR(ISBLANK($B449),ISBLANK($AA449)),"",IFERROR(IF($AA449&lt;=DATE('ESTADO CONTABLE'!$B$2,9,5),VLOOKUP($B449,COSTOS!$A$2:$B1014,2,FALSE)-150,VLOOKUP($B449,COSTOS!$A$2:$B1014,2,FALSE)),"No encontrado o error"))</f>
        <v/>
      </c>
      <c r="AC449" s="395"/>
      <c r="AD449" s="394"/>
      <c r="AE449" s="429" t="str">
        <f>IF(OR(ISBLANK($B449),ISBLANK($AD449)),"",IFERROR(IF($AD449&lt;=DATE('ESTADO CONTABLE'!$B$2,10,5),VLOOKUP($B449,COSTOS!$A$2:$B1014,2,FALSE)-150,VLOOKUP($B449,COSTOS!$A$2:$B1014,2,FALSE)),"No encontrado o error"))</f>
        <v/>
      </c>
      <c r="AF449" s="395"/>
      <c r="AG449" s="394"/>
      <c r="AH449" s="429" t="str">
        <f>IF(OR(ISBLANK($B449),ISBLANK($AG449)),"",IFERROR(IF($AG449&lt;=DATE('ESTADO CONTABLE'!$B$2,11,5),VLOOKUP($B449,COSTOS!$A$2:$B1014,2,FALSE)-150,VLOOKUP($B449,COSTOS!$A$2:$B1014,2,FALSE)),"No encontrado o error"))</f>
        <v/>
      </c>
      <c r="AI449" s="395"/>
      <c r="AJ449" s="394"/>
      <c r="AK449" s="429" t="str">
        <f>IF(OR(ISBLANK($B449),ISBLANK($AJ449)),"",IFERROR(IF($AJ449&lt;=DATE('ESTADO CONTABLE'!$B$2,12,5),VLOOKUP($B449,COSTOS!$A$2:$B1014,2,FALSE)-150,VLOOKUP($B449,COSTOS!$A$2:$B1014,2,FALSE)),"No encontrado o error"))</f>
        <v/>
      </c>
      <c r="AL449" s="395"/>
      <c r="AM449" s="254"/>
      <c r="AN449" s="255"/>
      <c r="AO449" s="256"/>
    </row>
    <row r="450" ht="22.5" customHeight="1">
      <c r="A450" s="431" t="str">
        <f>'BASE DE DATOSS'!A524</f>
        <v/>
      </c>
      <c r="B450" s="432" t="str">
        <f>'BASE DE DATOSS'!C524</f>
        <v/>
      </c>
      <c r="C450" s="263"/>
      <c r="D450" s="249"/>
      <c r="E450" s="250"/>
      <c r="F450" s="251"/>
      <c r="G450" s="262"/>
      <c r="H450" s="257"/>
      <c r="I450" s="249"/>
      <c r="J450" s="193" t="str">
        <f>IF(OR(ISBLANK($B450),ISBLANK($I450)),"",IFERROR(IF($I450&lt;=DATE('ESTADO CONTABLE'!$B$2,3,5),VLOOKUP($B450,COSTOS!$A$2:$B1014,2,FALSE)-150,VLOOKUP($B450,COSTOS!$A$2:$B1014,2,FALSE)),"No encontrado o error"))</f>
        <v/>
      </c>
      <c r="K450" s="264"/>
      <c r="L450" s="249"/>
      <c r="M450" s="189"/>
      <c r="N450" s="264"/>
      <c r="O450" s="249"/>
      <c r="P450" s="250"/>
      <c r="Q450" s="264"/>
      <c r="R450" s="249"/>
      <c r="S450" s="250"/>
      <c r="T450" s="264"/>
      <c r="U450" s="249"/>
      <c r="V450" s="250"/>
      <c r="W450" s="264"/>
      <c r="X450" s="394"/>
      <c r="Y450" s="429"/>
      <c r="Z450" s="395"/>
      <c r="AA450" s="394"/>
      <c r="AB450" s="118" t="str">
        <f>IF(OR(ISBLANK($B450),ISBLANK($AA450)),"",IFERROR(IF($AA450&lt;=DATE('ESTADO CONTABLE'!$B$2,9,5),VLOOKUP($B450,COSTOS!$A$2:$B1014,2,FALSE)-150,VLOOKUP($B450,COSTOS!$A$2:$B1014,2,FALSE)),"No encontrado o error"))</f>
        <v/>
      </c>
      <c r="AC450" s="395"/>
      <c r="AD450" s="394"/>
      <c r="AE450" s="429" t="str">
        <f>IF(OR(ISBLANK($B450),ISBLANK($AD450)),"",IFERROR(IF($AD450&lt;=DATE('ESTADO CONTABLE'!$B$2,10,5),VLOOKUP($B450,COSTOS!$A$2:$B1014,2,FALSE)-150,VLOOKUP($B450,COSTOS!$A$2:$B1014,2,FALSE)),"No encontrado o error"))</f>
        <v/>
      </c>
      <c r="AF450" s="395"/>
      <c r="AG450" s="394"/>
      <c r="AH450" s="429" t="str">
        <f>IF(OR(ISBLANK($B450),ISBLANK($AG450)),"",IFERROR(IF($AG450&lt;=DATE('ESTADO CONTABLE'!$B$2,11,5),VLOOKUP($B450,COSTOS!$A$2:$B1014,2,FALSE)-150,VLOOKUP($B450,COSTOS!$A$2:$B1014,2,FALSE)),"No encontrado o error"))</f>
        <v/>
      </c>
      <c r="AI450" s="395"/>
      <c r="AJ450" s="394"/>
      <c r="AK450" s="429" t="str">
        <f>IF(OR(ISBLANK($B450),ISBLANK($AJ450)),"",IFERROR(IF($AJ450&lt;=DATE('ESTADO CONTABLE'!$B$2,12,5),VLOOKUP($B450,COSTOS!$A$2:$B1014,2,FALSE)-150,VLOOKUP($B450,COSTOS!$A$2:$B1014,2,FALSE)),"No encontrado o error"))</f>
        <v/>
      </c>
      <c r="AL450" s="395"/>
      <c r="AM450" s="254"/>
      <c r="AN450" s="255"/>
      <c r="AO450" s="256"/>
    </row>
    <row r="451" ht="22.5" customHeight="1">
      <c r="A451" s="431" t="str">
        <f>'BASE DE DATOSS'!A525</f>
        <v/>
      </c>
      <c r="B451" s="432" t="str">
        <f>'BASE DE DATOSS'!C525</f>
        <v/>
      </c>
      <c r="C451" s="263"/>
      <c r="D451" s="249"/>
      <c r="E451" s="250"/>
      <c r="F451" s="251"/>
      <c r="G451" s="262"/>
      <c r="H451" s="257"/>
      <c r="I451" s="249"/>
      <c r="J451" s="193" t="str">
        <f>IF(OR(ISBLANK($B451),ISBLANK($I451)),"",IFERROR(IF($I451&lt;=DATE('ESTADO CONTABLE'!$B$2,3,5),VLOOKUP($B451,COSTOS!$A$2:$B1014,2,FALSE)-150,VLOOKUP($B451,COSTOS!$A$2:$B1014,2,FALSE)),"No encontrado o error"))</f>
        <v/>
      </c>
      <c r="K451" s="264"/>
      <c r="L451" s="249"/>
      <c r="M451" s="189"/>
      <c r="N451" s="264"/>
      <c r="O451" s="249"/>
      <c r="P451" s="250"/>
      <c r="Q451" s="264"/>
      <c r="R451" s="249"/>
      <c r="S451" s="250"/>
      <c r="T451" s="264"/>
      <c r="U451" s="249"/>
      <c r="V451" s="250"/>
      <c r="W451" s="264"/>
      <c r="X451" s="394"/>
      <c r="Y451" s="429"/>
      <c r="Z451" s="395"/>
      <c r="AA451" s="394"/>
      <c r="AB451" s="118" t="str">
        <f>IF(OR(ISBLANK($B451),ISBLANK($AA451)),"",IFERROR(IF($AA451&lt;=DATE('ESTADO CONTABLE'!$B$2,9,5),VLOOKUP($B451,COSTOS!$A$2:$B1014,2,FALSE)-150,VLOOKUP($B451,COSTOS!$A$2:$B1014,2,FALSE)),"No encontrado o error"))</f>
        <v/>
      </c>
      <c r="AC451" s="395"/>
      <c r="AD451" s="394"/>
      <c r="AE451" s="429" t="str">
        <f>IF(OR(ISBLANK($B451),ISBLANK($AD451)),"",IFERROR(IF($AD451&lt;=DATE('ESTADO CONTABLE'!$B$2,10,5),VLOOKUP($B451,COSTOS!$A$2:$B1014,2,FALSE)-150,VLOOKUP($B451,COSTOS!$A$2:$B1014,2,FALSE)),"No encontrado o error"))</f>
        <v/>
      </c>
      <c r="AF451" s="395"/>
      <c r="AG451" s="394"/>
      <c r="AH451" s="429" t="str">
        <f>IF(OR(ISBLANK($B451),ISBLANK($AG451)),"",IFERROR(IF($AG451&lt;=DATE('ESTADO CONTABLE'!$B$2,11,5),VLOOKUP($B451,COSTOS!$A$2:$B1014,2,FALSE)-150,VLOOKUP($B451,COSTOS!$A$2:$B1014,2,FALSE)),"No encontrado o error"))</f>
        <v/>
      </c>
      <c r="AI451" s="395"/>
      <c r="AJ451" s="394"/>
      <c r="AK451" s="429" t="str">
        <f>IF(OR(ISBLANK($B451),ISBLANK($AJ451)),"",IFERROR(IF($AJ451&lt;=DATE('ESTADO CONTABLE'!$B$2,12,5),VLOOKUP($B451,COSTOS!$A$2:$B1014,2,FALSE)-150,VLOOKUP($B451,COSTOS!$A$2:$B1014,2,FALSE)),"No encontrado o error"))</f>
        <v/>
      </c>
      <c r="AL451" s="395"/>
      <c r="AM451" s="254"/>
      <c r="AN451" s="255"/>
      <c r="AO451" s="256"/>
    </row>
    <row r="452" ht="22.5" customHeight="1">
      <c r="A452" s="431" t="str">
        <f>'BASE DE DATOSS'!A526</f>
        <v/>
      </c>
      <c r="B452" s="432" t="str">
        <f>'BASE DE DATOSS'!C526</f>
        <v/>
      </c>
      <c r="C452" s="263"/>
      <c r="D452" s="249"/>
      <c r="E452" s="250"/>
      <c r="F452" s="251"/>
      <c r="G452" s="262"/>
      <c r="H452" s="257"/>
      <c r="I452" s="249"/>
      <c r="J452" s="193" t="str">
        <f>IF(OR(ISBLANK($B452),ISBLANK($I452)),"",IFERROR(IF($I452&lt;=DATE('ESTADO CONTABLE'!$B$2,3,5),VLOOKUP($B452,COSTOS!$A$2:$B1014,2,FALSE)-150,VLOOKUP($B452,COSTOS!$A$2:$B1014,2,FALSE)),"No encontrado o error"))</f>
        <v/>
      </c>
      <c r="K452" s="264"/>
      <c r="L452" s="249"/>
      <c r="M452" s="189"/>
      <c r="N452" s="264"/>
      <c r="O452" s="249"/>
      <c r="P452" s="250"/>
      <c r="Q452" s="264"/>
      <c r="R452" s="249"/>
      <c r="S452" s="250"/>
      <c r="T452" s="264"/>
      <c r="U452" s="249"/>
      <c r="V452" s="250"/>
      <c r="W452" s="264"/>
      <c r="X452" s="394"/>
      <c r="Y452" s="429"/>
      <c r="Z452" s="395"/>
      <c r="AA452" s="394"/>
      <c r="AB452" s="118" t="str">
        <f>IF(OR(ISBLANK($B452),ISBLANK($AA452)),"",IFERROR(IF($AA452&lt;=DATE('ESTADO CONTABLE'!$B$2,9,5),VLOOKUP($B452,COSTOS!$A$2:$B1014,2,FALSE)-150,VLOOKUP($B452,COSTOS!$A$2:$B1014,2,FALSE)),"No encontrado o error"))</f>
        <v/>
      </c>
      <c r="AC452" s="395"/>
      <c r="AD452" s="394"/>
      <c r="AE452" s="429" t="str">
        <f>IF(OR(ISBLANK($B452),ISBLANK($AD452)),"",IFERROR(IF($AD452&lt;=DATE('ESTADO CONTABLE'!$B$2,10,5),VLOOKUP($B452,COSTOS!$A$2:$B1014,2,FALSE)-150,VLOOKUP($B452,COSTOS!$A$2:$B1014,2,FALSE)),"No encontrado o error"))</f>
        <v/>
      </c>
      <c r="AF452" s="395"/>
      <c r="AG452" s="394"/>
      <c r="AH452" s="429" t="str">
        <f>IF(OR(ISBLANK($B452),ISBLANK($AG452)),"",IFERROR(IF($AG452&lt;=DATE('ESTADO CONTABLE'!$B$2,11,5),VLOOKUP($B452,COSTOS!$A$2:$B1014,2,FALSE)-150,VLOOKUP($B452,COSTOS!$A$2:$B1014,2,FALSE)),"No encontrado o error"))</f>
        <v/>
      </c>
      <c r="AI452" s="395"/>
      <c r="AJ452" s="394"/>
      <c r="AK452" s="429" t="str">
        <f>IF(OR(ISBLANK($B452),ISBLANK($AJ452)),"",IFERROR(IF($AJ452&lt;=DATE('ESTADO CONTABLE'!$B$2,12,5),VLOOKUP($B452,COSTOS!$A$2:$B1014,2,FALSE)-150,VLOOKUP($B452,COSTOS!$A$2:$B1014,2,FALSE)),"No encontrado o error"))</f>
        <v/>
      </c>
      <c r="AL452" s="395"/>
      <c r="AM452" s="254"/>
      <c r="AN452" s="255"/>
      <c r="AO452" s="256"/>
    </row>
    <row r="453" ht="22.5" customHeight="1">
      <c r="A453" s="431" t="str">
        <f>'BASE DE DATOSS'!A527</f>
        <v/>
      </c>
      <c r="B453" s="432" t="str">
        <f>'BASE DE DATOSS'!C527</f>
        <v/>
      </c>
      <c r="C453" s="263"/>
      <c r="D453" s="249"/>
      <c r="E453" s="250"/>
      <c r="F453" s="251"/>
      <c r="G453" s="262"/>
      <c r="H453" s="257"/>
      <c r="I453" s="249"/>
      <c r="J453" s="193" t="str">
        <f>IF(OR(ISBLANK($B453),ISBLANK($I453)),"",IFERROR(IF($I453&lt;=DATE('ESTADO CONTABLE'!$B$2,3,5),VLOOKUP($B453,COSTOS!$A$2:$B1014,2,FALSE)-150,VLOOKUP($B453,COSTOS!$A$2:$B1014,2,FALSE)),"No encontrado o error"))</f>
        <v/>
      </c>
      <c r="K453" s="264"/>
      <c r="L453" s="249"/>
      <c r="M453" s="189"/>
      <c r="N453" s="264"/>
      <c r="O453" s="249"/>
      <c r="P453" s="250"/>
      <c r="Q453" s="264"/>
      <c r="R453" s="249"/>
      <c r="S453" s="250"/>
      <c r="T453" s="264"/>
      <c r="U453" s="249"/>
      <c r="V453" s="250"/>
      <c r="W453" s="264"/>
      <c r="X453" s="394"/>
      <c r="Y453" s="429"/>
      <c r="Z453" s="395"/>
      <c r="AA453" s="394"/>
      <c r="AB453" s="118" t="str">
        <f>IF(OR(ISBLANK($B453),ISBLANK($AA453)),"",IFERROR(IF($AA453&lt;=DATE('ESTADO CONTABLE'!$B$2,9,5),VLOOKUP($B453,COSTOS!$A$2:$B1014,2,FALSE)-150,VLOOKUP($B453,COSTOS!$A$2:$B1014,2,FALSE)),"No encontrado o error"))</f>
        <v/>
      </c>
      <c r="AC453" s="395"/>
      <c r="AD453" s="394"/>
      <c r="AE453" s="429" t="str">
        <f>IF(OR(ISBLANK($B453),ISBLANK($AD453)),"",IFERROR(IF($AD453&lt;=DATE('ESTADO CONTABLE'!$B$2,10,5),VLOOKUP($B453,COSTOS!$A$2:$B1014,2,FALSE)-150,VLOOKUP($B453,COSTOS!$A$2:$B1014,2,FALSE)),"No encontrado o error"))</f>
        <v/>
      </c>
      <c r="AF453" s="395"/>
      <c r="AG453" s="394"/>
      <c r="AH453" s="429" t="str">
        <f>IF(OR(ISBLANK($B453),ISBLANK($AG453)),"",IFERROR(IF($AG453&lt;=DATE('ESTADO CONTABLE'!$B$2,11,5),VLOOKUP($B453,COSTOS!$A$2:$B1014,2,FALSE)-150,VLOOKUP($B453,COSTOS!$A$2:$B1014,2,FALSE)),"No encontrado o error"))</f>
        <v/>
      </c>
      <c r="AI453" s="395"/>
      <c r="AJ453" s="394"/>
      <c r="AK453" s="429" t="str">
        <f>IF(OR(ISBLANK($B453),ISBLANK($AJ453)),"",IFERROR(IF($AJ453&lt;=DATE('ESTADO CONTABLE'!$B$2,12,5),VLOOKUP($B453,COSTOS!$A$2:$B1014,2,FALSE)-150,VLOOKUP($B453,COSTOS!$A$2:$B1014,2,FALSE)),"No encontrado o error"))</f>
        <v/>
      </c>
      <c r="AL453" s="395"/>
      <c r="AM453" s="254"/>
      <c r="AN453" s="255"/>
      <c r="AO453" s="256"/>
    </row>
    <row r="454" ht="22.5" customHeight="1">
      <c r="A454" s="431" t="str">
        <f>'BASE DE DATOSS'!A528</f>
        <v/>
      </c>
      <c r="B454" s="432" t="str">
        <f>'BASE DE DATOSS'!C528</f>
        <v/>
      </c>
      <c r="C454" s="263"/>
      <c r="D454" s="249"/>
      <c r="E454" s="250"/>
      <c r="F454" s="251"/>
      <c r="G454" s="262"/>
      <c r="H454" s="257"/>
      <c r="I454" s="249"/>
      <c r="J454" s="193" t="str">
        <f>IF(OR(ISBLANK($B454),ISBLANK($I454)),"",IFERROR(IF($I454&lt;=DATE('ESTADO CONTABLE'!$B$2,3,5),VLOOKUP($B454,COSTOS!$A$2:$B1014,2,FALSE)-150,VLOOKUP($B454,COSTOS!$A$2:$B1014,2,FALSE)),"No encontrado o error"))</f>
        <v/>
      </c>
      <c r="K454" s="264"/>
      <c r="L454" s="249"/>
      <c r="M454" s="189"/>
      <c r="N454" s="264"/>
      <c r="O454" s="249"/>
      <c r="P454" s="250"/>
      <c r="Q454" s="264"/>
      <c r="R454" s="249"/>
      <c r="S454" s="250"/>
      <c r="T454" s="264"/>
      <c r="U454" s="249"/>
      <c r="V454" s="250"/>
      <c r="W454" s="264"/>
      <c r="X454" s="394"/>
      <c r="Y454" s="429"/>
      <c r="Z454" s="395"/>
      <c r="AA454" s="394"/>
      <c r="AB454" s="118" t="str">
        <f>IF(OR(ISBLANK($B454),ISBLANK($AA454)),"",IFERROR(IF($AA454&lt;=DATE('ESTADO CONTABLE'!$B$2,9,5),VLOOKUP($B454,COSTOS!$A$2:$B1014,2,FALSE)-150,VLOOKUP($B454,COSTOS!$A$2:$B1014,2,FALSE)),"No encontrado o error"))</f>
        <v/>
      </c>
      <c r="AC454" s="395"/>
      <c r="AD454" s="394"/>
      <c r="AE454" s="429" t="str">
        <f>IF(OR(ISBLANK($B454),ISBLANK($AD454)),"",IFERROR(IF($AD454&lt;=DATE('ESTADO CONTABLE'!$B$2,10,5),VLOOKUP($B454,COSTOS!$A$2:$B1014,2,FALSE)-150,VLOOKUP($B454,COSTOS!$A$2:$B1014,2,FALSE)),"No encontrado o error"))</f>
        <v/>
      </c>
      <c r="AF454" s="395"/>
      <c r="AG454" s="394"/>
      <c r="AH454" s="429" t="str">
        <f>IF(OR(ISBLANK($B454),ISBLANK($AG454)),"",IFERROR(IF($AG454&lt;=DATE('ESTADO CONTABLE'!$B$2,11,5),VLOOKUP($B454,COSTOS!$A$2:$B1014,2,FALSE)-150,VLOOKUP($B454,COSTOS!$A$2:$B1014,2,FALSE)),"No encontrado o error"))</f>
        <v/>
      </c>
      <c r="AI454" s="395"/>
      <c r="AJ454" s="394"/>
      <c r="AK454" s="429" t="str">
        <f>IF(OR(ISBLANK($B454),ISBLANK($AJ454)),"",IFERROR(IF($AJ454&lt;=DATE('ESTADO CONTABLE'!$B$2,12,5),VLOOKUP($B454,COSTOS!$A$2:$B1014,2,FALSE)-150,VLOOKUP($B454,COSTOS!$A$2:$B1014,2,FALSE)),"No encontrado o error"))</f>
        <v/>
      </c>
      <c r="AL454" s="395"/>
      <c r="AM454" s="254"/>
      <c r="AN454" s="255"/>
      <c r="AO454" s="256"/>
    </row>
    <row r="455" ht="22.5" customHeight="1">
      <c r="A455" s="431" t="str">
        <f>'BASE DE DATOSS'!A529</f>
        <v/>
      </c>
      <c r="B455" s="432" t="str">
        <f>'BASE DE DATOSS'!C529</f>
        <v/>
      </c>
      <c r="C455" s="263"/>
      <c r="D455" s="249"/>
      <c r="E455" s="250"/>
      <c r="F455" s="251"/>
      <c r="G455" s="262"/>
      <c r="H455" s="257"/>
      <c r="I455" s="249"/>
      <c r="J455" s="193" t="str">
        <f>IF(OR(ISBLANK($B455),ISBLANK($I455)),"",IFERROR(IF($I455&lt;=DATE('ESTADO CONTABLE'!$B$2,3,5),VLOOKUP($B455,COSTOS!$A$2:$B1014,2,FALSE)-150,VLOOKUP($B455,COSTOS!$A$2:$B1014,2,FALSE)),"No encontrado o error"))</f>
        <v/>
      </c>
      <c r="K455" s="264"/>
      <c r="L455" s="249"/>
      <c r="M455" s="189"/>
      <c r="N455" s="264"/>
      <c r="O455" s="249"/>
      <c r="P455" s="250"/>
      <c r="Q455" s="264"/>
      <c r="R455" s="249"/>
      <c r="S455" s="250"/>
      <c r="T455" s="264"/>
      <c r="U455" s="249"/>
      <c r="V455" s="250"/>
      <c r="W455" s="264"/>
      <c r="X455" s="394"/>
      <c r="Y455" s="429"/>
      <c r="Z455" s="395"/>
      <c r="AA455" s="394"/>
      <c r="AB455" s="118" t="str">
        <f>IF(OR(ISBLANK($B455),ISBLANK($AA455)),"",IFERROR(IF($AA455&lt;=DATE('ESTADO CONTABLE'!$B$2,9,5),VLOOKUP($B455,COSTOS!$A$2:$B1014,2,FALSE)-150,VLOOKUP($B455,COSTOS!$A$2:$B1014,2,FALSE)),"No encontrado o error"))</f>
        <v/>
      </c>
      <c r="AC455" s="395"/>
      <c r="AD455" s="394"/>
      <c r="AE455" s="429" t="str">
        <f>IF(OR(ISBLANK($B455),ISBLANK($AD455)),"",IFERROR(IF($AD455&lt;=DATE('ESTADO CONTABLE'!$B$2,10,5),VLOOKUP($B455,COSTOS!$A$2:$B1014,2,FALSE)-150,VLOOKUP($B455,COSTOS!$A$2:$B1014,2,FALSE)),"No encontrado o error"))</f>
        <v/>
      </c>
      <c r="AF455" s="395"/>
      <c r="AG455" s="394"/>
      <c r="AH455" s="429" t="str">
        <f>IF(OR(ISBLANK($B455),ISBLANK($AG455)),"",IFERROR(IF($AG455&lt;=DATE('ESTADO CONTABLE'!$B$2,11,5),VLOOKUP($B455,COSTOS!$A$2:$B1014,2,FALSE)-150,VLOOKUP($B455,COSTOS!$A$2:$B1014,2,FALSE)),"No encontrado o error"))</f>
        <v/>
      </c>
      <c r="AI455" s="395"/>
      <c r="AJ455" s="394"/>
      <c r="AK455" s="429" t="str">
        <f>IF(OR(ISBLANK($B455),ISBLANK($AJ455)),"",IFERROR(IF($AJ455&lt;=DATE('ESTADO CONTABLE'!$B$2,12,5),VLOOKUP($B455,COSTOS!$A$2:$B1014,2,FALSE)-150,VLOOKUP($B455,COSTOS!$A$2:$B1014,2,FALSE)),"No encontrado o error"))</f>
        <v/>
      </c>
      <c r="AL455" s="395"/>
      <c r="AM455" s="254"/>
      <c r="AN455" s="255"/>
      <c r="AO455" s="256"/>
    </row>
    <row r="456" ht="22.5" customHeight="1">
      <c r="A456" s="431" t="str">
        <f>'BASE DE DATOSS'!A530</f>
        <v/>
      </c>
      <c r="B456" s="432" t="str">
        <f>'BASE DE DATOSS'!C530</f>
        <v/>
      </c>
      <c r="C456" s="263"/>
      <c r="D456" s="249"/>
      <c r="E456" s="250"/>
      <c r="F456" s="251"/>
      <c r="G456" s="262"/>
      <c r="H456" s="257"/>
      <c r="I456" s="249"/>
      <c r="J456" s="193" t="str">
        <f>IF(OR(ISBLANK($B456),ISBLANK($I456)),"",IFERROR(IF($I456&lt;=DATE('ESTADO CONTABLE'!$B$2,3,5),VLOOKUP($B456,COSTOS!$A$2:$B1014,2,FALSE)-150,VLOOKUP($B456,COSTOS!$A$2:$B1014,2,FALSE)),"No encontrado o error"))</f>
        <v/>
      </c>
      <c r="K456" s="264"/>
      <c r="L456" s="249"/>
      <c r="M456" s="189"/>
      <c r="N456" s="264"/>
      <c r="O456" s="249"/>
      <c r="P456" s="250"/>
      <c r="Q456" s="264"/>
      <c r="R456" s="249"/>
      <c r="S456" s="250"/>
      <c r="T456" s="264"/>
      <c r="U456" s="249"/>
      <c r="V456" s="250"/>
      <c r="W456" s="264"/>
      <c r="X456" s="394"/>
      <c r="Y456" s="429"/>
      <c r="Z456" s="395"/>
      <c r="AA456" s="394"/>
      <c r="AB456" s="118" t="str">
        <f>IF(OR(ISBLANK($B456),ISBLANK($AA456)),"",IFERROR(IF($AA456&lt;=DATE('ESTADO CONTABLE'!$B$2,9,5),VLOOKUP($B456,COSTOS!$A$2:$B1014,2,FALSE)-150,VLOOKUP($B456,COSTOS!$A$2:$B1014,2,FALSE)),"No encontrado o error"))</f>
        <v/>
      </c>
      <c r="AC456" s="395"/>
      <c r="AD456" s="394"/>
      <c r="AE456" s="429" t="str">
        <f>IF(OR(ISBLANK($B456),ISBLANK($AD456)),"",IFERROR(IF($AD456&lt;=DATE('ESTADO CONTABLE'!$B$2,10,5),VLOOKUP($B456,COSTOS!$A$2:$B1014,2,FALSE)-150,VLOOKUP($B456,COSTOS!$A$2:$B1014,2,FALSE)),"No encontrado o error"))</f>
        <v/>
      </c>
      <c r="AF456" s="395"/>
      <c r="AG456" s="394"/>
      <c r="AH456" s="429" t="str">
        <f>IF(OR(ISBLANK($B456),ISBLANK($AG456)),"",IFERROR(IF($AG456&lt;=DATE('ESTADO CONTABLE'!$B$2,11,5),VLOOKUP($B456,COSTOS!$A$2:$B1014,2,FALSE)-150,VLOOKUP($B456,COSTOS!$A$2:$B1014,2,FALSE)),"No encontrado o error"))</f>
        <v/>
      </c>
      <c r="AI456" s="395"/>
      <c r="AJ456" s="394"/>
      <c r="AK456" s="429" t="str">
        <f>IF(OR(ISBLANK($B456),ISBLANK($AJ456)),"",IFERROR(IF($AJ456&lt;=DATE('ESTADO CONTABLE'!$B$2,12,5),VLOOKUP($B456,COSTOS!$A$2:$B1014,2,FALSE)-150,VLOOKUP($B456,COSTOS!$A$2:$B1014,2,FALSE)),"No encontrado o error"))</f>
        <v/>
      </c>
      <c r="AL456" s="395"/>
      <c r="AM456" s="254"/>
      <c r="AN456" s="255"/>
      <c r="AO456" s="256"/>
    </row>
    <row r="457" ht="22.5" customHeight="1">
      <c r="A457" s="431" t="str">
        <f>'BASE DE DATOSS'!A531</f>
        <v/>
      </c>
      <c r="B457" s="432" t="str">
        <f>'BASE DE DATOSS'!C531</f>
        <v/>
      </c>
      <c r="C457" s="263"/>
      <c r="D457" s="249"/>
      <c r="E457" s="250"/>
      <c r="F457" s="251"/>
      <c r="G457" s="262"/>
      <c r="H457" s="257"/>
      <c r="I457" s="249"/>
      <c r="J457" s="193" t="str">
        <f>IF(OR(ISBLANK($B457),ISBLANK($I457)),"",IFERROR(IF($I457&lt;=DATE('ESTADO CONTABLE'!$B$2,3,5),VLOOKUP($B457,COSTOS!$A$2:$B1014,2,FALSE)-150,VLOOKUP($B457,COSTOS!$A$2:$B1014,2,FALSE)),"No encontrado o error"))</f>
        <v/>
      </c>
      <c r="K457" s="264"/>
      <c r="L457" s="249"/>
      <c r="M457" s="189"/>
      <c r="N457" s="264"/>
      <c r="O457" s="249"/>
      <c r="P457" s="250"/>
      <c r="Q457" s="264"/>
      <c r="R457" s="249"/>
      <c r="S457" s="250"/>
      <c r="T457" s="264"/>
      <c r="U457" s="249"/>
      <c r="V457" s="250"/>
      <c r="W457" s="264"/>
      <c r="X457" s="394"/>
      <c r="Y457" s="429"/>
      <c r="Z457" s="395"/>
      <c r="AA457" s="394"/>
      <c r="AB457" s="118" t="str">
        <f>IF(OR(ISBLANK($B457),ISBLANK($AA457)),"",IFERROR(IF($AA457&lt;=DATE('ESTADO CONTABLE'!$B$2,9,5),VLOOKUP($B457,COSTOS!$A$2:$B1014,2,FALSE)-150,VLOOKUP($B457,COSTOS!$A$2:$B1014,2,FALSE)),"No encontrado o error"))</f>
        <v/>
      </c>
      <c r="AC457" s="395"/>
      <c r="AD457" s="394"/>
      <c r="AE457" s="429" t="str">
        <f>IF(OR(ISBLANK($B457),ISBLANK($AD457)),"",IFERROR(IF($AD457&lt;=DATE('ESTADO CONTABLE'!$B$2,10,5),VLOOKUP($B457,COSTOS!$A$2:$B1014,2,FALSE)-150,VLOOKUP($B457,COSTOS!$A$2:$B1014,2,FALSE)),"No encontrado o error"))</f>
        <v/>
      </c>
      <c r="AF457" s="395"/>
      <c r="AG457" s="394"/>
      <c r="AH457" s="429" t="str">
        <f>IF(OR(ISBLANK($B457),ISBLANK($AG457)),"",IFERROR(IF($AG457&lt;=DATE('ESTADO CONTABLE'!$B$2,11,5),VLOOKUP($B457,COSTOS!$A$2:$B1014,2,FALSE)-150,VLOOKUP($B457,COSTOS!$A$2:$B1014,2,FALSE)),"No encontrado o error"))</f>
        <v/>
      </c>
      <c r="AI457" s="395"/>
      <c r="AJ457" s="394"/>
      <c r="AK457" s="429" t="str">
        <f>IF(OR(ISBLANK($B457),ISBLANK($AJ457)),"",IFERROR(IF($AJ457&lt;=DATE('ESTADO CONTABLE'!$B$2,12,5),VLOOKUP($B457,COSTOS!$A$2:$B1014,2,FALSE)-150,VLOOKUP($B457,COSTOS!$A$2:$B1014,2,FALSE)),"No encontrado o error"))</f>
        <v/>
      </c>
      <c r="AL457" s="395"/>
      <c r="AM457" s="254"/>
      <c r="AN457" s="255"/>
      <c r="AO457" s="256"/>
    </row>
    <row r="458" ht="22.5" customHeight="1">
      <c r="A458" s="431" t="str">
        <f>'BASE DE DATOSS'!A532</f>
        <v/>
      </c>
      <c r="B458" s="432" t="str">
        <f>'BASE DE DATOSS'!C532</f>
        <v/>
      </c>
      <c r="C458" s="263"/>
      <c r="D458" s="249"/>
      <c r="E458" s="250"/>
      <c r="F458" s="251"/>
      <c r="G458" s="262"/>
      <c r="H458" s="257"/>
      <c r="I458" s="249"/>
      <c r="J458" s="193" t="str">
        <f>IF(OR(ISBLANK($B458),ISBLANK($I458)),"",IFERROR(IF($I458&lt;=DATE('ESTADO CONTABLE'!$B$2,3,5),VLOOKUP($B458,COSTOS!$A$2:$B1014,2,FALSE)-150,VLOOKUP($B458,COSTOS!$A$2:$B1014,2,FALSE)),"No encontrado o error"))</f>
        <v/>
      </c>
      <c r="K458" s="264"/>
      <c r="L458" s="249"/>
      <c r="M458" s="189"/>
      <c r="N458" s="264"/>
      <c r="O458" s="249"/>
      <c r="P458" s="250"/>
      <c r="Q458" s="264"/>
      <c r="R458" s="249"/>
      <c r="S458" s="250"/>
      <c r="T458" s="264"/>
      <c r="U458" s="249"/>
      <c r="V458" s="250"/>
      <c r="W458" s="264"/>
      <c r="X458" s="394"/>
      <c r="Y458" s="429"/>
      <c r="Z458" s="395"/>
      <c r="AA458" s="394"/>
      <c r="AB458" s="118" t="str">
        <f>IF(OR(ISBLANK($B458),ISBLANK($AA458)),"",IFERROR(IF($AA458&lt;=DATE('ESTADO CONTABLE'!$B$2,9,5),VLOOKUP($B458,COSTOS!$A$2:$B1014,2,FALSE)-150,VLOOKUP($B458,COSTOS!$A$2:$B1014,2,FALSE)),"No encontrado o error"))</f>
        <v/>
      </c>
      <c r="AC458" s="395"/>
      <c r="AD458" s="394"/>
      <c r="AE458" s="429" t="str">
        <f>IF(OR(ISBLANK($B458),ISBLANK($AD458)),"",IFERROR(IF($AD458&lt;=DATE('ESTADO CONTABLE'!$B$2,10,5),VLOOKUP($B458,COSTOS!$A$2:$B1014,2,FALSE)-150,VLOOKUP($B458,COSTOS!$A$2:$B1014,2,FALSE)),"No encontrado o error"))</f>
        <v/>
      </c>
      <c r="AF458" s="395"/>
      <c r="AG458" s="394"/>
      <c r="AH458" s="429" t="str">
        <f>IF(OR(ISBLANK($B458),ISBLANK($AG458)),"",IFERROR(IF($AG458&lt;=DATE('ESTADO CONTABLE'!$B$2,11,5),VLOOKUP($B458,COSTOS!$A$2:$B1014,2,FALSE)-150,VLOOKUP($B458,COSTOS!$A$2:$B1014,2,FALSE)),"No encontrado o error"))</f>
        <v/>
      </c>
      <c r="AI458" s="395"/>
      <c r="AJ458" s="394"/>
      <c r="AK458" s="429" t="str">
        <f>IF(OR(ISBLANK($B458),ISBLANK($AJ458)),"",IFERROR(IF($AJ458&lt;=DATE('ESTADO CONTABLE'!$B$2,12,5),VLOOKUP($B458,COSTOS!$A$2:$B1014,2,FALSE)-150,VLOOKUP($B458,COSTOS!$A$2:$B1014,2,FALSE)),"No encontrado o error"))</f>
        <v/>
      </c>
      <c r="AL458" s="395"/>
      <c r="AM458" s="254"/>
      <c r="AN458" s="255"/>
      <c r="AO458" s="256"/>
    </row>
    <row r="459" ht="22.5" customHeight="1">
      <c r="A459" s="431" t="str">
        <f>'BASE DE DATOSS'!A533</f>
        <v/>
      </c>
      <c r="B459" s="432" t="str">
        <f>'BASE DE DATOSS'!C533</f>
        <v/>
      </c>
      <c r="C459" s="263"/>
      <c r="D459" s="249"/>
      <c r="E459" s="250"/>
      <c r="F459" s="251"/>
      <c r="G459" s="262"/>
      <c r="H459" s="257"/>
      <c r="I459" s="249"/>
      <c r="J459" s="193" t="str">
        <f>IF(OR(ISBLANK($B459),ISBLANK($I459)),"",IFERROR(IF($I459&lt;=DATE('ESTADO CONTABLE'!$B$2,3,5),VLOOKUP($B459,COSTOS!$A$2:$B1014,2,FALSE)-150,VLOOKUP($B459,COSTOS!$A$2:$B1014,2,FALSE)),"No encontrado o error"))</f>
        <v/>
      </c>
      <c r="K459" s="264"/>
      <c r="L459" s="249"/>
      <c r="M459" s="189"/>
      <c r="N459" s="264"/>
      <c r="O459" s="249"/>
      <c r="P459" s="250"/>
      <c r="Q459" s="264"/>
      <c r="R459" s="249"/>
      <c r="S459" s="250"/>
      <c r="T459" s="264"/>
      <c r="U459" s="249"/>
      <c r="V459" s="250"/>
      <c r="W459" s="264"/>
      <c r="X459" s="394"/>
      <c r="Y459" s="429"/>
      <c r="Z459" s="395"/>
      <c r="AA459" s="394"/>
      <c r="AB459" s="118" t="str">
        <f>IF(OR(ISBLANK($B459),ISBLANK($AA459)),"",IFERROR(IF($AA459&lt;=DATE('ESTADO CONTABLE'!$B$2,9,5),VLOOKUP($B459,COSTOS!$A$2:$B1014,2,FALSE)-150,VLOOKUP($B459,COSTOS!$A$2:$B1014,2,FALSE)),"No encontrado o error"))</f>
        <v/>
      </c>
      <c r="AC459" s="395"/>
      <c r="AD459" s="394"/>
      <c r="AE459" s="429" t="str">
        <f>IF(OR(ISBLANK($B459),ISBLANK($AD459)),"",IFERROR(IF($AD459&lt;=DATE('ESTADO CONTABLE'!$B$2,10,5),VLOOKUP($B459,COSTOS!$A$2:$B1014,2,FALSE)-150,VLOOKUP($B459,COSTOS!$A$2:$B1014,2,FALSE)),"No encontrado o error"))</f>
        <v/>
      </c>
      <c r="AF459" s="395"/>
      <c r="AG459" s="394"/>
      <c r="AH459" s="429" t="str">
        <f>IF(OR(ISBLANK($B459),ISBLANK($AG459)),"",IFERROR(IF($AG459&lt;=DATE('ESTADO CONTABLE'!$B$2,11,5),VLOOKUP($B459,COSTOS!$A$2:$B1014,2,FALSE)-150,VLOOKUP($B459,COSTOS!$A$2:$B1014,2,FALSE)),"No encontrado o error"))</f>
        <v/>
      </c>
      <c r="AI459" s="395"/>
      <c r="AJ459" s="394"/>
      <c r="AK459" s="429" t="str">
        <f>IF(OR(ISBLANK($B459),ISBLANK($AJ459)),"",IFERROR(IF($AJ459&lt;=DATE('ESTADO CONTABLE'!$B$2,12,5),VLOOKUP($B459,COSTOS!$A$2:$B1014,2,FALSE)-150,VLOOKUP($B459,COSTOS!$A$2:$B1014,2,FALSE)),"No encontrado o error"))</f>
        <v/>
      </c>
      <c r="AL459" s="395"/>
      <c r="AM459" s="254"/>
      <c r="AN459" s="255"/>
      <c r="AO459" s="256"/>
    </row>
    <row r="460" ht="22.5" customHeight="1">
      <c r="A460" s="431" t="str">
        <f>'BASE DE DATOSS'!A534</f>
        <v/>
      </c>
      <c r="B460" s="432" t="str">
        <f>'BASE DE DATOSS'!C534</f>
        <v/>
      </c>
      <c r="C460" s="263"/>
      <c r="D460" s="249"/>
      <c r="E460" s="250"/>
      <c r="F460" s="251"/>
      <c r="G460" s="262"/>
      <c r="H460" s="257"/>
      <c r="I460" s="249"/>
      <c r="J460" s="193" t="str">
        <f>IF(OR(ISBLANK($B460),ISBLANK($I460)),"",IFERROR(IF($I460&lt;=DATE('ESTADO CONTABLE'!$B$2,3,5),VLOOKUP($B460,COSTOS!$A$2:$B1014,2,FALSE)-150,VLOOKUP($B460,COSTOS!$A$2:$B1014,2,FALSE)),"No encontrado o error"))</f>
        <v/>
      </c>
      <c r="K460" s="264"/>
      <c r="L460" s="249"/>
      <c r="M460" s="189"/>
      <c r="N460" s="264"/>
      <c r="O460" s="249"/>
      <c r="P460" s="250"/>
      <c r="Q460" s="264"/>
      <c r="R460" s="249"/>
      <c r="S460" s="250"/>
      <c r="T460" s="264"/>
      <c r="U460" s="249"/>
      <c r="V460" s="250"/>
      <c r="W460" s="264"/>
      <c r="X460" s="394"/>
      <c r="Y460" s="429"/>
      <c r="Z460" s="395"/>
      <c r="AA460" s="394"/>
      <c r="AB460" s="118" t="str">
        <f>IF(OR(ISBLANK($B460),ISBLANK($AA460)),"",IFERROR(IF($AA460&lt;=DATE('ESTADO CONTABLE'!$B$2,9,5),VLOOKUP($B460,COSTOS!$A$2:$B1014,2,FALSE)-150,VLOOKUP($B460,COSTOS!$A$2:$B1014,2,FALSE)),"No encontrado o error"))</f>
        <v/>
      </c>
      <c r="AC460" s="395"/>
      <c r="AD460" s="394"/>
      <c r="AE460" s="429" t="str">
        <f>IF(OR(ISBLANK($B460),ISBLANK($AD460)),"",IFERROR(IF($AD460&lt;=DATE('ESTADO CONTABLE'!$B$2,10,5),VLOOKUP($B460,COSTOS!$A$2:$B1014,2,FALSE)-150,VLOOKUP($B460,COSTOS!$A$2:$B1014,2,FALSE)),"No encontrado o error"))</f>
        <v/>
      </c>
      <c r="AF460" s="395"/>
      <c r="AG460" s="394"/>
      <c r="AH460" s="429" t="str">
        <f>IF(OR(ISBLANK($B460),ISBLANK($AG460)),"",IFERROR(IF($AG460&lt;=DATE('ESTADO CONTABLE'!$B$2,11,5),VLOOKUP($B460,COSTOS!$A$2:$B1014,2,FALSE)-150,VLOOKUP($B460,COSTOS!$A$2:$B1014,2,FALSE)),"No encontrado o error"))</f>
        <v/>
      </c>
      <c r="AI460" s="395"/>
      <c r="AJ460" s="394"/>
      <c r="AK460" s="429" t="str">
        <f>IF(OR(ISBLANK($B460),ISBLANK($AJ460)),"",IFERROR(IF($AJ460&lt;=DATE('ESTADO CONTABLE'!$B$2,12,5),VLOOKUP($B460,COSTOS!$A$2:$B1014,2,FALSE)-150,VLOOKUP($B460,COSTOS!$A$2:$B1014,2,FALSE)),"No encontrado o error"))</f>
        <v/>
      </c>
      <c r="AL460" s="395"/>
      <c r="AM460" s="254"/>
      <c r="AN460" s="255"/>
      <c r="AO460" s="256"/>
    </row>
    <row r="461" ht="22.5" customHeight="1">
      <c r="A461" s="431" t="str">
        <f>'BASE DE DATOSS'!A535</f>
        <v/>
      </c>
      <c r="B461" s="432" t="str">
        <f>'BASE DE DATOSS'!C535</f>
        <v/>
      </c>
      <c r="C461" s="263"/>
      <c r="D461" s="249"/>
      <c r="E461" s="250"/>
      <c r="F461" s="251"/>
      <c r="G461" s="262"/>
      <c r="H461" s="257"/>
      <c r="I461" s="249"/>
      <c r="J461" s="193" t="str">
        <f>IF(OR(ISBLANK($B461),ISBLANK($I461)),"",IFERROR(IF($I461&lt;=DATE('ESTADO CONTABLE'!$B$2,3,5),VLOOKUP($B461,COSTOS!$A$2:$B1014,2,FALSE)-150,VLOOKUP($B461,COSTOS!$A$2:$B1014,2,FALSE)),"No encontrado o error"))</f>
        <v/>
      </c>
      <c r="K461" s="264"/>
      <c r="L461" s="249"/>
      <c r="M461" s="189"/>
      <c r="N461" s="264"/>
      <c r="O461" s="249"/>
      <c r="P461" s="250"/>
      <c r="Q461" s="264"/>
      <c r="R461" s="249"/>
      <c r="S461" s="250"/>
      <c r="T461" s="264"/>
      <c r="U461" s="249"/>
      <c r="V461" s="250"/>
      <c r="W461" s="264"/>
      <c r="X461" s="394"/>
      <c r="Y461" s="429"/>
      <c r="Z461" s="395"/>
      <c r="AA461" s="394"/>
      <c r="AB461" s="118" t="str">
        <f>IF(OR(ISBLANK($B461),ISBLANK($AA461)),"",IFERROR(IF($AA461&lt;=DATE('ESTADO CONTABLE'!$B$2,9,5),VLOOKUP($B461,COSTOS!$A$2:$B1014,2,FALSE)-150,VLOOKUP($B461,COSTOS!$A$2:$B1014,2,FALSE)),"No encontrado o error"))</f>
        <v/>
      </c>
      <c r="AC461" s="395"/>
      <c r="AD461" s="394"/>
      <c r="AE461" s="429" t="str">
        <f>IF(OR(ISBLANK($B461),ISBLANK($AD461)),"",IFERROR(IF($AD461&lt;=DATE('ESTADO CONTABLE'!$B$2,10,5),VLOOKUP($B461,COSTOS!$A$2:$B1014,2,FALSE)-150,VLOOKUP($B461,COSTOS!$A$2:$B1014,2,FALSE)),"No encontrado o error"))</f>
        <v/>
      </c>
      <c r="AF461" s="395"/>
      <c r="AG461" s="394"/>
      <c r="AH461" s="429" t="str">
        <f>IF(OR(ISBLANK($B461),ISBLANK($AG461)),"",IFERROR(IF($AG461&lt;=DATE('ESTADO CONTABLE'!$B$2,11,5),VLOOKUP($B461,COSTOS!$A$2:$B1014,2,FALSE)-150,VLOOKUP($B461,COSTOS!$A$2:$B1014,2,FALSE)),"No encontrado o error"))</f>
        <v/>
      </c>
      <c r="AI461" s="395"/>
      <c r="AJ461" s="394"/>
      <c r="AK461" s="429" t="str">
        <f>IF(OR(ISBLANK($B461),ISBLANK($AJ461)),"",IFERROR(IF($AJ461&lt;=DATE('ESTADO CONTABLE'!$B$2,12,5),VLOOKUP($B461,COSTOS!$A$2:$B1014,2,FALSE)-150,VLOOKUP($B461,COSTOS!$A$2:$B1014,2,FALSE)),"No encontrado o error"))</f>
        <v/>
      </c>
      <c r="AL461" s="395"/>
      <c r="AM461" s="254"/>
      <c r="AN461" s="255"/>
      <c r="AO461" s="256"/>
    </row>
    <row r="462" ht="22.5" customHeight="1">
      <c r="A462" s="431" t="str">
        <f>'BASE DE DATOSS'!A536</f>
        <v/>
      </c>
      <c r="B462" s="432" t="str">
        <f>'BASE DE DATOSS'!C536</f>
        <v/>
      </c>
      <c r="C462" s="263"/>
      <c r="D462" s="249"/>
      <c r="E462" s="250"/>
      <c r="F462" s="251"/>
      <c r="G462" s="262"/>
      <c r="H462" s="257"/>
      <c r="I462" s="249"/>
      <c r="J462" s="193" t="str">
        <f>IF(OR(ISBLANK($B462),ISBLANK($I462)),"",IFERROR(IF($I462&lt;=DATE('ESTADO CONTABLE'!$B$2,3,5),VLOOKUP($B462,COSTOS!$A$2:$B1014,2,FALSE)-150,VLOOKUP($B462,COSTOS!$A$2:$B1014,2,FALSE)),"No encontrado o error"))</f>
        <v/>
      </c>
      <c r="K462" s="264"/>
      <c r="L462" s="249"/>
      <c r="M462" s="189"/>
      <c r="N462" s="264"/>
      <c r="O462" s="249"/>
      <c r="P462" s="250"/>
      <c r="Q462" s="264"/>
      <c r="R462" s="249"/>
      <c r="S462" s="250"/>
      <c r="T462" s="264"/>
      <c r="U462" s="249"/>
      <c r="V462" s="250"/>
      <c r="W462" s="264"/>
      <c r="X462" s="394"/>
      <c r="Y462" s="429"/>
      <c r="Z462" s="395"/>
      <c r="AA462" s="394"/>
      <c r="AB462" s="118" t="str">
        <f>IF(OR(ISBLANK($B462),ISBLANK($AA462)),"",IFERROR(IF($AA462&lt;=DATE('ESTADO CONTABLE'!$B$2,9,5),VLOOKUP($B462,COSTOS!$A$2:$B1014,2,FALSE)-150,VLOOKUP($B462,COSTOS!$A$2:$B1014,2,FALSE)),"No encontrado o error"))</f>
        <v/>
      </c>
      <c r="AC462" s="395"/>
      <c r="AD462" s="394"/>
      <c r="AE462" s="429" t="str">
        <f>IF(OR(ISBLANK($B462),ISBLANK($AD462)),"",IFERROR(IF($AD462&lt;=DATE('ESTADO CONTABLE'!$B$2,10,5),VLOOKUP($B462,COSTOS!$A$2:$B1014,2,FALSE)-150,VLOOKUP($B462,COSTOS!$A$2:$B1014,2,FALSE)),"No encontrado o error"))</f>
        <v/>
      </c>
      <c r="AF462" s="395"/>
      <c r="AG462" s="394"/>
      <c r="AH462" s="429" t="str">
        <f>IF(OR(ISBLANK($B462),ISBLANK($AG462)),"",IFERROR(IF($AG462&lt;=DATE('ESTADO CONTABLE'!$B$2,11,5),VLOOKUP($B462,COSTOS!$A$2:$B1014,2,FALSE)-150,VLOOKUP($B462,COSTOS!$A$2:$B1014,2,FALSE)),"No encontrado o error"))</f>
        <v/>
      </c>
      <c r="AI462" s="395"/>
      <c r="AJ462" s="394"/>
      <c r="AK462" s="429" t="str">
        <f>IF(OR(ISBLANK($B462),ISBLANK($AJ462)),"",IFERROR(IF($AJ462&lt;=DATE('ESTADO CONTABLE'!$B$2,12,5),VLOOKUP($B462,COSTOS!$A$2:$B1014,2,FALSE)-150,VLOOKUP($B462,COSTOS!$A$2:$B1014,2,FALSE)),"No encontrado o error"))</f>
        <v/>
      </c>
      <c r="AL462" s="395"/>
      <c r="AM462" s="254"/>
      <c r="AN462" s="255"/>
      <c r="AO462" s="256"/>
    </row>
    <row r="463" ht="22.5" customHeight="1">
      <c r="A463" s="431" t="str">
        <f>'BASE DE DATOSS'!A537</f>
        <v/>
      </c>
      <c r="B463" s="432" t="str">
        <f>'BASE DE DATOSS'!C537</f>
        <v/>
      </c>
      <c r="C463" s="263"/>
      <c r="D463" s="249"/>
      <c r="E463" s="250"/>
      <c r="F463" s="251"/>
      <c r="G463" s="262"/>
      <c r="H463" s="257"/>
      <c r="I463" s="249"/>
      <c r="J463" s="193" t="str">
        <f>IF(OR(ISBLANK($B463),ISBLANK($I463)),"",IFERROR(IF($I463&lt;=DATE('ESTADO CONTABLE'!$B$2,3,5),VLOOKUP($B463,COSTOS!$A$2:$B1014,2,FALSE)-150,VLOOKUP($B463,COSTOS!$A$2:$B1014,2,FALSE)),"No encontrado o error"))</f>
        <v/>
      </c>
      <c r="K463" s="264"/>
      <c r="L463" s="249"/>
      <c r="M463" s="189"/>
      <c r="N463" s="264"/>
      <c r="O463" s="249"/>
      <c r="P463" s="250"/>
      <c r="Q463" s="264"/>
      <c r="R463" s="249"/>
      <c r="S463" s="250"/>
      <c r="T463" s="264"/>
      <c r="U463" s="249"/>
      <c r="V463" s="250"/>
      <c r="W463" s="264"/>
      <c r="X463" s="394"/>
      <c r="Y463" s="429"/>
      <c r="Z463" s="395"/>
      <c r="AA463" s="394"/>
      <c r="AB463" s="118" t="str">
        <f>IF(OR(ISBLANK($B463),ISBLANK($AA463)),"",IFERROR(IF($AA463&lt;=DATE('ESTADO CONTABLE'!$B$2,9,5),VLOOKUP($B463,COSTOS!$A$2:$B1014,2,FALSE)-150,VLOOKUP($B463,COSTOS!$A$2:$B1014,2,FALSE)),"No encontrado o error"))</f>
        <v/>
      </c>
      <c r="AC463" s="395"/>
      <c r="AD463" s="394"/>
      <c r="AE463" s="429" t="str">
        <f>IF(OR(ISBLANK($B463),ISBLANK($AD463)),"",IFERROR(IF($AD463&lt;=DATE('ESTADO CONTABLE'!$B$2,10,5),VLOOKUP($B463,COSTOS!$A$2:$B1014,2,FALSE)-150,VLOOKUP($B463,COSTOS!$A$2:$B1014,2,FALSE)),"No encontrado o error"))</f>
        <v/>
      </c>
      <c r="AF463" s="395"/>
      <c r="AG463" s="394"/>
      <c r="AH463" s="429" t="str">
        <f>IF(OR(ISBLANK($B463),ISBLANK($AG463)),"",IFERROR(IF($AG463&lt;=DATE('ESTADO CONTABLE'!$B$2,11,5),VLOOKUP($B463,COSTOS!$A$2:$B1014,2,FALSE)-150,VLOOKUP($B463,COSTOS!$A$2:$B1014,2,FALSE)),"No encontrado o error"))</f>
        <v/>
      </c>
      <c r="AI463" s="395"/>
      <c r="AJ463" s="394"/>
      <c r="AK463" s="429" t="str">
        <f>IF(OR(ISBLANK($B463),ISBLANK($AJ463)),"",IFERROR(IF($AJ463&lt;=DATE('ESTADO CONTABLE'!$B$2,12,5),VLOOKUP($B463,COSTOS!$A$2:$B1014,2,FALSE)-150,VLOOKUP($B463,COSTOS!$A$2:$B1014,2,FALSE)),"No encontrado o error"))</f>
        <v/>
      </c>
      <c r="AL463" s="395"/>
      <c r="AM463" s="254"/>
      <c r="AN463" s="255"/>
      <c r="AO463" s="256"/>
    </row>
    <row r="464" ht="22.5" customHeight="1">
      <c r="A464" s="431" t="str">
        <f>'BASE DE DATOSS'!A538</f>
        <v/>
      </c>
      <c r="B464" s="432" t="str">
        <f>'BASE DE DATOSS'!C538</f>
        <v/>
      </c>
      <c r="C464" s="263"/>
      <c r="D464" s="249"/>
      <c r="E464" s="250"/>
      <c r="F464" s="251"/>
      <c r="G464" s="262"/>
      <c r="H464" s="257"/>
      <c r="I464" s="249"/>
      <c r="J464" s="193" t="str">
        <f>IF(OR(ISBLANK($B464),ISBLANK($I464)),"",IFERROR(IF($I464&lt;=DATE('ESTADO CONTABLE'!$B$2,3,5),VLOOKUP($B464,COSTOS!$A$2:$B1014,2,FALSE)-150,VLOOKUP($B464,COSTOS!$A$2:$B1014,2,FALSE)),"No encontrado o error"))</f>
        <v/>
      </c>
      <c r="K464" s="264"/>
      <c r="L464" s="249"/>
      <c r="M464" s="189"/>
      <c r="N464" s="264"/>
      <c r="O464" s="249"/>
      <c r="P464" s="250"/>
      <c r="Q464" s="264"/>
      <c r="R464" s="249"/>
      <c r="S464" s="250"/>
      <c r="T464" s="264"/>
      <c r="U464" s="249"/>
      <c r="V464" s="250"/>
      <c r="W464" s="264"/>
      <c r="X464" s="394"/>
      <c r="Y464" s="429"/>
      <c r="Z464" s="395"/>
      <c r="AA464" s="394"/>
      <c r="AB464" s="118" t="str">
        <f>IF(OR(ISBLANK($B464),ISBLANK($AA464)),"",IFERROR(IF($AA464&lt;=DATE('ESTADO CONTABLE'!$B$2,9,5),VLOOKUP($B464,COSTOS!$A$2:$B1014,2,FALSE)-150,VLOOKUP($B464,COSTOS!$A$2:$B1014,2,FALSE)),"No encontrado o error"))</f>
        <v/>
      </c>
      <c r="AC464" s="395"/>
      <c r="AD464" s="394"/>
      <c r="AE464" s="429" t="str">
        <f>IF(OR(ISBLANK($B464),ISBLANK($AD464)),"",IFERROR(IF($AD464&lt;=DATE('ESTADO CONTABLE'!$B$2,10,5),VLOOKUP($B464,COSTOS!$A$2:$B1014,2,FALSE)-150,VLOOKUP($B464,COSTOS!$A$2:$B1014,2,FALSE)),"No encontrado o error"))</f>
        <v/>
      </c>
      <c r="AF464" s="395"/>
      <c r="AG464" s="394"/>
      <c r="AH464" s="429" t="str">
        <f>IF(OR(ISBLANK($B464),ISBLANK($AG464)),"",IFERROR(IF($AG464&lt;=DATE('ESTADO CONTABLE'!$B$2,11,5),VLOOKUP($B464,COSTOS!$A$2:$B1014,2,FALSE)-150,VLOOKUP($B464,COSTOS!$A$2:$B1014,2,FALSE)),"No encontrado o error"))</f>
        <v/>
      </c>
      <c r="AI464" s="395"/>
      <c r="AJ464" s="394"/>
      <c r="AK464" s="429" t="str">
        <f>IF(OR(ISBLANK($B464),ISBLANK($AJ464)),"",IFERROR(IF($AJ464&lt;=DATE('ESTADO CONTABLE'!$B$2,12,5),VLOOKUP($B464,COSTOS!$A$2:$B1014,2,FALSE)-150,VLOOKUP($B464,COSTOS!$A$2:$B1014,2,FALSE)),"No encontrado o error"))</f>
        <v/>
      </c>
      <c r="AL464" s="395"/>
      <c r="AM464" s="254"/>
      <c r="AN464" s="255"/>
      <c r="AO464" s="256"/>
    </row>
    <row r="465" ht="22.5" customHeight="1">
      <c r="A465" s="431" t="str">
        <f>'BASE DE DATOSS'!A539</f>
        <v/>
      </c>
      <c r="B465" s="432" t="str">
        <f>'BASE DE DATOSS'!C539</f>
        <v/>
      </c>
      <c r="C465" s="263"/>
      <c r="D465" s="249"/>
      <c r="E465" s="250"/>
      <c r="F465" s="251"/>
      <c r="G465" s="262"/>
      <c r="H465" s="257"/>
      <c r="I465" s="249"/>
      <c r="J465" s="193" t="str">
        <f>IF(OR(ISBLANK($B465),ISBLANK($I465)),"",IFERROR(IF($I465&lt;=DATE('ESTADO CONTABLE'!$B$2,3,5),VLOOKUP($B465,COSTOS!$A$2:$B1014,2,FALSE)-150,VLOOKUP($B465,COSTOS!$A$2:$B1014,2,FALSE)),"No encontrado o error"))</f>
        <v/>
      </c>
      <c r="K465" s="264"/>
      <c r="L465" s="249"/>
      <c r="M465" s="189"/>
      <c r="N465" s="264"/>
      <c r="O465" s="249"/>
      <c r="P465" s="250"/>
      <c r="Q465" s="264"/>
      <c r="R465" s="249"/>
      <c r="S465" s="250"/>
      <c r="T465" s="264"/>
      <c r="U465" s="249"/>
      <c r="V465" s="250"/>
      <c r="W465" s="264"/>
      <c r="X465" s="394"/>
      <c r="Y465" s="429"/>
      <c r="Z465" s="395"/>
      <c r="AA465" s="394"/>
      <c r="AB465" s="118" t="str">
        <f>IF(OR(ISBLANK($B465),ISBLANK($AA465)),"",IFERROR(IF($AA465&lt;=DATE('ESTADO CONTABLE'!$B$2,9,5),VLOOKUP($B465,COSTOS!$A$2:$B1014,2,FALSE)-150,VLOOKUP($B465,COSTOS!$A$2:$B1014,2,FALSE)),"No encontrado o error"))</f>
        <v/>
      </c>
      <c r="AC465" s="395"/>
      <c r="AD465" s="394"/>
      <c r="AE465" s="429" t="str">
        <f>IF(OR(ISBLANK($B465),ISBLANK($AD465)),"",IFERROR(IF($AD465&lt;=DATE('ESTADO CONTABLE'!$B$2,10,5),VLOOKUP($B465,COSTOS!$A$2:$B1014,2,FALSE)-150,VLOOKUP($B465,COSTOS!$A$2:$B1014,2,FALSE)),"No encontrado o error"))</f>
        <v/>
      </c>
      <c r="AF465" s="395"/>
      <c r="AG465" s="394"/>
      <c r="AH465" s="429" t="str">
        <f>IF(OR(ISBLANK($B465),ISBLANK($AG465)),"",IFERROR(IF($AG465&lt;=DATE('ESTADO CONTABLE'!$B$2,11,5),VLOOKUP($B465,COSTOS!$A$2:$B1014,2,FALSE)-150,VLOOKUP($B465,COSTOS!$A$2:$B1014,2,FALSE)),"No encontrado o error"))</f>
        <v/>
      </c>
      <c r="AI465" s="395"/>
      <c r="AJ465" s="394"/>
      <c r="AK465" s="429" t="str">
        <f>IF(OR(ISBLANK($B465),ISBLANK($AJ465)),"",IFERROR(IF($AJ465&lt;=DATE('ESTADO CONTABLE'!$B$2,12,5),VLOOKUP($B465,COSTOS!$A$2:$B1014,2,FALSE)-150,VLOOKUP($B465,COSTOS!$A$2:$B1014,2,FALSE)),"No encontrado o error"))</f>
        <v/>
      </c>
      <c r="AL465" s="395"/>
      <c r="AM465" s="254"/>
      <c r="AN465" s="255"/>
      <c r="AO465" s="256"/>
    </row>
    <row r="466" ht="22.5" customHeight="1">
      <c r="A466" s="431" t="str">
        <f>'BASE DE DATOSS'!A540</f>
        <v/>
      </c>
      <c r="B466" s="432" t="str">
        <f>'BASE DE DATOSS'!C540</f>
        <v/>
      </c>
      <c r="C466" s="263"/>
      <c r="D466" s="249"/>
      <c r="E466" s="250"/>
      <c r="F466" s="251"/>
      <c r="G466" s="262"/>
      <c r="H466" s="257"/>
      <c r="I466" s="249"/>
      <c r="J466" s="193" t="str">
        <f>IF(OR(ISBLANK($B466),ISBLANK($I466)),"",IFERROR(IF($I466&lt;=DATE('ESTADO CONTABLE'!$B$2,3,5),VLOOKUP($B466,COSTOS!$A$2:$B1014,2,FALSE)-150,VLOOKUP($B466,COSTOS!$A$2:$B1014,2,FALSE)),"No encontrado o error"))</f>
        <v/>
      </c>
      <c r="K466" s="264"/>
      <c r="L466" s="249"/>
      <c r="M466" s="189"/>
      <c r="N466" s="264"/>
      <c r="O466" s="249"/>
      <c r="P466" s="250"/>
      <c r="Q466" s="264"/>
      <c r="R466" s="249"/>
      <c r="S466" s="250"/>
      <c r="T466" s="264"/>
      <c r="U466" s="249"/>
      <c r="V466" s="250"/>
      <c r="W466" s="264"/>
      <c r="X466" s="394"/>
      <c r="Y466" s="429"/>
      <c r="Z466" s="395"/>
      <c r="AA466" s="394"/>
      <c r="AB466" s="118" t="str">
        <f>IF(OR(ISBLANK($B466),ISBLANK($AA466)),"",IFERROR(IF($AA466&lt;=DATE('ESTADO CONTABLE'!$B$2,9,5),VLOOKUP($B466,COSTOS!$A$2:$B1014,2,FALSE)-150,VLOOKUP($B466,COSTOS!$A$2:$B1014,2,FALSE)),"No encontrado o error"))</f>
        <v/>
      </c>
      <c r="AC466" s="395"/>
      <c r="AD466" s="394"/>
      <c r="AE466" s="429" t="str">
        <f>IF(OR(ISBLANK($B466),ISBLANK($AD466)),"",IFERROR(IF($AD466&lt;=DATE('ESTADO CONTABLE'!$B$2,10,5),VLOOKUP($B466,COSTOS!$A$2:$B1014,2,FALSE)-150,VLOOKUP($B466,COSTOS!$A$2:$B1014,2,FALSE)),"No encontrado o error"))</f>
        <v/>
      </c>
      <c r="AF466" s="395"/>
      <c r="AG466" s="394"/>
      <c r="AH466" s="429" t="str">
        <f>IF(OR(ISBLANK($B466),ISBLANK($AG466)),"",IFERROR(IF($AG466&lt;=DATE('ESTADO CONTABLE'!$B$2,11,5),VLOOKUP($B466,COSTOS!$A$2:$B1014,2,FALSE)-150,VLOOKUP($B466,COSTOS!$A$2:$B1014,2,FALSE)),"No encontrado o error"))</f>
        <v/>
      </c>
      <c r="AI466" s="395"/>
      <c r="AJ466" s="394"/>
      <c r="AK466" s="429" t="str">
        <f>IF(OR(ISBLANK($B466),ISBLANK($AJ466)),"",IFERROR(IF($AJ466&lt;=DATE('ESTADO CONTABLE'!$B$2,12,5),VLOOKUP($B466,COSTOS!$A$2:$B1014,2,FALSE)-150,VLOOKUP($B466,COSTOS!$A$2:$B1014,2,FALSE)),"No encontrado o error"))</f>
        <v/>
      </c>
      <c r="AL466" s="395"/>
      <c r="AM466" s="254"/>
      <c r="AN466" s="255"/>
      <c r="AO466" s="256"/>
    </row>
    <row r="467" ht="22.5" customHeight="1">
      <c r="A467" s="431" t="str">
        <f>'BASE DE DATOSS'!A541</f>
        <v/>
      </c>
      <c r="B467" s="432" t="str">
        <f>'BASE DE DATOSS'!C541</f>
        <v/>
      </c>
      <c r="C467" s="263"/>
      <c r="D467" s="249"/>
      <c r="E467" s="250"/>
      <c r="F467" s="251"/>
      <c r="G467" s="262"/>
      <c r="H467" s="257"/>
      <c r="I467" s="249"/>
      <c r="J467" s="193" t="str">
        <f>IF(OR(ISBLANK($B467),ISBLANK($I467)),"",IFERROR(IF($I467&lt;=DATE('ESTADO CONTABLE'!$B$2,3,5),VLOOKUP($B467,COSTOS!$A$2:$B1014,2,FALSE)-150,VLOOKUP($B467,COSTOS!$A$2:$B1014,2,FALSE)),"No encontrado o error"))</f>
        <v/>
      </c>
      <c r="K467" s="264"/>
      <c r="L467" s="249"/>
      <c r="M467" s="189"/>
      <c r="N467" s="264"/>
      <c r="O467" s="249"/>
      <c r="P467" s="250"/>
      <c r="Q467" s="264"/>
      <c r="R467" s="249"/>
      <c r="S467" s="250"/>
      <c r="T467" s="264"/>
      <c r="U467" s="249"/>
      <c r="V467" s="250"/>
      <c r="W467" s="264"/>
      <c r="X467" s="394"/>
      <c r="Y467" s="429"/>
      <c r="Z467" s="395"/>
      <c r="AA467" s="394"/>
      <c r="AB467" s="118" t="str">
        <f>IF(OR(ISBLANK($B467),ISBLANK($AA467)),"",IFERROR(IF($AA467&lt;=DATE('ESTADO CONTABLE'!$B$2,9,5),VLOOKUP($B467,COSTOS!$A$2:$B1014,2,FALSE)-150,VLOOKUP($B467,COSTOS!$A$2:$B1014,2,FALSE)),"No encontrado o error"))</f>
        <v/>
      </c>
      <c r="AC467" s="395"/>
      <c r="AD467" s="394"/>
      <c r="AE467" s="429" t="str">
        <f>IF(OR(ISBLANK($B467),ISBLANK($AD467)),"",IFERROR(IF($AD467&lt;=DATE('ESTADO CONTABLE'!$B$2,10,5),VLOOKUP($B467,COSTOS!$A$2:$B1014,2,FALSE)-150,VLOOKUP($B467,COSTOS!$A$2:$B1014,2,FALSE)),"No encontrado o error"))</f>
        <v/>
      </c>
      <c r="AF467" s="395"/>
      <c r="AG467" s="394"/>
      <c r="AH467" s="429" t="str">
        <f>IF(OR(ISBLANK($B467),ISBLANK($AG467)),"",IFERROR(IF($AG467&lt;=DATE('ESTADO CONTABLE'!$B$2,11,5),VLOOKUP($B467,COSTOS!$A$2:$B1014,2,FALSE)-150,VLOOKUP($B467,COSTOS!$A$2:$B1014,2,FALSE)),"No encontrado o error"))</f>
        <v/>
      </c>
      <c r="AI467" s="395"/>
      <c r="AJ467" s="394"/>
      <c r="AK467" s="429" t="str">
        <f>IF(OR(ISBLANK($B467),ISBLANK($AJ467)),"",IFERROR(IF($AJ467&lt;=DATE('ESTADO CONTABLE'!$B$2,12,5),VLOOKUP($B467,COSTOS!$A$2:$B1014,2,FALSE)-150,VLOOKUP($B467,COSTOS!$A$2:$B1014,2,FALSE)),"No encontrado o error"))</f>
        <v/>
      </c>
      <c r="AL467" s="395"/>
      <c r="AM467" s="254"/>
      <c r="AN467" s="255"/>
      <c r="AO467" s="256"/>
    </row>
    <row r="468" ht="22.5" customHeight="1">
      <c r="A468" s="431" t="str">
        <f>'BASE DE DATOSS'!A542</f>
        <v/>
      </c>
      <c r="B468" s="432" t="str">
        <f>'BASE DE DATOSS'!C542</f>
        <v/>
      </c>
      <c r="C468" s="263"/>
      <c r="D468" s="249"/>
      <c r="E468" s="250"/>
      <c r="F468" s="251"/>
      <c r="G468" s="262"/>
      <c r="H468" s="257"/>
      <c r="I468" s="249"/>
      <c r="J468" s="193" t="str">
        <f>IF(OR(ISBLANK($B468),ISBLANK($I468)),"",IFERROR(IF($I468&lt;=DATE('ESTADO CONTABLE'!$B$2,3,5),VLOOKUP($B468,COSTOS!$A$2:$B1014,2,FALSE)-150,VLOOKUP($B468,COSTOS!$A$2:$B1014,2,FALSE)),"No encontrado o error"))</f>
        <v/>
      </c>
      <c r="K468" s="264"/>
      <c r="L468" s="249"/>
      <c r="M468" s="189"/>
      <c r="N468" s="264"/>
      <c r="O468" s="249"/>
      <c r="P468" s="250"/>
      <c r="Q468" s="264"/>
      <c r="R468" s="249"/>
      <c r="S468" s="250"/>
      <c r="T468" s="264"/>
      <c r="U468" s="249"/>
      <c r="V468" s="250"/>
      <c r="W468" s="264"/>
      <c r="X468" s="394"/>
      <c r="Y468" s="429"/>
      <c r="Z468" s="395"/>
      <c r="AA468" s="394"/>
      <c r="AB468" s="118" t="str">
        <f>IF(OR(ISBLANK($B468),ISBLANK($AA468)),"",IFERROR(IF($AA468&lt;=DATE('ESTADO CONTABLE'!$B$2,9,5),VLOOKUP($B468,COSTOS!$A$2:$B1014,2,FALSE)-150,VLOOKUP($B468,COSTOS!$A$2:$B1014,2,FALSE)),"No encontrado o error"))</f>
        <v/>
      </c>
      <c r="AC468" s="395"/>
      <c r="AD468" s="394"/>
      <c r="AE468" s="429" t="str">
        <f>IF(OR(ISBLANK($B468),ISBLANK($AD468)),"",IFERROR(IF($AD468&lt;=DATE('ESTADO CONTABLE'!$B$2,10,5),VLOOKUP($B468,COSTOS!$A$2:$B1014,2,FALSE)-150,VLOOKUP($B468,COSTOS!$A$2:$B1014,2,FALSE)),"No encontrado o error"))</f>
        <v/>
      </c>
      <c r="AF468" s="395"/>
      <c r="AG468" s="394"/>
      <c r="AH468" s="429" t="str">
        <f>IF(OR(ISBLANK($B468),ISBLANK($AG468)),"",IFERROR(IF($AG468&lt;=DATE('ESTADO CONTABLE'!$B$2,11,5),VLOOKUP($B468,COSTOS!$A$2:$B1014,2,FALSE)-150,VLOOKUP($B468,COSTOS!$A$2:$B1014,2,FALSE)),"No encontrado o error"))</f>
        <v/>
      </c>
      <c r="AI468" s="395"/>
      <c r="AJ468" s="394"/>
      <c r="AK468" s="429" t="str">
        <f>IF(OR(ISBLANK($B468),ISBLANK($AJ468)),"",IFERROR(IF($AJ468&lt;=DATE('ESTADO CONTABLE'!$B$2,12,5),VLOOKUP($B468,COSTOS!$A$2:$B1014,2,FALSE)-150,VLOOKUP($B468,COSTOS!$A$2:$B1014,2,FALSE)),"No encontrado o error"))</f>
        <v/>
      </c>
      <c r="AL468" s="395"/>
      <c r="AM468" s="254"/>
      <c r="AN468" s="255"/>
      <c r="AO468" s="256"/>
    </row>
    <row r="469" ht="22.5" customHeight="1">
      <c r="A469" s="431" t="str">
        <f>'BASE DE DATOSS'!A543</f>
        <v/>
      </c>
      <c r="B469" s="432" t="str">
        <f>'BASE DE DATOSS'!C543</f>
        <v/>
      </c>
      <c r="C469" s="263"/>
      <c r="D469" s="249"/>
      <c r="E469" s="250"/>
      <c r="F469" s="251"/>
      <c r="G469" s="262"/>
      <c r="H469" s="257"/>
      <c r="I469" s="249"/>
      <c r="J469" s="193" t="str">
        <f>IF(OR(ISBLANK($B469),ISBLANK($I469)),"",IFERROR(IF($I469&lt;=DATE('ESTADO CONTABLE'!$B$2,3,5),VLOOKUP($B469,COSTOS!$A$2:$B1014,2,FALSE)-150,VLOOKUP($B469,COSTOS!$A$2:$B1014,2,FALSE)),"No encontrado o error"))</f>
        <v/>
      </c>
      <c r="K469" s="264"/>
      <c r="L469" s="249"/>
      <c r="M469" s="189"/>
      <c r="N469" s="264"/>
      <c r="O469" s="249"/>
      <c r="P469" s="250"/>
      <c r="Q469" s="264"/>
      <c r="R469" s="249"/>
      <c r="S469" s="250"/>
      <c r="T469" s="264"/>
      <c r="U469" s="249"/>
      <c r="V469" s="250"/>
      <c r="W469" s="264"/>
      <c r="X469" s="394"/>
      <c r="Y469" s="429"/>
      <c r="Z469" s="395"/>
      <c r="AA469" s="394"/>
      <c r="AB469" s="118" t="str">
        <f>IF(OR(ISBLANK($B469),ISBLANK($AA469)),"",IFERROR(IF($AA469&lt;=DATE('ESTADO CONTABLE'!$B$2,9,5),VLOOKUP($B469,COSTOS!$A$2:$B1014,2,FALSE)-150,VLOOKUP($B469,COSTOS!$A$2:$B1014,2,FALSE)),"No encontrado o error"))</f>
        <v/>
      </c>
      <c r="AC469" s="395"/>
      <c r="AD469" s="394"/>
      <c r="AE469" s="429" t="str">
        <f>IF(OR(ISBLANK($B469),ISBLANK($AD469)),"",IFERROR(IF($AD469&lt;=DATE('ESTADO CONTABLE'!$B$2,10,5),VLOOKUP($B469,COSTOS!$A$2:$B1014,2,FALSE)-150,VLOOKUP($B469,COSTOS!$A$2:$B1014,2,FALSE)),"No encontrado o error"))</f>
        <v/>
      </c>
      <c r="AF469" s="395"/>
      <c r="AG469" s="394"/>
      <c r="AH469" s="429" t="str">
        <f>IF(OR(ISBLANK($B469),ISBLANK($AG469)),"",IFERROR(IF($AG469&lt;=DATE('ESTADO CONTABLE'!$B$2,11,5),VLOOKUP($B469,COSTOS!$A$2:$B1014,2,FALSE)-150,VLOOKUP($B469,COSTOS!$A$2:$B1014,2,FALSE)),"No encontrado o error"))</f>
        <v/>
      </c>
      <c r="AI469" s="395"/>
      <c r="AJ469" s="394"/>
      <c r="AK469" s="429" t="str">
        <f>IF(OR(ISBLANK($B469),ISBLANK($AJ469)),"",IFERROR(IF($AJ469&lt;=DATE('ESTADO CONTABLE'!$B$2,12,5),VLOOKUP($B469,COSTOS!$A$2:$B1014,2,FALSE)-150,VLOOKUP($B469,COSTOS!$A$2:$B1014,2,FALSE)),"No encontrado o error"))</f>
        <v/>
      </c>
      <c r="AL469" s="395"/>
      <c r="AM469" s="254"/>
      <c r="AN469" s="255"/>
      <c r="AO469" s="256"/>
    </row>
    <row r="470" ht="22.5" customHeight="1">
      <c r="A470" s="431" t="str">
        <f>'BASE DE DATOSS'!A544</f>
        <v/>
      </c>
      <c r="B470" s="432" t="str">
        <f>'BASE DE DATOSS'!C544</f>
        <v/>
      </c>
      <c r="C470" s="263"/>
      <c r="D470" s="249"/>
      <c r="E470" s="250"/>
      <c r="F470" s="251"/>
      <c r="G470" s="262"/>
      <c r="H470" s="257"/>
      <c r="I470" s="249"/>
      <c r="J470" s="193" t="str">
        <f>IF(OR(ISBLANK($B470),ISBLANK($I470)),"",IFERROR(IF($I470&lt;=DATE('ESTADO CONTABLE'!$B$2,3,5),VLOOKUP($B470,COSTOS!$A$2:$B1014,2,FALSE)-150,VLOOKUP($B470,COSTOS!$A$2:$B1014,2,FALSE)),"No encontrado o error"))</f>
        <v/>
      </c>
      <c r="K470" s="264"/>
      <c r="L470" s="249"/>
      <c r="M470" s="189"/>
      <c r="N470" s="264"/>
      <c r="O470" s="249"/>
      <c r="P470" s="250"/>
      <c r="Q470" s="264"/>
      <c r="R470" s="249"/>
      <c r="S470" s="250"/>
      <c r="T470" s="264"/>
      <c r="U470" s="249"/>
      <c r="V470" s="250"/>
      <c r="W470" s="264"/>
      <c r="X470" s="394"/>
      <c r="Y470" s="429"/>
      <c r="Z470" s="395"/>
      <c r="AA470" s="394"/>
      <c r="AB470" s="118" t="str">
        <f>IF(OR(ISBLANK($B470),ISBLANK($AA470)),"",IFERROR(IF($AA470&lt;=DATE('ESTADO CONTABLE'!$B$2,9,5),VLOOKUP($B470,COSTOS!$A$2:$B1014,2,FALSE)-150,VLOOKUP($B470,COSTOS!$A$2:$B1014,2,FALSE)),"No encontrado o error"))</f>
        <v/>
      </c>
      <c r="AC470" s="395"/>
      <c r="AD470" s="394"/>
      <c r="AE470" s="429" t="str">
        <f>IF(OR(ISBLANK($B470),ISBLANK($AD470)),"",IFERROR(IF($AD470&lt;=DATE('ESTADO CONTABLE'!$B$2,10,5),VLOOKUP($B470,COSTOS!$A$2:$B1014,2,FALSE)-150,VLOOKUP($B470,COSTOS!$A$2:$B1014,2,FALSE)),"No encontrado o error"))</f>
        <v/>
      </c>
      <c r="AF470" s="395"/>
      <c r="AG470" s="394"/>
      <c r="AH470" s="429" t="str">
        <f>IF(OR(ISBLANK($B470),ISBLANK($AG470)),"",IFERROR(IF($AG470&lt;=DATE('ESTADO CONTABLE'!$B$2,11,5),VLOOKUP($B470,COSTOS!$A$2:$B1014,2,FALSE)-150,VLOOKUP($B470,COSTOS!$A$2:$B1014,2,FALSE)),"No encontrado o error"))</f>
        <v/>
      </c>
      <c r="AI470" s="395"/>
      <c r="AJ470" s="394"/>
      <c r="AK470" s="429" t="str">
        <f>IF(OR(ISBLANK($B470),ISBLANK($AJ470)),"",IFERROR(IF($AJ470&lt;=DATE('ESTADO CONTABLE'!$B$2,12,5),VLOOKUP($B470,COSTOS!$A$2:$B1014,2,FALSE)-150,VLOOKUP($B470,COSTOS!$A$2:$B1014,2,FALSE)),"No encontrado o error"))</f>
        <v/>
      </c>
      <c r="AL470" s="395"/>
      <c r="AM470" s="254"/>
      <c r="AN470" s="255"/>
      <c r="AO470" s="256"/>
    </row>
    <row r="471" ht="22.5" customHeight="1">
      <c r="A471" s="431" t="str">
        <f>'BASE DE DATOSS'!A545</f>
        <v/>
      </c>
      <c r="B471" s="432" t="str">
        <f>'BASE DE DATOSS'!C545</f>
        <v/>
      </c>
      <c r="C471" s="263"/>
      <c r="D471" s="249"/>
      <c r="E471" s="250"/>
      <c r="F471" s="251"/>
      <c r="G471" s="262"/>
      <c r="H471" s="257"/>
      <c r="I471" s="249"/>
      <c r="J471" s="193" t="str">
        <f>IF(OR(ISBLANK($B471),ISBLANK($I471)),"",IFERROR(IF($I471&lt;=DATE('ESTADO CONTABLE'!$B$2,3,5),VLOOKUP($B471,COSTOS!$A$2:$B1014,2,FALSE)-150,VLOOKUP($B471,COSTOS!$A$2:$B1014,2,FALSE)),"No encontrado o error"))</f>
        <v/>
      </c>
      <c r="K471" s="264"/>
      <c r="L471" s="249"/>
      <c r="M471" s="189"/>
      <c r="N471" s="264"/>
      <c r="O471" s="249"/>
      <c r="P471" s="250"/>
      <c r="Q471" s="264"/>
      <c r="R471" s="249"/>
      <c r="S471" s="250"/>
      <c r="T471" s="264"/>
      <c r="U471" s="249"/>
      <c r="V471" s="250"/>
      <c r="W471" s="264"/>
      <c r="X471" s="394"/>
      <c r="Y471" s="429"/>
      <c r="Z471" s="395"/>
      <c r="AA471" s="394"/>
      <c r="AB471" s="118" t="str">
        <f>IF(OR(ISBLANK($B471),ISBLANK($AA471)),"",IFERROR(IF($AA471&lt;=DATE('ESTADO CONTABLE'!$B$2,9,5),VLOOKUP($B471,COSTOS!$A$2:$B1014,2,FALSE)-150,VLOOKUP($B471,COSTOS!$A$2:$B1014,2,FALSE)),"No encontrado o error"))</f>
        <v/>
      </c>
      <c r="AC471" s="395"/>
      <c r="AD471" s="394"/>
      <c r="AE471" s="429" t="str">
        <f>IF(OR(ISBLANK($B471),ISBLANK($AD471)),"",IFERROR(IF($AD471&lt;=DATE('ESTADO CONTABLE'!$B$2,10,5),VLOOKUP($B471,COSTOS!$A$2:$B1014,2,FALSE)-150,VLOOKUP($B471,COSTOS!$A$2:$B1014,2,FALSE)),"No encontrado o error"))</f>
        <v/>
      </c>
      <c r="AF471" s="395"/>
      <c r="AG471" s="394"/>
      <c r="AH471" s="429" t="str">
        <f>IF(OR(ISBLANK($B471),ISBLANK($AG471)),"",IFERROR(IF($AG471&lt;=DATE('ESTADO CONTABLE'!$B$2,11,5),VLOOKUP($B471,COSTOS!$A$2:$B1014,2,FALSE)-150,VLOOKUP($B471,COSTOS!$A$2:$B1014,2,FALSE)),"No encontrado o error"))</f>
        <v/>
      </c>
      <c r="AI471" s="395"/>
      <c r="AJ471" s="394"/>
      <c r="AK471" s="429" t="str">
        <f>IF(OR(ISBLANK($B471),ISBLANK($AJ471)),"",IFERROR(IF($AJ471&lt;=DATE('ESTADO CONTABLE'!$B$2,12,5),VLOOKUP($B471,COSTOS!$A$2:$B1014,2,FALSE)-150,VLOOKUP($B471,COSTOS!$A$2:$B1014,2,FALSE)),"No encontrado o error"))</f>
        <v/>
      </c>
      <c r="AL471" s="395"/>
      <c r="AM471" s="254"/>
      <c r="AN471" s="255"/>
      <c r="AO471" s="256"/>
    </row>
    <row r="472" ht="22.5" customHeight="1">
      <c r="A472" s="431" t="str">
        <f>'BASE DE DATOSS'!A546</f>
        <v/>
      </c>
      <c r="B472" s="432" t="str">
        <f>'BASE DE DATOSS'!C546</f>
        <v/>
      </c>
      <c r="C472" s="263"/>
      <c r="D472" s="249"/>
      <c r="E472" s="250"/>
      <c r="F472" s="251"/>
      <c r="G472" s="262"/>
      <c r="H472" s="257"/>
      <c r="I472" s="249"/>
      <c r="J472" s="193" t="str">
        <f>IF(OR(ISBLANK($B472),ISBLANK($I472)),"",IFERROR(IF($I472&lt;=DATE('ESTADO CONTABLE'!$B$2,3,5),VLOOKUP($B472,COSTOS!$A$2:$B1014,2,FALSE)-150,VLOOKUP($B472,COSTOS!$A$2:$B1014,2,FALSE)),"No encontrado o error"))</f>
        <v/>
      </c>
      <c r="K472" s="264"/>
      <c r="L472" s="249"/>
      <c r="M472" s="189"/>
      <c r="N472" s="264"/>
      <c r="O472" s="249"/>
      <c r="P472" s="250"/>
      <c r="Q472" s="264"/>
      <c r="R472" s="249"/>
      <c r="S472" s="250"/>
      <c r="T472" s="264"/>
      <c r="U472" s="249"/>
      <c r="V472" s="250"/>
      <c r="W472" s="264"/>
      <c r="X472" s="394"/>
      <c r="Y472" s="429"/>
      <c r="Z472" s="395"/>
      <c r="AA472" s="394"/>
      <c r="AB472" s="118" t="str">
        <f>IF(OR(ISBLANK($B472),ISBLANK($AA472)),"",IFERROR(IF($AA472&lt;=DATE('ESTADO CONTABLE'!$B$2,9,5),VLOOKUP($B472,COSTOS!$A$2:$B1014,2,FALSE)-150,VLOOKUP($B472,COSTOS!$A$2:$B1014,2,FALSE)),"No encontrado o error"))</f>
        <v/>
      </c>
      <c r="AC472" s="395"/>
      <c r="AD472" s="394"/>
      <c r="AE472" s="429" t="str">
        <f>IF(OR(ISBLANK($B472),ISBLANK($AD472)),"",IFERROR(IF($AD472&lt;=DATE('ESTADO CONTABLE'!$B$2,10,5),VLOOKUP($B472,COSTOS!$A$2:$B1014,2,FALSE)-150,VLOOKUP($B472,COSTOS!$A$2:$B1014,2,FALSE)),"No encontrado o error"))</f>
        <v/>
      </c>
      <c r="AF472" s="395"/>
      <c r="AG472" s="394"/>
      <c r="AH472" s="429" t="str">
        <f>IF(OR(ISBLANK($B472),ISBLANK($AG472)),"",IFERROR(IF($AG472&lt;=DATE('ESTADO CONTABLE'!$B$2,11,5),VLOOKUP($B472,COSTOS!$A$2:$B1014,2,FALSE)-150,VLOOKUP($B472,COSTOS!$A$2:$B1014,2,FALSE)),"No encontrado o error"))</f>
        <v/>
      </c>
      <c r="AI472" s="395"/>
      <c r="AJ472" s="394"/>
      <c r="AK472" s="429" t="str">
        <f>IF(OR(ISBLANK($B472),ISBLANK($AJ472)),"",IFERROR(IF($AJ472&lt;=DATE('ESTADO CONTABLE'!$B$2,12,5),VLOOKUP($B472,COSTOS!$A$2:$B1014,2,FALSE)-150,VLOOKUP($B472,COSTOS!$A$2:$B1014,2,FALSE)),"No encontrado o error"))</f>
        <v/>
      </c>
      <c r="AL472" s="395"/>
      <c r="AM472" s="254"/>
      <c r="AN472" s="255"/>
      <c r="AO472" s="256"/>
    </row>
    <row r="473" ht="22.5" customHeight="1">
      <c r="A473" s="431" t="str">
        <f>'BASE DE DATOSS'!A547</f>
        <v/>
      </c>
      <c r="B473" s="432" t="str">
        <f>'BASE DE DATOSS'!C547</f>
        <v/>
      </c>
      <c r="C473" s="263"/>
      <c r="D473" s="249"/>
      <c r="E473" s="250"/>
      <c r="F473" s="251"/>
      <c r="G473" s="262"/>
      <c r="H473" s="257"/>
      <c r="I473" s="249"/>
      <c r="J473" s="193" t="str">
        <f>IF(OR(ISBLANK($B473),ISBLANK($I473)),"",IFERROR(IF($I473&lt;=DATE('ESTADO CONTABLE'!$B$2,3,5),VLOOKUP($B473,COSTOS!$A$2:$B1014,2,FALSE)-150,VLOOKUP($B473,COSTOS!$A$2:$B1014,2,FALSE)),"No encontrado o error"))</f>
        <v/>
      </c>
      <c r="K473" s="264"/>
      <c r="L473" s="249"/>
      <c r="M473" s="189"/>
      <c r="N473" s="264"/>
      <c r="O473" s="249"/>
      <c r="P473" s="250"/>
      <c r="Q473" s="264"/>
      <c r="R473" s="249"/>
      <c r="S473" s="250"/>
      <c r="T473" s="264"/>
      <c r="U473" s="249"/>
      <c r="V473" s="250"/>
      <c r="W473" s="264"/>
      <c r="X473" s="394"/>
      <c r="Y473" s="429"/>
      <c r="Z473" s="395"/>
      <c r="AA473" s="394"/>
      <c r="AB473" s="118" t="str">
        <f>IF(OR(ISBLANK($B473),ISBLANK($AA473)),"",IFERROR(IF($AA473&lt;=DATE('ESTADO CONTABLE'!$B$2,9,5),VLOOKUP($B473,COSTOS!$A$2:$B1014,2,FALSE)-150,VLOOKUP($B473,COSTOS!$A$2:$B1014,2,FALSE)),"No encontrado o error"))</f>
        <v/>
      </c>
      <c r="AC473" s="395"/>
      <c r="AD473" s="394"/>
      <c r="AE473" s="429" t="str">
        <f>IF(OR(ISBLANK($B473),ISBLANK($AD473)),"",IFERROR(IF($AD473&lt;=DATE('ESTADO CONTABLE'!$B$2,10,5),VLOOKUP($B473,COSTOS!$A$2:$B1014,2,FALSE)-150,VLOOKUP($B473,COSTOS!$A$2:$B1014,2,FALSE)),"No encontrado o error"))</f>
        <v/>
      </c>
      <c r="AF473" s="395"/>
      <c r="AG473" s="394"/>
      <c r="AH473" s="429" t="str">
        <f>IF(OR(ISBLANK($B473),ISBLANK($AG473)),"",IFERROR(IF($AG473&lt;=DATE('ESTADO CONTABLE'!$B$2,11,5),VLOOKUP($B473,COSTOS!$A$2:$B1014,2,FALSE)-150,VLOOKUP($B473,COSTOS!$A$2:$B1014,2,FALSE)),"No encontrado o error"))</f>
        <v/>
      </c>
      <c r="AI473" s="395"/>
      <c r="AJ473" s="394"/>
      <c r="AK473" s="429" t="str">
        <f>IF(OR(ISBLANK($B473),ISBLANK($AJ473)),"",IFERROR(IF($AJ473&lt;=DATE('ESTADO CONTABLE'!$B$2,12,5),VLOOKUP($B473,COSTOS!$A$2:$B1014,2,FALSE)-150,VLOOKUP($B473,COSTOS!$A$2:$B1014,2,FALSE)),"No encontrado o error"))</f>
        <v/>
      </c>
      <c r="AL473" s="395"/>
      <c r="AM473" s="254"/>
      <c r="AN473" s="255"/>
      <c r="AO473" s="256"/>
    </row>
    <row r="474" ht="22.5" customHeight="1">
      <c r="A474" s="431" t="str">
        <f>'BASE DE DATOSS'!A548</f>
        <v/>
      </c>
      <c r="B474" s="432" t="str">
        <f>'BASE DE DATOSS'!C548</f>
        <v/>
      </c>
      <c r="C474" s="263"/>
      <c r="D474" s="249"/>
      <c r="E474" s="250"/>
      <c r="F474" s="251"/>
      <c r="G474" s="262"/>
      <c r="H474" s="257"/>
      <c r="I474" s="249"/>
      <c r="J474" s="193" t="str">
        <f>IF(OR(ISBLANK($B474),ISBLANK($I474)),"",IFERROR(IF($I474&lt;=DATE('ESTADO CONTABLE'!$B$2,3,5),VLOOKUP($B474,COSTOS!$A$2:$B1014,2,FALSE)-150,VLOOKUP($B474,COSTOS!$A$2:$B1014,2,FALSE)),"No encontrado o error"))</f>
        <v/>
      </c>
      <c r="K474" s="264"/>
      <c r="L474" s="249"/>
      <c r="M474" s="189"/>
      <c r="N474" s="264"/>
      <c r="O474" s="249"/>
      <c r="P474" s="250"/>
      <c r="Q474" s="264"/>
      <c r="R474" s="249"/>
      <c r="S474" s="250"/>
      <c r="T474" s="264"/>
      <c r="U474" s="249"/>
      <c r="V474" s="250"/>
      <c r="W474" s="264"/>
      <c r="X474" s="394"/>
      <c r="Y474" s="429"/>
      <c r="Z474" s="395"/>
      <c r="AA474" s="394"/>
      <c r="AB474" s="118" t="str">
        <f>IF(OR(ISBLANK($B474),ISBLANK($AA474)),"",IFERROR(IF($AA474&lt;=DATE('ESTADO CONTABLE'!$B$2,9,5),VLOOKUP($B474,COSTOS!$A$2:$B1014,2,FALSE)-150,VLOOKUP($B474,COSTOS!$A$2:$B1014,2,FALSE)),"No encontrado o error"))</f>
        <v/>
      </c>
      <c r="AC474" s="395"/>
      <c r="AD474" s="394"/>
      <c r="AE474" s="429" t="str">
        <f>IF(OR(ISBLANK($B474),ISBLANK($AD474)),"",IFERROR(IF($AD474&lt;=DATE('ESTADO CONTABLE'!$B$2,10,5),VLOOKUP($B474,COSTOS!$A$2:$B1014,2,FALSE)-150,VLOOKUP($B474,COSTOS!$A$2:$B1014,2,FALSE)),"No encontrado o error"))</f>
        <v/>
      </c>
      <c r="AF474" s="395"/>
      <c r="AG474" s="394"/>
      <c r="AH474" s="429" t="str">
        <f>IF(OR(ISBLANK($B474),ISBLANK($AG474)),"",IFERROR(IF($AG474&lt;=DATE('ESTADO CONTABLE'!$B$2,11,5),VLOOKUP($B474,COSTOS!$A$2:$B1014,2,FALSE)-150,VLOOKUP($B474,COSTOS!$A$2:$B1014,2,FALSE)),"No encontrado o error"))</f>
        <v/>
      </c>
      <c r="AI474" s="395"/>
      <c r="AJ474" s="394"/>
      <c r="AK474" s="429" t="str">
        <f>IF(OR(ISBLANK($B474),ISBLANK($AJ474)),"",IFERROR(IF($AJ474&lt;=DATE('ESTADO CONTABLE'!$B$2,12,5),VLOOKUP($B474,COSTOS!$A$2:$B1014,2,FALSE)-150,VLOOKUP($B474,COSTOS!$A$2:$B1014,2,FALSE)),"No encontrado o error"))</f>
        <v/>
      </c>
      <c r="AL474" s="395"/>
      <c r="AM474" s="254"/>
      <c r="AN474" s="255"/>
      <c r="AO474" s="256"/>
    </row>
    <row r="475" ht="22.5" customHeight="1">
      <c r="A475" s="431" t="str">
        <f>'BASE DE DATOSS'!A549</f>
        <v/>
      </c>
      <c r="B475" s="432" t="str">
        <f>'BASE DE DATOSS'!C549</f>
        <v/>
      </c>
      <c r="C475" s="263"/>
      <c r="D475" s="249"/>
      <c r="E475" s="250"/>
      <c r="F475" s="251"/>
      <c r="G475" s="262"/>
      <c r="H475" s="257"/>
      <c r="I475" s="249"/>
      <c r="J475" s="193" t="str">
        <f>IF(OR(ISBLANK($B475),ISBLANK($I475)),"",IFERROR(IF($I475&lt;=DATE('ESTADO CONTABLE'!$B$2,3,5),VLOOKUP($B475,COSTOS!$A$2:$B1014,2,FALSE)-150,VLOOKUP($B475,COSTOS!$A$2:$B1014,2,FALSE)),"No encontrado o error"))</f>
        <v/>
      </c>
      <c r="K475" s="264"/>
      <c r="L475" s="249"/>
      <c r="M475" s="189"/>
      <c r="N475" s="264"/>
      <c r="O475" s="249"/>
      <c r="P475" s="250"/>
      <c r="Q475" s="264"/>
      <c r="R475" s="249"/>
      <c r="S475" s="250"/>
      <c r="T475" s="264"/>
      <c r="U475" s="249"/>
      <c r="V475" s="250"/>
      <c r="W475" s="264"/>
      <c r="X475" s="394"/>
      <c r="Y475" s="429"/>
      <c r="Z475" s="395"/>
      <c r="AA475" s="394"/>
      <c r="AB475" s="118" t="str">
        <f>IF(OR(ISBLANK($B475),ISBLANK($AA475)),"",IFERROR(IF($AA475&lt;=DATE('ESTADO CONTABLE'!$B$2,9,5),VLOOKUP($B475,COSTOS!$A$2:$B1014,2,FALSE)-150,VLOOKUP($B475,COSTOS!$A$2:$B1014,2,FALSE)),"No encontrado o error"))</f>
        <v/>
      </c>
      <c r="AC475" s="395"/>
      <c r="AD475" s="394"/>
      <c r="AE475" s="429" t="str">
        <f>IF(OR(ISBLANK($B475),ISBLANK($AD475)),"",IFERROR(IF($AD475&lt;=DATE('ESTADO CONTABLE'!$B$2,10,5),VLOOKUP($B475,COSTOS!$A$2:$B1014,2,FALSE)-150,VLOOKUP($B475,COSTOS!$A$2:$B1014,2,FALSE)),"No encontrado o error"))</f>
        <v/>
      </c>
      <c r="AF475" s="395"/>
      <c r="AG475" s="394"/>
      <c r="AH475" s="429" t="str">
        <f>IF(OR(ISBLANK($B475),ISBLANK($AG475)),"",IFERROR(IF($AG475&lt;=DATE('ESTADO CONTABLE'!$B$2,11,5),VLOOKUP($B475,COSTOS!$A$2:$B1014,2,FALSE)-150,VLOOKUP($B475,COSTOS!$A$2:$B1014,2,FALSE)),"No encontrado o error"))</f>
        <v/>
      </c>
      <c r="AI475" s="395"/>
      <c r="AJ475" s="394"/>
      <c r="AK475" s="429" t="str">
        <f>IF(OR(ISBLANK($B475),ISBLANK($AJ475)),"",IFERROR(IF($AJ475&lt;=DATE('ESTADO CONTABLE'!$B$2,12,5),VLOOKUP($B475,COSTOS!$A$2:$B1014,2,FALSE)-150,VLOOKUP($B475,COSTOS!$A$2:$B1014,2,FALSE)),"No encontrado o error"))</f>
        <v/>
      </c>
      <c r="AL475" s="395"/>
      <c r="AM475" s="254"/>
      <c r="AN475" s="255"/>
      <c r="AO475" s="256"/>
    </row>
    <row r="476" ht="22.5" customHeight="1">
      <c r="A476" s="431" t="str">
        <f>'BASE DE DATOSS'!A550</f>
        <v/>
      </c>
      <c r="B476" s="432" t="str">
        <f>'BASE DE DATOSS'!C550</f>
        <v/>
      </c>
      <c r="C476" s="263"/>
      <c r="D476" s="249"/>
      <c r="E476" s="250"/>
      <c r="F476" s="251"/>
      <c r="G476" s="262"/>
      <c r="H476" s="257"/>
      <c r="I476" s="249"/>
      <c r="J476" s="193" t="str">
        <f>IF(OR(ISBLANK($B476),ISBLANK($I476)),"",IFERROR(IF($I476&lt;=DATE('ESTADO CONTABLE'!$B$2,3,5),VLOOKUP($B476,COSTOS!$A$2:$B1014,2,FALSE)-150,VLOOKUP($B476,COSTOS!$A$2:$B1014,2,FALSE)),"No encontrado o error"))</f>
        <v/>
      </c>
      <c r="K476" s="264"/>
      <c r="L476" s="249"/>
      <c r="M476" s="189"/>
      <c r="N476" s="264"/>
      <c r="O476" s="249"/>
      <c r="P476" s="250"/>
      <c r="Q476" s="264"/>
      <c r="R476" s="249"/>
      <c r="S476" s="250"/>
      <c r="T476" s="264"/>
      <c r="U476" s="249"/>
      <c r="V476" s="250"/>
      <c r="W476" s="264"/>
      <c r="X476" s="394"/>
      <c r="Y476" s="429"/>
      <c r="Z476" s="395"/>
      <c r="AA476" s="394"/>
      <c r="AB476" s="118" t="str">
        <f>IF(OR(ISBLANK($B476),ISBLANK($AA476)),"",IFERROR(IF($AA476&lt;=DATE('ESTADO CONTABLE'!$B$2,9,5),VLOOKUP($B476,COSTOS!$A$2:$B1014,2,FALSE)-150,VLOOKUP($B476,COSTOS!$A$2:$B1014,2,FALSE)),"No encontrado o error"))</f>
        <v/>
      </c>
      <c r="AC476" s="395"/>
      <c r="AD476" s="394"/>
      <c r="AE476" s="429" t="str">
        <f>IF(OR(ISBLANK($B476),ISBLANK($AD476)),"",IFERROR(IF($AD476&lt;=DATE('ESTADO CONTABLE'!$B$2,10,5),VLOOKUP($B476,COSTOS!$A$2:$B1014,2,FALSE)-150,VLOOKUP($B476,COSTOS!$A$2:$B1014,2,FALSE)),"No encontrado o error"))</f>
        <v/>
      </c>
      <c r="AF476" s="395"/>
      <c r="AG476" s="394"/>
      <c r="AH476" s="429" t="str">
        <f>IF(OR(ISBLANK($B476),ISBLANK($AG476)),"",IFERROR(IF($AG476&lt;=DATE('ESTADO CONTABLE'!$B$2,11,5),VLOOKUP($B476,COSTOS!$A$2:$B1014,2,FALSE)-150,VLOOKUP($B476,COSTOS!$A$2:$B1014,2,FALSE)),"No encontrado o error"))</f>
        <v/>
      </c>
      <c r="AI476" s="395"/>
      <c r="AJ476" s="394"/>
      <c r="AK476" s="429" t="str">
        <f>IF(OR(ISBLANK($B476),ISBLANK($AJ476)),"",IFERROR(IF($AJ476&lt;=DATE('ESTADO CONTABLE'!$B$2,12,5),VLOOKUP($B476,COSTOS!$A$2:$B1014,2,FALSE)-150,VLOOKUP($B476,COSTOS!$A$2:$B1014,2,FALSE)),"No encontrado o error"))</f>
        <v/>
      </c>
      <c r="AL476" s="395"/>
      <c r="AM476" s="254"/>
      <c r="AN476" s="255"/>
      <c r="AO476" s="256"/>
    </row>
    <row r="477" ht="22.5" customHeight="1">
      <c r="A477" s="431" t="str">
        <f>'BASE DE DATOSS'!A551</f>
        <v/>
      </c>
      <c r="B477" s="432" t="str">
        <f>'BASE DE DATOSS'!C551</f>
        <v/>
      </c>
      <c r="C477" s="263"/>
      <c r="D477" s="249"/>
      <c r="E477" s="250"/>
      <c r="F477" s="251"/>
      <c r="G477" s="262"/>
      <c r="H477" s="257"/>
      <c r="I477" s="249"/>
      <c r="J477" s="193" t="str">
        <f>IF(OR(ISBLANK($B477),ISBLANK($I477)),"",IFERROR(IF($I477&lt;=DATE('ESTADO CONTABLE'!$B$2,3,5),VLOOKUP($B477,COSTOS!$A$2:$B1014,2,FALSE)-150,VLOOKUP($B477,COSTOS!$A$2:$B1014,2,FALSE)),"No encontrado o error"))</f>
        <v/>
      </c>
      <c r="K477" s="264"/>
      <c r="L477" s="249"/>
      <c r="M477" s="189"/>
      <c r="N477" s="264"/>
      <c r="O477" s="249"/>
      <c r="P477" s="250"/>
      <c r="Q477" s="264"/>
      <c r="R477" s="249"/>
      <c r="S477" s="250"/>
      <c r="T477" s="264"/>
      <c r="U477" s="249"/>
      <c r="V477" s="250"/>
      <c r="W477" s="264"/>
      <c r="X477" s="394"/>
      <c r="Y477" s="429"/>
      <c r="Z477" s="395"/>
      <c r="AA477" s="394"/>
      <c r="AB477" s="118" t="str">
        <f>IF(OR(ISBLANK($B477),ISBLANK($AA477)),"",IFERROR(IF($AA477&lt;=DATE('ESTADO CONTABLE'!$B$2,9,5),VLOOKUP($B477,COSTOS!$A$2:$B1014,2,FALSE)-150,VLOOKUP($B477,COSTOS!$A$2:$B1014,2,FALSE)),"No encontrado o error"))</f>
        <v/>
      </c>
      <c r="AC477" s="395"/>
      <c r="AD477" s="394"/>
      <c r="AE477" s="429" t="str">
        <f>IF(OR(ISBLANK($B477),ISBLANK($AD477)),"",IFERROR(IF($AD477&lt;=DATE('ESTADO CONTABLE'!$B$2,10,5),VLOOKUP($B477,COSTOS!$A$2:$B1014,2,FALSE)-150,VLOOKUP($B477,COSTOS!$A$2:$B1014,2,FALSE)),"No encontrado o error"))</f>
        <v/>
      </c>
      <c r="AF477" s="395"/>
      <c r="AG477" s="394"/>
      <c r="AH477" s="429" t="str">
        <f>IF(OR(ISBLANK($B477),ISBLANK($AG477)),"",IFERROR(IF($AG477&lt;=DATE('ESTADO CONTABLE'!$B$2,11,5),VLOOKUP($B477,COSTOS!$A$2:$B1014,2,FALSE)-150,VLOOKUP($B477,COSTOS!$A$2:$B1014,2,FALSE)),"No encontrado o error"))</f>
        <v/>
      </c>
      <c r="AI477" s="395"/>
      <c r="AJ477" s="394"/>
      <c r="AK477" s="429" t="str">
        <f>IF(OR(ISBLANK($B477),ISBLANK($AJ477)),"",IFERROR(IF($AJ477&lt;=DATE('ESTADO CONTABLE'!$B$2,12,5),VLOOKUP($B477,COSTOS!$A$2:$B1014,2,FALSE)-150,VLOOKUP($B477,COSTOS!$A$2:$B1014,2,FALSE)),"No encontrado o error"))</f>
        <v/>
      </c>
      <c r="AL477" s="395"/>
      <c r="AM477" s="254"/>
      <c r="AN477" s="255"/>
      <c r="AO477" s="256"/>
    </row>
    <row r="478" ht="22.5" customHeight="1">
      <c r="A478" s="431" t="str">
        <f>'BASE DE DATOSS'!A552</f>
        <v/>
      </c>
      <c r="B478" s="432" t="str">
        <f>'BASE DE DATOSS'!C552</f>
        <v/>
      </c>
      <c r="C478" s="263"/>
      <c r="D478" s="249"/>
      <c r="E478" s="250"/>
      <c r="F478" s="251"/>
      <c r="G478" s="262"/>
      <c r="H478" s="257"/>
      <c r="I478" s="249"/>
      <c r="J478" s="193" t="str">
        <f>IF(OR(ISBLANK($B478),ISBLANK($I478)),"",IFERROR(IF($I478&lt;=DATE('ESTADO CONTABLE'!$B$2,3,5),VLOOKUP($B478,COSTOS!$A$2:$B1014,2,FALSE)-150,VLOOKUP($B478,COSTOS!$A$2:$B1014,2,FALSE)),"No encontrado o error"))</f>
        <v/>
      </c>
      <c r="K478" s="264"/>
      <c r="L478" s="249"/>
      <c r="M478" s="189"/>
      <c r="N478" s="264"/>
      <c r="O478" s="249"/>
      <c r="P478" s="250"/>
      <c r="Q478" s="264"/>
      <c r="R478" s="249"/>
      <c r="S478" s="250"/>
      <c r="T478" s="264"/>
      <c r="U478" s="249"/>
      <c r="V478" s="250"/>
      <c r="W478" s="264"/>
      <c r="X478" s="394"/>
      <c r="Y478" s="429"/>
      <c r="Z478" s="395"/>
      <c r="AA478" s="394"/>
      <c r="AB478" s="118" t="str">
        <f>IF(OR(ISBLANK($B478),ISBLANK($AA478)),"",IFERROR(IF($AA478&lt;=DATE('ESTADO CONTABLE'!$B$2,9,5),VLOOKUP($B478,COSTOS!$A$2:$B1014,2,FALSE)-150,VLOOKUP($B478,COSTOS!$A$2:$B1014,2,FALSE)),"No encontrado o error"))</f>
        <v/>
      </c>
      <c r="AC478" s="395"/>
      <c r="AD478" s="394"/>
      <c r="AE478" s="429" t="str">
        <f>IF(OR(ISBLANK($B478),ISBLANK($AD478)),"",IFERROR(IF($AD478&lt;=DATE('ESTADO CONTABLE'!$B$2,10,5),VLOOKUP($B478,COSTOS!$A$2:$B1014,2,FALSE)-150,VLOOKUP($B478,COSTOS!$A$2:$B1014,2,FALSE)),"No encontrado o error"))</f>
        <v/>
      </c>
      <c r="AF478" s="395"/>
      <c r="AG478" s="394"/>
      <c r="AH478" s="429" t="str">
        <f>IF(OR(ISBLANK($B478),ISBLANK($AG478)),"",IFERROR(IF($AG478&lt;=DATE('ESTADO CONTABLE'!$B$2,11,5),VLOOKUP($B478,COSTOS!$A$2:$B1014,2,FALSE)-150,VLOOKUP($B478,COSTOS!$A$2:$B1014,2,FALSE)),"No encontrado o error"))</f>
        <v/>
      </c>
      <c r="AI478" s="395"/>
      <c r="AJ478" s="394"/>
      <c r="AK478" s="429" t="str">
        <f>IF(OR(ISBLANK($B478),ISBLANK($AJ478)),"",IFERROR(IF($AJ478&lt;=DATE('ESTADO CONTABLE'!$B$2,12,5),VLOOKUP($B478,COSTOS!$A$2:$B1014,2,FALSE)-150,VLOOKUP($B478,COSTOS!$A$2:$B1014,2,FALSE)),"No encontrado o error"))</f>
        <v/>
      </c>
      <c r="AL478" s="395"/>
      <c r="AM478" s="254"/>
      <c r="AN478" s="255"/>
      <c r="AO478" s="256"/>
    </row>
    <row r="479" ht="22.5" customHeight="1">
      <c r="A479" s="431" t="str">
        <f>'BASE DE DATOSS'!A553</f>
        <v/>
      </c>
      <c r="B479" s="432" t="str">
        <f>'BASE DE DATOSS'!C553</f>
        <v/>
      </c>
      <c r="C479" s="263"/>
      <c r="D479" s="249"/>
      <c r="E479" s="250"/>
      <c r="F479" s="251"/>
      <c r="G479" s="262"/>
      <c r="H479" s="257"/>
      <c r="I479" s="249"/>
      <c r="J479" s="193" t="str">
        <f>IF(OR(ISBLANK($B479),ISBLANK($I479)),"",IFERROR(IF($I479&lt;=DATE('ESTADO CONTABLE'!$B$2,3,5),VLOOKUP($B479,COSTOS!$A$2:$B1014,2,FALSE)-150,VLOOKUP($B479,COSTOS!$A$2:$B1014,2,FALSE)),"No encontrado o error"))</f>
        <v/>
      </c>
      <c r="K479" s="264"/>
      <c r="L479" s="249"/>
      <c r="M479" s="189"/>
      <c r="N479" s="264"/>
      <c r="O479" s="249"/>
      <c r="P479" s="250"/>
      <c r="Q479" s="264"/>
      <c r="R479" s="249"/>
      <c r="S479" s="250"/>
      <c r="T479" s="264"/>
      <c r="U479" s="249"/>
      <c r="V479" s="250"/>
      <c r="W479" s="264"/>
      <c r="X479" s="394"/>
      <c r="Y479" s="429"/>
      <c r="Z479" s="395"/>
      <c r="AA479" s="394"/>
      <c r="AB479" s="118" t="str">
        <f>IF(OR(ISBLANK($B479),ISBLANK($AA479)),"",IFERROR(IF($AA479&lt;=DATE('ESTADO CONTABLE'!$B$2,9,5),VLOOKUP($B479,COSTOS!$A$2:$B1014,2,FALSE)-150,VLOOKUP($B479,COSTOS!$A$2:$B1014,2,FALSE)),"No encontrado o error"))</f>
        <v/>
      </c>
      <c r="AC479" s="395"/>
      <c r="AD479" s="394"/>
      <c r="AE479" s="429" t="str">
        <f>IF(OR(ISBLANK($B479),ISBLANK($AD479)),"",IFERROR(IF($AD479&lt;=DATE('ESTADO CONTABLE'!$B$2,10,5),VLOOKUP($B479,COSTOS!$A$2:$B1014,2,FALSE)-150,VLOOKUP($B479,COSTOS!$A$2:$B1014,2,FALSE)),"No encontrado o error"))</f>
        <v/>
      </c>
      <c r="AF479" s="395"/>
      <c r="AG479" s="394"/>
      <c r="AH479" s="429" t="str">
        <f>IF(OR(ISBLANK($B479),ISBLANK($AG479)),"",IFERROR(IF($AG479&lt;=DATE('ESTADO CONTABLE'!$B$2,11,5),VLOOKUP($B479,COSTOS!$A$2:$B1014,2,FALSE)-150,VLOOKUP($B479,COSTOS!$A$2:$B1014,2,FALSE)),"No encontrado o error"))</f>
        <v/>
      </c>
      <c r="AI479" s="395"/>
      <c r="AJ479" s="394"/>
      <c r="AK479" s="429" t="str">
        <f>IF(OR(ISBLANK($B479),ISBLANK($AJ479)),"",IFERROR(IF($AJ479&lt;=DATE('ESTADO CONTABLE'!$B$2,12,5),VLOOKUP($B479,COSTOS!$A$2:$B1014,2,FALSE)-150,VLOOKUP($B479,COSTOS!$A$2:$B1014,2,FALSE)),"No encontrado o error"))</f>
        <v/>
      </c>
      <c r="AL479" s="395"/>
      <c r="AM479" s="254"/>
      <c r="AN479" s="255"/>
      <c r="AO479" s="256"/>
    </row>
    <row r="480" ht="22.5" customHeight="1">
      <c r="A480" s="431" t="str">
        <f>'BASE DE DATOSS'!A554</f>
        <v/>
      </c>
      <c r="B480" s="432" t="str">
        <f>'BASE DE DATOSS'!C554</f>
        <v/>
      </c>
      <c r="C480" s="263"/>
      <c r="D480" s="249"/>
      <c r="E480" s="250"/>
      <c r="F480" s="251"/>
      <c r="G480" s="262"/>
      <c r="H480" s="257"/>
      <c r="I480" s="249"/>
      <c r="J480" s="193" t="str">
        <f>IF(OR(ISBLANK($B480),ISBLANK($I480)),"",IFERROR(IF($I480&lt;=DATE('ESTADO CONTABLE'!$B$2,3,5),VLOOKUP($B480,COSTOS!$A$2:$B1014,2,FALSE)-150,VLOOKUP($B480,COSTOS!$A$2:$B1014,2,FALSE)),"No encontrado o error"))</f>
        <v/>
      </c>
      <c r="K480" s="264"/>
      <c r="L480" s="249"/>
      <c r="M480" s="189"/>
      <c r="N480" s="264"/>
      <c r="O480" s="249"/>
      <c r="P480" s="250"/>
      <c r="Q480" s="264"/>
      <c r="R480" s="249"/>
      <c r="S480" s="250"/>
      <c r="T480" s="264"/>
      <c r="U480" s="249"/>
      <c r="V480" s="250"/>
      <c r="W480" s="264"/>
      <c r="X480" s="394"/>
      <c r="Y480" s="429"/>
      <c r="Z480" s="395"/>
      <c r="AA480" s="394"/>
      <c r="AB480" s="118" t="str">
        <f>IF(OR(ISBLANK($B480),ISBLANK($AA480)),"",IFERROR(IF($AA480&lt;=DATE('ESTADO CONTABLE'!$B$2,9,5),VLOOKUP($B480,COSTOS!$A$2:$B1014,2,FALSE)-150,VLOOKUP($B480,COSTOS!$A$2:$B1014,2,FALSE)),"No encontrado o error"))</f>
        <v/>
      </c>
      <c r="AC480" s="395"/>
      <c r="AD480" s="394"/>
      <c r="AE480" s="429" t="str">
        <f>IF(OR(ISBLANK($B480),ISBLANK($AD480)),"",IFERROR(IF($AD480&lt;=DATE('ESTADO CONTABLE'!$B$2,10,5),VLOOKUP($B480,COSTOS!$A$2:$B1014,2,FALSE)-150,VLOOKUP($B480,COSTOS!$A$2:$B1014,2,FALSE)),"No encontrado o error"))</f>
        <v/>
      </c>
      <c r="AF480" s="395"/>
      <c r="AG480" s="394"/>
      <c r="AH480" s="429" t="str">
        <f>IF(OR(ISBLANK($B480),ISBLANK($AG480)),"",IFERROR(IF($AG480&lt;=DATE('ESTADO CONTABLE'!$B$2,11,5),VLOOKUP($B480,COSTOS!$A$2:$B1014,2,FALSE)-150,VLOOKUP($B480,COSTOS!$A$2:$B1014,2,FALSE)),"No encontrado o error"))</f>
        <v/>
      </c>
      <c r="AI480" s="395"/>
      <c r="AJ480" s="394"/>
      <c r="AK480" s="429" t="str">
        <f>IF(OR(ISBLANK($B480),ISBLANK($AJ480)),"",IFERROR(IF($AJ480&lt;=DATE('ESTADO CONTABLE'!$B$2,12,5),VLOOKUP($B480,COSTOS!$A$2:$B1014,2,FALSE)-150,VLOOKUP($B480,COSTOS!$A$2:$B1014,2,FALSE)),"No encontrado o error"))</f>
        <v/>
      </c>
      <c r="AL480" s="395"/>
      <c r="AM480" s="254"/>
      <c r="AN480" s="255"/>
      <c r="AO480" s="256"/>
    </row>
    <row r="481" ht="22.5" customHeight="1">
      <c r="A481" s="431" t="str">
        <f>'BASE DE DATOSS'!A555</f>
        <v/>
      </c>
      <c r="B481" s="432" t="str">
        <f>'BASE DE DATOSS'!C555</f>
        <v/>
      </c>
      <c r="C481" s="263"/>
      <c r="D481" s="249"/>
      <c r="E481" s="250"/>
      <c r="F481" s="251"/>
      <c r="G481" s="262"/>
      <c r="H481" s="257"/>
      <c r="I481" s="249"/>
      <c r="J481" s="193" t="str">
        <f>IF(OR(ISBLANK($B481),ISBLANK($I481)),"",IFERROR(IF($I481&lt;=DATE('ESTADO CONTABLE'!$B$2,3,5),VLOOKUP($B481,COSTOS!$A$2:$B1014,2,FALSE)-150,VLOOKUP($B481,COSTOS!$A$2:$B1014,2,FALSE)),"No encontrado o error"))</f>
        <v/>
      </c>
      <c r="K481" s="264"/>
      <c r="L481" s="249"/>
      <c r="M481" s="189"/>
      <c r="N481" s="264"/>
      <c r="O481" s="249"/>
      <c r="P481" s="250"/>
      <c r="Q481" s="264"/>
      <c r="R481" s="249"/>
      <c r="S481" s="250"/>
      <c r="T481" s="264"/>
      <c r="U481" s="249"/>
      <c r="V481" s="250"/>
      <c r="W481" s="264"/>
      <c r="X481" s="394"/>
      <c r="Y481" s="429"/>
      <c r="Z481" s="395"/>
      <c r="AA481" s="394"/>
      <c r="AB481" s="118" t="str">
        <f>IF(OR(ISBLANK($B481),ISBLANK($AA481)),"",IFERROR(IF($AA481&lt;=DATE('ESTADO CONTABLE'!$B$2,9,5),VLOOKUP($B481,COSTOS!$A$2:$B1014,2,FALSE)-150,VLOOKUP($B481,COSTOS!$A$2:$B1014,2,FALSE)),"No encontrado o error"))</f>
        <v/>
      </c>
      <c r="AC481" s="395"/>
      <c r="AD481" s="394"/>
      <c r="AE481" s="429" t="str">
        <f>IF(OR(ISBLANK($B481),ISBLANK($AD481)),"",IFERROR(IF($AD481&lt;=DATE('ESTADO CONTABLE'!$B$2,10,5),VLOOKUP($B481,COSTOS!$A$2:$B1014,2,FALSE)-150,VLOOKUP($B481,COSTOS!$A$2:$B1014,2,FALSE)),"No encontrado o error"))</f>
        <v/>
      </c>
      <c r="AF481" s="395"/>
      <c r="AG481" s="394"/>
      <c r="AH481" s="429" t="str">
        <f>IF(OR(ISBLANK($B481),ISBLANK($AG481)),"",IFERROR(IF($AG481&lt;=DATE('ESTADO CONTABLE'!$B$2,11,5),VLOOKUP($B481,COSTOS!$A$2:$B1014,2,FALSE)-150,VLOOKUP($B481,COSTOS!$A$2:$B1014,2,FALSE)),"No encontrado o error"))</f>
        <v/>
      </c>
      <c r="AI481" s="395"/>
      <c r="AJ481" s="394"/>
      <c r="AK481" s="429" t="str">
        <f>IF(OR(ISBLANK($B481),ISBLANK($AJ481)),"",IFERROR(IF($AJ481&lt;=DATE('ESTADO CONTABLE'!$B$2,12,5),VLOOKUP($B481,COSTOS!$A$2:$B1014,2,FALSE)-150,VLOOKUP($B481,COSTOS!$A$2:$B1014,2,FALSE)),"No encontrado o error"))</f>
        <v/>
      </c>
      <c r="AL481" s="395"/>
      <c r="AM481" s="254"/>
      <c r="AN481" s="255"/>
      <c r="AO481" s="256"/>
    </row>
    <row r="482" ht="22.5" customHeight="1">
      <c r="A482" s="431" t="str">
        <f>'BASE DE DATOSS'!A556</f>
        <v/>
      </c>
      <c r="B482" s="432" t="str">
        <f>'BASE DE DATOSS'!C556</f>
        <v/>
      </c>
      <c r="C482" s="263"/>
      <c r="D482" s="249"/>
      <c r="E482" s="250"/>
      <c r="F482" s="251"/>
      <c r="G482" s="262"/>
      <c r="H482" s="257"/>
      <c r="I482" s="249"/>
      <c r="J482" s="193" t="str">
        <f>IF(OR(ISBLANK($B482),ISBLANK($I482)),"",IFERROR(IF($I482&lt;=DATE('ESTADO CONTABLE'!$B$2,3,5),VLOOKUP($B482,COSTOS!$A$2:$B1014,2,FALSE)-150,VLOOKUP($B482,COSTOS!$A$2:$B1014,2,FALSE)),"No encontrado o error"))</f>
        <v/>
      </c>
      <c r="K482" s="264"/>
      <c r="L482" s="249"/>
      <c r="M482" s="189"/>
      <c r="N482" s="264"/>
      <c r="O482" s="249"/>
      <c r="P482" s="250"/>
      <c r="Q482" s="264"/>
      <c r="R482" s="249"/>
      <c r="S482" s="250"/>
      <c r="T482" s="264"/>
      <c r="U482" s="249"/>
      <c r="V482" s="250"/>
      <c r="W482" s="264"/>
      <c r="X482" s="394"/>
      <c r="Y482" s="429"/>
      <c r="Z482" s="395"/>
      <c r="AA482" s="394"/>
      <c r="AB482" s="118" t="str">
        <f>IF(OR(ISBLANK($B482),ISBLANK($AA482)),"",IFERROR(IF($AA482&lt;=DATE('ESTADO CONTABLE'!$B$2,9,5),VLOOKUP($B482,COSTOS!$A$2:$B1014,2,FALSE)-150,VLOOKUP($B482,COSTOS!$A$2:$B1014,2,FALSE)),"No encontrado o error"))</f>
        <v/>
      </c>
      <c r="AC482" s="395"/>
      <c r="AD482" s="394"/>
      <c r="AE482" s="429" t="str">
        <f>IF(OR(ISBLANK($B482),ISBLANK($AD482)),"",IFERROR(IF($AD482&lt;=DATE('ESTADO CONTABLE'!$B$2,10,5),VLOOKUP($B482,COSTOS!$A$2:$B1014,2,FALSE)-150,VLOOKUP($B482,COSTOS!$A$2:$B1014,2,FALSE)),"No encontrado o error"))</f>
        <v/>
      </c>
      <c r="AF482" s="395"/>
      <c r="AG482" s="394"/>
      <c r="AH482" s="429" t="str">
        <f>IF(OR(ISBLANK($B482),ISBLANK($AG482)),"",IFERROR(IF($AG482&lt;=DATE('ESTADO CONTABLE'!$B$2,11,5),VLOOKUP($B482,COSTOS!$A$2:$B1014,2,FALSE)-150,VLOOKUP($B482,COSTOS!$A$2:$B1014,2,FALSE)),"No encontrado o error"))</f>
        <v/>
      </c>
      <c r="AI482" s="395"/>
      <c r="AJ482" s="394"/>
      <c r="AK482" s="429" t="str">
        <f>IF(OR(ISBLANK($B482),ISBLANK($AJ482)),"",IFERROR(IF($AJ482&lt;=DATE('ESTADO CONTABLE'!$B$2,12,5),VLOOKUP($B482,COSTOS!$A$2:$B1014,2,FALSE)-150,VLOOKUP($B482,COSTOS!$A$2:$B1014,2,FALSE)),"No encontrado o error"))</f>
        <v/>
      </c>
      <c r="AL482" s="395"/>
      <c r="AM482" s="254"/>
      <c r="AN482" s="255"/>
      <c r="AO482" s="256"/>
    </row>
    <row r="483" ht="22.5" customHeight="1">
      <c r="A483" s="431" t="str">
        <f>'BASE DE DATOSS'!A557</f>
        <v/>
      </c>
      <c r="B483" s="432" t="str">
        <f>'BASE DE DATOSS'!C557</f>
        <v/>
      </c>
      <c r="C483" s="263"/>
      <c r="D483" s="249"/>
      <c r="E483" s="250"/>
      <c r="F483" s="251"/>
      <c r="G483" s="262"/>
      <c r="H483" s="257"/>
      <c r="I483" s="249"/>
      <c r="J483" s="193" t="str">
        <f>IF(OR(ISBLANK($B483),ISBLANK($I483)),"",IFERROR(IF($I483&lt;=DATE('ESTADO CONTABLE'!$B$2,3,5),VLOOKUP($B483,COSTOS!$A$2:$B1014,2,FALSE)-150,VLOOKUP($B483,COSTOS!$A$2:$B1014,2,FALSE)),"No encontrado o error"))</f>
        <v/>
      </c>
      <c r="K483" s="264"/>
      <c r="L483" s="249"/>
      <c r="M483" s="189"/>
      <c r="N483" s="264"/>
      <c r="O483" s="249"/>
      <c r="P483" s="250"/>
      <c r="Q483" s="264"/>
      <c r="R483" s="249"/>
      <c r="S483" s="250"/>
      <c r="T483" s="264"/>
      <c r="U483" s="249"/>
      <c r="V483" s="250"/>
      <c r="W483" s="264"/>
      <c r="X483" s="394"/>
      <c r="Y483" s="429"/>
      <c r="Z483" s="395"/>
      <c r="AA483" s="394"/>
      <c r="AB483" s="118" t="str">
        <f>IF(OR(ISBLANK($B483),ISBLANK($AA483)),"",IFERROR(IF($AA483&lt;=DATE('ESTADO CONTABLE'!$B$2,9,5),VLOOKUP($B483,COSTOS!$A$2:$B1014,2,FALSE)-150,VLOOKUP($B483,COSTOS!$A$2:$B1014,2,FALSE)),"No encontrado o error"))</f>
        <v/>
      </c>
      <c r="AC483" s="395"/>
      <c r="AD483" s="394"/>
      <c r="AE483" s="429" t="str">
        <f>IF(OR(ISBLANK($B483),ISBLANK($AD483)),"",IFERROR(IF($AD483&lt;=DATE('ESTADO CONTABLE'!$B$2,10,5),VLOOKUP($B483,COSTOS!$A$2:$B1014,2,FALSE)-150,VLOOKUP($B483,COSTOS!$A$2:$B1014,2,FALSE)),"No encontrado o error"))</f>
        <v/>
      </c>
      <c r="AF483" s="395"/>
      <c r="AG483" s="394"/>
      <c r="AH483" s="429" t="str">
        <f>IF(OR(ISBLANK($B483),ISBLANK($AG483)),"",IFERROR(IF($AG483&lt;=DATE('ESTADO CONTABLE'!$B$2,11,5),VLOOKUP($B483,COSTOS!$A$2:$B1014,2,FALSE)-150,VLOOKUP($B483,COSTOS!$A$2:$B1014,2,FALSE)),"No encontrado o error"))</f>
        <v/>
      </c>
      <c r="AI483" s="395"/>
      <c r="AJ483" s="394"/>
      <c r="AK483" s="429" t="str">
        <f>IF(OR(ISBLANK($B483),ISBLANK($AJ483)),"",IFERROR(IF($AJ483&lt;=DATE('ESTADO CONTABLE'!$B$2,12,5),VLOOKUP($B483,COSTOS!$A$2:$B1014,2,FALSE)-150,VLOOKUP($B483,COSTOS!$A$2:$B1014,2,FALSE)),"No encontrado o error"))</f>
        <v/>
      </c>
      <c r="AL483" s="395"/>
      <c r="AM483" s="254"/>
      <c r="AN483" s="255"/>
      <c r="AO483" s="256"/>
    </row>
    <row r="484" ht="22.5" customHeight="1">
      <c r="A484" s="431" t="str">
        <f>'BASE DE DATOSS'!A558</f>
        <v/>
      </c>
      <c r="B484" s="432" t="str">
        <f>'BASE DE DATOSS'!C558</f>
        <v/>
      </c>
      <c r="C484" s="263"/>
      <c r="D484" s="249"/>
      <c r="E484" s="250"/>
      <c r="F484" s="251"/>
      <c r="G484" s="262"/>
      <c r="H484" s="257"/>
      <c r="I484" s="249"/>
      <c r="J484" s="193" t="str">
        <f>IF(OR(ISBLANK($B484),ISBLANK($I484)),"",IFERROR(IF($I484&lt;=DATE('ESTADO CONTABLE'!$B$2,3,5),VLOOKUP($B484,COSTOS!$A$2:$B1014,2,FALSE)-150,VLOOKUP($B484,COSTOS!$A$2:$B1014,2,FALSE)),"No encontrado o error"))</f>
        <v/>
      </c>
      <c r="K484" s="264"/>
      <c r="L484" s="249"/>
      <c r="M484" s="189"/>
      <c r="N484" s="264"/>
      <c r="O484" s="249"/>
      <c r="P484" s="250"/>
      <c r="Q484" s="264"/>
      <c r="R484" s="249"/>
      <c r="S484" s="250"/>
      <c r="T484" s="264"/>
      <c r="U484" s="249"/>
      <c r="V484" s="250"/>
      <c r="W484" s="264"/>
      <c r="X484" s="394"/>
      <c r="Y484" s="429"/>
      <c r="Z484" s="395"/>
      <c r="AA484" s="394"/>
      <c r="AB484" s="118" t="str">
        <f>IF(OR(ISBLANK($B484),ISBLANK($AA484)),"",IFERROR(IF($AA484&lt;=DATE('ESTADO CONTABLE'!$B$2,9,5),VLOOKUP($B484,COSTOS!$A$2:$B1014,2,FALSE)-150,VLOOKUP($B484,COSTOS!$A$2:$B1014,2,FALSE)),"No encontrado o error"))</f>
        <v/>
      </c>
      <c r="AC484" s="395"/>
      <c r="AD484" s="394"/>
      <c r="AE484" s="429" t="str">
        <f>IF(OR(ISBLANK($B484),ISBLANK($AD484)),"",IFERROR(IF($AD484&lt;=DATE('ESTADO CONTABLE'!$B$2,10,5),VLOOKUP($B484,COSTOS!$A$2:$B1014,2,FALSE)-150,VLOOKUP($B484,COSTOS!$A$2:$B1014,2,FALSE)),"No encontrado o error"))</f>
        <v/>
      </c>
      <c r="AF484" s="395"/>
      <c r="AG484" s="394"/>
      <c r="AH484" s="429" t="str">
        <f>IF(OR(ISBLANK($B484),ISBLANK($AG484)),"",IFERROR(IF($AG484&lt;=DATE('ESTADO CONTABLE'!$B$2,11,5),VLOOKUP($B484,COSTOS!$A$2:$B1014,2,FALSE)-150,VLOOKUP($B484,COSTOS!$A$2:$B1014,2,FALSE)),"No encontrado o error"))</f>
        <v/>
      </c>
      <c r="AI484" s="395"/>
      <c r="AJ484" s="394"/>
      <c r="AK484" s="429" t="str">
        <f>IF(OR(ISBLANK($B484),ISBLANK($AJ484)),"",IFERROR(IF($AJ484&lt;=DATE('ESTADO CONTABLE'!$B$2,12,5),VLOOKUP($B484,COSTOS!$A$2:$B1014,2,FALSE)-150,VLOOKUP($B484,COSTOS!$A$2:$B1014,2,FALSE)),"No encontrado o error"))</f>
        <v/>
      </c>
      <c r="AL484" s="395"/>
      <c r="AM484" s="254"/>
      <c r="AN484" s="255"/>
      <c r="AO484" s="256"/>
    </row>
    <row r="485" ht="22.5" customHeight="1">
      <c r="A485" s="431" t="str">
        <f>'BASE DE DATOSS'!A559</f>
        <v/>
      </c>
      <c r="B485" s="432" t="str">
        <f>'BASE DE DATOSS'!C559</f>
        <v/>
      </c>
      <c r="C485" s="263"/>
      <c r="D485" s="249"/>
      <c r="E485" s="250"/>
      <c r="F485" s="251"/>
      <c r="G485" s="262"/>
      <c r="H485" s="257"/>
      <c r="I485" s="249"/>
      <c r="J485" s="193" t="str">
        <f>IF(OR(ISBLANK($B485),ISBLANK($I485)),"",IFERROR(IF($I485&lt;=DATE('ESTADO CONTABLE'!$B$2,3,5),VLOOKUP($B485,COSTOS!$A$2:$B1014,2,FALSE)-150,VLOOKUP($B485,COSTOS!$A$2:$B1014,2,FALSE)),"No encontrado o error"))</f>
        <v/>
      </c>
      <c r="K485" s="264"/>
      <c r="L485" s="249"/>
      <c r="M485" s="189"/>
      <c r="N485" s="264"/>
      <c r="O485" s="249"/>
      <c r="P485" s="250"/>
      <c r="Q485" s="264"/>
      <c r="R485" s="249"/>
      <c r="S485" s="250"/>
      <c r="T485" s="264"/>
      <c r="U485" s="249"/>
      <c r="V485" s="250"/>
      <c r="W485" s="264"/>
      <c r="X485" s="394"/>
      <c r="Y485" s="429"/>
      <c r="Z485" s="395"/>
      <c r="AA485" s="394"/>
      <c r="AB485" s="118" t="str">
        <f>IF(OR(ISBLANK($B485),ISBLANK($AA485)),"",IFERROR(IF($AA485&lt;=DATE('ESTADO CONTABLE'!$B$2,9,5),VLOOKUP($B485,COSTOS!$A$2:$B1014,2,FALSE)-150,VLOOKUP($B485,COSTOS!$A$2:$B1014,2,FALSE)),"No encontrado o error"))</f>
        <v/>
      </c>
      <c r="AC485" s="395"/>
      <c r="AD485" s="394"/>
      <c r="AE485" s="429" t="str">
        <f>IF(OR(ISBLANK($B485),ISBLANK($AD485)),"",IFERROR(IF($AD485&lt;=DATE('ESTADO CONTABLE'!$B$2,10,5),VLOOKUP($B485,COSTOS!$A$2:$B1014,2,FALSE)-150,VLOOKUP($B485,COSTOS!$A$2:$B1014,2,FALSE)),"No encontrado o error"))</f>
        <v/>
      </c>
      <c r="AF485" s="395"/>
      <c r="AG485" s="394"/>
      <c r="AH485" s="429" t="str">
        <f>IF(OR(ISBLANK($B485),ISBLANK($AG485)),"",IFERROR(IF($AG485&lt;=DATE('ESTADO CONTABLE'!$B$2,11,5),VLOOKUP($B485,COSTOS!$A$2:$B1014,2,FALSE)-150,VLOOKUP($B485,COSTOS!$A$2:$B1014,2,FALSE)),"No encontrado o error"))</f>
        <v/>
      </c>
      <c r="AI485" s="395"/>
      <c r="AJ485" s="394"/>
      <c r="AK485" s="429" t="str">
        <f>IF(OR(ISBLANK($B485),ISBLANK($AJ485)),"",IFERROR(IF($AJ485&lt;=DATE('ESTADO CONTABLE'!$B$2,12,5),VLOOKUP($B485,COSTOS!$A$2:$B1014,2,FALSE)-150,VLOOKUP($B485,COSTOS!$A$2:$B1014,2,FALSE)),"No encontrado o error"))</f>
        <v/>
      </c>
      <c r="AL485" s="395"/>
      <c r="AM485" s="254"/>
      <c r="AN485" s="255"/>
      <c r="AO485" s="256"/>
    </row>
    <row r="486" ht="22.5" customHeight="1">
      <c r="A486" s="431" t="str">
        <f>'BASE DE DATOSS'!A560</f>
        <v/>
      </c>
      <c r="B486" s="432" t="str">
        <f>'BASE DE DATOSS'!C560</f>
        <v/>
      </c>
      <c r="C486" s="263"/>
      <c r="D486" s="249"/>
      <c r="E486" s="250"/>
      <c r="F486" s="251"/>
      <c r="G486" s="262"/>
      <c r="H486" s="257"/>
      <c r="I486" s="249"/>
      <c r="J486" s="193" t="str">
        <f>IF(OR(ISBLANK($B486),ISBLANK($I486)),"",IFERROR(IF($I486&lt;=DATE('ESTADO CONTABLE'!$B$2,3,5),VLOOKUP($B486,COSTOS!$A$2:$B1014,2,FALSE)-150,VLOOKUP($B486,COSTOS!$A$2:$B1014,2,FALSE)),"No encontrado o error"))</f>
        <v/>
      </c>
      <c r="K486" s="264"/>
      <c r="L486" s="249"/>
      <c r="M486" s="189"/>
      <c r="N486" s="264"/>
      <c r="O486" s="249"/>
      <c r="P486" s="250"/>
      <c r="Q486" s="264"/>
      <c r="R486" s="249"/>
      <c r="S486" s="250"/>
      <c r="T486" s="264"/>
      <c r="U486" s="249"/>
      <c r="V486" s="250"/>
      <c r="W486" s="264"/>
      <c r="X486" s="394"/>
      <c r="Y486" s="429"/>
      <c r="Z486" s="395"/>
      <c r="AA486" s="394"/>
      <c r="AB486" s="118" t="str">
        <f>IF(OR(ISBLANK($B486),ISBLANK($AA486)),"",IFERROR(IF($AA486&lt;=DATE('ESTADO CONTABLE'!$B$2,9,5),VLOOKUP($B486,COSTOS!$A$2:$B1014,2,FALSE)-150,VLOOKUP($B486,COSTOS!$A$2:$B1014,2,FALSE)),"No encontrado o error"))</f>
        <v/>
      </c>
      <c r="AC486" s="395"/>
      <c r="AD486" s="394"/>
      <c r="AE486" s="429" t="str">
        <f>IF(OR(ISBLANK($B486),ISBLANK($AD486)),"",IFERROR(IF($AD486&lt;=DATE('ESTADO CONTABLE'!$B$2,10,5),VLOOKUP($B486,COSTOS!$A$2:$B1014,2,FALSE)-150,VLOOKUP($B486,COSTOS!$A$2:$B1014,2,FALSE)),"No encontrado o error"))</f>
        <v/>
      </c>
      <c r="AF486" s="395"/>
      <c r="AG486" s="394"/>
      <c r="AH486" s="429" t="str">
        <f>IF(OR(ISBLANK($B486),ISBLANK($AG486)),"",IFERROR(IF($AG486&lt;=DATE('ESTADO CONTABLE'!$B$2,11,5),VLOOKUP($B486,COSTOS!$A$2:$B1014,2,FALSE)-150,VLOOKUP($B486,COSTOS!$A$2:$B1014,2,FALSE)),"No encontrado o error"))</f>
        <v/>
      </c>
      <c r="AI486" s="395"/>
      <c r="AJ486" s="394"/>
      <c r="AK486" s="429" t="str">
        <f>IF(OR(ISBLANK($B486),ISBLANK($AJ486)),"",IFERROR(IF($AJ486&lt;=DATE('ESTADO CONTABLE'!$B$2,12,5),VLOOKUP($B486,COSTOS!$A$2:$B1014,2,FALSE)-150,VLOOKUP($B486,COSTOS!$A$2:$B1014,2,FALSE)),"No encontrado o error"))</f>
        <v/>
      </c>
      <c r="AL486" s="395"/>
      <c r="AM486" s="254"/>
      <c r="AN486" s="255"/>
      <c r="AO486" s="256"/>
    </row>
    <row r="487" ht="22.5" customHeight="1">
      <c r="A487" s="431" t="str">
        <f>'BASE DE DATOSS'!A561</f>
        <v/>
      </c>
      <c r="B487" s="432" t="str">
        <f>'BASE DE DATOSS'!C561</f>
        <v/>
      </c>
      <c r="C487" s="263"/>
      <c r="D487" s="249"/>
      <c r="E487" s="250"/>
      <c r="F487" s="251"/>
      <c r="G487" s="262"/>
      <c r="H487" s="257"/>
      <c r="I487" s="249"/>
      <c r="J487" s="193" t="str">
        <f>IF(OR(ISBLANK($B487),ISBLANK($I487)),"",IFERROR(IF($I487&lt;=DATE('ESTADO CONTABLE'!$B$2,3,5),VLOOKUP($B487,COSTOS!$A$2:$B1014,2,FALSE)-150,VLOOKUP($B487,COSTOS!$A$2:$B1014,2,FALSE)),"No encontrado o error"))</f>
        <v/>
      </c>
      <c r="K487" s="264"/>
      <c r="L487" s="249"/>
      <c r="M487" s="189"/>
      <c r="N487" s="264"/>
      <c r="O487" s="249"/>
      <c r="P487" s="250"/>
      <c r="Q487" s="264"/>
      <c r="R487" s="249"/>
      <c r="S487" s="250"/>
      <c r="T487" s="264"/>
      <c r="U487" s="249"/>
      <c r="V487" s="250"/>
      <c r="W487" s="264"/>
      <c r="X487" s="394"/>
      <c r="Y487" s="429"/>
      <c r="Z487" s="395"/>
      <c r="AA487" s="394"/>
      <c r="AB487" s="118" t="str">
        <f>IF(OR(ISBLANK($B487),ISBLANK($AA487)),"",IFERROR(IF($AA487&lt;=DATE('ESTADO CONTABLE'!$B$2,9,5),VLOOKUP($B487,COSTOS!$A$2:$B1014,2,FALSE)-150,VLOOKUP($B487,COSTOS!$A$2:$B1014,2,FALSE)),"No encontrado o error"))</f>
        <v/>
      </c>
      <c r="AC487" s="395"/>
      <c r="AD487" s="394"/>
      <c r="AE487" s="429" t="str">
        <f>IF(OR(ISBLANK($B487),ISBLANK($AD487)),"",IFERROR(IF($AD487&lt;=DATE('ESTADO CONTABLE'!$B$2,10,5),VLOOKUP($B487,COSTOS!$A$2:$B1014,2,FALSE)-150,VLOOKUP($B487,COSTOS!$A$2:$B1014,2,FALSE)),"No encontrado o error"))</f>
        <v/>
      </c>
      <c r="AF487" s="395"/>
      <c r="AG487" s="394"/>
      <c r="AH487" s="429" t="str">
        <f>IF(OR(ISBLANK($B487),ISBLANK($AG487)),"",IFERROR(IF($AG487&lt;=DATE('ESTADO CONTABLE'!$B$2,11,5),VLOOKUP($B487,COSTOS!$A$2:$B1014,2,FALSE)-150,VLOOKUP($B487,COSTOS!$A$2:$B1014,2,FALSE)),"No encontrado o error"))</f>
        <v/>
      </c>
      <c r="AI487" s="395"/>
      <c r="AJ487" s="394"/>
      <c r="AK487" s="429" t="str">
        <f>IF(OR(ISBLANK($B487),ISBLANK($AJ487)),"",IFERROR(IF($AJ487&lt;=DATE('ESTADO CONTABLE'!$B$2,12,5),VLOOKUP($B487,COSTOS!$A$2:$B1014,2,FALSE)-150,VLOOKUP($B487,COSTOS!$A$2:$B1014,2,FALSE)),"No encontrado o error"))</f>
        <v/>
      </c>
      <c r="AL487" s="395"/>
      <c r="AM487" s="254"/>
      <c r="AN487" s="255"/>
      <c r="AO487" s="256"/>
    </row>
    <row r="488" ht="22.5" customHeight="1">
      <c r="A488" s="431" t="str">
        <f>'BASE DE DATOSS'!A562</f>
        <v/>
      </c>
      <c r="B488" s="432" t="str">
        <f>'BASE DE DATOSS'!C562</f>
        <v/>
      </c>
      <c r="C488" s="263"/>
      <c r="D488" s="249"/>
      <c r="E488" s="250"/>
      <c r="F488" s="251"/>
      <c r="G488" s="262"/>
      <c r="H488" s="257"/>
      <c r="I488" s="249"/>
      <c r="J488" s="193" t="str">
        <f>IF(OR(ISBLANK($B488),ISBLANK($I488)),"",IFERROR(IF($I488&lt;=DATE('ESTADO CONTABLE'!$B$2,3,5),VLOOKUP($B488,COSTOS!$A$2:$B1014,2,FALSE)-150,VLOOKUP($B488,COSTOS!$A$2:$B1014,2,FALSE)),"No encontrado o error"))</f>
        <v/>
      </c>
      <c r="K488" s="264"/>
      <c r="L488" s="249"/>
      <c r="M488" s="189"/>
      <c r="N488" s="264"/>
      <c r="O488" s="249"/>
      <c r="P488" s="250"/>
      <c r="Q488" s="264"/>
      <c r="R488" s="249"/>
      <c r="S488" s="250"/>
      <c r="T488" s="264"/>
      <c r="U488" s="249"/>
      <c r="V488" s="250"/>
      <c r="W488" s="264"/>
      <c r="X488" s="394"/>
      <c r="Y488" s="429"/>
      <c r="Z488" s="395"/>
      <c r="AA488" s="394"/>
      <c r="AB488" s="118" t="str">
        <f>IF(OR(ISBLANK($B488),ISBLANK($AA488)),"",IFERROR(IF($AA488&lt;=DATE('ESTADO CONTABLE'!$B$2,9,5),VLOOKUP($B488,COSTOS!$A$2:$B1014,2,FALSE)-150,VLOOKUP($B488,COSTOS!$A$2:$B1014,2,FALSE)),"No encontrado o error"))</f>
        <v/>
      </c>
      <c r="AC488" s="395"/>
      <c r="AD488" s="394"/>
      <c r="AE488" s="429" t="str">
        <f>IF(OR(ISBLANK($B488),ISBLANK($AD488)),"",IFERROR(IF($AD488&lt;=DATE('ESTADO CONTABLE'!$B$2,10,5),VLOOKUP($B488,COSTOS!$A$2:$B1014,2,FALSE)-150,VLOOKUP($B488,COSTOS!$A$2:$B1014,2,FALSE)),"No encontrado o error"))</f>
        <v/>
      </c>
      <c r="AF488" s="395"/>
      <c r="AG488" s="394"/>
      <c r="AH488" s="429" t="str">
        <f>IF(OR(ISBLANK($B488),ISBLANK($AG488)),"",IFERROR(IF($AG488&lt;=DATE('ESTADO CONTABLE'!$B$2,11,5),VLOOKUP($B488,COSTOS!$A$2:$B1014,2,FALSE)-150,VLOOKUP($B488,COSTOS!$A$2:$B1014,2,FALSE)),"No encontrado o error"))</f>
        <v/>
      </c>
      <c r="AI488" s="395"/>
      <c r="AJ488" s="394"/>
      <c r="AK488" s="429" t="str">
        <f>IF(OR(ISBLANK($B488),ISBLANK($AJ488)),"",IFERROR(IF($AJ488&lt;=DATE('ESTADO CONTABLE'!$B$2,12,5),VLOOKUP($B488,COSTOS!$A$2:$B1014,2,FALSE)-150,VLOOKUP($B488,COSTOS!$A$2:$B1014,2,FALSE)),"No encontrado o error"))</f>
        <v/>
      </c>
      <c r="AL488" s="395"/>
      <c r="AM488" s="254"/>
      <c r="AN488" s="255"/>
      <c r="AO488" s="256"/>
    </row>
    <row r="489" ht="22.5" customHeight="1">
      <c r="A489" s="431" t="str">
        <f>'BASE DE DATOSS'!A563</f>
        <v/>
      </c>
      <c r="B489" s="432" t="str">
        <f>'BASE DE DATOSS'!C563</f>
        <v/>
      </c>
      <c r="C489" s="263"/>
      <c r="D489" s="249"/>
      <c r="E489" s="250"/>
      <c r="F489" s="251"/>
      <c r="G489" s="262"/>
      <c r="H489" s="257"/>
      <c r="I489" s="249"/>
      <c r="J489" s="193" t="str">
        <f>IF(OR(ISBLANK($B489),ISBLANK($I489)),"",IFERROR(IF($I489&lt;=DATE('ESTADO CONTABLE'!$B$2,3,5),VLOOKUP($B489,COSTOS!$A$2:$B1014,2,FALSE)-150,VLOOKUP($B489,COSTOS!$A$2:$B1014,2,FALSE)),"No encontrado o error"))</f>
        <v/>
      </c>
      <c r="K489" s="264"/>
      <c r="L489" s="249"/>
      <c r="M489" s="189"/>
      <c r="N489" s="264"/>
      <c r="O489" s="249"/>
      <c r="P489" s="250"/>
      <c r="Q489" s="264"/>
      <c r="R489" s="249"/>
      <c r="S489" s="250"/>
      <c r="T489" s="264"/>
      <c r="U489" s="249"/>
      <c r="V489" s="250"/>
      <c r="W489" s="264"/>
      <c r="X489" s="394"/>
      <c r="Y489" s="429"/>
      <c r="Z489" s="395"/>
      <c r="AA489" s="394"/>
      <c r="AB489" s="118" t="str">
        <f>IF(OR(ISBLANK($B489),ISBLANK($AA489)),"",IFERROR(IF($AA489&lt;=DATE('ESTADO CONTABLE'!$B$2,9,5),VLOOKUP($B489,COSTOS!$A$2:$B1014,2,FALSE)-150,VLOOKUP($B489,COSTOS!$A$2:$B1014,2,FALSE)),"No encontrado o error"))</f>
        <v/>
      </c>
      <c r="AC489" s="395"/>
      <c r="AD489" s="394"/>
      <c r="AE489" s="429" t="str">
        <f>IF(OR(ISBLANK($B489),ISBLANK($AD489)),"",IFERROR(IF($AD489&lt;=DATE('ESTADO CONTABLE'!$B$2,10,5),VLOOKUP($B489,COSTOS!$A$2:$B1014,2,FALSE)-150,VLOOKUP($B489,COSTOS!$A$2:$B1014,2,FALSE)),"No encontrado o error"))</f>
        <v/>
      </c>
      <c r="AF489" s="395"/>
      <c r="AG489" s="394"/>
      <c r="AH489" s="429" t="str">
        <f>IF(OR(ISBLANK($B489),ISBLANK($AG489)),"",IFERROR(IF($AG489&lt;=DATE('ESTADO CONTABLE'!$B$2,11,5),VLOOKUP($B489,COSTOS!$A$2:$B1014,2,FALSE)-150,VLOOKUP($B489,COSTOS!$A$2:$B1014,2,FALSE)),"No encontrado o error"))</f>
        <v/>
      </c>
      <c r="AI489" s="395"/>
      <c r="AJ489" s="394"/>
      <c r="AK489" s="429" t="str">
        <f>IF(OR(ISBLANK($B489),ISBLANK($AJ489)),"",IFERROR(IF($AJ489&lt;=DATE('ESTADO CONTABLE'!$B$2,12,5),VLOOKUP($B489,COSTOS!$A$2:$B1014,2,FALSE)-150,VLOOKUP($B489,COSTOS!$A$2:$B1014,2,FALSE)),"No encontrado o error"))</f>
        <v/>
      </c>
      <c r="AL489" s="395"/>
      <c r="AM489" s="254"/>
      <c r="AN489" s="255"/>
      <c r="AO489" s="256"/>
    </row>
    <row r="490" ht="22.5" customHeight="1">
      <c r="A490" s="431" t="str">
        <f>'BASE DE DATOSS'!A564</f>
        <v/>
      </c>
      <c r="B490" s="432" t="str">
        <f>'BASE DE DATOSS'!C564</f>
        <v/>
      </c>
      <c r="C490" s="263"/>
      <c r="D490" s="249"/>
      <c r="E490" s="250"/>
      <c r="F490" s="251"/>
      <c r="G490" s="262"/>
      <c r="H490" s="257"/>
      <c r="I490" s="249"/>
      <c r="J490" s="193" t="str">
        <f>IF(OR(ISBLANK($B490),ISBLANK($I490)),"",IFERROR(IF($I490&lt;=DATE('ESTADO CONTABLE'!$B$2,3,5),VLOOKUP($B490,COSTOS!$A$2:$B1014,2,FALSE)-150,VLOOKUP($B490,COSTOS!$A$2:$B1014,2,FALSE)),"No encontrado o error"))</f>
        <v/>
      </c>
      <c r="K490" s="264"/>
      <c r="L490" s="249"/>
      <c r="M490" s="189"/>
      <c r="N490" s="264"/>
      <c r="O490" s="249"/>
      <c r="P490" s="250"/>
      <c r="Q490" s="264"/>
      <c r="R490" s="249"/>
      <c r="S490" s="250"/>
      <c r="T490" s="264"/>
      <c r="U490" s="249"/>
      <c r="V490" s="250"/>
      <c r="W490" s="264"/>
      <c r="X490" s="394"/>
      <c r="Y490" s="429"/>
      <c r="Z490" s="395"/>
      <c r="AA490" s="394"/>
      <c r="AB490" s="118" t="str">
        <f>IF(OR(ISBLANK($B490),ISBLANK($AA490)),"",IFERROR(IF($AA490&lt;=DATE('ESTADO CONTABLE'!$B$2,9,5),VLOOKUP($B490,COSTOS!$A$2:$B1014,2,FALSE)-150,VLOOKUP($B490,COSTOS!$A$2:$B1014,2,FALSE)),"No encontrado o error"))</f>
        <v/>
      </c>
      <c r="AC490" s="395"/>
      <c r="AD490" s="394"/>
      <c r="AE490" s="429" t="str">
        <f>IF(OR(ISBLANK($B490),ISBLANK($AD490)),"",IFERROR(IF($AD490&lt;=DATE('ESTADO CONTABLE'!$B$2,10,5),VLOOKUP($B490,COSTOS!$A$2:$B1014,2,FALSE)-150,VLOOKUP($B490,COSTOS!$A$2:$B1014,2,FALSE)),"No encontrado o error"))</f>
        <v/>
      </c>
      <c r="AF490" s="395"/>
      <c r="AG490" s="394"/>
      <c r="AH490" s="429" t="str">
        <f>IF(OR(ISBLANK($B490),ISBLANK($AG490)),"",IFERROR(IF($AG490&lt;=DATE('ESTADO CONTABLE'!$B$2,11,5),VLOOKUP($B490,COSTOS!$A$2:$B1014,2,FALSE)-150,VLOOKUP($B490,COSTOS!$A$2:$B1014,2,FALSE)),"No encontrado o error"))</f>
        <v/>
      </c>
      <c r="AI490" s="395"/>
      <c r="AJ490" s="394"/>
      <c r="AK490" s="429" t="str">
        <f>IF(OR(ISBLANK($B490),ISBLANK($AJ490)),"",IFERROR(IF($AJ490&lt;=DATE('ESTADO CONTABLE'!$B$2,12,5),VLOOKUP($B490,COSTOS!$A$2:$B1014,2,FALSE)-150,VLOOKUP($B490,COSTOS!$A$2:$B1014,2,FALSE)),"No encontrado o error"))</f>
        <v/>
      </c>
      <c r="AL490" s="395"/>
      <c r="AM490" s="254"/>
      <c r="AN490" s="255"/>
      <c r="AO490" s="256"/>
    </row>
    <row r="491" ht="22.5" customHeight="1">
      <c r="A491" s="431" t="str">
        <f>'BASE DE DATOSS'!A565</f>
        <v/>
      </c>
      <c r="B491" s="432" t="str">
        <f>'BASE DE DATOSS'!C565</f>
        <v/>
      </c>
      <c r="C491" s="263"/>
      <c r="D491" s="249"/>
      <c r="E491" s="250"/>
      <c r="F491" s="251"/>
      <c r="G491" s="262"/>
      <c r="H491" s="257"/>
      <c r="I491" s="249"/>
      <c r="J491" s="193" t="str">
        <f>IF(OR(ISBLANK($B491),ISBLANK($I491)),"",IFERROR(IF($I491&lt;=DATE('ESTADO CONTABLE'!$B$2,3,5),VLOOKUP($B491,COSTOS!$A$2:$B1014,2,FALSE)-150,VLOOKUP($B491,COSTOS!$A$2:$B1014,2,FALSE)),"No encontrado o error"))</f>
        <v/>
      </c>
      <c r="K491" s="264"/>
      <c r="L491" s="249"/>
      <c r="M491" s="189"/>
      <c r="N491" s="264"/>
      <c r="O491" s="249"/>
      <c r="P491" s="250"/>
      <c r="Q491" s="264"/>
      <c r="R491" s="249"/>
      <c r="S491" s="250"/>
      <c r="T491" s="264"/>
      <c r="U491" s="249"/>
      <c r="V491" s="250"/>
      <c r="W491" s="264"/>
      <c r="X491" s="394"/>
      <c r="Y491" s="429"/>
      <c r="Z491" s="395"/>
      <c r="AA491" s="394"/>
      <c r="AB491" s="118" t="str">
        <f>IF(OR(ISBLANK($B491),ISBLANK($AA491)),"",IFERROR(IF($AA491&lt;=DATE('ESTADO CONTABLE'!$B$2,9,5),VLOOKUP($B491,COSTOS!$A$2:$B1014,2,FALSE)-150,VLOOKUP($B491,COSTOS!$A$2:$B1014,2,FALSE)),"No encontrado o error"))</f>
        <v/>
      </c>
      <c r="AC491" s="395"/>
      <c r="AD491" s="394"/>
      <c r="AE491" s="429" t="str">
        <f>IF(OR(ISBLANK($B491),ISBLANK($AD491)),"",IFERROR(IF($AD491&lt;=DATE('ESTADO CONTABLE'!$B$2,10,5),VLOOKUP($B491,COSTOS!$A$2:$B1014,2,FALSE)-150,VLOOKUP($B491,COSTOS!$A$2:$B1014,2,FALSE)),"No encontrado o error"))</f>
        <v/>
      </c>
      <c r="AF491" s="395"/>
      <c r="AG491" s="394"/>
      <c r="AH491" s="429" t="str">
        <f>IF(OR(ISBLANK($B491),ISBLANK($AG491)),"",IFERROR(IF($AG491&lt;=DATE('ESTADO CONTABLE'!$B$2,11,5),VLOOKUP($B491,COSTOS!$A$2:$B1014,2,FALSE)-150,VLOOKUP($B491,COSTOS!$A$2:$B1014,2,FALSE)),"No encontrado o error"))</f>
        <v/>
      </c>
      <c r="AI491" s="395"/>
      <c r="AJ491" s="394"/>
      <c r="AK491" s="429" t="str">
        <f>IF(OR(ISBLANK($B491),ISBLANK($AJ491)),"",IFERROR(IF($AJ491&lt;=DATE('ESTADO CONTABLE'!$B$2,12,5),VLOOKUP($B491,COSTOS!$A$2:$B1014,2,FALSE)-150,VLOOKUP($B491,COSTOS!$A$2:$B1014,2,FALSE)),"No encontrado o error"))</f>
        <v/>
      </c>
      <c r="AL491" s="395"/>
      <c r="AM491" s="254"/>
      <c r="AN491" s="255"/>
      <c r="AO491" s="256"/>
    </row>
    <row r="492" ht="22.5" customHeight="1">
      <c r="A492" s="431" t="str">
        <f>'BASE DE DATOSS'!A566</f>
        <v/>
      </c>
      <c r="B492" s="432" t="str">
        <f>'BASE DE DATOSS'!C566</f>
        <v/>
      </c>
      <c r="C492" s="263"/>
      <c r="D492" s="249"/>
      <c r="E492" s="250"/>
      <c r="F492" s="251"/>
      <c r="G492" s="262"/>
      <c r="H492" s="257"/>
      <c r="I492" s="249"/>
      <c r="J492" s="193" t="str">
        <f>IF(OR(ISBLANK($B492),ISBLANK($I492)),"",IFERROR(IF($I492&lt;=DATE('ESTADO CONTABLE'!$B$2,3,5),VLOOKUP($B492,COSTOS!$A$2:$B1014,2,FALSE)-150,VLOOKUP($B492,COSTOS!$A$2:$B1014,2,FALSE)),"No encontrado o error"))</f>
        <v/>
      </c>
      <c r="K492" s="264"/>
      <c r="L492" s="249"/>
      <c r="M492" s="189"/>
      <c r="N492" s="264"/>
      <c r="O492" s="249"/>
      <c r="P492" s="250"/>
      <c r="Q492" s="264"/>
      <c r="R492" s="249"/>
      <c r="S492" s="250"/>
      <c r="T492" s="264"/>
      <c r="U492" s="249"/>
      <c r="V492" s="250"/>
      <c r="W492" s="264"/>
      <c r="X492" s="394"/>
      <c r="Y492" s="429"/>
      <c r="Z492" s="395"/>
      <c r="AA492" s="394"/>
      <c r="AB492" s="118" t="str">
        <f>IF(OR(ISBLANK($B492),ISBLANK($AA492)),"",IFERROR(IF($AA492&lt;=DATE('ESTADO CONTABLE'!$B$2,9,5),VLOOKUP($B492,COSTOS!$A$2:$B1014,2,FALSE)-150,VLOOKUP($B492,COSTOS!$A$2:$B1014,2,FALSE)),"No encontrado o error"))</f>
        <v/>
      </c>
      <c r="AC492" s="395"/>
      <c r="AD492" s="394"/>
      <c r="AE492" s="429" t="str">
        <f>IF(OR(ISBLANK($B492),ISBLANK($AD492)),"",IFERROR(IF($AD492&lt;=DATE('ESTADO CONTABLE'!$B$2,10,5),VLOOKUP($B492,COSTOS!$A$2:$B1014,2,FALSE)-150,VLOOKUP($B492,COSTOS!$A$2:$B1014,2,FALSE)),"No encontrado o error"))</f>
        <v/>
      </c>
      <c r="AF492" s="395"/>
      <c r="AG492" s="394"/>
      <c r="AH492" s="429" t="str">
        <f>IF(OR(ISBLANK($B492),ISBLANK($AG492)),"",IFERROR(IF($AG492&lt;=DATE('ESTADO CONTABLE'!$B$2,11,5),VLOOKUP($B492,COSTOS!$A$2:$B1014,2,FALSE)-150,VLOOKUP($B492,COSTOS!$A$2:$B1014,2,FALSE)),"No encontrado o error"))</f>
        <v/>
      </c>
      <c r="AI492" s="395"/>
      <c r="AJ492" s="394"/>
      <c r="AK492" s="429" t="str">
        <f>IF(OR(ISBLANK($B492),ISBLANK($AJ492)),"",IFERROR(IF($AJ492&lt;=DATE('ESTADO CONTABLE'!$B$2,12,5),VLOOKUP($B492,COSTOS!$A$2:$B1014,2,FALSE)-150,VLOOKUP($B492,COSTOS!$A$2:$B1014,2,FALSE)),"No encontrado o error"))</f>
        <v/>
      </c>
      <c r="AL492" s="395"/>
      <c r="AM492" s="254"/>
      <c r="AN492" s="255"/>
      <c r="AO492" s="256"/>
    </row>
    <row r="493" ht="22.5" customHeight="1">
      <c r="A493" s="431" t="str">
        <f>'BASE DE DATOSS'!A567</f>
        <v/>
      </c>
      <c r="B493" s="432" t="str">
        <f>'BASE DE DATOSS'!C567</f>
        <v/>
      </c>
      <c r="C493" s="263"/>
      <c r="D493" s="249"/>
      <c r="E493" s="250"/>
      <c r="F493" s="251"/>
      <c r="G493" s="262"/>
      <c r="H493" s="257"/>
      <c r="I493" s="249"/>
      <c r="J493" s="193" t="str">
        <f>IF(OR(ISBLANK($B493),ISBLANK($I493)),"",IFERROR(IF($I493&lt;=DATE('ESTADO CONTABLE'!$B$2,3,5),VLOOKUP($B493,COSTOS!$A$2:$B1014,2,FALSE)-150,VLOOKUP($B493,COSTOS!$A$2:$B1014,2,FALSE)),"No encontrado o error"))</f>
        <v/>
      </c>
      <c r="K493" s="264"/>
      <c r="L493" s="249"/>
      <c r="M493" s="189"/>
      <c r="N493" s="264"/>
      <c r="O493" s="249"/>
      <c r="P493" s="250"/>
      <c r="Q493" s="264"/>
      <c r="R493" s="249"/>
      <c r="S493" s="250"/>
      <c r="T493" s="264"/>
      <c r="U493" s="249"/>
      <c r="V493" s="250"/>
      <c r="W493" s="264"/>
      <c r="X493" s="394"/>
      <c r="Y493" s="429"/>
      <c r="Z493" s="395"/>
      <c r="AA493" s="394"/>
      <c r="AB493" s="118" t="str">
        <f>IF(OR(ISBLANK($B493),ISBLANK($AA493)),"",IFERROR(IF($AA493&lt;=DATE('ESTADO CONTABLE'!$B$2,9,5),VLOOKUP($B493,COSTOS!$A$2:$B1014,2,FALSE)-150,VLOOKUP($B493,COSTOS!$A$2:$B1014,2,FALSE)),"No encontrado o error"))</f>
        <v/>
      </c>
      <c r="AC493" s="395"/>
      <c r="AD493" s="394"/>
      <c r="AE493" s="429" t="str">
        <f>IF(OR(ISBLANK($B493),ISBLANK($AD493)),"",IFERROR(IF($AD493&lt;=DATE('ESTADO CONTABLE'!$B$2,10,5),VLOOKUP($B493,COSTOS!$A$2:$B1014,2,FALSE)-150,VLOOKUP($B493,COSTOS!$A$2:$B1014,2,FALSE)),"No encontrado o error"))</f>
        <v/>
      </c>
      <c r="AF493" s="395"/>
      <c r="AG493" s="394"/>
      <c r="AH493" s="429" t="str">
        <f>IF(OR(ISBLANK($B493),ISBLANK($AG493)),"",IFERROR(IF($AG493&lt;=DATE('ESTADO CONTABLE'!$B$2,11,5),VLOOKUP($B493,COSTOS!$A$2:$B1014,2,FALSE)-150,VLOOKUP($B493,COSTOS!$A$2:$B1014,2,FALSE)),"No encontrado o error"))</f>
        <v/>
      </c>
      <c r="AI493" s="395"/>
      <c r="AJ493" s="394"/>
      <c r="AK493" s="429" t="str">
        <f>IF(OR(ISBLANK($B493),ISBLANK($AJ493)),"",IFERROR(IF($AJ493&lt;=DATE('ESTADO CONTABLE'!$B$2,12,5),VLOOKUP($B493,COSTOS!$A$2:$B1014,2,FALSE)-150,VLOOKUP($B493,COSTOS!$A$2:$B1014,2,FALSE)),"No encontrado o error"))</f>
        <v/>
      </c>
      <c r="AL493" s="395"/>
      <c r="AM493" s="254"/>
      <c r="AN493" s="255"/>
      <c r="AO493" s="256"/>
    </row>
    <row r="494" ht="22.5" customHeight="1">
      <c r="A494" s="431" t="str">
        <f>'BASE DE DATOSS'!A568</f>
        <v/>
      </c>
      <c r="B494" s="432" t="str">
        <f>'BASE DE DATOSS'!C568</f>
        <v/>
      </c>
      <c r="C494" s="263"/>
      <c r="D494" s="249"/>
      <c r="E494" s="250"/>
      <c r="F494" s="251"/>
      <c r="G494" s="262"/>
      <c r="H494" s="257"/>
      <c r="I494" s="249"/>
      <c r="J494" s="193" t="str">
        <f>IF(OR(ISBLANK($B494),ISBLANK($I494)),"",IFERROR(IF($I494&lt;=DATE('ESTADO CONTABLE'!$B$2,3,5),VLOOKUP($B494,COSTOS!$A$2:$B1014,2,FALSE)-150,VLOOKUP($B494,COSTOS!$A$2:$B1014,2,FALSE)),"No encontrado o error"))</f>
        <v/>
      </c>
      <c r="K494" s="264"/>
      <c r="L494" s="249"/>
      <c r="M494" s="189"/>
      <c r="N494" s="264"/>
      <c r="O494" s="249"/>
      <c r="P494" s="250"/>
      <c r="Q494" s="264"/>
      <c r="R494" s="249"/>
      <c r="S494" s="250"/>
      <c r="T494" s="264"/>
      <c r="U494" s="249"/>
      <c r="V494" s="250"/>
      <c r="W494" s="264"/>
      <c r="X494" s="394"/>
      <c r="Y494" s="429"/>
      <c r="Z494" s="395"/>
      <c r="AA494" s="394"/>
      <c r="AB494" s="118" t="str">
        <f>IF(OR(ISBLANK($B494),ISBLANK($AA494)),"",IFERROR(IF($AA494&lt;=DATE('ESTADO CONTABLE'!$B$2,9,5),VLOOKUP($B494,COSTOS!$A$2:$B1014,2,FALSE)-150,VLOOKUP($B494,COSTOS!$A$2:$B1014,2,FALSE)),"No encontrado o error"))</f>
        <v/>
      </c>
      <c r="AC494" s="395"/>
      <c r="AD494" s="394"/>
      <c r="AE494" s="429" t="str">
        <f>IF(OR(ISBLANK($B494),ISBLANK($AD494)),"",IFERROR(IF($AD494&lt;=DATE('ESTADO CONTABLE'!$B$2,10,5),VLOOKUP($B494,COSTOS!$A$2:$B1014,2,FALSE)-150,VLOOKUP($B494,COSTOS!$A$2:$B1014,2,FALSE)),"No encontrado o error"))</f>
        <v/>
      </c>
      <c r="AF494" s="395"/>
      <c r="AG494" s="394"/>
      <c r="AH494" s="429" t="str">
        <f>IF(OR(ISBLANK($B494),ISBLANK($AG494)),"",IFERROR(IF($AG494&lt;=DATE('ESTADO CONTABLE'!$B$2,11,5),VLOOKUP($B494,COSTOS!$A$2:$B1014,2,FALSE)-150,VLOOKUP($B494,COSTOS!$A$2:$B1014,2,FALSE)),"No encontrado o error"))</f>
        <v/>
      </c>
      <c r="AI494" s="395"/>
      <c r="AJ494" s="394"/>
      <c r="AK494" s="429" t="str">
        <f>IF(OR(ISBLANK($B494),ISBLANK($AJ494)),"",IFERROR(IF($AJ494&lt;=DATE('ESTADO CONTABLE'!$B$2,12,5),VLOOKUP($B494,COSTOS!$A$2:$B1014,2,FALSE)-150,VLOOKUP($B494,COSTOS!$A$2:$B1014,2,FALSE)),"No encontrado o error"))</f>
        <v/>
      </c>
      <c r="AL494" s="395"/>
      <c r="AM494" s="254"/>
      <c r="AN494" s="255"/>
      <c r="AO494" s="256"/>
    </row>
    <row r="495" ht="22.5" customHeight="1">
      <c r="A495" s="431" t="str">
        <f>'BASE DE DATOSS'!A569</f>
        <v/>
      </c>
      <c r="B495" s="432" t="str">
        <f>'BASE DE DATOSS'!C569</f>
        <v/>
      </c>
      <c r="C495" s="263"/>
      <c r="D495" s="249"/>
      <c r="E495" s="250"/>
      <c r="F495" s="251"/>
      <c r="G495" s="262"/>
      <c r="H495" s="257"/>
      <c r="I495" s="249"/>
      <c r="J495" s="193" t="str">
        <f>IF(OR(ISBLANK($B495),ISBLANK($I495)),"",IFERROR(IF($I495&lt;=DATE('ESTADO CONTABLE'!$B$2,3,5),VLOOKUP($B495,COSTOS!$A$2:$B1014,2,FALSE)-150,VLOOKUP($B495,COSTOS!$A$2:$B1014,2,FALSE)),"No encontrado o error"))</f>
        <v/>
      </c>
      <c r="K495" s="264"/>
      <c r="L495" s="249"/>
      <c r="M495" s="189"/>
      <c r="N495" s="264"/>
      <c r="O495" s="249"/>
      <c r="P495" s="250"/>
      <c r="Q495" s="264"/>
      <c r="R495" s="249"/>
      <c r="S495" s="250"/>
      <c r="T495" s="264"/>
      <c r="U495" s="249"/>
      <c r="V495" s="250"/>
      <c r="W495" s="264"/>
      <c r="X495" s="394"/>
      <c r="Y495" s="429"/>
      <c r="Z495" s="395"/>
      <c r="AA495" s="394"/>
      <c r="AB495" s="118" t="str">
        <f>IF(OR(ISBLANK($B495),ISBLANK($AA495)),"",IFERROR(IF($AA495&lt;=DATE('ESTADO CONTABLE'!$B$2,9,5),VLOOKUP($B495,COSTOS!$A$2:$B1014,2,FALSE)-150,VLOOKUP($B495,COSTOS!$A$2:$B1014,2,FALSE)),"No encontrado o error"))</f>
        <v/>
      </c>
      <c r="AC495" s="395"/>
      <c r="AD495" s="394"/>
      <c r="AE495" s="429" t="str">
        <f>IF(OR(ISBLANK($B495),ISBLANK($AD495)),"",IFERROR(IF($AD495&lt;=DATE('ESTADO CONTABLE'!$B$2,10,5),VLOOKUP($B495,COSTOS!$A$2:$B1014,2,FALSE)-150,VLOOKUP($B495,COSTOS!$A$2:$B1014,2,FALSE)),"No encontrado o error"))</f>
        <v/>
      </c>
      <c r="AF495" s="395"/>
      <c r="AG495" s="394"/>
      <c r="AH495" s="429" t="str">
        <f>IF(OR(ISBLANK($B495),ISBLANK($AG495)),"",IFERROR(IF($AG495&lt;=DATE('ESTADO CONTABLE'!$B$2,11,5),VLOOKUP($B495,COSTOS!$A$2:$B1014,2,FALSE)-150,VLOOKUP($B495,COSTOS!$A$2:$B1014,2,FALSE)),"No encontrado o error"))</f>
        <v/>
      </c>
      <c r="AI495" s="395"/>
      <c r="AJ495" s="394"/>
      <c r="AK495" s="429" t="str">
        <f>IF(OR(ISBLANK($B495),ISBLANK($AJ495)),"",IFERROR(IF($AJ495&lt;=DATE('ESTADO CONTABLE'!$B$2,12,5),VLOOKUP($B495,COSTOS!$A$2:$B1014,2,FALSE)-150,VLOOKUP($B495,COSTOS!$A$2:$B1014,2,FALSE)),"No encontrado o error"))</f>
        <v/>
      </c>
      <c r="AL495" s="395"/>
      <c r="AM495" s="254"/>
      <c r="AN495" s="255"/>
      <c r="AO495" s="256"/>
    </row>
    <row r="496" ht="22.5" customHeight="1">
      <c r="A496" s="431" t="str">
        <f>'BASE DE DATOSS'!A570</f>
        <v/>
      </c>
      <c r="B496" s="432" t="str">
        <f>'BASE DE DATOSS'!C570</f>
        <v/>
      </c>
      <c r="C496" s="263"/>
      <c r="D496" s="249"/>
      <c r="E496" s="250"/>
      <c r="F496" s="251"/>
      <c r="G496" s="262"/>
      <c r="H496" s="257"/>
      <c r="I496" s="249"/>
      <c r="J496" s="193" t="str">
        <f>IF(OR(ISBLANK($B496),ISBLANK($I496)),"",IFERROR(IF($I496&lt;=DATE('ESTADO CONTABLE'!$B$2,3,5),VLOOKUP($B496,COSTOS!$A$2:$B1014,2,FALSE)-150,VLOOKUP($B496,COSTOS!$A$2:$B1014,2,FALSE)),"No encontrado o error"))</f>
        <v/>
      </c>
      <c r="K496" s="264"/>
      <c r="L496" s="249"/>
      <c r="M496" s="189"/>
      <c r="N496" s="264"/>
      <c r="O496" s="249"/>
      <c r="P496" s="250"/>
      <c r="Q496" s="264"/>
      <c r="R496" s="249"/>
      <c r="S496" s="250"/>
      <c r="T496" s="264"/>
      <c r="U496" s="249"/>
      <c r="V496" s="250"/>
      <c r="W496" s="264"/>
      <c r="X496" s="394"/>
      <c r="Y496" s="429"/>
      <c r="Z496" s="395"/>
      <c r="AA496" s="394"/>
      <c r="AB496" s="118" t="str">
        <f>IF(OR(ISBLANK($B496),ISBLANK($AA496)),"",IFERROR(IF($AA496&lt;=DATE('ESTADO CONTABLE'!$B$2,9,5),VLOOKUP($B496,COSTOS!$A$2:$B1014,2,FALSE)-150,VLOOKUP($B496,COSTOS!$A$2:$B1014,2,FALSE)),"No encontrado o error"))</f>
        <v/>
      </c>
      <c r="AC496" s="395"/>
      <c r="AD496" s="394"/>
      <c r="AE496" s="429" t="str">
        <f>IF(OR(ISBLANK($B496),ISBLANK($AD496)),"",IFERROR(IF($AD496&lt;=DATE('ESTADO CONTABLE'!$B$2,10,5),VLOOKUP($B496,COSTOS!$A$2:$B1014,2,FALSE)-150,VLOOKUP($B496,COSTOS!$A$2:$B1014,2,FALSE)),"No encontrado o error"))</f>
        <v/>
      </c>
      <c r="AF496" s="395"/>
      <c r="AG496" s="394"/>
      <c r="AH496" s="429" t="str">
        <f>IF(OR(ISBLANK($B496),ISBLANK($AG496)),"",IFERROR(IF($AG496&lt;=DATE('ESTADO CONTABLE'!$B$2,11,5),VLOOKUP($B496,COSTOS!$A$2:$B1014,2,FALSE)-150,VLOOKUP($B496,COSTOS!$A$2:$B1014,2,FALSE)),"No encontrado o error"))</f>
        <v/>
      </c>
      <c r="AI496" s="395"/>
      <c r="AJ496" s="394"/>
      <c r="AK496" s="429" t="str">
        <f>IF(OR(ISBLANK($B496),ISBLANK($AJ496)),"",IFERROR(IF($AJ496&lt;=DATE('ESTADO CONTABLE'!$B$2,12,5),VLOOKUP($B496,COSTOS!$A$2:$B1014,2,FALSE)-150,VLOOKUP($B496,COSTOS!$A$2:$B1014,2,FALSE)),"No encontrado o error"))</f>
        <v/>
      </c>
      <c r="AL496" s="395"/>
      <c r="AM496" s="254"/>
      <c r="AN496" s="255"/>
      <c r="AO496" s="256"/>
    </row>
    <row r="497" ht="22.5" customHeight="1">
      <c r="A497" s="431" t="str">
        <f>'BASE DE DATOSS'!A571</f>
        <v/>
      </c>
      <c r="B497" s="432" t="str">
        <f>'BASE DE DATOSS'!C571</f>
        <v/>
      </c>
      <c r="C497" s="263"/>
      <c r="D497" s="249"/>
      <c r="E497" s="250"/>
      <c r="F497" s="251"/>
      <c r="G497" s="262"/>
      <c r="H497" s="257"/>
      <c r="I497" s="249"/>
      <c r="J497" s="193" t="str">
        <f>IF(OR(ISBLANK($B497),ISBLANK($I497)),"",IFERROR(IF($I497&lt;=DATE('ESTADO CONTABLE'!$B$2,3,5),VLOOKUP($B497,COSTOS!$A$2:$B1014,2,FALSE)-150,VLOOKUP($B497,COSTOS!$A$2:$B1014,2,FALSE)),"No encontrado o error"))</f>
        <v/>
      </c>
      <c r="K497" s="264"/>
      <c r="L497" s="249"/>
      <c r="M497" s="189"/>
      <c r="N497" s="264"/>
      <c r="O497" s="249"/>
      <c r="P497" s="250"/>
      <c r="Q497" s="264"/>
      <c r="R497" s="249"/>
      <c r="S497" s="250"/>
      <c r="T497" s="264"/>
      <c r="U497" s="249"/>
      <c r="V497" s="250"/>
      <c r="W497" s="264"/>
      <c r="X497" s="394"/>
      <c r="Y497" s="429"/>
      <c r="Z497" s="395"/>
      <c r="AA497" s="394"/>
      <c r="AB497" s="118" t="str">
        <f>IF(OR(ISBLANK($B497),ISBLANK($AA497)),"",IFERROR(IF($AA497&lt;=DATE('ESTADO CONTABLE'!$B$2,9,5),VLOOKUP($B497,COSTOS!$A$2:$B1014,2,FALSE)-150,VLOOKUP($B497,COSTOS!$A$2:$B1014,2,FALSE)),"No encontrado o error"))</f>
        <v/>
      </c>
      <c r="AC497" s="395"/>
      <c r="AD497" s="394"/>
      <c r="AE497" s="429" t="str">
        <f>IF(OR(ISBLANK($B497),ISBLANK($AD497)),"",IFERROR(IF($AD497&lt;=DATE('ESTADO CONTABLE'!$B$2,10,5),VLOOKUP($B497,COSTOS!$A$2:$B1014,2,FALSE)-150,VLOOKUP($B497,COSTOS!$A$2:$B1014,2,FALSE)),"No encontrado o error"))</f>
        <v/>
      </c>
      <c r="AF497" s="395"/>
      <c r="AG497" s="394"/>
      <c r="AH497" s="429" t="str">
        <f>IF(OR(ISBLANK($B497),ISBLANK($AG497)),"",IFERROR(IF($AG497&lt;=DATE('ESTADO CONTABLE'!$B$2,11,5),VLOOKUP($B497,COSTOS!$A$2:$B1014,2,FALSE)-150,VLOOKUP($B497,COSTOS!$A$2:$B1014,2,FALSE)),"No encontrado o error"))</f>
        <v/>
      </c>
      <c r="AI497" s="395"/>
      <c r="AJ497" s="394"/>
      <c r="AK497" s="429" t="str">
        <f>IF(OR(ISBLANK($B497),ISBLANK($AJ497)),"",IFERROR(IF($AJ497&lt;=DATE('ESTADO CONTABLE'!$B$2,12,5),VLOOKUP($B497,COSTOS!$A$2:$B1014,2,FALSE)-150,VLOOKUP($B497,COSTOS!$A$2:$B1014,2,FALSE)),"No encontrado o error"))</f>
        <v/>
      </c>
      <c r="AL497" s="395"/>
      <c r="AM497" s="254"/>
      <c r="AN497" s="255"/>
      <c r="AO497" s="256"/>
    </row>
    <row r="498" ht="22.5" customHeight="1">
      <c r="A498" s="431" t="str">
        <f>'BASE DE DATOSS'!A572</f>
        <v/>
      </c>
      <c r="B498" s="432" t="str">
        <f>'BASE DE DATOSS'!C572</f>
        <v/>
      </c>
      <c r="C498" s="263"/>
      <c r="D498" s="249"/>
      <c r="E498" s="250"/>
      <c r="F498" s="251"/>
      <c r="G498" s="262"/>
      <c r="H498" s="257"/>
      <c r="I498" s="249"/>
      <c r="J498" s="193" t="str">
        <f>IF(OR(ISBLANK($B498),ISBLANK($I498)),"",IFERROR(IF($I498&lt;=DATE('ESTADO CONTABLE'!$B$2,3,5),VLOOKUP($B498,COSTOS!$A$2:$B1014,2,FALSE)-150,VLOOKUP($B498,COSTOS!$A$2:$B1014,2,FALSE)),"No encontrado o error"))</f>
        <v/>
      </c>
      <c r="K498" s="264"/>
      <c r="L498" s="249"/>
      <c r="M498" s="189"/>
      <c r="N498" s="264"/>
      <c r="O498" s="249"/>
      <c r="P498" s="250"/>
      <c r="Q498" s="264"/>
      <c r="R498" s="249"/>
      <c r="S498" s="250"/>
      <c r="T498" s="264"/>
      <c r="U498" s="249"/>
      <c r="V498" s="250"/>
      <c r="W498" s="264"/>
      <c r="X498" s="394"/>
      <c r="Y498" s="429"/>
      <c r="Z498" s="395"/>
      <c r="AA498" s="394"/>
      <c r="AB498" s="118" t="str">
        <f>IF(OR(ISBLANK($B498),ISBLANK($AA498)),"",IFERROR(IF($AA498&lt;=DATE('ESTADO CONTABLE'!$B$2,9,5),VLOOKUP($B498,COSTOS!$A$2:$B1014,2,FALSE)-150,VLOOKUP($B498,COSTOS!$A$2:$B1014,2,FALSE)),"No encontrado o error"))</f>
        <v/>
      </c>
      <c r="AC498" s="395"/>
      <c r="AD498" s="394"/>
      <c r="AE498" s="429" t="str">
        <f>IF(OR(ISBLANK($B498),ISBLANK($AD498)),"",IFERROR(IF($AD498&lt;=DATE('ESTADO CONTABLE'!$B$2,10,5),VLOOKUP($B498,COSTOS!$A$2:$B1014,2,FALSE)-150,VLOOKUP($B498,COSTOS!$A$2:$B1014,2,FALSE)),"No encontrado o error"))</f>
        <v/>
      </c>
      <c r="AF498" s="395"/>
      <c r="AG498" s="394"/>
      <c r="AH498" s="429" t="str">
        <f>IF(OR(ISBLANK($B498),ISBLANK($AG498)),"",IFERROR(IF($AG498&lt;=DATE('ESTADO CONTABLE'!$B$2,11,5),VLOOKUP($B498,COSTOS!$A$2:$B1014,2,FALSE)-150,VLOOKUP($B498,COSTOS!$A$2:$B1014,2,FALSE)),"No encontrado o error"))</f>
        <v/>
      </c>
      <c r="AI498" s="395"/>
      <c r="AJ498" s="394"/>
      <c r="AK498" s="429" t="str">
        <f>IF(OR(ISBLANK($B498),ISBLANK($AJ498)),"",IFERROR(IF($AJ498&lt;=DATE('ESTADO CONTABLE'!$B$2,12,5),VLOOKUP($B498,COSTOS!$A$2:$B1014,2,FALSE)-150,VLOOKUP($B498,COSTOS!$A$2:$B1014,2,FALSE)),"No encontrado o error"))</f>
        <v/>
      </c>
      <c r="AL498" s="395"/>
      <c r="AM498" s="254"/>
      <c r="AN498" s="255"/>
      <c r="AO498" s="256"/>
    </row>
    <row r="499" ht="22.5" customHeight="1">
      <c r="A499" s="431" t="str">
        <f>'BASE DE DATOSS'!A573</f>
        <v/>
      </c>
      <c r="B499" s="432" t="str">
        <f>'BASE DE DATOSS'!C573</f>
        <v/>
      </c>
      <c r="C499" s="263"/>
      <c r="D499" s="249"/>
      <c r="E499" s="250"/>
      <c r="F499" s="251"/>
      <c r="G499" s="262"/>
      <c r="H499" s="257"/>
      <c r="I499" s="249"/>
      <c r="J499" s="193" t="str">
        <f>IF(OR(ISBLANK($B499),ISBLANK($I499)),"",IFERROR(IF($I499&lt;=DATE('ESTADO CONTABLE'!$B$2,3,5),VLOOKUP($B499,COSTOS!$A$2:$B1014,2,FALSE)-150,VLOOKUP($B499,COSTOS!$A$2:$B1014,2,FALSE)),"No encontrado o error"))</f>
        <v/>
      </c>
      <c r="K499" s="264"/>
      <c r="L499" s="249"/>
      <c r="M499" s="189"/>
      <c r="N499" s="264"/>
      <c r="O499" s="249"/>
      <c r="P499" s="250"/>
      <c r="Q499" s="264"/>
      <c r="R499" s="249"/>
      <c r="S499" s="250"/>
      <c r="T499" s="264"/>
      <c r="U499" s="249"/>
      <c r="V499" s="250"/>
      <c r="W499" s="264"/>
      <c r="X499" s="394"/>
      <c r="Y499" s="429"/>
      <c r="Z499" s="395"/>
      <c r="AA499" s="394"/>
      <c r="AB499" s="118" t="str">
        <f>IF(OR(ISBLANK($B499),ISBLANK($AA499)),"",IFERROR(IF($AA499&lt;=DATE('ESTADO CONTABLE'!$B$2,9,5),VLOOKUP($B499,COSTOS!$A$2:$B1014,2,FALSE)-150,VLOOKUP($B499,COSTOS!$A$2:$B1014,2,FALSE)),"No encontrado o error"))</f>
        <v/>
      </c>
      <c r="AC499" s="395"/>
      <c r="AD499" s="394"/>
      <c r="AE499" s="429" t="str">
        <f>IF(OR(ISBLANK($B499),ISBLANK($AD499)),"",IFERROR(IF($AD499&lt;=DATE('ESTADO CONTABLE'!$B$2,10,5),VLOOKUP($B499,COSTOS!$A$2:$B1014,2,FALSE)-150,VLOOKUP($B499,COSTOS!$A$2:$B1014,2,FALSE)),"No encontrado o error"))</f>
        <v/>
      </c>
      <c r="AF499" s="395"/>
      <c r="AG499" s="394"/>
      <c r="AH499" s="429" t="str">
        <f>IF(OR(ISBLANK($B499),ISBLANK($AG499)),"",IFERROR(IF($AG499&lt;=DATE('ESTADO CONTABLE'!$B$2,11,5),VLOOKUP($B499,COSTOS!$A$2:$B1014,2,FALSE)-150,VLOOKUP($B499,COSTOS!$A$2:$B1014,2,FALSE)),"No encontrado o error"))</f>
        <v/>
      </c>
      <c r="AI499" s="395"/>
      <c r="AJ499" s="394"/>
      <c r="AK499" s="429" t="str">
        <f>IF(OR(ISBLANK($B499),ISBLANK($AJ499)),"",IFERROR(IF($AJ499&lt;=DATE('ESTADO CONTABLE'!$B$2,12,5),VLOOKUP($B499,COSTOS!$A$2:$B1014,2,FALSE)-150,VLOOKUP($B499,COSTOS!$A$2:$B1014,2,FALSE)),"No encontrado o error"))</f>
        <v/>
      </c>
      <c r="AL499" s="395"/>
      <c r="AM499" s="254"/>
      <c r="AN499" s="255"/>
      <c r="AO499" s="256"/>
    </row>
    <row r="500" ht="22.5" customHeight="1">
      <c r="A500" s="431" t="str">
        <f>'BASE DE DATOSS'!A574</f>
        <v/>
      </c>
      <c r="B500" s="432" t="str">
        <f>'BASE DE DATOSS'!C574</f>
        <v/>
      </c>
      <c r="C500" s="263"/>
      <c r="D500" s="249"/>
      <c r="E500" s="250"/>
      <c r="F500" s="251"/>
      <c r="G500" s="262"/>
      <c r="H500" s="257"/>
      <c r="I500" s="249"/>
      <c r="J500" s="193" t="str">
        <f>IF(OR(ISBLANK($B500),ISBLANK($I500)),"",IFERROR(IF($I500&lt;=DATE('ESTADO CONTABLE'!$B$2,3,5),VLOOKUP($B500,COSTOS!$A$2:$B1014,2,FALSE)-150,VLOOKUP($B500,COSTOS!$A$2:$B1014,2,FALSE)),"No encontrado o error"))</f>
        <v/>
      </c>
      <c r="K500" s="264"/>
      <c r="L500" s="249"/>
      <c r="M500" s="189"/>
      <c r="N500" s="264"/>
      <c r="O500" s="249"/>
      <c r="P500" s="250"/>
      <c r="Q500" s="264"/>
      <c r="R500" s="249"/>
      <c r="S500" s="250"/>
      <c r="T500" s="264"/>
      <c r="U500" s="249"/>
      <c r="V500" s="250"/>
      <c r="W500" s="264"/>
      <c r="X500" s="394"/>
      <c r="Y500" s="429"/>
      <c r="Z500" s="395"/>
      <c r="AA500" s="394"/>
      <c r="AB500" s="118" t="str">
        <f>IF(OR(ISBLANK($B500),ISBLANK($AA500)),"",IFERROR(IF($AA500&lt;=DATE('ESTADO CONTABLE'!$B$2,9,5),VLOOKUP($B500,COSTOS!$A$2:$B1014,2,FALSE)-150,VLOOKUP($B500,COSTOS!$A$2:$B1014,2,FALSE)),"No encontrado o error"))</f>
        <v/>
      </c>
      <c r="AC500" s="395"/>
      <c r="AD500" s="394"/>
      <c r="AE500" s="429" t="str">
        <f>IF(OR(ISBLANK($B500),ISBLANK($AD500)),"",IFERROR(IF($AD500&lt;=DATE('ESTADO CONTABLE'!$B$2,10,5),VLOOKUP($B500,COSTOS!$A$2:$B1014,2,FALSE)-150,VLOOKUP($B500,COSTOS!$A$2:$B1014,2,FALSE)),"No encontrado o error"))</f>
        <v/>
      </c>
      <c r="AF500" s="395"/>
      <c r="AG500" s="394"/>
      <c r="AH500" s="429" t="str">
        <f>IF(OR(ISBLANK($B500),ISBLANK($AG500)),"",IFERROR(IF($AG500&lt;=DATE('ESTADO CONTABLE'!$B$2,11,5),VLOOKUP($B500,COSTOS!$A$2:$B1014,2,FALSE)-150,VLOOKUP($B500,COSTOS!$A$2:$B1014,2,FALSE)),"No encontrado o error"))</f>
        <v/>
      </c>
      <c r="AI500" s="395"/>
      <c r="AJ500" s="394"/>
      <c r="AK500" s="429" t="str">
        <f>IF(OR(ISBLANK($B500),ISBLANK($AJ500)),"",IFERROR(IF($AJ500&lt;=DATE('ESTADO CONTABLE'!$B$2,12,5),VLOOKUP($B500,COSTOS!$A$2:$B1014,2,FALSE)-150,VLOOKUP($B500,COSTOS!$A$2:$B1014,2,FALSE)),"No encontrado o error"))</f>
        <v/>
      </c>
      <c r="AL500" s="395"/>
      <c r="AM500" s="254"/>
      <c r="AN500" s="255"/>
      <c r="AO500" s="256"/>
    </row>
    <row r="501" ht="22.5" customHeight="1">
      <c r="A501" s="431" t="str">
        <f>'BASE DE DATOSS'!A575</f>
        <v/>
      </c>
      <c r="B501" s="432" t="str">
        <f>'BASE DE DATOSS'!C575</f>
        <v/>
      </c>
      <c r="C501" s="263"/>
      <c r="D501" s="249"/>
      <c r="E501" s="250"/>
      <c r="F501" s="251"/>
      <c r="G501" s="262"/>
      <c r="H501" s="257"/>
      <c r="I501" s="249"/>
      <c r="J501" s="193" t="str">
        <f>IF(OR(ISBLANK($B501),ISBLANK($I501)),"",IFERROR(IF($I501&lt;=DATE('ESTADO CONTABLE'!$B$2,3,5),VLOOKUP($B501,COSTOS!$A$2:$B1014,2,FALSE)-150,VLOOKUP($B501,COSTOS!$A$2:$B1014,2,FALSE)),"No encontrado o error"))</f>
        <v/>
      </c>
      <c r="K501" s="264"/>
      <c r="L501" s="249"/>
      <c r="M501" s="189"/>
      <c r="N501" s="264"/>
      <c r="O501" s="249"/>
      <c r="P501" s="250"/>
      <c r="Q501" s="264"/>
      <c r="R501" s="249"/>
      <c r="S501" s="250"/>
      <c r="T501" s="264"/>
      <c r="U501" s="249"/>
      <c r="V501" s="250"/>
      <c r="W501" s="264"/>
      <c r="X501" s="394"/>
      <c r="Y501" s="429"/>
      <c r="Z501" s="395"/>
      <c r="AA501" s="394"/>
      <c r="AB501" s="118" t="str">
        <f>IF(OR(ISBLANK($B501),ISBLANK($AA501)),"",IFERROR(IF($AA501&lt;=DATE('ESTADO CONTABLE'!$B$2,9,5),VLOOKUP($B501,COSTOS!$A$2:$B1014,2,FALSE)-150,VLOOKUP($B501,COSTOS!$A$2:$B1014,2,FALSE)),"No encontrado o error"))</f>
        <v/>
      </c>
      <c r="AC501" s="395"/>
      <c r="AD501" s="394"/>
      <c r="AE501" s="429" t="str">
        <f>IF(OR(ISBLANK($B501),ISBLANK($AD501)),"",IFERROR(IF($AD501&lt;=DATE('ESTADO CONTABLE'!$B$2,10,5),VLOOKUP($B501,COSTOS!$A$2:$B1014,2,FALSE)-150,VLOOKUP($B501,COSTOS!$A$2:$B1014,2,FALSE)),"No encontrado o error"))</f>
        <v/>
      </c>
      <c r="AF501" s="395"/>
      <c r="AG501" s="394"/>
      <c r="AH501" s="429" t="str">
        <f>IF(OR(ISBLANK($B501),ISBLANK($AG501)),"",IFERROR(IF($AG501&lt;=DATE('ESTADO CONTABLE'!$B$2,11,5),VLOOKUP($B501,COSTOS!$A$2:$B1014,2,FALSE)-150,VLOOKUP($B501,COSTOS!$A$2:$B1014,2,FALSE)),"No encontrado o error"))</f>
        <v/>
      </c>
      <c r="AI501" s="395"/>
      <c r="AJ501" s="394"/>
      <c r="AK501" s="429" t="str">
        <f>IF(OR(ISBLANK($B501),ISBLANK($AJ501)),"",IFERROR(IF($AJ501&lt;=DATE('ESTADO CONTABLE'!$B$2,12,5),VLOOKUP($B501,COSTOS!$A$2:$B1014,2,FALSE)-150,VLOOKUP($B501,COSTOS!$A$2:$B1014,2,FALSE)),"No encontrado o error"))</f>
        <v/>
      </c>
      <c r="AL501" s="395"/>
      <c r="AM501" s="254"/>
      <c r="AN501" s="255"/>
      <c r="AO501" s="256"/>
    </row>
    <row r="502" ht="22.5" customHeight="1">
      <c r="A502" s="431" t="str">
        <f>'BASE DE DATOSS'!A576</f>
        <v/>
      </c>
      <c r="B502" s="432" t="str">
        <f>'BASE DE DATOSS'!C576</f>
        <v/>
      </c>
      <c r="C502" s="263"/>
      <c r="D502" s="249"/>
      <c r="E502" s="250"/>
      <c r="F502" s="251"/>
      <c r="G502" s="262"/>
      <c r="H502" s="257"/>
      <c r="I502" s="249"/>
      <c r="J502" s="193" t="str">
        <f>IF(OR(ISBLANK($B502),ISBLANK($I502)),"",IFERROR(IF($I502&lt;=DATE('ESTADO CONTABLE'!$B$2,3,5),VLOOKUP($B502,COSTOS!$A$2:$B1014,2,FALSE)-150,VLOOKUP($B502,COSTOS!$A$2:$B1014,2,FALSE)),"No encontrado o error"))</f>
        <v/>
      </c>
      <c r="K502" s="264"/>
      <c r="L502" s="249"/>
      <c r="M502" s="189"/>
      <c r="N502" s="264"/>
      <c r="O502" s="249"/>
      <c r="P502" s="250"/>
      <c r="Q502" s="264"/>
      <c r="R502" s="249"/>
      <c r="S502" s="250"/>
      <c r="T502" s="264"/>
      <c r="U502" s="249"/>
      <c r="V502" s="250"/>
      <c r="W502" s="264"/>
      <c r="X502" s="394"/>
      <c r="Y502" s="429"/>
      <c r="Z502" s="395"/>
      <c r="AA502" s="394"/>
      <c r="AB502" s="118" t="str">
        <f>IF(OR(ISBLANK($B502),ISBLANK($AA502)),"",IFERROR(IF($AA502&lt;=DATE('ESTADO CONTABLE'!$B$2,9,5),VLOOKUP($B502,COSTOS!$A$2:$B1014,2,FALSE)-150,VLOOKUP($B502,COSTOS!$A$2:$B1014,2,FALSE)),"No encontrado o error"))</f>
        <v/>
      </c>
      <c r="AC502" s="395"/>
      <c r="AD502" s="394"/>
      <c r="AE502" s="429" t="str">
        <f>IF(OR(ISBLANK($B502),ISBLANK($AD502)),"",IFERROR(IF($AD502&lt;=DATE('ESTADO CONTABLE'!$B$2,10,5),VLOOKUP($B502,COSTOS!$A$2:$B1014,2,FALSE)-150,VLOOKUP($B502,COSTOS!$A$2:$B1014,2,FALSE)),"No encontrado o error"))</f>
        <v/>
      </c>
      <c r="AF502" s="395"/>
      <c r="AG502" s="394"/>
      <c r="AH502" s="429" t="str">
        <f>IF(OR(ISBLANK($B502),ISBLANK($AG502)),"",IFERROR(IF($AG502&lt;=DATE('ESTADO CONTABLE'!$B$2,11,5),VLOOKUP($B502,COSTOS!$A$2:$B1014,2,FALSE)-150,VLOOKUP($B502,COSTOS!$A$2:$B1014,2,FALSE)),"No encontrado o error"))</f>
        <v/>
      </c>
      <c r="AI502" s="395"/>
      <c r="AJ502" s="394"/>
      <c r="AK502" s="429" t="str">
        <f>IF(OR(ISBLANK($B502),ISBLANK($AJ502)),"",IFERROR(IF($AJ502&lt;=DATE('ESTADO CONTABLE'!$B$2,12,5),VLOOKUP($B502,COSTOS!$A$2:$B1014,2,FALSE)-150,VLOOKUP($B502,COSTOS!$A$2:$B1014,2,FALSE)),"No encontrado o error"))</f>
        <v/>
      </c>
      <c r="AL502" s="395"/>
      <c r="AM502" s="254"/>
      <c r="AN502" s="255"/>
      <c r="AO502" s="256"/>
    </row>
    <row r="503" ht="22.5" customHeight="1">
      <c r="A503" s="431" t="str">
        <f>'BASE DE DATOSS'!A577</f>
        <v/>
      </c>
      <c r="B503" s="432" t="str">
        <f>'BASE DE DATOSS'!C577</f>
        <v/>
      </c>
      <c r="C503" s="263"/>
      <c r="D503" s="249"/>
      <c r="E503" s="250"/>
      <c r="F503" s="251"/>
      <c r="G503" s="262"/>
      <c r="H503" s="257"/>
      <c r="I503" s="249"/>
      <c r="J503" s="193" t="str">
        <f>IF(OR(ISBLANK($B503),ISBLANK($I503)),"",IFERROR(IF($I503&lt;=DATE('ESTADO CONTABLE'!$B$2,3,5),VLOOKUP($B503,COSTOS!$A$2:$B1014,2,FALSE)-150,VLOOKUP($B503,COSTOS!$A$2:$B1014,2,FALSE)),"No encontrado o error"))</f>
        <v/>
      </c>
      <c r="K503" s="264"/>
      <c r="L503" s="249"/>
      <c r="M503" s="189"/>
      <c r="N503" s="264"/>
      <c r="O503" s="249"/>
      <c r="P503" s="250"/>
      <c r="Q503" s="264"/>
      <c r="R503" s="249"/>
      <c r="S503" s="250"/>
      <c r="T503" s="264"/>
      <c r="U503" s="249"/>
      <c r="V503" s="250"/>
      <c r="W503" s="264"/>
      <c r="X503" s="394"/>
      <c r="Y503" s="429"/>
      <c r="Z503" s="395"/>
      <c r="AA503" s="394"/>
      <c r="AB503" s="118" t="str">
        <f>IF(OR(ISBLANK($B503),ISBLANK($AA503)),"",IFERROR(IF($AA503&lt;=DATE('ESTADO CONTABLE'!$B$2,9,5),VLOOKUP($B503,COSTOS!$A$2:$B1014,2,FALSE)-150,VLOOKUP($B503,COSTOS!$A$2:$B1014,2,FALSE)),"No encontrado o error"))</f>
        <v/>
      </c>
      <c r="AC503" s="395"/>
      <c r="AD503" s="394"/>
      <c r="AE503" s="429" t="str">
        <f>IF(OR(ISBLANK($B503),ISBLANK($AD503)),"",IFERROR(IF($AD503&lt;=DATE('ESTADO CONTABLE'!$B$2,10,5),VLOOKUP($B503,COSTOS!$A$2:$B1014,2,FALSE)-150,VLOOKUP($B503,COSTOS!$A$2:$B1014,2,FALSE)),"No encontrado o error"))</f>
        <v/>
      </c>
      <c r="AF503" s="395"/>
      <c r="AG503" s="394"/>
      <c r="AH503" s="429" t="str">
        <f>IF(OR(ISBLANK($B503),ISBLANK($AG503)),"",IFERROR(IF($AG503&lt;=DATE('ESTADO CONTABLE'!$B$2,11,5),VLOOKUP($B503,COSTOS!$A$2:$B1014,2,FALSE)-150,VLOOKUP($B503,COSTOS!$A$2:$B1014,2,FALSE)),"No encontrado o error"))</f>
        <v/>
      </c>
      <c r="AI503" s="395"/>
      <c r="AJ503" s="394"/>
      <c r="AK503" s="429" t="str">
        <f>IF(OR(ISBLANK($B503),ISBLANK($AJ503)),"",IFERROR(IF($AJ503&lt;=DATE('ESTADO CONTABLE'!$B$2,12,5),VLOOKUP($B503,COSTOS!$A$2:$B1014,2,FALSE)-150,VLOOKUP($B503,COSTOS!$A$2:$B1014,2,FALSE)),"No encontrado o error"))</f>
        <v/>
      </c>
      <c r="AL503" s="395"/>
      <c r="AM503" s="254"/>
      <c r="AN503" s="255"/>
      <c r="AO503" s="256"/>
    </row>
    <row r="504" ht="22.5" customHeight="1">
      <c r="A504" s="431" t="str">
        <f>'BASE DE DATOSS'!A578</f>
        <v/>
      </c>
      <c r="B504" s="432" t="str">
        <f>'BASE DE DATOSS'!C578</f>
        <v/>
      </c>
      <c r="C504" s="263"/>
      <c r="D504" s="249"/>
      <c r="E504" s="250"/>
      <c r="F504" s="251"/>
      <c r="G504" s="262"/>
      <c r="H504" s="257"/>
      <c r="I504" s="249"/>
      <c r="J504" s="193" t="str">
        <f>IF(OR(ISBLANK($B504),ISBLANK($I504)),"",IFERROR(IF($I504&lt;=DATE('ESTADO CONTABLE'!$B$2,3,5),VLOOKUP($B504,COSTOS!$A$2:$B1014,2,FALSE)-150,VLOOKUP($B504,COSTOS!$A$2:$B1014,2,FALSE)),"No encontrado o error"))</f>
        <v/>
      </c>
      <c r="K504" s="264"/>
      <c r="L504" s="249"/>
      <c r="M504" s="189"/>
      <c r="N504" s="264"/>
      <c r="O504" s="249"/>
      <c r="P504" s="250"/>
      <c r="Q504" s="264"/>
      <c r="R504" s="249"/>
      <c r="S504" s="250"/>
      <c r="T504" s="264"/>
      <c r="U504" s="249"/>
      <c r="V504" s="250"/>
      <c r="W504" s="264"/>
      <c r="X504" s="394"/>
      <c r="Y504" s="429"/>
      <c r="Z504" s="395"/>
      <c r="AA504" s="394"/>
      <c r="AB504" s="118" t="str">
        <f>IF(OR(ISBLANK($B504),ISBLANK($AA504)),"",IFERROR(IF($AA504&lt;=DATE('ESTADO CONTABLE'!$B$2,9,5),VLOOKUP($B504,COSTOS!$A$2:$B1014,2,FALSE)-150,VLOOKUP($B504,COSTOS!$A$2:$B1014,2,FALSE)),"No encontrado o error"))</f>
        <v/>
      </c>
      <c r="AC504" s="395"/>
      <c r="AD504" s="394"/>
      <c r="AE504" s="429" t="str">
        <f>IF(OR(ISBLANK($B504),ISBLANK($AD504)),"",IFERROR(IF($AD504&lt;=DATE('ESTADO CONTABLE'!$B$2,10,5),VLOOKUP($B504,COSTOS!$A$2:$B1014,2,FALSE)-150,VLOOKUP($B504,COSTOS!$A$2:$B1014,2,FALSE)),"No encontrado o error"))</f>
        <v/>
      </c>
      <c r="AF504" s="395"/>
      <c r="AG504" s="394"/>
      <c r="AH504" s="429" t="str">
        <f>IF(OR(ISBLANK($B504),ISBLANK($AG504)),"",IFERROR(IF($AG504&lt;=DATE('ESTADO CONTABLE'!$B$2,11,5),VLOOKUP($B504,COSTOS!$A$2:$B1014,2,FALSE)-150,VLOOKUP($B504,COSTOS!$A$2:$B1014,2,FALSE)),"No encontrado o error"))</f>
        <v/>
      </c>
      <c r="AI504" s="395"/>
      <c r="AJ504" s="394"/>
      <c r="AK504" s="429" t="str">
        <f>IF(OR(ISBLANK($B504),ISBLANK($AJ504)),"",IFERROR(IF($AJ504&lt;=DATE('ESTADO CONTABLE'!$B$2,12,5),VLOOKUP($B504,COSTOS!$A$2:$B1014,2,FALSE)-150,VLOOKUP($B504,COSTOS!$A$2:$B1014,2,FALSE)),"No encontrado o error"))</f>
        <v/>
      </c>
      <c r="AL504" s="395"/>
      <c r="AM504" s="254"/>
      <c r="AN504" s="255"/>
      <c r="AO504" s="256"/>
    </row>
    <row r="505" ht="22.5" customHeight="1">
      <c r="A505" s="431" t="str">
        <f>'BASE DE DATOSS'!A579</f>
        <v/>
      </c>
      <c r="B505" s="432" t="str">
        <f>'BASE DE DATOSS'!C579</f>
        <v/>
      </c>
      <c r="C505" s="263"/>
      <c r="D505" s="249"/>
      <c r="E505" s="250"/>
      <c r="F505" s="251"/>
      <c r="G505" s="262"/>
      <c r="H505" s="257"/>
      <c r="I505" s="249"/>
      <c r="J505" s="193" t="str">
        <f>IF(OR(ISBLANK($B505),ISBLANK($I505)),"",IFERROR(IF($I505&lt;=DATE('ESTADO CONTABLE'!$B$2,3,5),VLOOKUP($B505,COSTOS!$A$2:$B1014,2,FALSE)-150,VLOOKUP($B505,COSTOS!$A$2:$B1014,2,FALSE)),"No encontrado o error"))</f>
        <v/>
      </c>
      <c r="K505" s="264"/>
      <c r="L505" s="249"/>
      <c r="M505" s="189"/>
      <c r="N505" s="264"/>
      <c r="O505" s="249"/>
      <c r="P505" s="250"/>
      <c r="Q505" s="264"/>
      <c r="R505" s="249"/>
      <c r="S505" s="250"/>
      <c r="T505" s="264"/>
      <c r="U505" s="249"/>
      <c r="V505" s="250"/>
      <c r="W505" s="264"/>
      <c r="X505" s="394"/>
      <c r="Y505" s="429"/>
      <c r="Z505" s="395"/>
      <c r="AA505" s="394"/>
      <c r="AB505" s="118" t="str">
        <f>IF(OR(ISBLANK($B505),ISBLANK($AA505)),"",IFERROR(IF($AA505&lt;=DATE('ESTADO CONTABLE'!$B$2,9,5),VLOOKUP($B505,COSTOS!$A$2:$B1014,2,FALSE)-150,VLOOKUP($B505,COSTOS!$A$2:$B1014,2,FALSE)),"No encontrado o error"))</f>
        <v/>
      </c>
      <c r="AC505" s="395"/>
      <c r="AD505" s="394"/>
      <c r="AE505" s="429" t="str">
        <f>IF(OR(ISBLANK($B505),ISBLANK($AD505)),"",IFERROR(IF($AD505&lt;=DATE('ESTADO CONTABLE'!$B$2,10,5),VLOOKUP($B505,COSTOS!$A$2:$B1014,2,FALSE)-150,VLOOKUP($B505,COSTOS!$A$2:$B1014,2,FALSE)),"No encontrado o error"))</f>
        <v/>
      </c>
      <c r="AF505" s="395"/>
      <c r="AG505" s="394"/>
      <c r="AH505" s="429" t="str">
        <f>IF(OR(ISBLANK($B505),ISBLANK($AG505)),"",IFERROR(IF($AG505&lt;=DATE('ESTADO CONTABLE'!$B$2,11,5),VLOOKUP($B505,COSTOS!$A$2:$B1014,2,FALSE)-150,VLOOKUP($B505,COSTOS!$A$2:$B1014,2,FALSE)),"No encontrado o error"))</f>
        <v/>
      </c>
      <c r="AI505" s="395"/>
      <c r="AJ505" s="394"/>
      <c r="AK505" s="429" t="str">
        <f>IF(OR(ISBLANK($B505),ISBLANK($AJ505)),"",IFERROR(IF($AJ505&lt;=DATE('ESTADO CONTABLE'!$B$2,12,5),VLOOKUP($B505,COSTOS!$A$2:$B1014,2,FALSE)-150,VLOOKUP($B505,COSTOS!$A$2:$B1014,2,FALSE)),"No encontrado o error"))</f>
        <v/>
      </c>
      <c r="AL505" s="395"/>
      <c r="AM505" s="254"/>
      <c r="AN505" s="255"/>
      <c r="AO505" s="256"/>
    </row>
    <row r="506" ht="22.5" customHeight="1">
      <c r="A506" s="431" t="str">
        <f>'BASE DE DATOSS'!A580</f>
        <v/>
      </c>
      <c r="B506" s="432" t="str">
        <f>'BASE DE DATOSS'!C580</f>
        <v/>
      </c>
      <c r="C506" s="263"/>
      <c r="D506" s="249"/>
      <c r="E506" s="250"/>
      <c r="F506" s="251"/>
      <c r="G506" s="262"/>
      <c r="H506" s="257"/>
      <c r="I506" s="249"/>
      <c r="J506" s="193" t="str">
        <f>IF(OR(ISBLANK($B506),ISBLANK($I506)),"",IFERROR(IF($I506&lt;=DATE('ESTADO CONTABLE'!$B$2,3,5),VLOOKUP($B506,COSTOS!$A$2:$B1014,2,FALSE)-150,VLOOKUP($B506,COSTOS!$A$2:$B1014,2,FALSE)),"No encontrado o error"))</f>
        <v/>
      </c>
      <c r="K506" s="264"/>
      <c r="L506" s="249"/>
      <c r="M506" s="189"/>
      <c r="N506" s="264"/>
      <c r="O506" s="249"/>
      <c r="P506" s="250"/>
      <c r="Q506" s="264"/>
      <c r="R506" s="249"/>
      <c r="S506" s="250"/>
      <c r="T506" s="264"/>
      <c r="U506" s="249"/>
      <c r="V506" s="250"/>
      <c r="W506" s="264"/>
      <c r="X506" s="394"/>
      <c r="Y506" s="429"/>
      <c r="Z506" s="395"/>
      <c r="AA506" s="394"/>
      <c r="AB506" s="118" t="str">
        <f>IF(OR(ISBLANK($B506),ISBLANK($AA506)),"",IFERROR(IF($AA506&lt;=DATE('ESTADO CONTABLE'!$B$2,9,5),VLOOKUP($B506,COSTOS!$A$2:$B1014,2,FALSE)-150,VLOOKUP($B506,COSTOS!$A$2:$B1014,2,FALSE)),"No encontrado o error"))</f>
        <v/>
      </c>
      <c r="AC506" s="395"/>
      <c r="AD506" s="394"/>
      <c r="AE506" s="429" t="str">
        <f>IF(OR(ISBLANK($B506),ISBLANK($AD506)),"",IFERROR(IF($AD506&lt;=DATE('ESTADO CONTABLE'!$B$2,10,5),VLOOKUP($B506,COSTOS!$A$2:$B1014,2,FALSE)-150,VLOOKUP($B506,COSTOS!$A$2:$B1014,2,FALSE)),"No encontrado o error"))</f>
        <v/>
      </c>
      <c r="AF506" s="395"/>
      <c r="AG506" s="394"/>
      <c r="AH506" s="429" t="str">
        <f>IF(OR(ISBLANK($B506),ISBLANK($AG506)),"",IFERROR(IF($AG506&lt;=DATE('ESTADO CONTABLE'!$B$2,11,5),VLOOKUP($B506,COSTOS!$A$2:$B1014,2,FALSE)-150,VLOOKUP($B506,COSTOS!$A$2:$B1014,2,FALSE)),"No encontrado o error"))</f>
        <v/>
      </c>
      <c r="AI506" s="395"/>
      <c r="AJ506" s="394"/>
      <c r="AK506" s="429" t="str">
        <f>IF(OR(ISBLANK($B506),ISBLANK($AJ506)),"",IFERROR(IF($AJ506&lt;=DATE('ESTADO CONTABLE'!$B$2,12,5),VLOOKUP($B506,COSTOS!$A$2:$B1014,2,FALSE)-150,VLOOKUP($B506,COSTOS!$A$2:$B1014,2,FALSE)),"No encontrado o error"))</f>
        <v/>
      </c>
      <c r="AL506" s="395"/>
      <c r="AM506" s="254"/>
      <c r="AN506" s="255"/>
      <c r="AO506" s="256"/>
    </row>
    <row r="507" ht="22.5" customHeight="1">
      <c r="A507" s="431" t="str">
        <f>'BASE DE DATOSS'!A581</f>
        <v/>
      </c>
      <c r="B507" s="432" t="str">
        <f>'BASE DE DATOSS'!C581</f>
        <v/>
      </c>
      <c r="C507" s="263"/>
      <c r="D507" s="249"/>
      <c r="E507" s="250"/>
      <c r="F507" s="251"/>
      <c r="G507" s="262"/>
      <c r="H507" s="257"/>
      <c r="I507" s="249"/>
      <c r="J507" s="193" t="str">
        <f>IF(OR(ISBLANK($B507),ISBLANK($I507)),"",IFERROR(IF($I507&lt;=DATE('ESTADO CONTABLE'!$B$2,3,5),VLOOKUP($B507,COSTOS!$A$2:$B1014,2,FALSE)-150,VLOOKUP($B507,COSTOS!$A$2:$B1014,2,FALSE)),"No encontrado o error"))</f>
        <v/>
      </c>
      <c r="K507" s="264"/>
      <c r="L507" s="249"/>
      <c r="M507" s="189"/>
      <c r="N507" s="264"/>
      <c r="O507" s="249"/>
      <c r="P507" s="250"/>
      <c r="Q507" s="264"/>
      <c r="R507" s="249"/>
      <c r="S507" s="250"/>
      <c r="T507" s="264"/>
      <c r="U507" s="249"/>
      <c r="V507" s="250"/>
      <c r="W507" s="264"/>
      <c r="X507" s="394"/>
      <c r="Y507" s="429"/>
      <c r="Z507" s="395"/>
      <c r="AA507" s="394"/>
      <c r="AB507" s="118" t="str">
        <f>IF(OR(ISBLANK($B507),ISBLANK($AA507)),"",IFERROR(IF($AA507&lt;=DATE('ESTADO CONTABLE'!$B$2,9,5),VLOOKUP($B507,COSTOS!$A$2:$B1014,2,FALSE)-150,VLOOKUP($B507,COSTOS!$A$2:$B1014,2,FALSE)),"No encontrado o error"))</f>
        <v/>
      </c>
      <c r="AC507" s="395"/>
      <c r="AD507" s="394"/>
      <c r="AE507" s="429" t="str">
        <f>IF(OR(ISBLANK($B507),ISBLANK($AD507)),"",IFERROR(IF($AD507&lt;=DATE('ESTADO CONTABLE'!$B$2,10,5),VLOOKUP($B507,COSTOS!$A$2:$B1014,2,FALSE)-150,VLOOKUP($B507,COSTOS!$A$2:$B1014,2,FALSE)),"No encontrado o error"))</f>
        <v/>
      </c>
      <c r="AF507" s="395"/>
      <c r="AG507" s="394"/>
      <c r="AH507" s="429" t="str">
        <f>IF(OR(ISBLANK($B507),ISBLANK($AG507)),"",IFERROR(IF($AG507&lt;=DATE('ESTADO CONTABLE'!$B$2,11,5),VLOOKUP($B507,COSTOS!$A$2:$B1014,2,FALSE)-150,VLOOKUP($B507,COSTOS!$A$2:$B1014,2,FALSE)),"No encontrado o error"))</f>
        <v/>
      </c>
      <c r="AI507" s="395"/>
      <c r="AJ507" s="394"/>
      <c r="AK507" s="429" t="str">
        <f>IF(OR(ISBLANK($B507),ISBLANK($AJ507)),"",IFERROR(IF($AJ507&lt;=DATE('ESTADO CONTABLE'!$B$2,12,5),VLOOKUP($B507,COSTOS!$A$2:$B1014,2,FALSE)-150,VLOOKUP($B507,COSTOS!$A$2:$B1014,2,FALSE)),"No encontrado o error"))</f>
        <v/>
      </c>
      <c r="AL507" s="395"/>
      <c r="AM507" s="254"/>
      <c r="AN507" s="255"/>
      <c r="AO507" s="256"/>
    </row>
    <row r="508" ht="22.5" customHeight="1">
      <c r="A508" s="431" t="str">
        <f>'BASE DE DATOSS'!A582</f>
        <v/>
      </c>
      <c r="B508" s="432" t="str">
        <f>'BASE DE DATOSS'!C582</f>
        <v/>
      </c>
      <c r="C508" s="263"/>
      <c r="D508" s="249"/>
      <c r="E508" s="250"/>
      <c r="F508" s="251"/>
      <c r="G508" s="262"/>
      <c r="H508" s="257"/>
      <c r="I508" s="249"/>
      <c r="J508" s="193" t="str">
        <f>IF(OR(ISBLANK($B508),ISBLANK($I508)),"",IFERROR(IF($I508&lt;=DATE('ESTADO CONTABLE'!$B$2,3,5),VLOOKUP($B508,COSTOS!$A$2:$B1014,2,FALSE)-150,VLOOKUP($B508,COSTOS!$A$2:$B1014,2,FALSE)),"No encontrado o error"))</f>
        <v/>
      </c>
      <c r="K508" s="264"/>
      <c r="L508" s="249"/>
      <c r="M508" s="189"/>
      <c r="N508" s="264"/>
      <c r="O508" s="249"/>
      <c r="P508" s="250"/>
      <c r="Q508" s="264"/>
      <c r="R508" s="249"/>
      <c r="S508" s="250"/>
      <c r="T508" s="264"/>
      <c r="U508" s="249"/>
      <c r="V508" s="250"/>
      <c r="W508" s="264"/>
      <c r="X508" s="394"/>
      <c r="Y508" s="429"/>
      <c r="Z508" s="395"/>
      <c r="AA508" s="394"/>
      <c r="AB508" s="118" t="str">
        <f>IF(OR(ISBLANK($B508),ISBLANK($AA508)),"",IFERROR(IF($AA508&lt;=DATE('ESTADO CONTABLE'!$B$2,9,5),VLOOKUP($B508,COSTOS!$A$2:$B1014,2,FALSE)-150,VLOOKUP($B508,COSTOS!$A$2:$B1014,2,FALSE)),"No encontrado o error"))</f>
        <v/>
      </c>
      <c r="AC508" s="395"/>
      <c r="AD508" s="394"/>
      <c r="AE508" s="429" t="str">
        <f>IF(OR(ISBLANK($B508),ISBLANK($AD508)),"",IFERROR(IF($AD508&lt;=DATE('ESTADO CONTABLE'!$B$2,10,5),VLOOKUP($B508,COSTOS!$A$2:$B1014,2,FALSE)-150,VLOOKUP($B508,COSTOS!$A$2:$B1014,2,FALSE)),"No encontrado o error"))</f>
        <v/>
      </c>
      <c r="AF508" s="395"/>
      <c r="AG508" s="394"/>
      <c r="AH508" s="429" t="str">
        <f>IF(OR(ISBLANK($B508),ISBLANK($AG508)),"",IFERROR(IF($AG508&lt;=DATE('ESTADO CONTABLE'!$B$2,11,5),VLOOKUP($B508,COSTOS!$A$2:$B1014,2,FALSE)-150,VLOOKUP($B508,COSTOS!$A$2:$B1014,2,FALSE)),"No encontrado o error"))</f>
        <v/>
      </c>
      <c r="AI508" s="395"/>
      <c r="AJ508" s="394"/>
      <c r="AK508" s="429" t="str">
        <f>IF(OR(ISBLANK($B508),ISBLANK($AJ508)),"",IFERROR(IF($AJ508&lt;=DATE('ESTADO CONTABLE'!$B$2,12,5),VLOOKUP($B508,COSTOS!$A$2:$B1014,2,FALSE)-150,VLOOKUP($B508,COSTOS!$A$2:$B1014,2,FALSE)),"No encontrado o error"))</f>
        <v/>
      </c>
      <c r="AL508" s="395"/>
      <c r="AM508" s="254"/>
      <c r="AN508" s="255"/>
      <c r="AO508" s="256"/>
    </row>
    <row r="509" ht="22.5" customHeight="1">
      <c r="A509" s="431" t="str">
        <f>'BASE DE DATOSS'!A583</f>
        <v/>
      </c>
      <c r="B509" s="432" t="str">
        <f>'BASE DE DATOSS'!C583</f>
        <v/>
      </c>
      <c r="C509" s="263"/>
      <c r="D509" s="249"/>
      <c r="E509" s="250"/>
      <c r="F509" s="251"/>
      <c r="G509" s="262"/>
      <c r="H509" s="257"/>
      <c r="I509" s="249"/>
      <c r="J509" s="193" t="str">
        <f>IF(OR(ISBLANK($B509),ISBLANK($I509)),"",IFERROR(IF($I509&lt;=DATE('ESTADO CONTABLE'!$B$2,3,5),VLOOKUP($B509,COSTOS!$A$2:$B1014,2,FALSE)-150,VLOOKUP($B509,COSTOS!$A$2:$B1014,2,FALSE)),"No encontrado o error"))</f>
        <v/>
      </c>
      <c r="K509" s="264"/>
      <c r="L509" s="249"/>
      <c r="M509" s="189"/>
      <c r="N509" s="264"/>
      <c r="O509" s="249"/>
      <c r="P509" s="250"/>
      <c r="Q509" s="264"/>
      <c r="R509" s="249"/>
      <c r="S509" s="250"/>
      <c r="T509" s="264"/>
      <c r="U509" s="249"/>
      <c r="V509" s="250"/>
      <c r="W509" s="264"/>
      <c r="X509" s="394"/>
      <c r="Y509" s="429"/>
      <c r="Z509" s="395"/>
      <c r="AA509" s="394"/>
      <c r="AB509" s="118" t="str">
        <f>IF(OR(ISBLANK($B509),ISBLANK($AA509)),"",IFERROR(IF($AA509&lt;=DATE('ESTADO CONTABLE'!$B$2,9,5),VLOOKUP($B509,COSTOS!$A$2:$B1014,2,FALSE)-150,VLOOKUP($B509,COSTOS!$A$2:$B1014,2,FALSE)),"No encontrado o error"))</f>
        <v/>
      </c>
      <c r="AC509" s="395"/>
      <c r="AD509" s="394"/>
      <c r="AE509" s="429" t="str">
        <f>IF(OR(ISBLANK($B509),ISBLANK($AD509)),"",IFERROR(IF($AD509&lt;=DATE('ESTADO CONTABLE'!$B$2,10,5),VLOOKUP($B509,COSTOS!$A$2:$B1014,2,FALSE)-150,VLOOKUP($B509,COSTOS!$A$2:$B1014,2,FALSE)),"No encontrado o error"))</f>
        <v/>
      </c>
      <c r="AF509" s="395"/>
      <c r="AG509" s="394"/>
      <c r="AH509" s="429" t="str">
        <f>IF(OR(ISBLANK($B509),ISBLANK($AG509)),"",IFERROR(IF($AG509&lt;=DATE('ESTADO CONTABLE'!$B$2,11,5),VLOOKUP($B509,COSTOS!$A$2:$B1014,2,FALSE)-150,VLOOKUP($B509,COSTOS!$A$2:$B1014,2,FALSE)),"No encontrado o error"))</f>
        <v/>
      </c>
      <c r="AI509" s="395"/>
      <c r="AJ509" s="394"/>
      <c r="AK509" s="429" t="str">
        <f>IF(OR(ISBLANK($B509),ISBLANK($AJ509)),"",IFERROR(IF($AJ509&lt;=DATE('ESTADO CONTABLE'!$B$2,12,5),VLOOKUP($B509,COSTOS!$A$2:$B1014,2,FALSE)-150,VLOOKUP($B509,COSTOS!$A$2:$B1014,2,FALSE)),"No encontrado o error"))</f>
        <v/>
      </c>
      <c r="AL509" s="395"/>
      <c r="AM509" s="254"/>
      <c r="AN509" s="255"/>
      <c r="AO509" s="256"/>
    </row>
    <row r="510" ht="22.5" customHeight="1">
      <c r="A510" s="431" t="str">
        <f>'BASE DE DATOSS'!A584</f>
        <v/>
      </c>
      <c r="B510" s="432" t="str">
        <f>'BASE DE DATOSS'!C584</f>
        <v/>
      </c>
      <c r="C510" s="263"/>
      <c r="D510" s="249"/>
      <c r="E510" s="250"/>
      <c r="F510" s="251"/>
      <c r="G510" s="262"/>
      <c r="H510" s="257"/>
      <c r="I510" s="249"/>
      <c r="J510" s="193" t="str">
        <f>IF(OR(ISBLANK($B510),ISBLANK($I510)),"",IFERROR(IF($I510&lt;=DATE('ESTADO CONTABLE'!$B$2,3,5),VLOOKUP($B510,COSTOS!$A$2:$B1014,2,FALSE)-150,VLOOKUP($B510,COSTOS!$A$2:$B1014,2,FALSE)),"No encontrado o error"))</f>
        <v/>
      </c>
      <c r="K510" s="264"/>
      <c r="L510" s="249"/>
      <c r="M510" s="189"/>
      <c r="N510" s="264"/>
      <c r="O510" s="249"/>
      <c r="P510" s="250"/>
      <c r="Q510" s="264"/>
      <c r="R510" s="249"/>
      <c r="S510" s="250"/>
      <c r="T510" s="264"/>
      <c r="U510" s="249"/>
      <c r="V510" s="250"/>
      <c r="W510" s="264"/>
      <c r="X510" s="394"/>
      <c r="Y510" s="429"/>
      <c r="Z510" s="395"/>
      <c r="AA510" s="394"/>
      <c r="AB510" s="118" t="str">
        <f>IF(OR(ISBLANK($B510),ISBLANK($AA510)),"",IFERROR(IF($AA510&lt;=DATE('ESTADO CONTABLE'!$B$2,9,5),VLOOKUP($B510,COSTOS!$A$2:$B1014,2,FALSE)-150,VLOOKUP($B510,COSTOS!$A$2:$B1014,2,FALSE)),"No encontrado o error"))</f>
        <v/>
      </c>
      <c r="AC510" s="395"/>
      <c r="AD510" s="394"/>
      <c r="AE510" s="429" t="str">
        <f>IF(OR(ISBLANK($B510),ISBLANK($AD510)),"",IFERROR(IF($AD510&lt;=DATE('ESTADO CONTABLE'!$B$2,10,5),VLOOKUP($B510,COSTOS!$A$2:$B1014,2,FALSE)-150,VLOOKUP($B510,COSTOS!$A$2:$B1014,2,FALSE)),"No encontrado o error"))</f>
        <v/>
      </c>
      <c r="AF510" s="395"/>
      <c r="AG510" s="394"/>
      <c r="AH510" s="429" t="str">
        <f>IF(OR(ISBLANK($B510),ISBLANK($AG510)),"",IFERROR(IF($AG510&lt;=DATE('ESTADO CONTABLE'!$B$2,11,5),VLOOKUP($B510,COSTOS!$A$2:$B1014,2,FALSE)-150,VLOOKUP($B510,COSTOS!$A$2:$B1014,2,FALSE)),"No encontrado o error"))</f>
        <v/>
      </c>
      <c r="AI510" s="395"/>
      <c r="AJ510" s="394"/>
      <c r="AK510" s="429" t="str">
        <f>IF(OR(ISBLANK($B510),ISBLANK($AJ510)),"",IFERROR(IF($AJ510&lt;=DATE('ESTADO CONTABLE'!$B$2,12,5),VLOOKUP($B510,COSTOS!$A$2:$B1014,2,FALSE)-150,VLOOKUP($B510,COSTOS!$A$2:$B1014,2,FALSE)),"No encontrado o error"))</f>
        <v/>
      </c>
      <c r="AL510" s="395"/>
      <c r="AM510" s="254"/>
      <c r="AN510" s="255"/>
      <c r="AO510" s="256"/>
    </row>
    <row r="511" ht="22.5" customHeight="1">
      <c r="A511" s="431" t="str">
        <f>'BASE DE DATOSS'!A585</f>
        <v/>
      </c>
      <c r="B511" s="432" t="str">
        <f>'BASE DE DATOSS'!C585</f>
        <v/>
      </c>
      <c r="C511" s="263"/>
      <c r="D511" s="249"/>
      <c r="E511" s="250"/>
      <c r="F511" s="251"/>
      <c r="G511" s="262"/>
      <c r="H511" s="257"/>
      <c r="I511" s="249"/>
      <c r="J511" s="193" t="str">
        <f>IF(OR(ISBLANK($B511),ISBLANK($I511)),"",IFERROR(IF($I511&lt;=DATE('ESTADO CONTABLE'!$B$2,3,5),VLOOKUP($B511,COSTOS!$A$2:$B1014,2,FALSE)-150,VLOOKUP($B511,COSTOS!$A$2:$B1014,2,FALSE)),"No encontrado o error"))</f>
        <v/>
      </c>
      <c r="K511" s="264"/>
      <c r="L511" s="249"/>
      <c r="M511" s="189"/>
      <c r="N511" s="264"/>
      <c r="O511" s="249"/>
      <c r="P511" s="250"/>
      <c r="Q511" s="264"/>
      <c r="R511" s="249"/>
      <c r="S511" s="250"/>
      <c r="T511" s="264"/>
      <c r="U511" s="249"/>
      <c r="V511" s="250"/>
      <c r="W511" s="264"/>
      <c r="X511" s="394"/>
      <c r="Y511" s="429"/>
      <c r="Z511" s="395"/>
      <c r="AA511" s="394"/>
      <c r="AB511" s="118" t="str">
        <f>IF(OR(ISBLANK($B511),ISBLANK($AA511)),"",IFERROR(IF($AA511&lt;=DATE('ESTADO CONTABLE'!$B$2,9,5),VLOOKUP($B511,COSTOS!$A$2:$B1014,2,FALSE)-150,VLOOKUP($B511,COSTOS!$A$2:$B1014,2,FALSE)),"No encontrado o error"))</f>
        <v/>
      </c>
      <c r="AC511" s="395"/>
      <c r="AD511" s="394"/>
      <c r="AE511" s="429" t="str">
        <f>IF(OR(ISBLANK($B511),ISBLANK($AD511)),"",IFERROR(IF($AD511&lt;=DATE('ESTADO CONTABLE'!$B$2,10,5),VLOOKUP($B511,COSTOS!$A$2:$B1014,2,FALSE)-150,VLOOKUP($B511,COSTOS!$A$2:$B1014,2,FALSE)),"No encontrado o error"))</f>
        <v/>
      </c>
      <c r="AF511" s="395"/>
      <c r="AG511" s="394"/>
      <c r="AH511" s="429" t="str">
        <f>IF(OR(ISBLANK($B511),ISBLANK($AG511)),"",IFERROR(IF($AG511&lt;=DATE('ESTADO CONTABLE'!$B$2,11,5),VLOOKUP($B511,COSTOS!$A$2:$B1014,2,FALSE)-150,VLOOKUP($B511,COSTOS!$A$2:$B1014,2,FALSE)),"No encontrado o error"))</f>
        <v/>
      </c>
      <c r="AI511" s="395"/>
      <c r="AJ511" s="394"/>
      <c r="AK511" s="429" t="str">
        <f>IF(OR(ISBLANK($B511),ISBLANK($AJ511)),"",IFERROR(IF($AJ511&lt;=DATE('ESTADO CONTABLE'!$B$2,12,5),VLOOKUP($B511,COSTOS!$A$2:$B1014,2,FALSE)-150,VLOOKUP($B511,COSTOS!$A$2:$B1014,2,FALSE)),"No encontrado o error"))</f>
        <v/>
      </c>
      <c r="AL511" s="395"/>
      <c r="AM511" s="254"/>
      <c r="AN511" s="255"/>
      <c r="AO511" s="256"/>
    </row>
    <row r="512" ht="22.5" customHeight="1">
      <c r="A512" s="431" t="str">
        <f>'BASE DE DATOSS'!A586</f>
        <v/>
      </c>
      <c r="B512" s="432" t="str">
        <f>'BASE DE DATOSS'!C586</f>
        <v/>
      </c>
      <c r="C512" s="263"/>
      <c r="D512" s="249"/>
      <c r="E512" s="250"/>
      <c r="F512" s="251"/>
      <c r="G512" s="262"/>
      <c r="H512" s="257"/>
      <c r="I512" s="249"/>
      <c r="J512" s="193" t="str">
        <f>IF(OR(ISBLANK($B512),ISBLANK($I512)),"",IFERROR(IF($I512&lt;=DATE('ESTADO CONTABLE'!$B$2,3,5),VLOOKUP($B512,COSTOS!$A$2:$B1014,2,FALSE)-150,VLOOKUP($B512,COSTOS!$A$2:$B1014,2,FALSE)),"No encontrado o error"))</f>
        <v/>
      </c>
      <c r="K512" s="264"/>
      <c r="L512" s="249"/>
      <c r="M512" s="189"/>
      <c r="N512" s="264"/>
      <c r="O512" s="249"/>
      <c r="P512" s="250"/>
      <c r="Q512" s="264"/>
      <c r="R512" s="249"/>
      <c r="S512" s="250"/>
      <c r="T512" s="264"/>
      <c r="U512" s="249"/>
      <c r="V512" s="250"/>
      <c r="W512" s="264"/>
      <c r="X512" s="394"/>
      <c r="Y512" s="429"/>
      <c r="Z512" s="395"/>
      <c r="AA512" s="394"/>
      <c r="AB512" s="118" t="str">
        <f>IF(OR(ISBLANK($B512),ISBLANK($AA512)),"",IFERROR(IF($AA512&lt;=DATE('ESTADO CONTABLE'!$B$2,9,5),VLOOKUP($B512,COSTOS!$A$2:$B1014,2,FALSE)-150,VLOOKUP($B512,COSTOS!$A$2:$B1014,2,FALSE)),"No encontrado o error"))</f>
        <v/>
      </c>
      <c r="AC512" s="395"/>
      <c r="AD512" s="394"/>
      <c r="AE512" s="429" t="str">
        <f>IF(OR(ISBLANK($B512),ISBLANK($AD512)),"",IFERROR(IF($AD512&lt;=DATE('ESTADO CONTABLE'!$B$2,10,5),VLOOKUP($B512,COSTOS!$A$2:$B1014,2,FALSE)-150,VLOOKUP($B512,COSTOS!$A$2:$B1014,2,FALSE)),"No encontrado o error"))</f>
        <v/>
      </c>
      <c r="AF512" s="395"/>
      <c r="AG512" s="394"/>
      <c r="AH512" s="429" t="str">
        <f>IF(OR(ISBLANK($B512),ISBLANK($AG512)),"",IFERROR(IF($AG512&lt;=DATE('ESTADO CONTABLE'!$B$2,11,5),VLOOKUP($B512,COSTOS!$A$2:$B1014,2,FALSE)-150,VLOOKUP($B512,COSTOS!$A$2:$B1014,2,FALSE)),"No encontrado o error"))</f>
        <v/>
      </c>
      <c r="AI512" s="395"/>
      <c r="AJ512" s="394"/>
      <c r="AK512" s="429" t="str">
        <f>IF(OR(ISBLANK($B512),ISBLANK($AJ512)),"",IFERROR(IF($AJ512&lt;=DATE('ESTADO CONTABLE'!$B$2,12,5),VLOOKUP($B512,COSTOS!$A$2:$B1014,2,FALSE)-150,VLOOKUP($B512,COSTOS!$A$2:$B1014,2,FALSE)),"No encontrado o error"))</f>
        <v/>
      </c>
      <c r="AL512" s="395"/>
      <c r="AM512" s="254"/>
      <c r="AN512" s="255"/>
      <c r="AO512" s="256"/>
    </row>
    <row r="513" ht="22.5" customHeight="1">
      <c r="A513" s="431" t="str">
        <f>'BASE DE DATOSS'!A587</f>
        <v/>
      </c>
      <c r="B513" s="432" t="str">
        <f>'BASE DE DATOSS'!C587</f>
        <v/>
      </c>
      <c r="C513" s="263"/>
      <c r="D513" s="249"/>
      <c r="E513" s="250"/>
      <c r="F513" s="251"/>
      <c r="G513" s="262"/>
      <c r="H513" s="257"/>
      <c r="I513" s="249"/>
      <c r="J513" s="193" t="str">
        <f>IF(OR(ISBLANK($B513),ISBLANK($I513)),"",IFERROR(IF($I513&lt;=DATE('ESTADO CONTABLE'!$B$2,3,5),VLOOKUP($B513,COSTOS!$A$2:$B1014,2,FALSE)-150,VLOOKUP($B513,COSTOS!$A$2:$B1014,2,FALSE)),"No encontrado o error"))</f>
        <v/>
      </c>
      <c r="K513" s="264"/>
      <c r="L513" s="249"/>
      <c r="M513" s="189"/>
      <c r="N513" s="264"/>
      <c r="O513" s="249"/>
      <c r="P513" s="250"/>
      <c r="Q513" s="264"/>
      <c r="R513" s="249"/>
      <c r="S513" s="250"/>
      <c r="T513" s="264"/>
      <c r="U513" s="249"/>
      <c r="V513" s="250"/>
      <c r="W513" s="264"/>
      <c r="X513" s="394"/>
      <c r="Y513" s="429"/>
      <c r="Z513" s="395"/>
      <c r="AA513" s="394"/>
      <c r="AB513" s="118" t="str">
        <f>IF(OR(ISBLANK($B513),ISBLANK($AA513)),"",IFERROR(IF($AA513&lt;=DATE('ESTADO CONTABLE'!$B$2,9,5),VLOOKUP($B513,COSTOS!$A$2:$B1014,2,FALSE)-150,VLOOKUP($B513,COSTOS!$A$2:$B1014,2,FALSE)),"No encontrado o error"))</f>
        <v/>
      </c>
      <c r="AC513" s="395"/>
      <c r="AD513" s="394"/>
      <c r="AE513" s="429" t="str">
        <f>IF(OR(ISBLANK($B513),ISBLANK($AD513)),"",IFERROR(IF($AD513&lt;=DATE('ESTADO CONTABLE'!$B$2,10,5),VLOOKUP($B513,COSTOS!$A$2:$B1014,2,FALSE)-150,VLOOKUP($B513,COSTOS!$A$2:$B1014,2,FALSE)),"No encontrado o error"))</f>
        <v/>
      </c>
      <c r="AF513" s="395"/>
      <c r="AG513" s="394"/>
      <c r="AH513" s="429" t="str">
        <f>IF(OR(ISBLANK($B513),ISBLANK($AG513)),"",IFERROR(IF($AG513&lt;=DATE('ESTADO CONTABLE'!$B$2,11,5),VLOOKUP($B513,COSTOS!$A$2:$B1014,2,FALSE)-150,VLOOKUP($B513,COSTOS!$A$2:$B1014,2,FALSE)),"No encontrado o error"))</f>
        <v/>
      </c>
      <c r="AI513" s="395"/>
      <c r="AJ513" s="394"/>
      <c r="AK513" s="429" t="str">
        <f>IF(OR(ISBLANK($B513),ISBLANK($AJ513)),"",IFERROR(IF($AJ513&lt;=DATE('ESTADO CONTABLE'!$B$2,12,5),VLOOKUP($B513,COSTOS!$A$2:$B1014,2,FALSE)-150,VLOOKUP($B513,COSTOS!$A$2:$B1014,2,FALSE)),"No encontrado o error"))</f>
        <v/>
      </c>
      <c r="AL513" s="395"/>
      <c r="AM513" s="254"/>
      <c r="AN513" s="255"/>
      <c r="AO513" s="256"/>
    </row>
    <row r="514" ht="22.5" customHeight="1">
      <c r="A514" s="431" t="str">
        <f>'BASE DE DATOSS'!A588</f>
        <v/>
      </c>
      <c r="B514" s="432" t="str">
        <f>'BASE DE DATOSS'!C588</f>
        <v/>
      </c>
      <c r="C514" s="263"/>
      <c r="D514" s="249"/>
      <c r="E514" s="250"/>
      <c r="F514" s="251"/>
      <c r="G514" s="262"/>
      <c r="H514" s="257"/>
      <c r="I514" s="249"/>
      <c r="J514" s="193" t="str">
        <f>IF(OR(ISBLANK($B514),ISBLANK($I514)),"",IFERROR(IF($I514&lt;=DATE('ESTADO CONTABLE'!$B$2,3,5),VLOOKUP($B514,COSTOS!$A$2:$B1014,2,FALSE)-150,VLOOKUP($B514,COSTOS!$A$2:$B1014,2,FALSE)),"No encontrado o error"))</f>
        <v/>
      </c>
      <c r="K514" s="264"/>
      <c r="L514" s="249"/>
      <c r="M514" s="189"/>
      <c r="N514" s="264"/>
      <c r="O514" s="249"/>
      <c r="P514" s="250"/>
      <c r="Q514" s="264"/>
      <c r="R514" s="249"/>
      <c r="S514" s="250"/>
      <c r="T514" s="264"/>
      <c r="U514" s="249"/>
      <c r="V514" s="250"/>
      <c r="W514" s="264"/>
      <c r="X514" s="394"/>
      <c r="Y514" s="429"/>
      <c r="Z514" s="395"/>
      <c r="AA514" s="394"/>
      <c r="AB514" s="118" t="str">
        <f>IF(OR(ISBLANK($B514),ISBLANK($AA514)),"",IFERROR(IF($AA514&lt;=DATE('ESTADO CONTABLE'!$B$2,9,5),VLOOKUP($B514,COSTOS!$A$2:$B1014,2,FALSE)-150,VLOOKUP($B514,COSTOS!$A$2:$B1014,2,FALSE)),"No encontrado o error"))</f>
        <v/>
      </c>
      <c r="AC514" s="395"/>
      <c r="AD514" s="394"/>
      <c r="AE514" s="429" t="str">
        <f>IF(OR(ISBLANK($B514),ISBLANK($AD514)),"",IFERROR(IF($AD514&lt;=DATE('ESTADO CONTABLE'!$B$2,10,5),VLOOKUP($B514,COSTOS!$A$2:$B1014,2,FALSE)-150,VLOOKUP($B514,COSTOS!$A$2:$B1014,2,FALSE)),"No encontrado o error"))</f>
        <v/>
      </c>
      <c r="AF514" s="395"/>
      <c r="AG514" s="394"/>
      <c r="AH514" s="429" t="str">
        <f>IF(OR(ISBLANK($B514),ISBLANK($AG514)),"",IFERROR(IF($AG514&lt;=DATE('ESTADO CONTABLE'!$B$2,11,5),VLOOKUP($B514,COSTOS!$A$2:$B1014,2,FALSE)-150,VLOOKUP($B514,COSTOS!$A$2:$B1014,2,FALSE)),"No encontrado o error"))</f>
        <v/>
      </c>
      <c r="AI514" s="395"/>
      <c r="AJ514" s="394"/>
      <c r="AK514" s="429" t="str">
        <f>IF(OR(ISBLANK($B514),ISBLANK($AJ514)),"",IFERROR(IF($AJ514&lt;=DATE('ESTADO CONTABLE'!$B$2,12,5),VLOOKUP($B514,COSTOS!$A$2:$B1014,2,FALSE)-150,VLOOKUP($B514,COSTOS!$A$2:$B1014,2,FALSE)),"No encontrado o error"))</f>
        <v/>
      </c>
      <c r="AL514" s="395"/>
      <c r="AM514" s="254"/>
      <c r="AN514" s="255"/>
      <c r="AO514" s="256"/>
    </row>
    <row r="515" ht="22.5" customHeight="1">
      <c r="A515" s="431" t="str">
        <f>'BASE DE DATOSS'!A589</f>
        <v/>
      </c>
      <c r="B515" s="432" t="str">
        <f>'BASE DE DATOSS'!C589</f>
        <v/>
      </c>
      <c r="C515" s="263"/>
      <c r="D515" s="249"/>
      <c r="E515" s="250"/>
      <c r="F515" s="251"/>
      <c r="G515" s="262"/>
      <c r="H515" s="257"/>
      <c r="I515" s="249"/>
      <c r="J515" s="193" t="str">
        <f>IF(OR(ISBLANK($B515),ISBLANK($I515)),"",IFERROR(IF($I515&lt;=DATE('ESTADO CONTABLE'!$B$2,3,5),VLOOKUP($B515,COSTOS!$A$2:$B1014,2,FALSE)-150,VLOOKUP($B515,COSTOS!$A$2:$B1014,2,FALSE)),"No encontrado o error"))</f>
        <v/>
      </c>
      <c r="K515" s="264"/>
      <c r="L515" s="249"/>
      <c r="M515" s="189"/>
      <c r="N515" s="264"/>
      <c r="O515" s="249"/>
      <c r="P515" s="250"/>
      <c r="Q515" s="264"/>
      <c r="R515" s="249"/>
      <c r="S515" s="250"/>
      <c r="T515" s="264"/>
      <c r="U515" s="249"/>
      <c r="V515" s="250"/>
      <c r="W515" s="264"/>
      <c r="X515" s="394"/>
      <c r="Y515" s="429"/>
      <c r="Z515" s="395"/>
      <c r="AA515" s="394"/>
      <c r="AB515" s="118" t="str">
        <f>IF(OR(ISBLANK($B515),ISBLANK($AA515)),"",IFERROR(IF($AA515&lt;=DATE('ESTADO CONTABLE'!$B$2,9,5),VLOOKUP($B515,COSTOS!$A$2:$B1014,2,FALSE)-150,VLOOKUP($B515,COSTOS!$A$2:$B1014,2,FALSE)),"No encontrado o error"))</f>
        <v/>
      </c>
      <c r="AC515" s="395"/>
      <c r="AD515" s="394"/>
      <c r="AE515" s="429" t="str">
        <f>IF(OR(ISBLANK($B515),ISBLANK($AD515)),"",IFERROR(IF($AD515&lt;=DATE('ESTADO CONTABLE'!$B$2,10,5),VLOOKUP($B515,COSTOS!$A$2:$B1014,2,FALSE)-150,VLOOKUP($B515,COSTOS!$A$2:$B1014,2,FALSE)),"No encontrado o error"))</f>
        <v/>
      </c>
      <c r="AF515" s="395"/>
      <c r="AG515" s="394"/>
      <c r="AH515" s="429" t="str">
        <f>IF(OR(ISBLANK($B515),ISBLANK($AG515)),"",IFERROR(IF($AG515&lt;=DATE('ESTADO CONTABLE'!$B$2,11,5),VLOOKUP($B515,COSTOS!$A$2:$B1014,2,FALSE)-150,VLOOKUP($B515,COSTOS!$A$2:$B1014,2,FALSE)),"No encontrado o error"))</f>
        <v/>
      </c>
      <c r="AI515" s="395"/>
      <c r="AJ515" s="394"/>
      <c r="AK515" s="429" t="str">
        <f>IF(OR(ISBLANK($B515),ISBLANK($AJ515)),"",IFERROR(IF($AJ515&lt;=DATE('ESTADO CONTABLE'!$B$2,12,5),VLOOKUP($B515,COSTOS!$A$2:$B1014,2,FALSE)-150,VLOOKUP($B515,COSTOS!$A$2:$B1014,2,FALSE)),"No encontrado o error"))</f>
        <v/>
      </c>
      <c r="AL515" s="395"/>
      <c r="AM515" s="254"/>
      <c r="AN515" s="255"/>
      <c r="AO515" s="256"/>
    </row>
    <row r="516" ht="22.5" customHeight="1">
      <c r="A516" s="431" t="str">
        <f>'BASE DE DATOSS'!A590</f>
        <v/>
      </c>
      <c r="B516" s="432" t="str">
        <f>'BASE DE DATOSS'!C590</f>
        <v/>
      </c>
      <c r="C516" s="263"/>
      <c r="D516" s="249"/>
      <c r="E516" s="250"/>
      <c r="F516" s="251"/>
      <c r="G516" s="262"/>
      <c r="H516" s="257"/>
      <c r="I516" s="249"/>
      <c r="J516" s="193" t="str">
        <f>IF(OR(ISBLANK($B516),ISBLANK($I516)),"",IFERROR(IF($I516&lt;=DATE('ESTADO CONTABLE'!$B$2,3,5),VLOOKUP($B516,COSTOS!$A$2:$B1014,2,FALSE)-150,VLOOKUP($B516,COSTOS!$A$2:$B1014,2,FALSE)),"No encontrado o error"))</f>
        <v/>
      </c>
      <c r="K516" s="264"/>
      <c r="L516" s="249"/>
      <c r="M516" s="189"/>
      <c r="N516" s="264"/>
      <c r="O516" s="249"/>
      <c r="P516" s="250"/>
      <c r="Q516" s="264"/>
      <c r="R516" s="249"/>
      <c r="S516" s="250"/>
      <c r="T516" s="264"/>
      <c r="U516" s="249"/>
      <c r="V516" s="250"/>
      <c r="W516" s="264"/>
      <c r="X516" s="394"/>
      <c r="Y516" s="429"/>
      <c r="Z516" s="395"/>
      <c r="AA516" s="394"/>
      <c r="AB516" s="118" t="str">
        <f>IF(OR(ISBLANK($B516),ISBLANK($AA516)),"",IFERROR(IF($AA516&lt;=DATE('ESTADO CONTABLE'!$B$2,9,5),VLOOKUP($B516,COSTOS!$A$2:$B1014,2,FALSE)-150,VLOOKUP($B516,COSTOS!$A$2:$B1014,2,FALSE)),"No encontrado o error"))</f>
        <v/>
      </c>
      <c r="AC516" s="395"/>
      <c r="AD516" s="394"/>
      <c r="AE516" s="429" t="str">
        <f>IF(OR(ISBLANK($B516),ISBLANK($AD516)),"",IFERROR(IF($AD516&lt;=DATE('ESTADO CONTABLE'!$B$2,10,5),VLOOKUP($B516,COSTOS!$A$2:$B1014,2,FALSE)-150,VLOOKUP($B516,COSTOS!$A$2:$B1014,2,FALSE)),"No encontrado o error"))</f>
        <v/>
      </c>
      <c r="AF516" s="395"/>
      <c r="AG516" s="394"/>
      <c r="AH516" s="429" t="str">
        <f>IF(OR(ISBLANK($B516),ISBLANK($AG516)),"",IFERROR(IF($AG516&lt;=DATE('ESTADO CONTABLE'!$B$2,11,5),VLOOKUP($B516,COSTOS!$A$2:$B1014,2,FALSE)-150,VLOOKUP($B516,COSTOS!$A$2:$B1014,2,FALSE)),"No encontrado o error"))</f>
        <v/>
      </c>
      <c r="AI516" s="395"/>
      <c r="AJ516" s="394"/>
      <c r="AK516" s="429" t="str">
        <f>IF(OR(ISBLANK($B516),ISBLANK($AJ516)),"",IFERROR(IF($AJ516&lt;=DATE('ESTADO CONTABLE'!$B$2,12,5),VLOOKUP($B516,COSTOS!$A$2:$B1014,2,FALSE)-150,VLOOKUP($B516,COSTOS!$A$2:$B1014,2,FALSE)),"No encontrado o error"))</f>
        <v/>
      </c>
      <c r="AL516" s="395"/>
      <c r="AM516" s="254"/>
      <c r="AN516" s="255"/>
      <c r="AO516" s="256"/>
    </row>
    <row r="517" ht="22.5" customHeight="1">
      <c r="A517" s="431" t="str">
        <f>'BASE DE DATOSS'!A591</f>
        <v/>
      </c>
      <c r="B517" s="432" t="str">
        <f>'BASE DE DATOSS'!C591</f>
        <v/>
      </c>
      <c r="C517" s="263"/>
      <c r="D517" s="249"/>
      <c r="E517" s="250"/>
      <c r="F517" s="251"/>
      <c r="G517" s="262"/>
      <c r="H517" s="257"/>
      <c r="I517" s="249"/>
      <c r="J517" s="193" t="str">
        <f>IF(OR(ISBLANK($B517),ISBLANK($I517)),"",IFERROR(IF($I517&lt;=DATE('ESTADO CONTABLE'!$B$2,3,5),VLOOKUP($B517,COSTOS!$A$2:$B1014,2,FALSE)-150,VLOOKUP($B517,COSTOS!$A$2:$B1014,2,FALSE)),"No encontrado o error"))</f>
        <v/>
      </c>
      <c r="K517" s="264"/>
      <c r="L517" s="249"/>
      <c r="M517" s="189"/>
      <c r="N517" s="264"/>
      <c r="O517" s="249"/>
      <c r="P517" s="250"/>
      <c r="Q517" s="264"/>
      <c r="R517" s="249"/>
      <c r="S517" s="250"/>
      <c r="T517" s="264"/>
      <c r="U517" s="249"/>
      <c r="V517" s="250"/>
      <c r="W517" s="264"/>
      <c r="X517" s="394"/>
      <c r="Y517" s="429"/>
      <c r="Z517" s="395"/>
      <c r="AA517" s="394"/>
      <c r="AB517" s="118" t="str">
        <f>IF(OR(ISBLANK($B517),ISBLANK($AA517)),"",IFERROR(IF($AA517&lt;=DATE('ESTADO CONTABLE'!$B$2,9,5),VLOOKUP($B517,COSTOS!$A$2:$B1014,2,FALSE)-150,VLOOKUP($B517,COSTOS!$A$2:$B1014,2,FALSE)),"No encontrado o error"))</f>
        <v/>
      </c>
      <c r="AC517" s="395"/>
      <c r="AD517" s="394"/>
      <c r="AE517" s="429" t="str">
        <f>IF(OR(ISBLANK($B517),ISBLANK($AD517)),"",IFERROR(IF($AD517&lt;=DATE('ESTADO CONTABLE'!$B$2,10,5),VLOOKUP($B517,COSTOS!$A$2:$B1014,2,FALSE)-150,VLOOKUP($B517,COSTOS!$A$2:$B1014,2,FALSE)),"No encontrado o error"))</f>
        <v/>
      </c>
      <c r="AF517" s="395"/>
      <c r="AG517" s="394"/>
      <c r="AH517" s="429" t="str">
        <f>IF(OR(ISBLANK($B517),ISBLANK($AG517)),"",IFERROR(IF($AG517&lt;=DATE('ESTADO CONTABLE'!$B$2,11,5),VLOOKUP($B517,COSTOS!$A$2:$B1014,2,FALSE)-150,VLOOKUP($B517,COSTOS!$A$2:$B1014,2,FALSE)),"No encontrado o error"))</f>
        <v/>
      </c>
      <c r="AI517" s="395"/>
      <c r="AJ517" s="394"/>
      <c r="AK517" s="429" t="str">
        <f>IF(OR(ISBLANK($B517),ISBLANK($AJ517)),"",IFERROR(IF($AJ517&lt;=DATE('ESTADO CONTABLE'!$B$2,12,5),VLOOKUP($B517,COSTOS!$A$2:$B1014,2,FALSE)-150,VLOOKUP($B517,COSTOS!$A$2:$B1014,2,FALSE)),"No encontrado o error"))</f>
        <v/>
      </c>
      <c r="AL517" s="395"/>
      <c r="AM517" s="254"/>
      <c r="AN517" s="255"/>
      <c r="AO517" s="256"/>
    </row>
    <row r="518" ht="22.5" customHeight="1">
      <c r="A518" s="431" t="str">
        <f>'BASE DE DATOSS'!A592</f>
        <v/>
      </c>
      <c r="B518" s="432" t="str">
        <f>'BASE DE DATOSS'!C592</f>
        <v/>
      </c>
      <c r="C518" s="263"/>
      <c r="D518" s="249"/>
      <c r="E518" s="250"/>
      <c r="F518" s="251"/>
      <c r="G518" s="262"/>
      <c r="H518" s="257"/>
      <c r="I518" s="249"/>
      <c r="J518" s="193" t="str">
        <f>IF(OR(ISBLANK($B518),ISBLANK($I518)),"",IFERROR(IF($I518&lt;=DATE('ESTADO CONTABLE'!$B$2,3,5),VLOOKUP($B518,COSTOS!$A$2:$B1014,2,FALSE)-150,VLOOKUP($B518,COSTOS!$A$2:$B1014,2,FALSE)),"No encontrado o error"))</f>
        <v/>
      </c>
      <c r="K518" s="264"/>
      <c r="L518" s="249"/>
      <c r="M518" s="189"/>
      <c r="N518" s="264"/>
      <c r="O518" s="249"/>
      <c r="P518" s="250"/>
      <c r="Q518" s="264"/>
      <c r="R518" s="249"/>
      <c r="S518" s="250"/>
      <c r="T518" s="264"/>
      <c r="U518" s="249"/>
      <c r="V518" s="250"/>
      <c r="W518" s="264"/>
      <c r="X518" s="394"/>
      <c r="Y518" s="429"/>
      <c r="Z518" s="395"/>
      <c r="AA518" s="394"/>
      <c r="AB518" s="118" t="str">
        <f>IF(OR(ISBLANK($B518),ISBLANK($AA518)),"",IFERROR(IF($AA518&lt;=DATE('ESTADO CONTABLE'!$B$2,9,5),VLOOKUP($B518,COSTOS!$A$2:$B1014,2,FALSE)-150,VLOOKUP($B518,COSTOS!$A$2:$B1014,2,FALSE)),"No encontrado o error"))</f>
        <v/>
      </c>
      <c r="AC518" s="395"/>
      <c r="AD518" s="394"/>
      <c r="AE518" s="429" t="str">
        <f>IF(OR(ISBLANK($B518),ISBLANK($AD518)),"",IFERROR(IF($AD518&lt;=DATE('ESTADO CONTABLE'!$B$2,10,5),VLOOKUP($B518,COSTOS!$A$2:$B1014,2,FALSE)-150,VLOOKUP($B518,COSTOS!$A$2:$B1014,2,FALSE)),"No encontrado o error"))</f>
        <v/>
      </c>
      <c r="AF518" s="395"/>
      <c r="AG518" s="394"/>
      <c r="AH518" s="429" t="str">
        <f>IF(OR(ISBLANK($B518),ISBLANK($AG518)),"",IFERROR(IF($AG518&lt;=DATE('ESTADO CONTABLE'!$B$2,11,5),VLOOKUP($B518,COSTOS!$A$2:$B1014,2,FALSE)-150,VLOOKUP($B518,COSTOS!$A$2:$B1014,2,FALSE)),"No encontrado o error"))</f>
        <v/>
      </c>
      <c r="AI518" s="395"/>
      <c r="AJ518" s="394"/>
      <c r="AK518" s="429" t="str">
        <f>IF(OR(ISBLANK($B518),ISBLANK($AJ518)),"",IFERROR(IF($AJ518&lt;=DATE('ESTADO CONTABLE'!$B$2,12,5),VLOOKUP($B518,COSTOS!$A$2:$B1014,2,FALSE)-150,VLOOKUP($B518,COSTOS!$A$2:$B1014,2,FALSE)),"No encontrado o error"))</f>
        <v/>
      </c>
      <c r="AL518" s="395"/>
      <c r="AM518" s="254"/>
      <c r="AN518" s="255"/>
      <c r="AO518" s="256"/>
    </row>
    <row r="519" ht="22.5" customHeight="1">
      <c r="A519" s="431" t="str">
        <f>'BASE DE DATOSS'!A593</f>
        <v/>
      </c>
      <c r="B519" s="432" t="str">
        <f>'BASE DE DATOSS'!C593</f>
        <v/>
      </c>
      <c r="C519" s="263"/>
      <c r="D519" s="249"/>
      <c r="E519" s="250"/>
      <c r="F519" s="251"/>
      <c r="G519" s="262"/>
      <c r="H519" s="257"/>
      <c r="I519" s="249"/>
      <c r="J519" s="193" t="str">
        <f>IF(OR(ISBLANK($B519),ISBLANK($I519)),"",IFERROR(IF($I519&lt;=DATE('ESTADO CONTABLE'!$B$2,3,5),VLOOKUP($B519,COSTOS!$A$2:$B1014,2,FALSE)-150,VLOOKUP($B519,COSTOS!$A$2:$B1014,2,FALSE)),"No encontrado o error"))</f>
        <v/>
      </c>
      <c r="K519" s="264"/>
      <c r="L519" s="249"/>
      <c r="M519" s="189"/>
      <c r="N519" s="264"/>
      <c r="O519" s="249"/>
      <c r="P519" s="250"/>
      <c r="Q519" s="264"/>
      <c r="R519" s="249"/>
      <c r="S519" s="250"/>
      <c r="T519" s="264"/>
      <c r="U519" s="249"/>
      <c r="V519" s="250"/>
      <c r="W519" s="264"/>
      <c r="X519" s="394"/>
      <c r="Y519" s="429"/>
      <c r="Z519" s="395"/>
      <c r="AA519" s="394"/>
      <c r="AB519" s="118" t="str">
        <f>IF(OR(ISBLANK($B519),ISBLANK($AA519)),"",IFERROR(IF($AA519&lt;=DATE('ESTADO CONTABLE'!$B$2,9,5),VLOOKUP($B519,COSTOS!$A$2:$B1014,2,FALSE)-150,VLOOKUP($B519,COSTOS!$A$2:$B1014,2,FALSE)),"No encontrado o error"))</f>
        <v/>
      </c>
      <c r="AC519" s="395"/>
      <c r="AD519" s="394"/>
      <c r="AE519" s="429" t="str">
        <f>IF(OR(ISBLANK($B519),ISBLANK($AD519)),"",IFERROR(IF($AD519&lt;=DATE('ESTADO CONTABLE'!$B$2,10,5),VLOOKUP($B519,COSTOS!$A$2:$B1014,2,FALSE)-150,VLOOKUP($B519,COSTOS!$A$2:$B1014,2,FALSE)),"No encontrado o error"))</f>
        <v/>
      </c>
      <c r="AF519" s="395"/>
      <c r="AG519" s="394"/>
      <c r="AH519" s="429" t="str">
        <f>IF(OR(ISBLANK($B519),ISBLANK($AG519)),"",IFERROR(IF($AG519&lt;=DATE('ESTADO CONTABLE'!$B$2,11,5),VLOOKUP($B519,COSTOS!$A$2:$B1014,2,FALSE)-150,VLOOKUP($B519,COSTOS!$A$2:$B1014,2,FALSE)),"No encontrado o error"))</f>
        <v/>
      </c>
      <c r="AI519" s="395"/>
      <c r="AJ519" s="394"/>
      <c r="AK519" s="429" t="str">
        <f>IF(OR(ISBLANK($B519),ISBLANK($AJ519)),"",IFERROR(IF($AJ519&lt;=DATE('ESTADO CONTABLE'!$B$2,12,5),VLOOKUP($B519,COSTOS!$A$2:$B1014,2,FALSE)-150,VLOOKUP($B519,COSTOS!$A$2:$B1014,2,FALSE)),"No encontrado o error"))</f>
        <v/>
      </c>
      <c r="AL519" s="395"/>
      <c r="AM519" s="254"/>
      <c r="AN519" s="255"/>
      <c r="AO519" s="256"/>
    </row>
    <row r="520" ht="22.5" customHeight="1">
      <c r="A520" s="431" t="str">
        <f>'BASE DE DATOSS'!A594</f>
        <v/>
      </c>
      <c r="B520" s="432" t="str">
        <f>'BASE DE DATOSS'!C594</f>
        <v/>
      </c>
      <c r="C520" s="263"/>
      <c r="D520" s="249"/>
      <c r="E520" s="250"/>
      <c r="F520" s="251"/>
      <c r="G520" s="262"/>
      <c r="H520" s="257"/>
      <c r="I520" s="249"/>
      <c r="J520" s="193" t="str">
        <f>IF(OR(ISBLANK($B520),ISBLANK($I520)),"",IFERROR(IF($I520&lt;=DATE('ESTADO CONTABLE'!$B$2,3,5),VLOOKUP($B520,COSTOS!$A$2:$B1014,2,FALSE)-150,VLOOKUP($B520,COSTOS!$A$2:$B1014,2,FALSE)),"No encontrado o error"))</f>
        <v/>
      </c>
      <c r="K520" s="264"/>
      <c r="L520" s="249"/>
      <c r="M520" s="189"/>
      <c r="N520" s="264"/>
      <c r="O520" s="249"/>
      <c r="P520" s="250"/>
      <c r="Q520" s="264"/>
      <c r="R520" s="249"/>
      <c r="S520" s="250"/>
      <c r="T520" s="264"/>
      <c r="U520" s="249"/>
      <c r="V520" s="250"/>
      <c r="W520" s="264"/>
      <c r="X520" s="394"/>
      <c r="Y520" s="429"/>
      <c r="Z520" s="395"/>
      <c r="AA520" s="394"/>
      <c r="AB520" s="118" t="str">
        <f>IF(OR(ISBLANK($B520),ISBLANK($AA520)),"",IFERROR(IF($AA520&lt;=DATE('ESTADO CONTABLE'!$B$2,9,5),VLOOKUP($B520,COSTOS!$A$2:$B1014,2,FALSE)-150,VLOOKUP($B520,COSTOS!$A$2:$B1014,2,FALSE)),"No encontrado o error"))</f>
        <v/>
      </c>
      <c r="AC520" s="395"/>
      <c r="AD520" s="394"/>
      <c r="AE520" s="429" t="str">
        <f>IF(OR(ISBLANK($B520),ISBLANK($AD520)),"",IFERROR(IF($AD520&lt;=DATE('ESTADO CONTABLE'!$B$2,10,5),VLOOKUP($B520,COSTOS!$A$2:$B1014,2,FALSE)-150,VLOOKUP($B520,COSTOS!$A$2:$B1014,2,FALSE)),"No encontrado o error"))</f>
        <v/>
      </c>
      <c r="AF520" s="395"/>
      <c r="AG520" s="394"/>
      <c r="AH520" s="429" t="str">
        <f>IF(OR(ISBLANK($B520),ISBLANK($AG520)),"",IFERROR(IF($AG520&lt;=DATE('ESTADO CONTABLE'!$B$2,11,5),VLOOKUP($B520,COSTOS!$A$2:$B1014,2,FALSE)-150,VLOOKUP($B520,COSTOS!$A$2:$B1014,2,FALSE)),"No encontrado o error"))</f>
        <v/>
      </c>
      <c r="AI520" s="395"/>
      <c r="AJ520" s="394"/>
      <c r="AK520" s="429" t="str">
        <f>IF(OR(ISBLANK($B520),ISBLANK($AJ520)),"",IFERROR(IF($AJ520&lt;=DATE('ESTADO CONTABLE'!$B$2,12,5),VLOOKUP($B520,COSTOS!$A$2:$B1014,2,FALSE)-150,VLOOKUP($B520,COSTOS!$A$2:$B1014,2,FALSE)),"No encontrado o error"))</f>
        <v/>
      </c>
      <c r="AL520" s="395"/>
      <c r="AM520" s="254"/>
      <c r="AN520" s="255"/>
      <c r="AO520" s="256"/>
    </row>
    <row r="521" ht="22.5" customHeight="1">
      <c r="A521" s="431" t="str">
        <f>'BASE DE DATOSS'!A595</f>
        <v/>
      </c>
      <c r="B521" s="432" t="str">
        <f>'BASE DE DATOSS'!C595</f>
        <v/>
      </c>
      <c r="C521" s="263"/>
      <c r="D521" s="249"/>
      <c r="E521" s="250"/>
      <c r="F521" s="251"/>
      <c r="G521" s="262"/>
      <c r="H521" s="257"/>
      <c r="I521" s="249"/>
      <c r="J521" s="193" t="str">
        <f>IF(OR(ISBLANK($B521),ISBLANK($I521)),"",IFERROR(IF($I521&lt;=DATE('ESTADO CONTABLE'!$B$2,3,5),VLOOKUP($B521,COSTOS!$A$2:$B1014,2,FALSE)-150,VLOOKUP($B521,COSTOS!$A$2:$B1014,2,FALSE)),"No encontrado o error"))</f>
        <v/>
      </c>
      <c r="K521" s="264"/>
      <c r="L521" s="249"/>
      <c r="M521" s="189"/>
      <c r="N521" s="264"/>
      <c r="O521" s="249"/>
      <c r="P521" s="250"/>
      <c r="Q521" s="264"/>
      <c r="R521" s="249"/>
      <c r="S521" s="250"/>
      <c r="T521" s="264"/>
      <c r="U521" s="249"/>
      <c r="V521" s="250"/>
      <c r="W521" s="264"/>
      <c r="X521" s="394"/>
      <c r="Y521" s="429"/>
      <c r="Z521" s="395"/>
      <c r="AA521" s="394"/>
      <c r="AB521" s="118" t="str">
        <f>IF(OR(ISBLANK($B521),ISBLANK($AA521)),"",IFERROR(IF($AA521&lt;=DATE('ESTADO CONTABLE'!$B$2,9,5),VLOOKUP($B521,COSTOS!$A$2:$B1014,2,FALSE)-150,VLOOKUP($B521,COSTOS!$A$2:$B1014,2,FALSE)),"No encontrado o error"))</f>
        <v/>
      </c>
      <c r="AC521" s="395"/>
      <c r="AD521" s="394"/>
      <c r="AE521" s="429" t="str">
        <f>IF(OR(ISBLANK($B521),ISBLANK($AD521)),"",IFERROR(IF($AD521&lt;=DATE('ESTADO CONTABLE'!$B$2,10,5),VLOOKUP($B521,COSTOS!$A$2:$B1014,2,FALSE)-150,VLOOKUP($B521,COSTOS!$A$2:$B1014,2,FALSE)),"No encontrado o error"))</f>
        <v/>
      </c>
      <c r="AF521" s="395"/>
      <c r="AG521" s="394"/>
      <c r="AH521" s="429" t="str">
        <f>IF(OR(ISBLANK($B521),ISBLANK($AG521)),"",IFERROR(IF($AG521&lt;=DATE('ESTADO CONTABLE'!$B$2,11,5),VLOOKUP($B521,COSTOS!$A$2:$B1014,2,FALSE)-150,VLOOKUP($B521,COSTOS!$A$2:$B1014,2,FALSE)),"No encontrado o error"))</f>
        <v/>
      </c>
      <c r="AI521" s="395"/>
      <c r="AJ521" s="394"/>
      <c r="AK521" s="429" t="str">
        <f>IF(OR(ISBLANK($B521),ISBLANK($AJ521)),"",IFERROR(IF($AJ521&lt;=DATE('ESTADO CONTABLE'!$B$2,12,5),VLOOKUP($B521,COSTOS!$A$2:$B1014,2,FALSE)-150,VLOOKUP($B521,COSTOS!$A$2:$B1014,2,FALSE)),"No encontrado o error"))</f>
        <v/>
      </c>
      <c r="AL521" s="395"/>
      <c r="AM521" s="254"/>
      <c r="AN521" s="255"/>
      <c r="AO521" s="256"/>
    </row>
    <row r="522" ht="22.5" customHeight="1">
      <c r="A522" s="431" t="str">
        <f>'BASE DE DATOSS'!A596</f>
        <v/>
      </c>
      <c r="B522" s="432" t="str">
        <f>'BASE DE DATOSS'!C596</f>
        <v/>
      </c>
      <c r="C522" s="263"/>
      <c r="D522" s="249"/>
      <c r="E522" s="250"/>
      <c r="F522" s="251"/>
      <c r="G522" s="262"/>
      <c r="H522" s="257"/>
      <c r="I522" s="249"/>
      <c r="J522" s="193" t="str">
        <f>IF(OR(ISBLANK($B522),ISBLANK($I522)),"",IFERROR(IF($I522&lt;=DATE('ESTADO CONTABLE'!$B$2,3,5),VLOOKUP($B522,COSTOS!$A$2:$B1014,2,FALSE)-150,VLOOKUP($B522,COSTOS!$A$2:$B1014,2,FALSE)),"No encontrado o error"))</f>
        <v/>
      </c>
      <c r="K522" s="264"/>
      <c r="L522" s="249"/>
      <c r="M522" s="189"/>
      <c r="N522" s="264"/>
      <c r="O522" s="249"/>
      <c r="P522" s="250"/>
      <c r="Q522" s="264"/>
      <c r="R522" s="249"/>
      <c r="S522" s="250"/>
      <c r="T522" s="264"/>
      <c r="U522" s="249"/>
      <c r="V522" s="250"/>
      <c r="W522" s="264"/>
      <c r="X522" s="394"/>
      <c r="Y522" s="429"/>
      <c r="Z522" s="395"/>
      <c r="AA522" s="394"/>
      <c r="AB522" s="118" t="str">
        <f>IF(OR(ISBLANK($B522),ISBLANK($AA522)),"",IFERROR(IF($AA522&lt;=DATE('ESTADO CONTABLE'!$B$2,9,5),VLOOKUP($B522,COSTOS!$A$2:$B1014,2,FALSE)-150,VLOOKUP($B522,COSTOS!$A$2:$B1014,2,FALSE)),"No encontrado o error"))</f>
        <v/>
      </c>
      <c r="AC522" s="395"/>
      <c r="AD522" s="394"/>
      <c r="AE522" s="429" t="str">
        <f>IF(OR(ISBLANK($B522),ISBLANK($AD522)),"",IFERROR(IF($AD522&lt;=DATE('ESTADO CONTABLE'!$B$2,10,5),VLOOKUP($B522,COSTOS!$A$2:$B1014,2,FALSE)-150,VLOOKUP($B522,COSTOS!$A$2:$B1014,2,FALSE)),"No encontrado o error"))</f>
        <v/>
      </c>
      <c r="AF522" s="395"/>
      <c r="AG522" s="394"/>
      <c r="AH522" s="429" t="str">
        <f>IF(OR(ISBLANK($B522),ISBLANK($AG522)),"",IFERROR(IF($AG522&lt;=DATE('ESTADO CONTABLE'!$B$2,11,5),VLOOKUP($B522,COSTOS!$A$2:$B1014,2,FALSE)-150,VLOOKUP($B522,COSTOS!$A$2:$B1014,2,FALSE)),"No encontrado o error"))</f>
        <v/>
      </c>
      <c r="AI522" s="395"/>
      <c r="AJ522" s="394"/>
      <c r="AK522" s="429" t="str">
        <f>IF(OR(ISBLANK($B522),ISBLANK($AJ522)),"",IFERROR(IF($AJ522&lt;=DATE('ESTADO CONTABLE'!$B$2,12,5),VLOOKUP($B522,COSTOS!$A$2:$B1014,2,FALSE)-150,VLOOKUP($B522,COSTOS!$A$2:$B1014,2,FALSE)),"No encontrado o error"))</f>
        <v/>
      </c>
      <c r="AL522" s="395"/>
      <c r="AM522" s="254"/>
      <c r="AN522" s="255"/>
      <c r="AO522" s="256"/>
    </row>
    <row r="523" ht="22.5" customHeight="1">
      <c r="A523" s="431" t="str">
        <f>'BASE DE DATOSS'!A597</f>
        <v/>
      </c>
      <c r="B523" s="432" t="str">
        <f>'BASE DE DATOSS'!C597</f>
        <v/>
      </c>
      <c r="C523" s="263"/>
      <c r="D523" s="249"/>
      <c r="E523" s="250"/>
      <c r="F523" s="251"/>
      <c r="G523" s="262"/>
      <c r="H523" s="257"/>
      <c r="I523" s="249"/>
      <c r="J523" s="193" t="str">
        <f>IF(OR(ISBLANK($B523),ISBLANK($I523)),"",IFERROR(IF($I523&lt;=DATE('ESTADO CONTABLE'!$B$2,3,5),VLOOKUP($B523,COSTOS!$A$2:$B1014,2,FALSE)-150,VLOOKUP($B523,COSTOS!$A$2:$B1014,2,FALSE)),"No encontrado o error"))</f>
        <v/>
      </c>
      <c r="K523" s="264"/>
      <c r="L523" s="249"/>
      <c r="M523" s="189"/>
      <c r="N523" s="264"/>
      <c r="O523" s="249"/>
      <c r="P523" s="250"/>
      <c r="Q523" s="264"/>
      <c r="R523" s="249"/>
      <c r="S523" s="250"/>
      <c r="T523" s="264"/>
      <c r="U523" s="249"/>
      <c r="V523" s="250"/>
      <c r="W523" s="264"/>
      <c r="X523" s="394"/>
      <c r="Y523" s="429"/>
      <c r="Z523" s="395"/>
      <c r="AA523" s="394"/>
      <c r="AB523" s="118" t="str">
        <f>IF(OR(ISBLANK($B523),ISBLANK($AA523)),"",IFERROR(IF($AA523&lt;=DATE('ESTADO CONTABLE'!$B$2,9,5),VLOOKUP($B523,COSTOS!$A$2:$B1014,2,FALSE)-150,VLOOKUP($B523,COSTOS!$A$2:$B1014,2,FALSE)),"No encontrado o error"))</f>
        <v/>
      </c>
      <c r="AC523" s="395"/>
      <c r="AD523" s="394"/>
      <c r="AE523" s="429" t="str">
        <f>IF(OR(ISBLANK($B523),ISBLANK($AD523)),"",IFERROR(IF($AD523&lt;=DATE('ESTADO CONTABLE'!$B$2,10,5),VLOOKUP($B523,COSTOS!$A$2:$B1014,2,FALSE)-150,VLOOKUP($B523,COSTOS!$A$2:$B1014,2,FALSE)),"No encontrado o error"))</f>
        <v/>
      </c>
      <c r="AF523" s="395"/>
      <c r="AG523" s="394"/>
      <c r="AH523" s="429" t="str">
        <f>IF(OR(ISBLANK($B523),ISBLANK($AG523)),"",IFERROR(IF($AG523&lt;=DATE('ESTADO CONTABLE'!$B$2,11,5),VLOOKUP($B523,COSTOS!$A$2:$B1014,2,FALSE)-150,VLOOKUP($B523,COSTOS!$A$2:$B1014,2,FALSE)),"No encontrado o error"))</f>
        <v/>
      </c>
      <c r="AI523" s="395"/>
      <c r="AJ523" s="394"/>
      <c r="AK523" s="429" t="str">
        <f>IF(OR(ISBLANK($B523),ISBLANK($AJ523)),"",IFERROR(IF($AJ523&lt;=DATE('ESTADO CONTABLE'!$B$2,12,5),VLOOKUP($B523,COSTOS!$A$2:$B1014,2,FALSE)-150,VLOOKUP($B523,COSTOS!$A$2:$B1014,2,FALSE)),"No encontrado o error"))</f>
        <v/>
      </c>
      <c r="AL523" s="395"/>
      <c r="AM523" s="254"/>
      <c r="AN523" s="255"/>
      <c r="AO523" s="256"/>
    </row>
    <row r="524" ht="22.5" customHeight="1">
      <c r="A524" s="431" t="str">
        <f>'BASE DE DATOSS'!A598</f>
        <v/>
      </c>
      <c r="B524" s="432" t="str">
        <f>'BASE DE DATOSS'!C598</f>
        <v/>
      </c>
      <c r="C524" s="263"/>
      <c r="D524" s="249"/>
      <c r="E524" s="250"/>
      <c r="F524" s="251"/>
      <c r="G524" s="262"/>
      <c r="H524" s="257"/>
      <c r="I524" s="249"/>
      <c r="J524" s="193" t="str">
        <f>IF(OR(ISBLANK($B524),ISBLANK($I524)),"",IFERROR(IF($I524&lt;=DATE('ESTADO CONTABLE'!$B$2,3,5),VLOOKUP($B524,COSTOS!$A$2:$B1014,2,FALSE)-150,VLOOKUP($B524,COSTOS!$A$2:$B1014,2,FALSE)),"No encontrado o error"))</f>
        <v/>
      </c>
      <c r="K524" s="264"/>
      <c r="L524" s="249"/>
      <c r="M524" s="189"/>
      <c r="N524" s="264"/>
      <c r="O524" s="249"/>
      <c r="P524" s="250"/>
      <c r="Q524" s="264"/>
      <c r="R524" s="249"/>
      <c r="S524" s="250"/>
      <c r="T524" s="264"/>
      <c r="U524" s="249"/>
      <c r="V524" s="250"/>
      <c r="W524" s="264"/>
      <c r="X524" s="394"/>
      <c r="Y524" s="429"/>
      <c r="Z524" s="395"/>
      <c r="AA524" s="394"/>
      <c r="AB524" s="118" t="str">
        <f>IF(OR(ISBLANK($B524),ISBLANK($AA524)),"",IFERROR(IF($AA524&lt;=DATE('ESTADO CONTABLE'!$B$2,9,5),VLOOKUP($B524,COSTOS!$A$2:$B1014,2,FALSE)-150,VLOOKUP($B524,COSTOS!$A$2:$B1014,2,FALSE)),"No encontrado o error"))</f>
        <v/>
      </c>
      <c r="AC524" s="395"/>
      <c r="AD524" s="394"/>
      <c r="AE524" s="429" t="str">
        <f>IF(OR(ISBLANK($B524),ISBLANK($AD524)),"",IFERROR(IF($AD524&lt;=DATE('ESTADO CONTABLE'!$B$2,10,5),VLOOKUP($B524,COSTOS!$A$2:$B1014,2,FALSE)-150,VLOOKUP($B524,COSTOS!$A$2:$B1014,2,FALSE)),"No encontrado o error"))</f>
        <v/>
      </c>
      <c r="AF524" s="395"/>
      <c r="AG524" s="394"/>
      <c r="AH524" s="429" t="str">
        <f>IF(OR(ISBLANK($B524),ISBLANK($AG524)),"",IFERROR(IF($AG524&lt;=DATE('ESTADO CONTABLE'!$B$2,11,5),VLOOKUP($B524,COSTOS!$A$2:$B1014,2,FALSE)-150,VLOOKUP($B524,COSTOS!$A$2:$B1014,2,FALSE)),"No encontrado o error"))</f>
        <v/>
      </c>
      <c r="AI524" s="395"/>
      <c r="AJ524" s="394"/>
      <c r="AK524" s="429" t="str">
        <f>IF(OR(ISBLANK($B524),ISBLANK($AJ524)),"",IFERROR(IF($AJ524&lt;=DATE('ESTADO CONTABLE'!$B$2,12,5),VLOOKUP($B524,COSTOS!$A$2:$B1014,2,FALSE)-150,VLOOKUP($B524,COSTOS!$A$2:$B1014,2,FALSE)),"No encontrado o error"))</f>
        <v/>
      </c>
      <c r="AL524" s="395"/>
      <c r="AM524" s="254"/>
      <c r="AN524" s="255"/>
      <c r="AO524" s="256"/>
    </row>
    <row r="525" ht="22.5" customHeight="1">
      <c r="A525" s="431" t="str">
        <f>'BASE DE DATOSS'!A599</f>
        <v/>
      </c>
      <c r="B525" s="432" t="str">
        <f>'BASE DE DATOSS'!C599</f>
        <v/>
      </c>
      <c r="C525" s="263"/>
      <c r="D525" s="249"/>
      <c r="E525" s="250"/>
      <c r="F525" s="251"/>
      <c r="G525" s="262"/>
      <c r="H525" s="257"/>
      <c r="I525" s="249"/>
      <c r="J525" s="193" t="str">
        <f>IF(OR(ISBLANK($B525),ISBLANK($I525)),"",IFERROR(IF($I525&lt;=DATE('ESTADO CONTABLE'!$B$2,3,5),VLOOKUP($B525,COSTOS!$A$2:$B1014,2,FALSE)-150,VLOOKUP($B525,COSTOS!$A$2:$B1014,2,FALSE)),"No encontrado o error"))</f>
        <v/>
      </c>
      <c r="K525" s="264"/>
      <c r="L525" s="249"/>
      <c r="M525" s="189"/>
      <c r="N525" s="264"/>
      <c r="O525" s="249"/>
      <c r="P525" s="250"/>
      <c r="Q525" s="264"/>
      <c r="R525" s="249"/>
      <c r="S525" s="250"/>
      <c r="T525" s="264"/>
      <c r="U525" s="249"/>
      <c r="V525" s="250"/>
      <c r="W525" s="264"/>
      <c r="X525" s="394"/>
      <c r="Y525" s="429"/>
      <c r="Z525" s="395"/>
      <c r="AA525" s="394"/>
      <c r="AB525" s="118" t="str">
        <f>IF(OR(ISBLANK($B525),ISBLANK($AA525)),"",IFERROR(IF($AA525&lt;=DATE('ESTADO CONTABLE'!$B$2,9,5),VLOOKUP($B525,COSTOS!$A$2:$B1014,2,FALSE)-150,VLOOKUP($B525,COSTOS!$A$2:$B1014,2,FALSE)),"No encontrado o error"))</f>
        <v/>
      </c>
      <c r="AC525" s="395"/>
      <c r="AD525" s="394"/>
      <c r="AE525" s="429" t="str">
        <f>IF(OR(ISBLANK($B525),ISBLANK($AD525)),"",IFERROR(IF($AD525&lt;=DATE('ESTADO CONTABLE'!$B$2,10,5),VLOOKUP($B525,COSTOS!$A$2:$B1014,2,FALSE)-150,VLOOKUP($B525,COSTOS!$A$2:$B1014,2,FALSE)),"No encontrado o error"))</f>
        <v/>
      </c>
      <c r="AF525" s="395"/>
      <c r="AG525" s="394"/>
      <c r="AH525" s="429" t="str">
        <f>IF(OR(ISBLANK($B525),ISBLANK($AG525)),"",IFERROR(IF($AG525&lt;=DATE('ESTADO CONTABLE'!$B$2,11,5),VLOOKUP($B525,COSTOS!$A$2:$B1014,2,FALSE)-150,VLOOKUP($B525,COSTOS!$A$2:$B1014,2,FALSE)),"No encontrado o error"))</f>
        <v/>
      </c>
      <c r="AI525" s="395"/>
      <c r="AJ525" s="394"/>
      <c r="AK525" s="429" t="str">
        <f>IF(OR(ISBLANK($B525),ISBLANK($AJ525)),"",IFERROR(IF($AJ525&lt;=DATE('ESTADO CONTABLE'!$B$2,12,5),VLOOKUP($B525,COSTOS!$A$2:$B1014,2,FALSE)-150,VLOOKUP($B525,COSTOS!$A$2:$B1014,2,FALSE)),"No encontrado o error"))</f>
        <v/>
      </c>
      <c r="AL525" s="395"/>
      <c r="AM525" s="254"/>
      <c r="AN525" s="255"/>
      <c r="AO525" s="256"/>
    </row>
    <row r="526" ht="22.5" customHeight="1">
      <c r="A526" s="431" t="str">
        <f>'BASE DE DATOSS'!A600</f>
        <v/>
      </c>
      <c r="B526" s="432" t="str">
        <f>'BASE DE DATOSS'!C600</f>
        <v/>
      </c>
      <c r="C526" s="263"/>
      <c r="D526" s="249"/>
      <c r="E526" s="250"/>
      <c r="F526" s="251"/>
      <c r="G526" s="262"/>
      <c r="H526" s="257"/>
      <c r="I526" s="249"/>
      <c r="J526" s="193" t="str">
        <f>IF(OR(ISBLANK($B526),ISBLANK($I526)),"",IFERROR(IF($I526&lt;=DATE('ESTADO CONTABLE'!$B$2,3,5),VLOOKUP($B526,COSTOS!$A$2:$B1014,2,FALSE)-150,VLOOKUP($B526,COSTOS!$A$2:$B1014,2,FALSE)),"No encontrado o error"))</f>
        <v/>
      </c>
      <c r="K526" s="264"/>
      <c r="L526" s="249"/>
      <c r="M526" s="189"/>
      <c r="N526" s="264"/>
      <c r="O526" s="249"/>
      <c r="P526" s="250"/>
      <c r="Q526" s="264"/>
      <c r="R526" s="249"/>
      <c r="S526" s="250"/>
      <c r="T526" s="264"/>
      <c r="U526" s="249"/>
      <c r="V526" s="250"/>
      <c r="W526" s="264"/>
      <c r="X526" s="394"/>
      <c r="Y526" s="429"/>
      <c r="Z526" s="395"/>
      <c r="AA526" s="394"/>
      <c r="AB526" s="118" t="str">
        <f>IF(OR(ISBLANK($B526),ISBLANK($AA526)),"",IFERROR(IF($AA526&lt;=DATE('ESTADO CONTABLE'!$B$2,9,5),VLOOKUP($B526,COSTOS!$A$2:$B1014,2,FALSE)-150,VLOOKUP($B526,COSTOS!$A$2:$B1014,2,FALSE)),"No encontrado o error"))</f>
        <v/>
      </c>
      <c r="AC526" s="395"/>
      <c r="AD526" s="394"/>
      <c r="AE526" s="429" t="str">
        <f>IF(OR(ISBLANK($B526),ISBLANK($AD526)),"",IFERROR(IF($AD526&lt;=DATE('ESTADO CONTABLE'!$B$2,10,5),VLOOKUP($B526,COSTOS!$A$2:$B1014,2,FALSE)-150,VLOOKUP($B526,COSTOS!$A$2:$B1014,2,FALSE)),"No encontrado o error"))</f>
        <v/>
      </c>
      <c r="AF526" s="395"/>
      <c r="AG526" s="394"/>
      <c r="AH526" s="429" t="str">
        <f>IF(OR(ISBLANK($B526),ISBLANK($AG526)),"",IFERROR(IF($AG526&lt;=DATE('ESTADO CONTABLE'!$B$2,11,5),VLOOKUP($B526,COSTOS!$A$2:$B1014,2,FALSE)-150,VLOOKUP($B526,COSTOS!$A$2:$B1014,2,FALSE)),"No encontrado o error"))</f>
        <v/>
      </c>
      <c r="AI526" s="395"/>
      <c r="AJ526" s="394"/>
      <c r="AK526" s="429" t="str">
        <f>IF(OR(ISBLANK($B526),ISBLANK($AJ526)),"",IFERROR(IF($AJ526&lt;=DATE('ESTADO CONTABLE'!$B$2,12,5),VLOOKUP($B526,COSTOS!$A$2:$B1014,2,FALSE)-150,VLOOKUP($B526,COSTOS!$A$2:$B1014,2,FALSE)),"No encontrado o error"))</f>
        <v/>
      </c>
      <c r="AL526" s="395"/>
      <c r="AM526" s="254"/>
      <c r="AN526" s="255"/>
      <c r="AO526" s="256"/>
    </row>
    <row r="527" ht="22.5" customHeight="1">
      <c r="A527" s="431" t="str">
        <f>'BASE DE DATOSS'!A601</f>
        <v/>
      </c>
      <c r="B527" s="432" t="str">
        <f>'BASE DE DATOSS'!C601</f>
        <v/>
      </c>
      <c r="C527" s="263"/>
      <c r="D527" s="249"/>
      <c r="E527" s="250"/>
      <c r="F527" s="251"/>
      <c r="G527" s="262"/>
      <c r="H527" s="257"/>
      <c r="I527" s="249"/>
      <c r="J527" s="193" t="str">
        <f>IF(OR(ISBLANK($B527),ISBLANK($I527)),"",IFERROR(IF($I527&lt;=DATE('ESTADO CONTABLE'!$B$2,3,5),VLOOKUP($B527,COSTOS!$A$2:$B1014,2,FALSE)-150,VLOOKUP($B527,COSTOS!$A$2:$B1014,2,FALSE)),"No encontrado o error"))</f>
        <v/>
      </c>
      <c r="K527" s="264"/>
      <c r="L527" s="249"/>
      <c r="M527" s="189"/>
      <c r="N527" s="264"/>
      <c r="O527" s="249"/>
      <c r="P527" s="250"/>
      <c r="Q527" s="264"/>
      <c r="R527" s="249"/>
      <c r="S527" s="250"/>
      <c r="T527" s="264"/>
      <c r="U527" s="249"/>
      <c r="V527" s="250"/>
      <c r="W527" s="264"/>
      <c r="X527" s="394"/>
      <c r="Y527" s="429"/>
      <c r="Z527" s="395"/>
      <c r="AA527" s="394"/>
      <c r="AB527" s="118" t="str">
        <f>IF(OR(ISBLANK($B527),ISBLANK($AA527)),"",IFERROR(IF($AA527&lt;=DATE('ESTADO CONTABLE'!$B$2,9,5),VLOOKUP($B527,COSTOS!$A$2:$B1014,2,FALSE)-150,VLOOKUP($B527,COSTOS!$A$2:$B1014,2,FALSE)),"No encontrado o error"))</f>
        <v/>
      </c>
      <c r="AC527" s="395"/>
      <c r="AD527" s="394"/>
      <c r="AE527" s="429" t="str">
        <f>IF(OR(ISBLANK($B527),ISBLANK($AD527)),"",IFERROR(IF($AD527&lt;=DATE('ESTADO CONTABLE'!$B$2,10,5),VLOOKUP($B527,COSTOS!$A$2:$B1014,2,FALSE)-150,VLOOKUP($B527,COSTOS!$A$2:$B1014,2,FALSE)),"No encontrado o error"))</f>
        <v/>
      </c>
      <c r="AF527" s="395"/>
      <c r="AG527" s="394"/>
      <c r="AH527" s="429" t="str">
        <f>IF(OR(ISBLANK($B527),ISBLANK($AG527)),"",IFERROR(IF($AG527&lt;=DATE('ESTADO CONTABLE'!$B$2,11,5),VLOOKUP($B527,COSTOS!$A$2:$B1014,2,FALSE)-150,VLOOKUP($B527,COSTOS!$A$2:$B1014,2,FALSE)),"No encontrado o error"))</f>
        <v/>
      </c>
      <c r="AI527" s="395"/>
      <c r="AJ527" s="394"/>
      <c r="AK527" s="429" t="str">
        <f>IF(OR(ISBLANK($B527),ISBLANK($AJ527)),"",IFERROR(IF($AJ527&lt;=DATE('ESTADO CONTABLE'!$B$2,12,5),VLOOKUP($B527,COSTOS!$A$2:$B1014,2,FALSE)-150,VLOOKUP($B527,COSTOS!$A$2:$B1014,2,FALSE)),"No encontrado o error"))</f>
        <v/>
      </c>
      <c r="AL527" s="395"/>
      <c r="AM527" s="254"/>
      <c r="AN527" s="255"/>
      <c r="AO527" s="256"/>
    </row>
    <row r="528" ht="22.5" customHeight="1">
      <c r="A528" s="431" t="str">
        <f>'BASE DE DATOSS'!A602</f>
        <v/>
      </c>
      <c r="B528" s="432" t="str">
        <f>'BASE DE DATOSS'!C602</f>
        <v/>
      </c>
      <c r="C528" s="263"/>
      <c r="D528" s="249"/>
      <c r="E528" s="250"/>
      <c r="F528" s="251"/>
      <c r="G528" s="262"/>
      <c r="H528" s="257"/>
      <c r="I528" s="249"/>
      <c r="J528" s="193" t="str">
        <f>IF(OR(ISBLANK($B528),ISBLANK($I528)),"",IFERROR(IF($I528&lt;=DATE('ESTADO CONTABLE'!$B$2,3,5),VLOOKUP($B528,COSTOS!$A$2:$B1014,2,FALSE)-150,VLOOKUP($B528,COSTOS!$A$2:$B1014,2,FALSE)),"No encontrado o error"))</f>
        <v/>
      </c>
      <c r="K528" s="264"/>
      <c r="L528" s="249"/>
      <c r="M528" s="189"/>
      <c r="N528" s="264"/>
      <c r="O528" s="249"/>
      <c r="P528" s="250"/>
      <c r="Q528" s="264"/>
      <c r="R528" s="249"/>
      <c r="S528" s="250"/>
      <c r="T528" s="264"/>
      <c r="U528" s="249"/>
      <c r="V528" s="250"/>
      <c r="W528" s="264"/>
      <c r="X528" s="394"/>
      <c r="Y528" s="429"/>
      <c r="Z528" s="395"/>
      <c r="AA528" s="394"/>
      <c r="AB528" s="118" t="str">
        <f>IF(OR(ISBLANK($B528),ISBLANK($AA528)),"",IFERROR(IF($AA528&lt;=DATE('ESTADO CONTABLE'!$B$2,9,5),VLOOKUP($B528,COSTOS!$A$2:$B1014,2,FALSE)-150,VLOOKUP($B528,COSTOS!$A$2:$B1014,2,FALSE)),"No encontrado o error"))</f>
        <v/>
      </c>
      <c r="AC528" s="395"/>
      <c r="AD528" s="394"/>
      <c r="AE528" s="429" t="str">
        <f>IF(OR(ISBLANK($B528),ISBLANK($AD528)),"",IFERROR(IF($AD528&lt;=DATE('ESTADO CONTABLE'!$B$2,10,5),VLOOKUP($B528,COSTOS!$A$2:$B1014,2,FALSE)-150,VLOOKUP($B528,COSTOS!$A$2:$B1014,2,FALSE)),"No encontrado o error"))</f>
        <v/>
      </c>
      <c r="AF528" s="395"/>
      <c r="AG528" s="394"/>
      <c r="AH528" s="429" t="str">
        <f>IF(OR(ISBLANK($B528),ISBLANK($AG528)),"",IFERROR(IF($AG528&lt;=DATE('ESTADO CONTABLE'!$B$2,11,5),VLOOKUP($B528,COSTOS!$A$2:$B1014,2,FALSE)-150,VLOOKUP($B528,COSTOS!$A$2:$B1014,2,FALSE)),"No encontrado o error"))</f>
        <v/>
      </c>
      <c r="AI528" s="395"/>
      <c r="AJ528" s="394"/>
      <c r="AK528" s="429" t="str">
        <f>IF(OR(ISBLANK($B528),ISBLANK($AJ528)),"",IFERROR(IF($AJ528&lt;=DATE('ESTADO CONTABLE'!$B$2,12,5),VLOOKUP($B528,COSTOS!$A$2:$B1014,2,FALSE)-150,VLOOKUP($B528,COSTOS!$A$2:$B1014,2,FALSE)),"No encontrado o error"))</f>
        <v/>
      </c>
      <c r="AL528" s="395"/>
      <c r="AM528" s="254"/>
      <c r="AN528" s="255"/>
      <c r="AO528" s="256"/>
    </row>
    <row r="529" ht="22.5" customHeight="1">
      <c r="A529" s="431" t="str">
        <f>'BASE DE DATOSS'!A603</f>
        <v/>
      </c>
      <c r="B529" s="432" t="str">
        <f>'BASE DE DATOSS'!C603</f>
        <v/>
      </c>
      <c r="C529" s="263"/>
      <c r="D529" s="249"/>
      <c r="E529" s="250"/>
      <c r="F529" s="251"/>
      <c r="G529" s="262"/>
      <c r="H529" s="257"/>
      <c r="I529" s="249"/>
      <c r="J529" s="193" t="str">
        <f>IF(OR(ISBLANK($B529),ISBLANK($I529)),"",IFERROR(IF($I529&lt;=DATE('ESTADO CONTABLE'!$B$2,3,5),VLOOKUP($B529,COSTOS!$A$2:$B1014,2,FALSE)-150,VLOOKUP($B529,COSTOS!$A$2:$B1014,2,FALSE)),"No encontrado o error"))</f>
        <v/>
      </c>
      <c r="K529" s="264"/>
      <c r="L529" s="249"/>
      <c r="M529" s="189"/>
      <c r="N529" s="264"/>
      <c r="O529" s="249"/>
      <c r="P529" s="250"/>
      <c r="Q529" s="264"/>
      <c r="R529" s="249"/>
      <c r="S529" s="250"/>
      <c r="T529" s="264"/>
      <c r="U529" s="249"/>
      <c r="V529" s="250"/>
      <c r="W529" s="264"/>
      <c r="X529" s="394"/>
      <c r="Y529" s="429"/>
      <c r="Z529" s="395"/>
      <c r="AA529" s="394"/>
      <c r="AB529" s="118" t="str">
        <f>IF(OR(ISBLANK($B529),ISBLANK($AA529)),"",IFERROR(IF($AA529&lt;=DATE('ESTADO CONTABLE'!$B$2,9,5),VLOOKUP($B529,COSTOS!$A$2:$B1014,2,FALSE)-150,VLOOKUP($B529,COSTOS!$A$2:$B1014,2,FALSE)),"No encontrado o error"))</f>
        <v/>
      </c>
      <c r="AC529" s="395"/>
      <c r="AD529" s="394"/>
      <c r="AE529" s="429" t="str">
        <f>IF(OR(ISBLANK($B529),ISBLANK($AD529)),"",IFERROR(IF($AD529&lt;=DATE('ESTADO CONTABLE'!$B$2,10,5),VLOOKUP($B529,COSTOS!$A$2:$B1014,2,FALSE)-150,VLOOKUP($B529,COSTOS!$A$2:$B1014,2,FALSE)),"No encontrado o error"))</f>
        <v/>
      </c>
      <c r="AF529" s="395"/>
      <c r="AG529" s="394"/>
      <c r="AH529" s="429" t="str">
        <f>IF(OR(ISBLANK($B529),ISBLANK($AG529)),"",IFERROR(IF($AG529&lt;=DATE('ESTADO CONTABLE'!$B$2,11,5),VLOOKUP($B529,COSTOS!$A$2:$B1014,2,FALSE)-150,VLOOKUP($B529,COSTOS!$A$2:$B1014,2,FALSE)),"No encontrado o error"))</f>
        <v/>
      </c>
      <c r="AI529" s="395"/>
      <c r="AJ529" s="394"/>
      <c r="AK529" s="429" t="str">
        <f>IF(OR(ISBLANK($B529),ISBLANK($AJ529)),"",IFERROR(IF($AJ529&lt;=DATE('ESTADO CONTABLE'!$B$2,12,5),VLOOKUP($B529,COSTOS!$A$2:$B1014,2,FALSE)-150,VLOOKUP($B529,COSTOS!$A$2:$B1014,2,FALSE)),"No encontrado o error"))</f>
        <v/>
      </c>
      <c r="AL529" s="395"/>
      <c r="AM529" s="254"/>
      <c r="AN529" s="255"/>
      <c r="AO529" s="256"/>
    </row>
    <row r="530" ht="22.5" customHeight="1">
      <c r="A530" s="431" t="str">
        <f>'BASE DE DATOSS'!A604</f>
        <v/>
      </c>
      <c r="B530" s="432" t="str">
        <f>'BASE DE DATOSS'!C604</f>
        <v/>
      </c>
      <c r="C530" s="263"/>
      <c r="D530" s="249"/>
      <c r="E530" s="250"/>
      <c r="F530" s="251"/>
      <c r="G530" s="262"/>
      <c r="H530" s="257"/>
      <c r="I530" s="249"/>
      <c r="J530" s="193" t="str">
        <f>IF(OR(ISBLANK($B530),ISBLANK($I530)),"",IFERROR(IF($I530&lt;=DATE('ESTADO CONTABLE'!$B$2,3,5),VLOOKUP($B530,COSTOS!$A$2:$B1014,2,FALSE)-150,VLOOKUP($B530,COSTOS!$A$2:$B1014,2,FALSE)),"No encontrado o error"))</f>
        <v/>
      </c>
      <c r="K530" s="264"/>
      <c r="L530" s="249"/>
      <c r="M530" s="189"/>
      <c r="N530" s="264"/>
      <c r="O530" s="249"/>
      <c r="P530" s="250"/>
      <c r="Q530" s="264"/>
      <c r="R530" s="249"/>
      <c r="S530" s="250"/>
      <c r="T530" s="264"/>
      <c r="U530" s="249"/>
      <c r="V530" s="250"/>
      <c r="W530" s="264"/>
      <c r="X530" s="394"/>
      <c r="Y530" s="429"/>
      <c r="Z530" s="395"/>
      <c r="AA530" s="394"/>
      <c r="AB530" s="118" t="str">
        <f>IF(OR(ISBLANK($B530),ISBLANK($AA530)),"",IFERROR(IF($AA530&lt;=DATE('ESTADO CONTABLE'!$B$2,9,5),VLOOKUP($B530,COSTOS!$A$2:$B1014,2,FALSE)-150,VLOOKUP($B530,COSTOS!$A$2:$B1014,2,FALSE)),"No encontrado o error"))</f>
        <v/>
      </c>
      <c r="AC530" s="395"/>
      <c r="AD530" s="394"/>
      <c r="AE530" s="429" t="str">
        <f>IF(OR(ISBLANK($B530),ISBLANK($AD530)),"",IFERROR(IF($AD530&lt;=DATE('ESTADO CONTABLE'!$B$2,10,5),VLOOKUP($B530,COSTOS!$A$2:$B1014,2,FALSE)-150,VLOOKUP($B530,COSTOS!$A$2:$B1014,2,FALSE)),"No encontrado o error"))</f>
        <v/>
      </c>
      <c r="AF530" s="395"/>
      <c r="AG530" s="394"/>
      <c r="AH530" s="429" t="str">
        <f>IF(OR(ISBLANK($B530),ISBLANK($AG530)),"",IFERROR(IF($AG530&lt;=DATE('ESTADO CONTABLE'!$B$2,11,5),VLOOKUP($B530,COSTOS!$A$2:$B1014,2,FALSE)-150,VLOOKUP($B530,COSTOS!$A$2:$B1014,2,FALSE)),"No encontrado o error"))</f>
        <v/>
      </c>
      <c r="AI530" s="395"/>
      <c r="AJ530" s="394"/>
      <c r="AK530" s="429" t="str">
        <f>IF(OR(ISBLANK($B530),ISBLANK($AJ530)),"",IFERROR(IF($AJ530&lt;=DATE('ESTADO CONTABLE'!$B$2,12,5),VLOOKUP($B530,COSTOS!$A$2:$B1014,2,FALSE)-150,VLOOKUP($B530,COSTOS!$A$2:$B1014,2,FALSE)),"No encontrado o error"))</f>
        <v/>
      </c>
      <c r="AL530" s="395"/>
      <c r="AM530" s="254"/>
      <c r="AN530" s="255"/>
      <c r="AO530" s="256"/>
    </row>
    <row r="531" ht="22.5" customHeight="1">
      <c r="A531" s="431" t="str">
        <f>'BASE DE DATOSS'!A605</f>
        <v/>
      </c>
      <c r="B531" s="432" t="str">
        <f>'BASE DE DATOSS'!C605</f>
        <v/>
      </c>
      <c r="C531" s="263"/>
      <c r="D531" s="249"/>
      <c r="E531" s="250"/>
      <c r="F531" s="251"/>
      <c r="G531" s="262"/>
      <c r="H531" s="257"/>
      <c r="I531" s="249"/>
      <c r="J531" s="193" t="str">
        <f>IF(OR(ISBLANK($B531),ISBLANK($I531)),"",IFERROR(IF($I531&lt;=DATE('ESTADO CONTABLE'!$B$2,3,5),VLOOKUP($B531,COSTOS!$A$2:$B1014,2,FALSE)-150,VLOOKUP($B531,COSTOS!$A$2:$B1014,2,FALSE)),"No encontrado o error"))</f>
        <v/>
      </c>
      <c r="K531" s="264"/>
      <c r="L531" s="249"/>
      <c r="M531" s="189"/>
      <c r="N531" s="264"/>
      <c r="O531" s="249"/>
      <c r="P531" s="250"/>
      <c r="Q531" s="264"/>
      <c r="R531" s="249"/>
      <c r="S531" s="250"/>
      <c r="T531" s="264"/>
      <c r="U531" s="249"/>
      <c r="V531" s="250"/>
      <c r="W531" s="264"/>
      <c r="X531" s="394"/>
      <c r="Y531" s="429"/>
      <c r="Z531" s="395"/>
      <c r="AA531" s="394"/>
      <c r="AB531" s="118" t="str">
        <f>IF(OR(ISBLANK($B531),ISBLANK($AA531)),"",IFERROR(IF($AA531&lt;=DATE('ESTADO CONTABLE'!$B$2,9,5),VLOOKUP($B531,COSTOS!$A$2:$B1014,2,FALSE)-150,VLOOKUP($B531,COSTOS!$A$2:$B1014,2,FALSE)),"No encontrado o error"))</f>
        <v/>
      </c>
      <c r="AC531" s="395"/>
      <c r="AD531" s="394"/>
      <c r="AE531" s="429" t="str">
        <f>IF(OR(ISBLANK($B531),ISBLANK($AD531)),"",IFERROR(IF($AD531&lt;=DATE('ESTADO CONTABLE'!$B$2,10,5),VLOOKUP($B531,COSTOS!$A$2:$B1014,2,FALSE)-150,VLOOKUP($B531,COSTOS!$A$2:$B1014,2,FALSE)),"No encontrado o error"))</f>
        <v/>
      </c>
      <c r="AF531" s="395"/>
      <c r="AG531" s="394"/>
      <c r="AH531" s="429" t="str">
        <f>IF(OR(ISBLANK($B531),ISBLANK($AG531)),"",IFERROR(IF($AG531&lt;=DATE('ESTADO CONTABLE'!$B$2,11,5),VLOOKUP($B531,COSTOS!$A$2:$B1014,2,FALSE)-150,VLOOKUP($B531,COSTOS!$A$2:$B1014,2,FALSE)),"No encontrado o error"))</f>
        <v/>
      </c>
      <c r="AI531" s="395"/>
      <c r="AJ531" s="394"/>
      <c r="AK531" s="429" t="str">
        <f>IF(OR(ISBLANK($B531),ISBLANK($AJ531)),"",IFERROR(IF($AJ531&lt;=DATE('ESTADO CONTABLE'!$B$2,12,5),VLOOKUP($B531,COSTOS!$A$2:$B1014,2,FALSE)-150,VLOOKUP($B531,COSTOS!$A$2:$B1014,2,FALSE)),"No encontrado o error"))</f>
        <v/>
      </c>
      <c r="AL531" s="395"/>
      <c r="AM531" s="254"/>
      <c r="AN531" s="255"/>
      <c r="AO531" s="256"/>
    </row>
    <row r="532" ht="22.5" customHeight="1">
      <c r="A532" s="431" t="str">
        <f>'BASE DE DATOSS'!A606</f>
        <v/>
      </c>
      <c r="B532" s="432" t="str">
        <f>'BASE DE DATOSS'!C606</f>
        <v/>
      </c>
      <c r="C532" s="263"/>
      <c r="D532" s="249"/>
      <c r="E532" s="250"/>
      <c r="F532" s="251"/>
      <c r="G532" s="262"/>
      <c r="H532" s="257"/>
      <c r="I532" s="249"/>
      <c r="J532" s="193" t="str">
        <f>IF(OR(ISBLANK($B532),ISBLANK($I532)),"",IFERROR(IF($I532&lt;=DATE('ESTADO CONTABLE'!$B$2,3,5),VLOOKUP($B532,COSTOS!$A$2:$B1014,2,FALSE)-150,VLOOKUP($B532,COSTOS!$A$2:$B1014,2,FALSE)),"No encontrado o error"))</f>
        <v/>
      </c>
      <c r="K532" s="264"/>
      <c r="L532" s="249"/>
      <c r="M532" s="189"/>
      <c r="N532" s="264"/>
      <c r="O532" s="249"/>
      <c r="P532" s="250"/>
      <c r="Q532" s="264"/>
      <c r="R532" s="249"/>
      <c r="S532" s="250"/>
      <c r="T532" s="264"/>
      <c r="U532" s="249"/>
      <c r="V532" s="250"/>
      <c r="W532" s="264"/>
      <c r="X532" s="394"/>
      <c r="Y532" s="429"/>
      <c r="Z532" s="395"/>
      <c r="AA532" s="394"/>
      <c r="AB532" s="118" t="str">
        <f>IF(OR(ISBLANK($B532),ISBLANK($AA532)),"",IFERROR(IF($AA532&lt;=DATE('ESTADO CONTABLE'!$B$2,9,5),VLOOKUP($B532,COSTOS!$A$2:$B1014,2,FALSE)-150,VLOOKUP($B532,COSTOS!$A$2:$B1014,2,FALSE)),"No encontrado o error"))</f>
        <v/>
      </c>
      <c r="AC532" s="395"/>
      <c r="AD532" s="394"/>
      <c r="AE532" s="429" t="str">
        <f>IF(OR(ISBLANK($B532),ISBLANK($AD532)),"",IFERROR(IF($AD532&lt;=DATE('ESTADO CONTABLE'!$B$2,10,5),VLOOKUP($B532,COSTOS!$A$2:$B1014,2,FALSE)-150,VLOOKUP($B532,COSTOS!$A$2:$B1014,2,FALSE)),"No encontrado o error"))</f>
        <v/>
      </c>
      <c r="AF532" s="395"/>
      <c r="AG532" s="394"/>
      <c r="AH532" s="429" t="str">
        <f>IF(OR(ISBLANK($B532),ISBLANK($AG532)),"",IFERROR(IF($AG532&lt;=DATE('ESTADO CONTABLE'!$B$2,11,5),VLOOKUP($B532,COSTOS!$A$2:$B1014,2,FALSE)-150,VLOOKUP($B532,COSTOS!$A$2:$B1014,2,FALSE)),"No encontrado o error"))</f>
        <v/>
      </c>
      <c r="AI532" s="395"/>
      <c r="AJ532" s="394"/>
      <c r="AK532" s="429" t="str">
        <f>IF(OR(ISBLANK($B532),ISBLANK($AJ532)),"",IFERROR(IF($AJ532&lt;=DATE('ESTADO CONTABLE'!$B$2,12,5),VLOOKUP($B532,COSTOS!$A$2:$B1014,2,FALSE)-150,VLOOKUP($B532,COSTOS!$A$2:$B1014,2,FALSE)),"No encontrado o error"))</f>
        <v/>
      </c>
      <c r="AL532" s="395"/>
      <c r="AM532" s="254"/>
      <c r="AN532" s="255"/>
      <c r="AO532" s="256"/>
    </row>
    <row r="533" ht="22.5" customHeight="1">
      <c r="A533" s="431" t="str">
        <f>'BASE DE DATOSS'!A607</f>
        <v/>
      </c>
      <c r="B533" s="432" t="str">
        <f>'BASE DE DATOSS'!C607</f>
        <v/>
      </c>
      <c r="C533" s="263"/>
      <c r="D533" s="249"/>
      <c r="E533" s="250"/>
      <c r="F533" s="251"/>
      <c r="G533" s="262"/>
      <c r="H533" s="257"/>
      <c r="I533" s="249"/>
      <c r="J533" s="193" t="str">
        <f>IF(OR(ISBLANK($B533),ISBLANK($I533)),"",IFERROR(IF($I533&lt;=DATE('ESTADO CONTABLE'!$B$2,3,5),VLOOKUP($B533,COSTOS!$A$2:$B1014,2,FALSE)-150,VLOOKUP($B533,COSTOS!$A$2:$B1014,2,FALSE)),"No encontrado o error"))</f>
        <v/>
      </c>
      <c r="K533" s="264"/>
      <c r="L533" s="249"/>
      <c r="M533" s="189"/>
      <c r="N533" s="264"/>
      <c r="O533" s="249"/>
      <c r="P533" s="250"/>
      <c r="Q533" s="264"/>
      <c r="R533" s="249"/>
      <c r="S533" s="250"/>
      <c r="T533" s="264"/>
      <c r="U533" s="249"/>
      <c r="V533" s="250"/>
      <c r="W533" s="264"/>
      <c r="X533" s="394"/>
      <c r="Y533" s="429"/>
      <c r="Z533" s="395"/>
      <c r="AA533" s="394"/>
      <c r="AB533" s="118" t="str">
        <f>IF(OR(ISBLANK($B533),ISBLANK($AA533)),"",IFERROR(IF($AA533&lt;=DATE('ESTADO CONTABLE'!$B$2,9,5),VLOOKUP($B533,COSTOS!$A$2:$B1014,2,FALSE)-150,VLOOKUP($B533,COSTOS!$A$2:$B1014,2,FALSE)),"No encontrado o error"))</f>
        <v/>
      </c>
      <c r="AC533" s="395"/>
      <c r="AD533" s="394"/>
      <c r="AE533" s="429" t="str">
        <f>IF(OR(ISBLANK($B533),ISBLANK($AD533)),"",IFERROR(IF($AD533&lt;=DATE('ESTADO CONTABLE'!$B$2,10,5),VLOOKUP($B533,COSTOS!$A$2:$B1014,2,FALSE)-150,VLOOKUP($B533,COSTOS!$A$2:$B1014,2,FALSE)),"No encontrado o error"))</f>
        <v/>
      </c>
      <c r="AF533" s="395"/>
      <c r="AG533" s="394"/>
      <c r="AH533" s="429" t="str">
        <f>IF(OR(ISBLANK($B533),ISBLANK($AG533)),"",IFERROR(IF($AG533&lt;=DATE('ESTADO CONTABLE'!$B$2,11,5),VLOOKUP($B533,COSTOS!$A$2:$B1014,2,FALSE)-150,VLOOKUP($B533,COSTOS!$A$2:$B1014,2,FALSE)),"No encontrado o error"))</f>
        <v/>
      </c>
      <c r="AI533" s="395"/>
      <c r="AJ533" s="394"/>
      <c r="AK533" s="429" t="str">
        <f>IF(OR(ISBLANK($B533),ISBLANK($AJ533)),"",IFERROR(IF($AJ533&lt;=DATE('ESTADO CONTABLE'!$B$2,12,5),VLOOKUP($B533,COSTOS!$A$2:$B1014,2,FALSE)-150,VLOOKUP($B533,COSTOS!$A$2:$B1014,2,FALSE)),"No encontrado o error"))</f>
        <v/>
      </c>
      <c r="AL533" s="395"/>
      <c r="AM533" s="254"/>
      <c r="AN533" s="255"/>
      <c r="AO533" s="256"/>
    </row>
    <row r="534" ht="22.5" customHeight="1">
      <c r="A534" s="431" t="str">
        <f>'BASE DE DATOSS'!A608</f>
        <v/>
      </c>
      <c r="B534" s="432" t="str">
        <f>'BASE DE DATOSS'!C608</f>
        <v/>
      </c>
      <c r="C534" s="263"/>
      <c r="D534" s="249"/>
      <c r="E534" s="250"/>
      <c r="F534" s="251"/>
      <c r="G534" s="262"/>
      <c r="H534" s="257"/>
      <c r="I534" s="249"/>
      <c r="J534" s="193" t="str">
        <f>IF(OR(ISBLANK($B534),ISBLANK($I534)),"",IFERROR(IF($I534&lt;=DATE('ESTADO CONTABLE'!$B$2,3,5),VLOOKUP($B534,COSTOS!$A$2:$B1014,2,FALSE)-150,VLOOKUP($B534,COSTOS!$A$2:$B1014,2,FALSE)),"No encontrado o error"))</f>
        <v/>
      </c>
      <c r="K534" s="264"/>
      <c r="L534" s="249"/>
      <c r="M534" s="189"/>
      <c r="N534" s="264"/>
      <c r="O534" s="249"/>
      <c r="P534" s="250"/>
      <c r="Q534" s="264"/>
      <c r="R534" s="249"/>
      <c r="S534" s="250"/>
      <c r="T534" s="264"/>
      <c r="U534" s="249"/>
      <c r="V534" s="250"/>
      <c r="W534" s="264"/>
      <c r="X534" s="394"/>
      <c r="Y534" s="429"/>
      <c r="Z534" s="395"/>
      <c r="AA534" s="394"/>
      <c r="AB534" s="118" t="str">
        <f>IF(OR(ISBLANK($B534),ISBLANK($AA534)),"",IFERROR(IF($AA534&lt;=DATE('ESTADO CONTABLE'!$B$2,9,5),VLOOKUP($B534,COSTOS!$A$2:$B1014,2,FALSE)-150,VLOOKUP($B534,COSTOS!$A$2:$B1014,2,FALSE)),"No encontrado o error"))</f>
        <v/>
      </c>
      <c r="AC534" s="395"/>
      <c r="AD534" s="394"/>
      <c r="AE534" s="429" t="str">
        <f>IF(OR(ISBLANK($B534),ISBLANK($AD534)),"",IFERROR(IF($AD534&lt;=DATE('ESTADO CONTABLE'!$B$2,10,5),VLOOKUP($B534,COSTOS!$A$2:$B1014,2,FALSE)-150,VLOOKUP($B534,COSTOS!$A$2:$B1014,2,FALSE)),"No encontrado o error"))</f>
        <v/>
      </c>
      <c r="AF534" s="395"/>
      <c r="AG534" s="394"/>
      <c r="AH534" s="429" t="str">
        <f>IF(OR(ISBLANK($B534),ISBLANK($AG534)),"",IFERROR(IF($AG534&lt;=DATE('ESTADO CONTABLE'!$B$2,11,5),VLOOKUP($B534,COSTOS!$A$2:$B1014,2,FALSE)-150,VLOOKUP($B534,COSTOS!$A$2:$B1014,2,FALSE)),"No encontrado o error"))</f>
        <v/>
      </c>
      <c r="AI534" s="395"/>
      <c r="AJ534" s="394"/>
      <c r="AK534" s="429" t="str">
        <f>IF(OR(ISBLANK($B534),ISBLANK($AJ534)),"",IFERROR(IF($AJ534&lt;=DATE('ESTADO CONTABLE'!$B$2,12,5),VLOOKUP($B534,COSTOS!$A$2:$B1014,2,FALSE)-150,VLOOKUP($B534,COSTOS!$A$2:$B1014,2,FALSE)),"No encontrado o error"))</f>
        <v/>
      </c>
      <c r="AL534" s="395"/>
      <c r="AM534" s="254"/>
      <c r="AN534" s="255"/>
      <c r="AO534" s="256"/>
    </row>
    <row r="535" ht="22.5" customHeight="1">
      <c r="A535" s="431" t="str">
        <f>'BASE DE DATOSS'!A609</f>
        <v/>
      </c>
      <c r="B535" s="432" t="str">
        <f>'BASE DE DATOSS'!C609</f>
        <v/>
      </c>
      <c r="C535" s="263"/>
      <c r="D535" s="249"/>
      <c r="E535" s="250"/>
      <c r="F535" s="251"/>
      <c r="G535" s="262"/>
      <c r="H535" s="257"/>
      <c r="I535" s="249"/>
      <c r="J535" s="193" t="str">
        <f>IF(OR(ISBLANK($B535),ISBLANK($I535)),"",IFERROR(IF($I535&lt;=DATE('ESTADO CONTABLE'!$B$2,3,5),VLOOKUP($B535,COSTOS!$A$2:$B1014,2,FALSE)-150,VLOOKUP($B535,COSTOS!$A$2:$B1014,2,FALSE)),"No encontrado o error"))</f>
        <v/>
      </c>
      <c r="K535" s="264"/>
      <c r="L535" s="249"/>
      <c r="M535" s="189"/>
      <c r="N535" s="264"/>
      <c r="O535" s="249"/>
      <c r="P535" s="250"/>
      <c r="Q535" s="264"/>
      <c r="R535" s="249"/>
      <c r="S535" s="250"/>
      <c r="T535" s="264"/>
      <c r="U535" s="249"/>
      <c r="V535" s="250"/>
      <c r="W535" s="264"/>
      <c r="X535" s="394"/>
      <c r="Y535" s="429"/>
      <c r="Z535" s="395"/>
      <c r="AA535" s="394"/>
      <c r="AB535" s="118" t="str">
        <f>IF(OR(ISBLANK($B535),ISBLANK($AA535)),"",IFERROR(IF($AA535&lt;=DATE('ESTADO CONTABLE'!$B$2,9,5),VLOOKUP($B535,COSTOS!$A$2:$B1014,2,FALSE)-150,VLOOKUP($B535,COSTOS!$A$2:$B1014,2,FALSE)),"No encontrado o error"))</f>
        <v/>
      </c>
      <c r="AC535" s="395"/>
      <c r="AD535" s="394"/>
      <c r="AE535" s="429" t="str">
        <f>IF(OR(ISBLANK($B535),ISBLANK($AD535)),"",IFERROR(IF($AD535&lt;=DATE('ESTADO CONTABLE'!$B$2,10,5),VLOOKUP($B535,COSTOS!$A$2:$B1014,2,FALSE)-150,VLOOKUP($B535,COSTOS!$A$2:$B1014,2,FALSE)),"No encontrado o error"))</f>
        <v/>
      </c>
      <c r="AF535" s="395"/>
      <c r="AG535" s="394"/>
      <c r="AH535" s="429" t="str">
        <f>IF(OR(ISBLANK($B535),ISBLANK($AG535)),"",IFERROR(IF($AG535&lt;=DATE('ESTADO CONTABLE'!$B$2,11,5),VLOOKUP($B535,COSTOS!$A$2:$B1014,2,FALSE)-150,VLOOKUP($B535,COSTOS!$A$2:$B1014,2,FALSE)),"No encontrado o error"))</f>
        <v/>
      </c>
      <c r="AI535" s="395"/>
      <c r="AJ535" s="394"/>
      <c r="AK535" s="429" t="str">
        <f>IF(OR(ISBLANK($B535),ISBLANK($AJ535)),"",IFERROR(IF($AJ535&lt;=DATE('ESTADO CONTABLE'!$B$2,12,5),VLOOKUP($B535,COSTOS!$A$2:$B1014,2,FALSE)-150,VLOOKUP($B535,COSTOS!$A$2:$B1014,2,FALSE)),"No encontrado o error"))</f>
        <v/>
      </c>
      <c r="AL535" s="395"/>
      <c r="AM535" s="254"/>
      <c r="AN535" s="255"/>
      <c r="AO535" s="256"/>
    </row>
    <row r="536" ht="22.5" customHeight="1">
      <c r="A536" s="431" t="str">
        <f>'BASE DE DATOSS'!A610</f>
        <v/>
      </c>
      <c r="B536" s="432" t="str">
        <f>'BASE DE DATOSS'!C610</f>
        <v/>
      </c>
      <c r="C536" s="263"/>
      <c r="D536" s="249"/>
      <c r="E536" s="250"/>
      <c r="F536" s="251"/>
      <c r="G536" s="262"/>
      <c r="H536" s="257"/>
      <c r="I536" s="249"/>
      <c r="J536" s="193" t="str">
        <f>IF(OR(ISBLANK($B536),ISBLANK($I536)),"",IFERROR(IF($I536&lt;=DATE('ESTADO CONTABLE'!$B$2,3,5),VLOOKUP($B536,COSTOS!$A$2:$B1014,2,FALSE)-150,VLOOKUP($B536,COSTOS!$A$2:$B1014,2,FALSE)),"No encontrado o error"))</f>
        <v/>
      </c>
      <c r="K536" s="264"/>
      <c r="L536" s="249"/>
      <c r="M536" s="189"/>
      <c r="N536" s="264"/>
      <c r="O536" s="249"/>
      <c r="P536" s="250"/>
      <c r="Q536" s="264"/>
      <c r="R536" s="249"/>
      <c r="S536" s="250"/>
      <c r="T536" s="264"/>
      <c r="U536" s="249"/>
      <c r="V536" s="250"/>
      <c r="W536" s="264"/>
      <c r="X536" s="394"/>
      <c r="Y536" s="429"/>
      <c r="Z536" s="395"/>
      <c r="AA536" s="394"/>
      <c r="AB536" s="118" t="str">
        <f>IF(OR(ISBLANK($B536),ISBLANK($AA536)),"",IFERROR(IF($AA536&lt;=DATE('ESTADO CONTABLE'!$B$2,9,5),VLOOKUP($B536,COSTOS!$A$2:$B1014,2,FALSE)-150,VLOOKUP($B536,COSTOS!$A$2:$B1014,2,FALSE)),"No encontrado o error"))</f>
        <v/>
      </c>
      <c r="AC536" s="395"/>
      <c r="AD536" s="394"/>
      <c r="AE536" s="429" t="str">
        <f>IF(OR(ISBLANK($B536),ISBLANK($AD536)),"",IFERROR(IF($AD536&lt;=DATE('ESTADO CONTABLE'!$B$2,10,5),VLOOKUP($B536,COSTOS!$A$2:$B1014,2,FALSE)-150,VLOOKUP($B536,COSTOS!$A$2:$B1014,2,FALSE)),"No encontrado o error"))</f>
        <v/>
      </c>
      <c r="AF536" s="395"/>
      <c r="AG536" s="394"/>
      <c r="AH536" s="429" t="str">
        <f>IF(OR(ISBLANK($B536),ISBLANK($AG536)),"",IFERROR(IF($AG536&lt;=DATE('ESTADO CONTABLE'!$B$2,11,5),VLOOKUP($B536,COSTOS!$A$2:$B1014,2,FALSE)-150,VLOOKUP($B536,COSTOS!$A$2:$B1014,2,FALSE)),"No encontrado o error"))</f>
        <v/>
      </c>
      <c r="AI536" s="395"/>
      <c r="AJ536" s="394"/>
      <c r="AK536" s="429" t="str">
        <f>IF(OR(ISBLANK($B536),ISBLANK($AJ536)),"",IFERROR(IF($AJ536&lt;=DATE('ESTADO CONTABLE'!$B$2,12,5),VLOOKUP($B536,COSTOS!$A$2:$B1014,2,FALSE)-150,VLOOKUP($B536,COSTOS!$A$2:$B1014,2,FALSE)),"No encontrado o error"))</f>
        <v/>
      </c>
      <c r="AL536" s="395"/>
      <c r="AM536" s="254"/>
      <c r="AN536" s="255"/>
      <c r="AO536" s="256"/>
    </row>
    <row r="537" ht="22.5" customHeight="1">
      <c r="A537" s="431" t="str">
        <f>'BASE DE DATOSS'!A611</f>
        <v/>
      </c>
      <c r="B537" s="432" t="str">
        <f>'BASE DE DATOSS'!C611</f>
        <v/>
      </c>
      <c r="C537" s="263"/>
      <c r="D537" s="249"/>
      <c r="E537" s="250"/>
      <c r="F537" s="251"/>
      <c r="G537" s="262"/>
      <c r="H537" s="257"/>
      <c r="I537" s="249"/>
      <c r="J537" s="193" t="str">
        <f>IF(OR(ISBLANK($B537),ISBLANK($I537)),"",IFERROR(IF($I537&lt;=DATE('ESTADO CONTABLE'!$B$2,3,5),VLOOKUP($B537,COSTOS!$A$2:$B1014,2,FALSE)-150,VLOOKUP($B537,COSTOS!$A$2:$B1014,2,FALSE)),"No encontrado o error"))</f>
        <v/>
      </c>
      <c r="K537" s="264"/>
      <c r="L537" s="249"/>
      <c r="M537" s="189"/>
      <c r="N537" s="264"/>
      <c r="O537" s="249"/>
      <c r="P537" s="250"/>
      <c r="Q537" s="264"/>
      <c r="R537" s="249"/>
      <c r="S537" s="250"/>
      <c r="T537" s="264"/>
      <c r="U537" s="249"/>
      <c r="V537" s="250"/>
      <c r="W537" s="264"/>
      <c r="X537" s="394"/>
      <c r="Y537" s="429"/>
      <c r="Z537" s="395"/>
      <c r="AA537" s="394"/>
      <c r="AB537" s="118" t="str">
        <f>IF(OR(ISBLANK($B537),ISBLANK($AA537)),"",IFERROR(IF($AA537&lt;=DATE('ESTADO CONTABLE'!$B$2,9,5),VLOOKUP($B537,COSTOS!$A$2:$B1014,2,FALSE)-150,VLOOKUP($B537,COSTOS!$A$2:$B1014,2,FALSE)),"No encontrado o error"))</f>
        <v/>
      </c>
      <c r="AC537" s="395"/>
      <c r="AD537" s="394"/>
      <c r="AE537" s="429" t="str">
        <f>IF(OR(ISBLANK($B537),ISBLANK($AD537)),"",IFERROR(IF($AD537&lt;=DATE('ESTADO CONTABLE'!$B$2,10,5),VLOOKUP($B537,COSTOS!$A$2:$B1014,2,FALSE)-150,VLOOKUP($B537,COSTOS!$A$2:$B1014,2,FALSE)),"No encontrado o error"))</f>
        <v/>
      </c>
      <c r="AF537" s="395"/>
      <c r="AG537" s="394"/>
      <c r="AH537" s="429" t="str">
        <f>IF(OR(ISBLANK($B537),ISBLANK($AG537)),"",IFERROR(IF($AG537&lt;=DATE('ESTADO CONTABLE'!$B$2,11,5),VLOOKUP($B537,COSTOS!$A$2:$B1014,2,FALSE)-150,VLOOKUP($B537,COSTOS!$A$2:$B1014,2,FALSE)),"No encontrado o error"))</f>
        <v/>
      </c>
      <c r="AI537" s="395"/>
      <c r="AJ537" s="394"/>
      <c r="AK537" s="429" t="str">
        <f>IF(OR(ISBLANK($B537),ISBLANK($AJ537)),"",IFERROR(IF($AJ537&lt;=DATE('ESTADO CONTABLE'!$B$2,12,5),VLOOKUP($B537,COSTOS!$A$2:$B1014,2,FALSE)-150,VLOOKUP($B537,COSTOS!$A$2:$B1014,2,FALSE)),"No encontrado o error"))</f>
        <v/>
      </c>
      <c r="AL537" s="395"/>
      <c r="AM537" s="254"/>
      <c r="AN537" s="255"/>
      <c r="AO537" s="256"/>
    </row>
    <row r="538" ht="22.5" customHeight="1">
      <c r="A538" s="431" t="str">
        <f>'BASE DE DATOSS'!A612</f>
        <v/>
      </c>
      <c r="B538" s="432" t="str">
        <f>'BASE DE DATOSS'!C612</f>
        <v/>
      </c>
      <c r="C538" s="263"/>
      <c r="D538" s="249"/>
      <c r="E538" s="250"/>
      <c r="F538" s="251"/>
      <c r="G538" s="262"/>
      <c r="H538" s="257"/>
      <c r="I538" s="249"/>
      <c r="J538" s="193" t="str">
        <f>IF(OR(ISBLANK($B538),ISBLANK($I538)),"",IFERROR(IF($I538&lt;=DATE('ESTADO CONTABLE'!$B$2,3,5),VLOOKUP($B538,COSTOS!$A$2:$B1014,2,FALSE)-150,VLOOKUP($B538,COSTOS!$A$2:$B1014,2,FALSE)),"No encontrado o error"))</f>
        <v/>
      </c>
      <c r="K538" s="264"/>
      <c r="L538" s="249"/>
      <c r="M538" s="189"/>
      <c r="N538" s="264"/>
      <c r="O538" s="249"/>
      <c r="P538" s="250"/>
      <c r="Q538" s="264"/>
      <c r="R538" s="249"/>
      <c r="S538" s="250"/>
      <c r="T538" s="264"/>
      <c r="U538" s="249"/>
      <c r="V538" s="250"/>
      <c r="W538" s="264"/>
      <c r="X538" s="394"/>
      <c r="Y538" s="429"/>
      <c r="Z538" s="395"/>
      <c r="AA538" s="394"/>
      <c r="AB538" s="118" t="str">
        <f>IF(OR(ISBLANK($B538),ISBLANK($AA538)),"",IFERROR(IF($AA538&lt;=DATE('ESTADO CONTABLE'!$B$2,9,5),VLOOKUP($B538,COSTOS!$A$2:$B1014,2,FALSE)-150,VLOOKUP($B538,COSTOS!$A$2:$B1014,2,FALSE)),"No encontrado o error"))</f>
        <v/>
      </c>
      <c r="AC538" s="395"/>
      <c r="AD538" s="394"/>
      <c r="AE538" s="429" t="str">
        <f>IF(OR(ISBLANK($B538),ISBLANK($AD538)),"",IFERROR(IF($AD538&lt;=DATE('ESTADO CONTABLE'!$B$2,10,5),VLOOKUP($B538,COSTOS!$A$2:$B1014,2,FALSE)-150,VLOOKUP($B538,COSTOS!$A$2:$B1014,2,FALSE)),"No encontrado o error"))</f>
        <v/>
      </c>
      <c r="AF538" s="395"/>
      <c r="AG538" s="394"/>
      <c r="AH538" s="429" t="str">
        <f>IF(OR(ISBLANK($B538),ISBLANK($AG538)),"",IFERROR(IF($AG538&lt;=DATE('ESTADO CONTABLE'!$B$2,11,5),VLOOKUP($B538,COSTOS!$A$2:$B1014,2,FALSE)-150,VLOOKUP($B538,COSTOS!$A$2:$B1014,2,FALSE)),"No encontrado o error"))</f>
        <v/>
      </c>
      <c r="AI538" s="395"/>
      <c r="AJ538" s="394"/>
      <c r="AK538" s="429" t="str">
        <f>IF(OR(ISBLANK($B538),ISBLANK($AJ538)),"",IFERROR(IF($AJ538&lt;=DATE('ESTADO CONTABLE'!$B$2,12,5),VLOOKUP($B538,COSTOS!$A$2:$B1014,2,FALSE)-150,VLOOKUP($B538,COSTOS!$A$2:$B1014,2,FALSE)),"No encontrado o error"))</f>
        <v/>
      </c>
      <c r="AL538" s="395"/>
      <c r="AM538" s="254"/>
      <c r="AN538" s="255"/>
      <c r="AO538" s="256"/>
    </row>
    <row r="539" ht="22.5" customHeight="1">
      <c r="A539" s="431" t="str">
        <f>'BASE DE DATOSS'!A613</f>
        <v/>
      </c>
      <c r="B539" s="432" t="str">
        <f>'BASE DE DATOSS'!C613</f>
        <v/>
      </c>
      <c r="C539" s="263"/>
      <c r="D539" s="249"/>
      <c r="E539" s="250"/>
      <c r="F539" s="251"/>
      <c r="G539" s="262"/>
      <c r="H539" s="257"/>
      <c r="I539" s="249"/>
      <c r="J539" s="193" t="str">
        <f>IF(OR(ISBLANK($B539),ISBLANK($I539)),"",IFERROR(IF($I539&lt;=DATE('ESTADO CONTABLE'!$B$2,3,5),VLOOKUP($B539,COSTOS!$A$2:$B1014,2,FALSE)-150,VLOOKUP($B539,COSTOS!$A$2:$B1014,2,FALSE)),"No encontrado o error"))</f>
        <v/>
      </c>
      <c r="K539" s="264"/>
      <c r="L539" s="249"/>
      <c r="M539" s="189"/>
      <c r="N539" s="264"/>
      <c r="O539" s="249"/>
      <c r="P539" s="250"/>
      <c r="Q539" s="264"/>
      <c r="R539" s="249"/>
      <c r="S539" s="250"/>
      <c r="T539" s="264"/>
      <c r="U539" s="249"/>
      <c r="V539" s="250"/>
      <c r="W539" s="264"/>
      <c r="X539" s="394"/>
      <c r="Y539" s="429"/>
      <c r="Z539" s="395"/>
      <c r="AA539" s="394"/>
      <c r="AB539" s="118" t="str">
        <f>IF(OR(ISBLANK($B539),ISBLANK($AA539)),"",IFERROR(IF($AA539&lt;=DATE('ESTADO CONTABLE'!$B$2,9,5),VLOOKUP($B539,COSTOS!$A$2:$B1014,2,FALSE)-150,VLOOKUP($B539,COSTOS!$A$2:$B1014,2,FALSE)),"No encontrado o error"))</f>
        <v/>
      </c>
      <c r="AC539" s="395"/>
      <c r="AD539" s="394"/>
      <c r="AE539" s="429" t="str">
        <f>IF(OR(ISBLANK($B539),ISBLANK($AD539)),"",IFERROR(IF($AD539&lt;=DATE('ESTADO CONTABLE'!$B$2,10,5),VLOOKUP($B539,COSTOS!$A$2:$B1014,2,FALSE)-150,VLOOKUP($B539,COSTOS!$A$2:$B1014,2,FALSE)),"No encontrado o error"))</f>
        <v/>
      </c>
      <c r="AF539" s="395"/>
      <c r="AG539" s="394"/>
      <c r="AH539" s="429" t="str">
        <f>IF(OR(ISBLANK($B539),ISBLANK($AG539)),"",IFERROR(IF($AG539&lt;=DATE('ESTADO CONTABLE'!$B$2,11,5),VLOOKUP($B539,COSTOS!$A$2:$B1014,2,FALSE)-150,VLOOKUP($B539,COSTOS!$A$2:$B1014,2,FALSE)),"No encontrado o error"))</f>
        <v/>
      </c>
      <c r="AI539" s="395"/>
      <c r="AJ539" s="394"/>
      <c r="AK539" s="429" t="str">
        <f>IF(OR(ISBLANK($B539),ISBLANK($AJ539)),"",IFERROR(IF($AJ539&lt;=DATE('ESTADO CONTABLE'!$B$2,12,5),VLOOKUP($B539,COSTOS!$A$2:$B1014,2,FALSE)-150,VLOOKUP($B539,COSTOS!$A$2:$B1014,2,FALSE)),"No encontrado o error"))</f>
        <v/>
      </c>
      <c r="AL539" s="395"/>
      <c r="AM539" s="254"/>
      <c r="AN539" s="255"/>
      <c r="AO539" s="256"/>
    </row>
    <row r="540" ht="22.5" customHeight="1">
      <c r="A540" s="431" t="str">
        <f>'BASE DE DATOSS'!A614</f>
        <v/>
      </c>
      <c r="B540" s="432" t="str">
        <f>'BASE DE DATOSS'!C614</f>
        <v/>
      </c>
      <c r="C540" s="263"/>
      <c r="D540" s="249"/>
      <c r="E540" s="250"/>
      <c r="F540" s="251"/>
      <c r="G540" s="262"/>
      <c r="H540" s="257"/>
      <c r="I540" s="249"/>
      <c r="J540" s="193" t="str">
        <f>IF(OR(ISBLANK($B540),ISBLANK($I540)),"",IFERROR(IF($I540&lt;=DATE('ESTADO CONTABLE'!$B$2,3,5),VLOOKUP($B540,COSTOS!$A$2:$B1014,2,FALSE)-150,VLOOKUP($B540,COSTOS!$A$2:$B1014,2,FALSE)),"No encontrado o error"))</f>
        <v/>
      </c>
      <c r="K540" s="264"/>
      <c r="L540" s="249"/>
      <c r="M540" s="189"/>
      <c r="N540" s="264"/>
      <c r="O540" s="249"/>
      <c r="P540" s="250"/>
      <c r="Q540" s="264"/>
      <c r="R540" s="249"/>
      <c r="S540" s="250"/>
      <c r="T540" s="264"/>
      <c r="U540" s="249"/>
      <c r="V540" s="250"/>
      <c r="W540" s="264"/>
      <c r="X540" s="394"/>
      <c r="Y540" s="429"/>
      <c r="Z540" s="395"/>
      <c r="AA540" s="394"/>
      <c r="AB540" s="118" t="str">
        <f>IF(OR(ISBLANK($B540),ISBLANK($AA540)),"",IFERROR(IF($AA540&lt;=DATE('ESTADO CONTABLE'!$B$2,9,5),VLOOKUP($B540,COSTOS!$A$2:$B1014,2,FALSE)-150,VLOOKUP($B540,COSTOS!$A$2:$B1014,2,FALSE)),"No encontrado o error"))</f>
        <v/>
      </c>
      <c r="AC540" s="395"/>
      <c r="AD540" s="394"/>
      <c r="AE540" s="429" t="str">
        <f>IF(OR(ISBLANK($B540),ISBLANK($AD540)),"",IFERROR(IF($AD540&lt;=DATE('ESTADO CONTABLE'!$B$2,10,5),VLOOKUP($B540,COSTOS!$A$2:$B1014,2,FALSE)-150,VLOOKUP($B540,COSTOS!$A$2:$B1014,2,FALSE)),"No encontrado o error"))</f>
        <v/>
      </c>
      <c r="AF540" s="395"/>
      <c r="AG540" s="394"/>
      <c r="AH540" s="429" t="str">
        <f>IF(OR(ISBLANK($B540),ISBLANK($AG540)),"",IFERROR(IF($AG540&lt;=DATE('ESTADO CONTABLE'!$B$2,11,5),VLOOKUP($B540,COSTOS!$A$2:$B1014,2,FALSE)-150,VLOOKUP($B540,COSTOS!$A$2:$B1014,2,FALSE)),"No encontrado o error"))</f>
        <v/>
      </c>
      <c r="AI540" s="395"/>
      <c r="AJ540" s="394"/>
      <c r="AK540" s="429" t="str">
        <f>IF(OR(ISBLANK($B540),ISBLANK($AJ540)),"",IFERROR(IF($AJ540&lt;=DATE('ESTADO CONTABLE'!$B$2,12,5),VLOOKUP($B540,COSTOS!$A$2:$B1014,2,FALSE)-150,VLOOKUP($B540,COSTOS!$A$2:$B1014,2,FALSE)),"No encontrado o error"))</f>
        <v/>
      </c>
      <c r="AL540" s="395"/>
      <c r="AM540" s="254"/>
      <c r="AN540" s="255"/>
      <c r="AO540" s="256"/>
    </row>
    <row r="541" ht="22.5" customHeight="1">
      <c r="A541" s="431" t="str">
        <f>'BASE DE DATOSS'!A615</f>
        <v/>
      </c>
      <c r="B541" s="432" t="str">
        <f>'BASE DE DATOSS'!C615</f>
        <v/>
      </c>
      <c r="C541" s="263"/>
      <c r="D541" s="249"/>
      <c r="E541" s="250"/>
      <c r="F541" s="251"/>
      <c r="G541" s="262"/>
      <c r="H541" s="257"/>
      <c r="I541" s="249"/>
      <c r="J541" s="193" t="str">
        <f>IF(OR(ISBLANK($B541),ISBLANK($I541)),"",IFERROR(IF($I541&lt;=DATE('ESTADO CONTABLE'!$B$2,3,5),VLOOKUP($B541,COSTOS!$A$2:$B1014,2,FALSE)-150,VLOOKUP($B541,COSTOS!$A$2:$B1014,2,FALSE)),"No encontrado o error"))</f>
        <v/>
      </c>
      <c r="K541" s="264"/>
      <c r="L541" s="249"/>
      <c r="M541" s="189"/>
      <c r="N541" s="264"/>
      <c r="O541" s="249"/>
      <c r="P541" s="250"/>
      <c r="Q541" s="264"/>
      <c r="R541" s="249"/>
      <c r="S541" s="250"/>
      <c r="T541" s="264"/>
      <c r="U541" s="249"/>
      <c r="V541" s="250"/>
      <c r="W541" s="264"/>
      <c r="X541" s="394"/>
      <c r="Y541" s="429"/>
      <c r="Z541" s="395"/>
      <c r="AA541" s="394"/>
      <c r="AB541" s="118" t="str">
        <f>IF(OR(ISBLANK($B541),ISBLANK($AA541)),"",IFERROR(IF($AA541&lt;=DATE('ESTADO CONTABLE'!$B$2,9,5),VLOOKUP($B541,COSTOS!$A$2:$B1014,2,FALSE)-150,VLOOKUP($B541,COSTOS!$A$2:$B1014,2,FALSE)),"No encontrado o error"))</f>
        <v/>
      </c>
      <c r="AC541" s="395"/>
      <c r="AD541" s="394"/>
      <c r="AE541" s="429" t="str">
        <f>IF(OR(ISBLANK($B541),ISBLANK($AD541)),"",IFERROR(IF($AD541&lt;=DATE('ESTADO CONTABLE'!$B$2,10,5),VLOOKUP($B541,COSTOS!$A$2:$B1014,2,FALSE)-150,VLOOKUP($B541,COSTOS!$A$2:$B1014,2,FALSE)),"No encontrado o error"))</f>
        <v/>
      </c>
      <c r="AF541" s="395"/>
      <c r="AG541" s="394"/>
      <c r="AH541" s="429" t="str">
        <f>IF(OR(ISBLANK($B541),ISBLANK($AG541)),"",IFERROR(IF($AG541&lt;=DATE('ESTADO CONTABLE'!$B$2,11,5),VLOOKUP($B541,COSTOS!$A$2:$B1014,2,FALSE)-150,VLOOKUP($B541,COSTOS!$A$2:$B1014,2,FALSE)),"No encontrado o error"))</f>
        <v/>
      </c>
      <c r="AI541" s="395"/>
      <c r="AJ541" s="394"/>
      <c r="AK541" s="429" t="str">
        <f>IF(OR(ISBLANK($B541),ISBLANK($AJ541)),"",IFERROR(IF($AJ541&lt;=DATE('ESTADO CONTABLE'!$B$2,12,5),VLOOKUP($B541,COSTOS!$A$2:$B1014,2,FALSE)-150,VLOOKUP($B541,COSTOS!$A$2:$B1014,2,FALSE)),"No encontrado o error"))</f>
        <v/>
      </c>
      <c r="AL541" s="395"/>
      <c r="AM541" s="254"/>
      <c r="AN541" s="255"/>
      <c r="AO541" s="256"/>
    </row>
    <row r="542" ht="22.5" customHeight="1">
      <c r="A542" s="431" t="str">
        <f>'BASE DE DATOSS'!A616</f>
        <v/>
      </c>
      <c r="B542" s="432" t="str">
        <f>'BASE DE DATOSS'!C616</f>
        <v/>
      </c>
      <c r="C542" s="263"/>
      <c r="D542" s="249"/>
      <c r="E542" s="250"/>
      <c r="F542" s="251"/>
      <c r="G542" s="262"/>
      <c r="H542" s="257"/>
      <c r="I542" s="249"/>
      <c r="J542" s="193" t="str">
        <f>IF(OR(ISBLANK($B542),ISBLANK($I542)),"",IFERROR(IF($I542&lt;=DATE('ESTADO CONTABLE'!$B$2,3,5),VLOOKUP($B542,COSTOS!$A$2:$B1014,2,FALSE)-150,VLOOKUP($B542,COSTOS!$A$2:$B1014,2,FALSE)),"No encontrado o error"))</f>
        <v/>
      </c>
      <c r="K542" s="264"/>
      <c r="L542" s="249"/>
      <c r="M542" s="189"/>
      <c r="N542" s="264"/>
      <c r="O542" s="249"/>
      <c r="P542" s="250"/>
      <c r="Q542" s="264"/>
      <c r="R542" s="249"/>
      <c r="S542" s="250"/>
      <c r="T542" s="264"/>
      <c r="U542" s="249"/>
      <c r="V542" s="250"/>
      <c r="W542" s="264"/>
      <c r="X542" s="394"/>
      <c r="Y542" s="429"/>
      <c r="Z542" s="395"/>
      <c r="AA542" s="394"/>
      <c r="AB542" s="118" t="str">
        <f>IF(OR(ISBLANK($B542),ISBLANK($AA542)),"",IFERROR(IF($AA542&lt;=DATE('ESTADO CONTABLE'!$B$2,9,5),VLOOKUP($B542,COSTOS!$A$2:$B1014,2,FALSE)-150,VLOOKUP($B542,COSTOS!$A$2:$B1014,2,FALSE)),"No encontrado o error"))</f>
        <v/>
      </c>
      <c r="AC542" s="395"/>
      <c r="AD542" s="394"/>
      <c r="AE542" s="429" t="str">
        <f>IF(OR(ISBLANK($B542),ISBLANK($AD542)),"",IFERROR(IF($AD542&lt;=DATE('ESTADO CONTABLE'!$B$2,10,5),VLOOKUP($B542,COSTOS!$A$2:$B1014,2,FALSE)-150,VLOOKUP($B542,COSTOS!$A$2:$B1014,2,FALSE)),"No encontrado o error"))</f>
        <v/>
      </c>
      <c r="AF542" s="395"/>
      <c r="AG542" s="394"/>
      <c r="AH542" s="429" t="str">
        <f>IF(OR(ISBLANK($B542),ISBLANK($AG542)),"",IFERROR(IF($AG542&lt;=DATE('ESTADO CONTABLE'!$B$2,11,5),VLOOKUP($B542,COSTOS!$A$2:$B1014,2,FALSE)-150,VLOOKUP($B542,COSTOS!$A$2:$B1014,2,FALSE)),"No encontrado o error"))</f>
        <v/>
      </c>
      <c r="AI542" s="395"/>
      <c r="AJ542" s="394"/>
      <c r="AK542" s="429" t="str">
        <f>IF(OR(ISBLANK($B542),ISBLANK($AJ542)),"",IFERROR(IF($AJ542&lt;=DATE('ESTADO CONTABLE'!$B$2,12,5),VLOOKUP($B542,COSTOS!$A$2:$B1014,2,FALSE)-150,VLOOKUP($B542,COSTOS!$A$2:$B1014,2,FALSE)),"No encontrado o error"))</f>
        <v/>
      </c>
      <c r="AL542" s="395"/>
      <c r="AM542" s="254"/>
      <c r="AN542" s="255"/>
      <c r="AO542" s="256"/>
    </row>
    <row r="543" ht="22.5" customHeight="1">
      <c r="A543" s="431" t="str">
        <f>'BASE DE DATOSS'!A617</f>
        <v/>
      </c>
      <c r="B543" s="432" t="str">
        <f>'BASE DE DATOSS'!C617</f>
        <v/>
      </c>
      <c r="C543" s="263"/>
      <c r="D543" s="249"/>
      <c r="E543" s="250"/>
      <c r="F543" s="251"/>
      <c r="G543" s="262"/>
      <c r="H543" s="257"/>
      <c r="I543" s="249"/>
      <c r="J543" s="193" t="str">
        <f>IF(OR(ISBLANK($B543),ISBLANK($I543)),"",IFERROR(IF($I543&lt;=DATE('ESTADO CONTABLE'!$B$2,3,5),VLOOKUP($B543,COSTOS!$A$2:$B1014,2,FALSE)-150,VLOOKUP($B543,COSTOS!$A$2:$B1014,2,FALSE)),"No encontrado o error"))</f>
        <v/>
      </c>
      <c r="K543" s="264"/>
      <c r="L543" s="249"/>
      <c r="M543" s="189"/>
      <c r="N543" s="264"/>
      <c r="O543" s="249"/>
      <c r="P543" s="250"/>
      <c r="Q543" s="264"/>
      <c r="R543" s="249"/>
      <c r="S543" s="250"/>
      <c r="T543" s="264"/>
      <c r="U543" s="249"/>
      <c r="V543" s="250"/>
      <c r="W543" s="264"/>
      <c r="X543" s="394"/>
      <c r="Y543" s="429"/>
      <c r="Z543" s="395"/>
      <c r="AA543" s="394"/>
      <c r="AB543" s="118" t="str">
        <f>IF(OR(ISBLANK($B543),ISBLANK($AA543)),"",IFERROR(IF($AA543&lt;=DATE('ESTADO CONTABLE'!$B$2,9,5),VLOOKUP($B543,COSTOS!$A$2:$B1014,2,FALSE)-150,VLOOKUP($B543,COSTOS!$A$2:$B1014,2,FALSE)),"No encontrado o error"))</f>
        <v/>
      </c>
      <c r="AC543" s="395"/>
      <c r="AD543" s="394"/>
      <c r="AE543" s="429" t="str">
        <f>IF(OR(ISBLANK($B543),ISBLANK($AD543)),"",IFERROR(IF($AD543&lt;=DATE('ESTADO CONTABLE'!$B$2,10,5),VLOOKUP($B543,COSTOS!$A$2:$B1014,2,FALSE)-150,VLOOKUP($B543,COSTOS!$A$2:$B1014,2,FALSE)),"No encontrado o error"))</f>
        <v/>
      </c>
      <c r="AF543" s="395"/>
      <c r="AG543" s="394"/>
      <c r="AH543" s="429" t="str">
        <f>IF(OR(ISBLANK($B543),ISBLANK($AG543)),"",IFERROR(IF($AG543&lt;=DATE('ESTADO CONTABLE'!$B$2,11,5),VLOOKUP($B543,COSTOS!$A$2:$B1014,2,FALSE)-150,VLOOKUP($B543,COSTOS!$A$2:$B1014,2,FALSE)),"No encontrado o error"))</f>
        <v/>
      </c>
      <c r="AI543" s="395"/>
      <c r="AJ543" s="394"/>
      <c r="AK543" s="429" t="str">
        <f>IF(OR(ISBLANK($B543),ISBLANK($AJ543)),"",IFERROR(IF($AJ543&lt;=DATE('ESTADO CONTABLE'!$B$2,12,5),VLOOKUP($B543,COSTOS!$A$2:$B1014,2,FALSE)-150,VLOOKUP($B543,COSTOS!$A$2:$B1014,2,FALSE)),"No encontrado o error"))</f>
        <v/>
      </c>
      <c r="AL543" s="395"/>
      <c r="AM543" s="254"/>
      <c r="AN543" s="255"/>
      <c r="AO543" s="256"/>
    </row>
    <row r="544" ht="22.5" customHeight="1">
      <c r="A544" s="431" t="str">
        <f>'BASE DE DATOSS'!A618</f>
        <v/>
      </c>
      <c r="B544" s="432" t="str">
        <f>'BASE DE DATOSS'!C618</f>
        <v/>
      </c>
      <c r="C544" s="263"/>
      <c r="D544" s="249"/>
      <c r="E544" s="250"/>
      <c r="F544" s="251"/>
      <c r="G544" s="262"/>
      <c r="H544" s="257"/>
      <c r="I544" s="249"/>
      <c r="J544" s="193" t="str">
        <f>IF(OR(ISBLANK($B544),ISBLANK($I544)),"",IFERROR(IF($I544&lt;=DATE('ESTADO CONTABLE'!$B$2,3,5),VLOOKUP($B544,COSTOS!$A$2:$B1014,2,FALSE)-150,VLOOKUP($B544,COSTOS!$A$2:$B1014,2,FALSE)),"No encontrado o error"))</f>
        <v/>
      </c>
      <c r="K544" s="264"/>
      <c r="L544" s="249"/>
      <c r="M544" s="189"/>
      <c r="N544" s="264"/>
      <c r="O544" s="249"/>
      <c r="P544" s="250"/>
      <c r="Q544" s="264"/>
      <c r="R544" s="249"/>
      <c r="S544" s="250"/>
      <c r="T544" s="264"/>
      <c r="U544" s="249"/>
      <c r="V544" s="250"/>
      <c r="W544" s="264"/>
      <c r="X544" s="394"/>
      <c r="Y544" s="429"/>
      <c r="Z544" s="395"/>
      <c r="AA544" s="394"/>
      <c r="AB544" s="118" t="str">
        <f>IF(OR(ISBLANK($B544),ISBLANK($AA544)),"",IFERROR(IF($AA544&lt;=DATE('ESTADO CONTABLE'!$B$2,9,5),VLOOKUP($B544,COSTOS!$A$2:$B1014,2,FALSE)-150,VLOOKUP($B544,COSTOS!$A$2:$B1014,2,FALSE)),"No encontrado o error"))</f>
        <v/>
      </c>
      <c r="AC544" s="395"/>
      <c r="AD544" s="394"/>
      <c r="AE544" s="429" t="str">
        <f>IF(OR(ISBLANK($B544),ISBLANK($AD544)),"",IFERROR(IF($AD544&lt;=DATE('ESTADO CONTABLE'!$B$2,10,5),VLOOKUP($B544,COSTOS!$A$2:$B1014,2,FALSE)-150,VLOOKUP($B544,COSTOS!$A$2:$B1014,2,FALSE)),"No encontrado o error"))</f>
        <v/>
      </c>
      <c r="AF544" s="395"/>
      <c r="AG544" s="394"/>
      <c r="AH544" s="429" t="str">
        <f>IF(OR(ISBLANK($B544),ISBLANK($AG544)),"",IFERROR(IF($AG544&lt;=DATE('ESTADO CONTABLE'!$B$2,11,5),VLOOKUP($B544,COSTOS!$A$2:$B1014,2,FALSE)-150,VLOOKUP($B544,COSTOS!$A$2:$B1014,2,FALSE)),"No encontrado o error"))</f>
        <v/>
      </c>
      <c r="AI544" s="395"/>
      <c r="AJ544" s="394"/>
      <c r="AK544" s="429" t="str">
        <f>IF(OR(ISBLANK($B544),ISBLANK($AJ544)),"",IFERROR(IF($AJ544&lt;=DATE('ESTADO CONTABLE'!$B$2,12,5),VLOOKUP($B544,COSTOS!$A$2:$B1014,2,FALSE)-150,VLOOKUP($B544,COSTOS!$A$2:$B1014,2,FALSE)),"No encontrado o error"))</f>
        <v/>
      </c>
      <c r="AL544" s="395"/>
      <c r="AM544" s="254"/>
      <c r="AN544" s="255"/>
      <c r="AO544" s="256"/>
    </row>
    <row r="545" ht="22.5" customHeight="1">
      <c r="A545" s="431" t="str">
        <f>'BASE DE DATOSS'!A619</f>
        <v/>
      </c>
      <c r="B545" s="432" t="str">
        <f>'BASE DE DATOSS'!C619</f>
        <v/>
      </c>
      <c r="C545" s="263"/>
      <c r="D545" s="249"/>
      <c r="E545" s="250"/>
      <c r="F545" s="251"/>
      <c r="G545" s="262"/>
      <c r="H545" s="257"/>
      <c r="I545" s="249"/>
      <c r="J545" s="193" t="str">
        <f>IF(OR(ISBLANK($B545),ISBLANK($I545)),"",IFERROR(IF($I545&lt;=DATE('ESTADO CONTABLE'!$B$2,3,5),VLOOKUP($B545,COSTOS!$A$2:$B1014,2,FALSE)-150,VLOOKUP($B545,COSTOS!$A$2:$B1014,2,FALSE)),"No encontrado o error"))</f>
        <v/>
      </c>
      <c r="K545" s="264"/>
      <c r="L545" s="249"/>
      <c r="M545" s="189"/>
      <c r="N545" s="264"/>
      <c r="O545" s="249"/>
      <c r="P545" s="250"/>
      <c r="Q545" s="264"/>
      <c r="R545" s="249"/>
      <c r="S545" s="250"/>
      <c r="T545" s="264"/>
      <c r="U545" s="249"/>
      <c r="V545" s="250"/>
      <c r="W545" s="264"/>
      <c r="X545" s="394"/>
      <c r="Y545" s="429"/>
      <c r="Z545" s="395"/>
      <c r="AA545" s="394"/>
      <c r="AB545" s="118" t="str">
        <f>IF(OR(ISBLANK($B545),ISBLANK($AA545)),"",IFERROR(IF($AA545&lt;=DATE('ESTADO CONTABLE'!$B$2,9,5),VLOOKUP($B545,COSTOS!$A$2:$B1014,2,FALSE)-150,VLOOKUP($B545,COSTOS!$A$2:$B1014,2,FALSE)),"No encontrado o error"))</f>
        <v/>
      </c>
      <c r="AC545" s="395"/>
      <c r="AD545" s="394"/>
      <c r="AE545" s="429" t="str">
        <f>IF(OR(ISBLANK($B545),ISBLANK($AD545)),"",IFERROR(IF($AD545&lt;=DATE('ESTADO CONTABLE'!$B$2,10,5),VLOOKUP($B545,COSTOS!$A$2:$B1014,2,FALSE)-150,VLOOKUP($B545,COSTOS!$A$2:$B1014,2,FALSE)),"No encontrado o error"))</f>
        <v/>
      </c>
      <c r="AF545" s="395"/>
      <c r="AG545" s="394"/>
      <c r="AH545" s="429" t="str">
        <f>IF(OR(ISBLANK($B545),ISBLANK($AG545)),"",IFERROR(IF($AG545&lt;=DATE('ESTADO CONTABLE'!$B$2,11,5),VLOOKUP($B545,COSTOS!$A$2:$B1014,2,FALSE)-150,VLOOKUP($B545,COSTOS!$A$2:$B1014,2,FALSE)),"No encontrado o error"))</f>
        <v/>
      </c>
      <c r="AI545" s="395"/>
      <c r="AJ545" s="394"/>
      <c r="AK545" s="429" t="str">
        <f>IF(OR(ISBLANK($B545),ISBLANK($AJ545)),"",IFERROR(IF($AJ545&lt;=DATE('ESTADO CONTABLE'!$B$2,12,5),VLOOKUP($B545,COSTOS!$A$2:$B1014,2,FALSE)-150,VLOOKUP($B545,COSTOS!$A$2:$B1014,2,FALSE)),"No encontrado o error"))</f>
        <v/>
      </c>
      <c r="AL545" s="395"/>
      <c r="AM545" s="254"/>
      <c r="AN545" s="255"/>
      <c r="AO545" s="256"/>
    </row>
    <row r="546" ht="22.5" customHeight="1">
      <c r="A546" s="431" t="str">
        <f>'BASE DE DATOSS'!A620</f>
        <v/>
      </c>
      <c r="B546" s="432" t="str">
        <f>'BASE DE DATOSS'!C620</f>
        <v/>
      </c>
      <c r="C546" s="263"/>
      <c r="D546" s="249"/>
      <c r="E546" s="250"/>
      <c r="F546" s="251"/>
      <c r="G546" s="262"/>
      <c r="H546" s="257"/>
      <c r="I546" s="249"/>
      <c r="J546" s="193" t="str">
        <f>IF(OR(ISBLANK($B546),ISBLANK($I546)),"",IFERROR(IF($I546&lt;=DATE('ESTADO CONTABLE'!$B$2,3,5),VLOOKUP($B546,COSTOS!$A$2:$B1014,2,FALSE)-150,VLOOKUP($B546,COSTOS!$A$2:$B1014,2,FALSE)),"No encontrado o error"))</f>
        <v/>
      </c>
      <c r="K546" s="264"/>
      <c r="L546" s="249"/>
      <c r="M546" s="189"/>
      <c r="N546" s="264"/>
      <c r="O546" s="249"/>
      <c r="P546" s="250"/>
      <c r="Q546" s="264"/>
      <c r="R546" s="249"/>
      <c r="S546" s="250"/>
      <c r="T546" s="264"/>
      <c r="U546" s="249"/>
      <c r="V546" s="250"/>
      <c r="W546" s="264"/>
      <c r="X546" s="394"/>
      <c r="Y546" s="429"/>
      <c r="Z546" s="395"/>
      <c r="AA546" s="394"/>
      <c r="AB546" s="118" t="str">
        <f>IF(OR(ISBLANK($B546),ISBLANK($AA546)),"",IFERROR(IF($AA546&lt;=DATE('ESTADO CONTABLE'!$B$2,9,5),VLOOKUP($B546,COSTOS!$A$2:$B1014,2,FALSE)-150,VLOOKUP($B546,COSTOS!$A$2:$B1014,2,FALSE)),"No encontrado o error"))</f>
        <v/>
      </c>
      <c r="AC546" s="395"/>
      <c r="AD546" s="394"/>
      <c r="AE546" s="429" t="str">
        <f>IF(OR(ISBLANK($B546),ISBLANK($AD546)),"",IFERROR(IF($AD546&lt;=DATE('ESTADO CONTABLE'!$B$2,10,5),VLOOKUP($B546,COSTOS!$A$2:$B1014,2,FALSE)-150,VLOOKUP($B546,COSTOS!$A$2:$B1014,2,FALSE)),"No encontrado o error"))</f>
        <v/>
      </c>
      <c r="AF546" s="395"/>
      <c r="AG546" s="394"/>
      <c r="AH546" s="429" t="str">
        <f>IF(OR(ISBLANK($B546),ISBLANK($AG546)),"",IFERROR(IF($AG546&lt;=DATE('ESTADO CONTABLE'!$B$2,11,5),VLOOKUP($B546,COSTOS!$A$2:$B1014,2,FALSE)-150,VLOOKUP($B546,COSTOS!$A$2:$B1014,2,FALSE)),"No encontrado o error"))</f>
        <v/>
      </c>
      <c r="AI546" s="395"/>
      <c r="AJ546" s="394"/>
      <c r="AK546" s="429" t="str">
        <f>IF(OR(ISBLANK($B546),ISBLANK($AJ546)),"",IFERROR(IF($AJ546&lt;=DATE('ESTADO CONTABLE'!$B$2,12,5),VLOOKUP($B546,COSTOS!$A$2:$B1014,2,FALSE)-150,VLOOKUP($B546,COSTOS!$A$2:$B1014,2,FALSE)),"No encontrado o error"))</f>
        <v/>
      </c>
      <c r="AL546" s="395"/>
      <c r="AM546" s="254"/>
      <c r="AN546" s="255"/>
      <c r="AO546" s="256"/>
    </row>
    <row r="547" ht="22.5" customHeight="1">
      <c r="A547" s="431" t="str">
        <f>'BASE DE DATOSS'!A621</f>
        <v/>
      </c>
      <c r="B547" s="432" t="str">
        <f>'BASE DE DATOSS'!C621</f>
        <v/>
      </c>
      <c r="C547" s="263"/>
      <c r="D547" s="249"/>
      <c r="E547" s="250"/>
      <c r="F547" s="251"/>
      <c r="G547" s="262"/>
      <c r="H547" s="257"/>
      <c r="I547" s="249"/>
      <c r="J547" s="193" t="str">
        <f>IF(OR(ISBLANK($B547),ISBLANK($I547)),"",IFERROR(IF($I547&lt;=DATE('ESTADO CONTABLE'!$B$2,3,5),VLOOKUP($B547,COSTOS!$A$2:$B1014,2,FALSE)-150,VLOOKUP($B547,COSTOS!$A$2:$B1014,2,FALSE)),"No encontrado o error"))</f>
        <v/>
      </c>
      <c r="K547" s="264"/>
      <c r="L547" s="249"/>
      <c r="M547" s="189"/>
      <c r="N547" s="264"/>
      <c r="O547" s="249"/>
      <c r="P547" s="250"/>
      <c r="Q547" s="264"/>
      <c r="R547" s="249"/>
      <c r="S547" s="250"/>
      <c r="T547" s="264"/>
      <c r="U547" s="249"/>
      <c r="V547" s="250"/>
      <c r="W547" s="264"/>
      <c r="X547" s="394"/>
      <c r="Y547" s="429"/>
      <c r="Z547" s="395"/>
      <c r="AA547" s="394"/>
      <c r="AB547" s="118" t="str">
        <f>IF(OR(ISBLANK($B547),ISBLANK($AA547)),"",IFERROR(IF($AA547&lt;=DATE('ESTADO CONTABLE'!$B$2,9,5),VLOOKUP($B547,COSTOS!$A$2:$B1014,2,FALSE)-150,VLOOKUP($B547,COSTOS!$A$2:$B1014,2,FALSE)),"No encontrado o error"))</f>
        <v/>
      </c>
      <c r="AC547" s="395"/>
      <c r="AD547" s="394"/>
      <c r="AE547" s="429" t="str">
        <f>IF(OR(ISBLANK($B547),ISBLANK($AD547)),"",IFERROR(IF($AD547&lt;=DATE('ESTADO CONTABLE'!$B$2,10,5),VLOOKUP($B547,COSTOS!$A$2:$B1014,2,FALSE)-150,VLOOKUP($B547,COSTOS!$A$2:$B1014,2,FALSE)),"No encontrado o error"))</f>
        <v/>
      </c>
      <c r="AF547" s="395"/>
      <c r="AG547" s="394"/>
      <c r="AH547" s="429" t="str">
        <f>IF(OR(ISBLANK($B547),ISBLANK($AG547)),"",IFERROR(IF($AG547&lt;=DATE('ESTADO CONTABLE'!$B$2,11,5),VLOOKUP($B547,COSTOS!$A$2:$B1014,2,FALSE)-150,VLOOKUP($B547,COSTOS!$A$2:$B1014,2,FALSE)),"No encontrado o error"))</f>
        <v/>
      </c>
      <c r="AI547" s="395"/>
      <c r="AJ547" s="394"/>
      <c r="AK547" s="429" t="str">
        <f>IF(OR(ISBLANK($B547),ISBLANK($AJ547)),"",IFERROR(IF($AJ547&lt;=DATE('ESTADO CONTABLE'!$B$2,12,5),VLOOKUP($B547,COSTOS!$A$2:$B1014,2,FALSE)-150,VLOOKUP($B547,COSTOS!$A$2:$B1014,2,FALSE)),"No encontrado o error"))</f>
        <v/>
      </c>
      <c r="AL547" s="395"/>
      <c r="AM547" s="254"/>
      <c r="AN547" s="255"/>
      <c r="AO547" s="256"/>
    </row>
    <row r="548" ht="22.5" customHeight="1">
      <c r="A548" s="431" t="str">
        <f>'BASE DE DATOSS'!A622</f>
        <v/>
      </c>
      <c r="B548" s="432" t="str">
        <f>'BASE DE DATOSS'!C622</f>
        <v/>
      </c>
      <c r="C548" s="263"/>
      <c r="D548" s="249"/>
      <c r="E548" s="250"/>
      <c r="F548" s="251"/>
      <c r="G548" s="262"/>
      <c r="H548" s="257"/>
      <c r="I548" s="249"/>
      <c r="J548" s="193" t="str">
        <f>IF(OR(ISBLANK($B548),ISBLANK($I548)),"",IFERROR(IF($I548&lt;=DATE('ESTADO CONTABLE'!$B$2,3,5),VLOOKUP($B548,COSTOS!$A$2:$B1014,2,FALSE)-150,VLOOKUP($B548,COSTOS!$A$2:$B1014,2,FALSE)),"No encontrado o error"))</f>
        <v/>
      </c>
      <c r="K548" s="264"/>
      <c r="L548" s="249"/>
      <c r="M548" s="189"/>
      <c r="N548" s="264"/>
      <c r="O548" s="249"/>
      <c r="P548" s="250"/>
      <c r="Q548" s="264"/>
      <c r="R548" s="249"/>
      <c r="S548" s="250"/>
      <c r="T548" s="264"/>
      <c r="U548" s="249"/>
      <c r="V548" s="250"/>
      <c r="W548" s="264"/>
      <c r="X548" s="394"/>
      <c r="Y548" s="429"/>
      <c r="Z548" s="395"/>
      <c r="AA548" s="394"/>
      <c r="AB548" s="118" t="str">
        <f>IF(OR(ISBLANK($B548),ISBLANK($AA548)),"",IFERROR(IF($AA548&lt;=DATE('ESTADO CONTABLE'!$B$2,9,5),VLOOKUP($B548,COSTOS!$A$2:$B1014,2,FALSE)-150,VLOOKUP($B548,COSTOS!$A$2:$B1014,2,FALSE)),"No encontrado o error"))</f>
        <v/>
      </c>
      <c r="AC548" s="395"/>
      <c r="AD548" s="394"/>
      <c r="AE548" s="429" t="str">
        <f>IF(OR(ISBLANK($B548),ISBLANK($AD548)),"",IFERROR(IF($AD548&lt;=DATE('ESTADO CONTABLE'!$B$2,10,5),VLOOKUP($B548,COSTOS!$A$2:$B1014,2,FALSE)-150,VLOOKUP($B548,COSTOS!$A$2:$B1014,2,FALSE)),"No encontrado o error"))</f>
        <v/>
      </c>
      <c r="AF548" s="395"/>
      <c r="AG548" s="394"/>
      <c r="AH548" s="429" t="str">
        <f>IF(OR(ISBLANK($B548),ISBLANK($AG548)),"",IFERROR(IF($AG548&lt;=DATE('ESTADO CONTABLE'!$B$2,11,5),VLOOKUP($B548,COSTOS!$A$2:$B1014,2,FALSE)-150,VLOOKUP($B548,COSTOS!$A$2:$B1014,2,FALSE)),"No encontrado o error"))</f>
        <v/>
      </c>
      <c r="AI548" s="395"/>
      <c r="AJ548" s="394"/>
      <c r="AK548" s="429" t="str">
        <f>IF(OR(ISBLANK($B548),ISBLANK($AJ548)),"",IFERROR(IF($AJ548&lt;=DATE('ESTADO CONTABLE'!$B$2,12,5),VLOOKUP($B548,COSTOS!$A$2:$B1014,2,FALSE)-150,VLOOKUP($B548,COSTOS!$A$2:$B1014,2,FALSE)),"No encontrado o error"))</f>
        <v/>
      </c>
      <c r="AL548" s="395"/>
      <c r="AM548" s="254"/>
      <c r="AN548" s="255"/>
      <c r="AO548" s="256"/>
    </row>
    <row r="549" ht="22.5" customHeight="1">
      <c r="A549" s="431" t="str">
        <f>'BASE DE DATOSS'!A623</f>
        <v/>
      </c>
      <c r="B549" s="432" t="str">
        <f>'BASE DE DATOSS'!C623</f>
        <v/>
      </c>
      <c r="C549" s="263"/>
      <c r="D549" s="249"/>
      <c r="E549" s="250"/>
      <c r="F549" s="251"/>
      <c r="G549" s="262"/>
      <c r="H549" s="257"/>
      <c r="I549" s="249"/>
      <c r="J549" s="193" t="str">
        <f>IF(OR(ISBLANK($B549),ISBLANK($I549)),"",IFERROR(IF($I549&lt;=DATE('ESTADO CONTABLE'!$B$2,3,5),VLOOKUP($B549,COSTOS!$A$2:$B1014,2,FALSE)-150,VLOOKUP($B549,COSTOS!$A$2:$B1014,2,FALSE)),"No encontrado o error"))</f>
        <v/>
      </c>
      <c r="K549" s="264"/>
      <c r="L549" s="249"/>
      <c r="M549" s="189"/>
      <c r="N549" s="264"/>
      <c r="O549" s="249"/>
      <c r="P549" s="250"/>
      <c r="Q549" s="264"/>
      <c r="R549" s="249"/>
      <c r="S549" s="250"/>
      <c r="T549" s="264"/>
      <c r="U549" s="249"/>
      <c r="V549" s="250"/>
      <c r="W549" s="264"/>
      <c r="X549" s="394"/>
      <c r="Y549" s="429"/>
      <c r="Z549" s="395"/>
      <c r="AA549" s="394"/>
      <c r="AB549" s="118" t="str">
        <f>IF(OR(ISBLANK($B549),ISBLANK($AA549)),"",IFERROR(IF($AA549&lt;=DATE('ESTADO CONTABLE'!$B$2,9,5),VLOOKUP($B549,COSTOS!$A$2:$B1014,2,FALSE)-150,VLOOKUP($B549,COSTOS!$A$2:$B1014,2,FALSE)),"No encontrado o error"))</f>
        <v/>
      </c>
      <c r="AC549" s="395"/>
      <c r="AD549" s="394"/>
      <c r="AE549" s="429" t="str">
        <f>IF(OR(ISBLANK($B549),ISBLANK($AD549)),"",IFERROR(IF($AD549&lt;=DATE('ESTADO CONTABLE'!$B$2,10,5),VLOOKUP($B549,COSTOS!$A$2:$B1014,2,FALSE)-150,VLOOKUP($B549,COSTOS!$A$2:$B1014,2,FALSE)),"No encontrado o error"))</f>
        <v/>
      </c>
      <c r="AF549" s="395"/>
      <c r="AG549" s="394"/>
      <c r="AH549" s="429" t="str">
        <f>IF(OR(ISBLANK($B549),ISBLANK($AG549)),"",IFERROR(IF($AG549&lt;=DATE('ESTADO CONTABLE'!$B$2,11,5),VLOOKUP($B549,COSTOS!$A$2:$B1014,2,FALSE)-150,VLOOKUP($B549,COSTOS!$A$2:$B1014,2,FALSE)),"No encontrado o error"))</f>
        <v/>
      </c>
      <c r="AI549" s="395"/>
      <c r="AJ549" s="394"/>
      <c r="AK549" s="429" t="str">
        <f>IF(OR(ISBLANK($B549),ISBLANK($AJ549)),"",IFERROR(IF($AJ549&lt;=DATE('ESTADO CONTABLE'!$B$2,12,5),VLOOKUP($B549,COSTOS!$A$2:$B1014,2,FALSE)-150,VLOOKUP($B549,COSTOS!$A$2:$B1014,2,FALSE)),"No encontrado o error"))</f>
        <v/>
      </c>
      <c r="AL549" s="395"/>
      <c r="AM549" s="254"/>
      <c r="AN549" s="255"/>
      <c r="AO549" s="256"/>
    </row>
    <row r="550" ht="22.5" customHeight="1">
      <c r="A550" s="431" t="str">
        <f>'BASE DE DATOSS'!A624</f>
        <v/>
      </c>
      <c r="B550" s="432" t="str">
        <f>'BASE DE DATOSS'!C624</f>
        <v/>
      </c>
      <c r="C550" s="263"/>
      <c r="D550" s="249"/>
      <c r="E550" s="250"/>
      <c r="F550" s="251"/>
      <c r="G550" s="262"/>
      <c r="H550" s="257"/>
      <c r="I550" s="249"/>
      <c r="J550" s="193" t="str">
        <f>IF(OR(ISBLANK($B550),ISBLANK($I550)),"",IFERROR(IF($I550&lt;=DATE('ESTADO CONTABLE'!$B$2,3,5),VLOOKUP($B550,COSTOS!$A$2:$B1014,2,FALSE)-150,VLOOKUP($B550,COSTOS!$A$2:$B1014,2,FALSE)),"No encontrado o error"))</f>
        <v/>
      </c>
      <c r="K550" s="264"/>
      <c r="L550" s="249"/>
      <c r="M550" s="189"/>
      <c r="N550" s="264"/>
      <c r="O550" s="249"/>
      <c r="P550" s="250"/>
      <c r="Q550" s="264"/>
      <c r="R550" s="249"/>
      <c r="S550" s="250"/>
      <c r="T550" s="264"/>
      <c r="U550" s="249"/>
      <c r="V550" s="250"/>
      <c r="W550" s="264"/>
      <c r="X550" s="394"/>
      <c r="Y550" s="429"/>
      <c r="Z550" s="395"/>
      <c r="AA550" s="394"/>
      <c r="AB550" s="118" t="str">
        <f>IF(OR(ISBLANK($B550),ISBLANK($AA550)),"",IFERROR(IF($AA550&lt;=DATE('ESTADO CONTABLE'!$B$2,9,5),VLOOKUP($B550,COSTOS!$A$2:$B1014,2,FALSE)-150,VLOOKUP($B550,COSTOS!$A$2:$B1014,2,FALSE)),"No encontrado o error"))</f>
        <v/>
      </c>
      <c r="AC550" s="395"/>
      <c r="AD550" s="394"/>
      <c r="AE550" s="429" t="str">
        <f>IF(OR(ISBLANK($B550),ISBLANK($AD550)),"",IFERROR(IF($AD550&lt;=DATE('ESTADO CONTABLE'!$B$2,10,5),VLOOKUP($B550,COSTOS!$A$2:$B1014,2,FALSE)-150,VLOOKUP($B550,COSTOS!$A$2:$B1014,2,FALSE)),"No encontrado o error"))</f>
        <v/>
      </c>
      <c r="AF550" s="395"/>
      <c r="AG550" s="394"/>
      <c r="AH550" s="429" t="str">
        <f>IF(OR(ISBLANK($B550),ISBLANK($AG550)),"",IFERROR(IF($AG550&lt;=DATE('ESTADO CONTABLE'!$B$2,11,5),VLOOKUP($B550,COSTOS!$A$2:$B1014,2,FALSE)-150,VLOOKUP($B550,COSTOS!$A$2:$B1014,2,FALSE)),"No encontrado o error"))</f>
        <v/>
      </c>
      <c r="AI550" s="395"/>
      <c r="AJ550" s="394"/>
      <c r="AK550" s="429" t="str">
        <f>IF(OR(ISBLANK($B550),ISBLANK($AJ550)),"",IFERROR(IF($AJ550&lt;=DATE('ESTADO CONTABLE'!$B$2,12,5),VLOOKUP($B550,COSTOS!$A$2:$B1014,2,FALSE)-150,VLOOKUP($B550,COSTOS!$A$2:$B1014,2,FALSE)),"No encontrado o error"))</f>
        <v/>
      </c>
      <c r="AL550" s="395"/>
      <c r="AM550" s="254"/>
      <c r="AN550" s="255"/>
      <c r="AO550" s="256"/>
    </row>
    <row r="551" ht="22.5" customHeight="1">
      <c r="A551" s="431" t="str">
        <f>'BASE DE DATOSS'!A625</f>
        <v/>
      </c>
      <c r="B551" s="432" t="str">
        <f>'BASE DE DATOSS'!C625</f>
        <v/>
      </c>
      <c r="C551" s="263"/>
      <c r="D551" s="249"/>
      <c r="E551" s="250"/>
      <c r="F551" s="251"/>
      <c r="G551" s="262"/>
      <c r="H551" s="257"/>
      <c r="I551" s="249"/>
      <c r="J551" s="193" t="str">
        <f>IF(OR(ISBLANK($B551),ISBLANK($I551)),"",IFERROR(IF($I551&lt;=DATE('ESTADO CONTABLE'!$B$2,3,5),VLOOKUP($B551,COSTOS!$A$2:$B1014,2,FALSE)-150,VLOOKUP($B551,COSTOS!$A$2:$B1014,2,FALSE)),"No encontrado o error"))</f>
        <v/>
      </c>
      <c r="K551" s="264"/>
      <c r="L551" s="249"/>
      <c r="M551" s="189"/>
      <c r="N551" s="264"/>
      <c r="O551" s="249"/>
      <c r="P551" s="250"/>
      <c r="Q551" s="264"/>
      <c r="R551" s="249"/>
      <c r="S551" s="250"/>
      <c r="T551" s="264"/>
      <c r="U551" s="249"/>
      <c r="V551" s="250"/>
      <c r="W551" s="264"/>
      <c r="X551" s="394"/>
      <c r="Y551" s="429"/>
      <c r="Z551" s="395"/>
      <c r="AA551" s="394"/>
      <c r="AB551" s="118" t="str">
        <f>IF(OR(ISBLANK($B551),ISBLANK($AA551)),"",IFERROR(IF($AA551&lt;=DATE('ESTADO CONTABLE'!$B$2,9,5),VLOOKUP($B551,COSTOS!$A$2:$B1014,2,FALSE)-150,VLOOKUP($B551,COSTOS!$A$2:$B1014,2,FALSE)),"No encontrado o error"))</f>
        <v/>
      </c>
      <c r="AC551" s="395"/>
      <c r="AD551" s="394"/>
      <c r="AE551" s="429" t="str">
        <f>IF(OR(ISBLANK($B551),ISBLANK($AD551)),"",IFERROR(IF($AD551&lt;=DATE('ESTADO CONTABLE'!$B$2,10,5),VLOOKUP($B551,COSTOS!$A$2:$B1014,2,FALSE)-150,VLOOKUP($B551,COSTOS!$A$2:$B1014,2,FALSE)),"No encontrado o error"))</f>
        <v/>
      </c>
      <c r="AF551" s="395"/>
      <c r="AG551" s="394"/>
      <c r="AH551" s="429" t="str">
        <f>IF(OR(ISBLANK($B551),ISBLANK($AG551)),"",IFERROR(IF($AG551&lt;=DATE('ESTADO CONTABLE'!$B$2,11,5),VLOOKUP($B551,COSTOS!$A$2:$B1014,2,FALSE)-150,VLOOKUP($B551,COSTOS!$A$2:$B1014,2,FALSE)),"No encontrado o error"))</f>
        <v/>
      </c>
      <c r="AI551" s="395"/>
      <c r="AJ551" s="394"/>
      <c r="AK551" s="429" t="str">
        <f>IF(OR(ISBLANK($B551),ISBLANK($AJ551)),"",IFERROR(IF($AJ551&lt;=DATE('ESTADO CONTABLE'!$B$2,12,5),VLOOKUP($B551,COSTOS!$A$2:$B1014,2,FALSE)-150,VLOOKUP($B551,COSTOS!$A$2:$B1014,2,FALSE)),"No encontrado o error"))</f>
        <v/>
      </c>
      <c r="AL551" s="395"/>
      <c r="AM551" s="254"/>
      <c r="AN551" s="255"/>
      <c r="AO551" s="256"/>
    </row>
    <row r="552" ht="22.5" customHeight="1">
      <c r="A552" s="431" t="str">
        <f>'BASE DE DATOSS'!A626</f>
        <v/>
      </c>
      <c r="B552" s="432" t="str">
        <f>'BASE DE DATOSS'!C626</f>
        <v/>
      </c>
      <c r="C552" s="263"/>
      <c r="D552" s="249"/>
      <c r="E552" s="250"/>
      <c r="F552" s="251"/>
      <c r="G552" s="262"/>
      <c r="H552" s="257"/>
      <c r="I552" s="249"/>
      <c r="J552" s="193" t="str">
        <f>IF(OR(ISBLANK($B552),ISBLANK($I552)),"",IFERROR(IF($I552&lt;=DATE('ESTADO CONTABLE'!$B$2,3,5),VLOOKUP($B552,COSTOS!$A$2:$B1014,2,FALSE)-150,VLOOKUP($B552,COSTOS!$A$2:$B1014,2,FALSE)),"No encontrado o error"))</f>
        <v/>
      </c>
      <c r="K552" s="264"/>
      <c r="L552" s="249"/>
      <c r="M552" s="189"/>
      <c r="N552" s="264"/>
      <c r="O552" s="249"/>
      <c r="P552" s="250"/>
      <c r="Q552" s="264"/>
      <c r="R552" s="249"/>
      <c r="S552" s="250"/>
      <c r="T552" s="264"/>
      <c r="U552" s="249"/>
      <c r="V552" s="250"/>
      <c r="W552" s="264"/>
      <c r="X552" s="394"/>
      <c r="Y552" s="429"/>
      <c r="Z552" s="395"/>
      <c r="AA552" s="394"/>
      <c r="AB552" s="118" t="str">
        <f>IF(OR(ISBLANK($B552),ISBLANK($AA552)),"",IFERROR(IF($AA552&lt;=DATE('ESTADO CONTABLE'!$B$2,9,5),VLOOKUP($B552,COSTOS!$A$2:$B1014,2,FALSE)-150,VLOOKUP($B552,COSTOS!$A$2:$B1014,2,FALSE)),"No encontrado o error"))</f>
        <v/>
      </c>
      <c r="AC552" s="395"/>
      <c r="AD552" s="394"/>
      <c r="AE552" s="429" t="str">
        <f>IF(OR(ISBLANK($B552),ISBLANK($AD552)),"",IFERROR(IF($AD552&lt;=DATE('ESTADO CONTABLE'!$B$2,10,5),VLOOKUP($B552,COSTOS!$A$2:$B1014,2,FALSE)-150,VLOOKUP($B552,COSTOS!$A$2:$B1014,2,FALSE)),"No encontrado o error"))</f>
        <v/>
      </c>
      <c r="AF552" s="395"/>
      <c r="AG552" s="394"/>
      <c r="AH552" s="429" t="str">
        <f>IF(OR(ISBLANK($B552),ISBLANK($AG552)),"",IFERROR(IF($AG552&lt;=DATE('ESTADO CONTABLE'!$B$2,11,5),VLOOKUP($B552,COSTOS!$A$2:$B1014,2,FALSE)-150,VLOOKUP($B552,COSTOS!$A$2:$B1014,2,FALSE)),"No encontrado o error"))</f>
        <v/>
      </c>
      <c r="AI552" s="395"/>
      <c r="AJ552" s="394"/>
      <c r="AK552" s="429" t="str">
        <f>IF(OR(ISBLANK($B552),ISBLANK($AJ552)),"",IFERROR(IF($AJ552&lt;=DATE('ESTADO CONTABLE'!$B$2,12,5),VLOOKUP($B552,COSTOS!$A$2:$B1014,2,FALSE)-150,VLOOKUP($B552,COSTOS!$A$2:$B1014,2,FALSE)),"No encontrado o error"))</f>
        <v/>
      </c>
      <c r="AL552" s="395"/>
      <c r="AM552" s="254"/>
      <c r="AN552" s="255"/>
      <c r="AO552" s="256"/>
    </row>
    <row r="553" ht="22.5" customHeight="1">
      <c r="A553" s="431" t="str">
        <f>'BASE DE DATOSS'!A627</f>
        <v/>
      </c>
      <c r="B553" s="432" t="str">
        <f>'BASE DE DATOSS'!C627</f>
        <v/>
      </c>
      <c r="C553" s="263"/>
      <c r="D553" s="249"/>
      <c r="E553" s="250"/>
      <c r="F553" s="251"/>
      <c r="G553" s="262"/>
      <c r="H553" s="257"/>
      <c r="I553" s="249"/>
      <c r="J553" s="193" t="str">
        <f>IF(OR(ISBLANK($B553),ISBLANK($I553)),"",IFERROR(IF($I553&lt;=DATE('ESTADO CONTABLE'!$B$2,3,5),VLOOKUP($B553,COSTOS!$A$2:$B1014,2,FALSE)-150,VLOOKUP($B553,COSTOS!$A$2:$B1014,2,FALSE)),"No encontrado o error"))</f>
        <v/>
      </c>
      <c r="K553" s="264"/>
      <c r="L553" s="249"/>
      <c r="M553" s="189"/>
      <c r="N553" s="264"/>
      <c r="O553" s="249"/>
      <c r="P553" s="250"/>
      <c r="Q553" s="264"/>
      <c r="R553" s="249"/>
      <c r="S553" s="250"/>
      <c r="T553" s="264"/>
      <c r="U553" s="249"/>
      <c r="V553" s="250"/>
      <c r="W553" s="264"/>
      <c r="X553" s="394"/>
      <c r="Y553" s="429"/>
      <c r="Z553" s="395"/>
      <c r="AA553" s="394"/>
      <c r="AB553" s="118" t="str">
        <f>IF(OR(ISBLANK($B553),ISBLANK($AA553)),"",IFERROR(IF($AA553&lt;=DATE('ESTADO CONTABLE'!$B$2,9,5),VLOOKUP($B553,COSTOS!$A$2:$B1014,2,FALSE)-150,VLOOKUP($B553,COSTOS!$A$2:$B1014,2,FALSE)),"No encontrado o error"))</f>
        <v/>
      </c>
      <c r="AC553" s="395"/>
      <c r="AD553" s="394"/>
      <c r="AE553" s="429" t="str">
        <f>IF(OR(ISBLANK($B553),ISBLANK($AD553)),"",IFERROR(IF($AD553&lt;=DATE('ESTADO CONTABLE'!$B$2,10,5),VLOOKUP($B553,COSTOS!$A$2:$B1014,2,FALSE)-150,VLOOKUP($B553,COSTOS!$A$2:$B1014,2,FALSE)),"No encontrado o error"))</f>
        <v/>
      </c>
      <c r="AF553" s="395"/>
      <c r="AG553" s="394"/>
      <c r="AH553" s="429" t="str">
        <f>IF(OR(ISBLANK($B553),ISBLANK($AG553)),"",IFERROR(IF($AG553&lt;=DATE('ESTADO CONTABLE'!$B$2,11,5),VLOOKUP($B553,COSTOS!$A$2:$B1014,2,FALSE)-150,VLOOKUP($B553,COSTOS!$A$2:$B1014,2,FALSE)),"No encontrado o error"))</f>
        <v/>
      </c>
      <c r="AI553" s="395"/>
      <c r="AJ553" s="394"/>
      <c r="AK553" s="429" t="str">
        <f>IF(OR(ISBLANK($B553),ISBLANK($AJ553)),"",IFERROR(IF($AJ553&lt;=DATE('ESTADO CONTABLE'!$B$2,12,5),VLOOKUP($B553,COSTOS!$A$2:$B1014,2,FALSE)-150,VLOOKUP($B553,COSTOS!$A$2:$B1014,2,FALSE)),"No encontrado o error"))</f>
        <v/>
      </c>
      <c r="AL553" s="395"/>
      <c r="AM553" s="254"/>
      <c r="AN553" s="255"/>
      <c r="AO553" s="256"/>
    </row>
    <row r="554" ht="22.5" customHeight="1">
      <c r="A554" s="431" t="str">
        <f>'BASE DE DATOSS'!A628</f>
        <v/>
      </c>
      <c r="B554" s="432" t="str">
        <f>'BASE DE DATOSS'!C628</f>
        <v/>
      </c>
      <c r="C554" s="263"/>
      <c r="D554" s="249"/>
      <c r="E554" s="250"/>
      <c r="F554" s="251"/>
      <c r="G554" s="262"/>
      <c r="H554" s="257"/>
      <c r="I554" s="249"/>
      <c r="J554" s="193" t="str">
        <f>IF(OR(ISBLANK($B554),ISBLANK($I554)),"",IFERROR(IF($I554&lt;=DATE('ESTADO CONTABLE'!$B$2,3,5),VLOOKUP($B554,COSTOS!$A$2:$B1014,2,FALSE)-150,VLOOKUP($B554,COSTOS!$A$2:$B1014,2,FALSE)),"No encontrado o error"))</f>
        <v/>
      </c>
      <c r="K554" s="264"/>
      <c r="L554" s="249"/>
      <c r="M554" s="189"/>
      <c r="N554" s="264"/>
      <c r="O554" s="249"/>
      <c r="P554" s="250"/>
      <c r="Q554" s="264"/>
      <c r="R554" s="249"/>
      <c r="S554" s="250"/>
      <c r="T554" s="264"/>
      <c r="U554" s="249"/>
      <c r="V554" s="250"/>
      <c r="W554" s="264"/>
      <c r="X554" s="394"/>
      <c r="Y554" s="429"/>
      <c r="Z554" s="395"/>
      <c r="AA554" s="394"/>
      <c r="AB554" s="118" t="str">
        <f>IF(OR(ISBLANK($B554),ISBLANK($AA554)),"",IFERROR(IF($AA554&lt;=DATE('ESTADO CONTABLE'!$B$2,9,5),VLOOKUP($B554,COSTOS!$A$2:$B1014,2,FALSE)-150,VLOOKUP($B554,COSTOS!$A$2:$B1014,2,FALSE)),"No encontrado o error"))</f>
        <v/>
      </c>
      <c r="AC554" s="395"/>
      <c r="AD554" s="394"/>
      <c r="AE554" s="429" t="str">
        <f>IF(OR(ISBLANK($B554),ISBLANK($AD554)),"",IFERROR(IF($AD554&lt;=DATE('ESTADO CONTABLE'!$B$2,10,5),VLOOKUP($B554,COSTOS!$A$2:$B1014,2,FALSE)-150,VLOOKUP($B554,COSTOS!$A$2:$B1014,2,FALSE)),"No encontrado o error"))</f>
        <v/>
      </c>
      <c r="AF554" s="395"/>
      <c r="AG554" s="394"/>
      <c r="AH554" s="429" t="str">
        <f>IF(OR(ISBLANK($B554),ISBLANK($AG554)),"",IFERROR(IF($AG554&lt;=DATE('ESTADO CONTABLE'!$B$2,11,5),VLOOKUP($B554,COSTOS!$A$2:$B1014,2,FALSE)-150,VLOOKUP($B554,COSTOS!$A$2:$B1014,2,FALSE)),"No encontrado o error"))</f>
        <v/>
      </c>
      <c r="AI554" s="395"/>
      <c r="AJ554" s="394"/>
      <c r="AK554" s="429" t="str">
        <f>IF(OR(ISBLANK($B554),ISBLANK($AJ554)),"",IFERROR(IF($AJ554&lt;=DATE('ESTADO CONTABLE'!$B$2,12,5),VLOOKUP($B554,COSTOS!$A$2:$B1014,2,FALSE)-150,VLOOKUP($B554,COSTOS!$A$2:$B1014,2,FALSE)),"No encontrado o error"))</f>
        <v/>
      </c>
      <c r="AL554" s="395"/>
      <c r="AM554" s="254"/>
      <c r="AN554" s="255"/>
      <c r="AO554" s="256"/>
    </row>
    <row r="555" ht="22.5" customHeight="1">
      <c r="A555" s="431" t="str">
        <f>'BASE DE DATOSS'!A629</f>
        <v/>
      </c>
      <c r="B555" s="432" t="str">
        <f>'BASE DE DATOSS'!C629</f>
        <v/>
      </c>
      <c r="C555" s="263"/>
      <c r="D555" s="249"/>
      <c r="E555" s="250"/>
      <c r="F555" s="251"/>
      <c r="G555" s="262"/>
      <c r="H555" s="257"/>
      <c r="I555" s="249"/>
      <c r="J555" s="193" t="str">
        <f>IF(OR(ISBLANK($B555),ISBLANK($I555)),"",IFERROR(IF($I555&lt;=DATE('ESTADO CONTABLE'!$B$2,3,5),VLOOKUP($B555,COSTOS!$A$2:$B1014,2,FALSE)-150,VLOOKUP($B555,COSTOS!$A$2:$B1014,2,FALSE)),"No encontrado o error"))</f>
        <v/>
      </c>
      <c r="K555" s="264"/>
      <c r="L555" s="249"/>
      <c r="M555" s="189"/>
      <c r="N555" s="264"/>
      <c r="O555" s="249"/>
      <c r="P555" s="250"/>
      <c r="Q555" s="264"/>
      <c r="R555" s="249"/>
      <c r="S555" s="250"/>
      <c r="T555" s="264"/>
      <c r="U555" s="249"/>
      <c r="V555" s="250"/>
      <c r="W555" s="264"/>
      <c r="X555" s="394"/>
      <c r="Y555" s="429"/>
      <c r="Z555" s="395"/>
      <c r="AA555" s="394"/>
      <c r="AB555" s="118" t="str">
        <f>IF(OR(ISBLANK($B555),ISBLANK($AA555)),"",IFERROR(IF($AA555&lt;=DATE('ESTADO CONTABLE'!$B$2,9,5),VLOOKUP($B555,COSTOS!$A$2:$B1014,2,FALSE)-150,VLOOKUP($B555,COSTOS!$A$2:$B1014,2,FALSE)),"No encontrado o error"))</f>
        <v/>
      </c>
      <c r="AC555" s="395"/>
      <c r="AD555" s="394"/>
      <c r="AE555" s="429" t="str">
        <f>IF(OR(ISBLANK($B555),ISBLANK($AD555)),"",IFERROR(IF($AD555&lt;=DATE('ESTADO CONTABLE'!$B$2,10,5),VLOOKUP($B555,COSTOS!$A$2:$B1014,2,FALSE)-150,VLOOKUP($B555,COSTOS!$A$2:$B1014,2,FALSE)),"No encontrado o error"))</f>
        <v/>
      </c>
      <c r="AF555" s="395"/>
      <c r="AG555" s="394"/>
      <c r="AH555" s="429" t="str">
        <f>IF(OR(ISBLANK($B555),ISBLANK($AG555)),"",IFERROR(IF($AG555&lt;=DATE('ESTADO CONTABLE'!$B$2,11,5),VLOOKUP($B555,COSTOS!$A$2:$B1014,2,FALSE)-150,VLOOKUP($B555,COSTOS!$A$2:$B1014,2,FALSE)),"No encontrado o error"))</f>
        <v/>
      </c>
      <c r="AI555" s="395"/>
      <c r="AJ555" s="394"/>
      <c r="AK555" s="429" t="str">
        <f>IF(OR(ISBLANK($B555),ISBLANK($AJ555)),"",IFERROR(IF($AJ555&lt;=DATE('ESTADO CONTABLE'!$B$2,12,5),VLOOKUP($B555,COSTOS!$A$2:$B1014,2,FALSE)-150,VLOOKUP($B555,COSTOS!$A$2:$B1014,2,FALSE)),"No encontrado o error"))</f>
        <v/>
      </c>
      <c r="AL555" s="395"/>
      <c r="AM555" s="254"/>
      <c r="AN555" s="255"/>
      <c r="AO555" s="256"/>
    </row>
    <row r="556" ht="22.5" customHeight="1">
      <c r="A556" s="431" t="str">
        <f>'BASE DE DATOSS'!A630</f>
        <v/>
      </c>
      <c r="B556" s="432" t="str">
        <f>'BASE DE DATOSS'!C630</f>
        <v/>
      </c>
      <c r="C556" s="263"/>
      <c r="D556" s="249"/>
      <c r="E556" s="250"/>
      <c r="F556" s="251"/>
      <c r="G556" s="262"/>
      <c r="H556" s="257"/>
      <c r="I556" s="249"/>
      <c r="J556" s="193" t="str">
        <f>IF(OR(ISBLANK($B556),ISBLANK($I556)),"",IFERROR(IF($I556&lt;=DATE('ESTADO CONTABLE'!$B$2,3,5),VLOOKUP($B556,COSTOS!$A$2:$B1014,2,FALSE)-150,VLOOKUP($B556,COSTOS!$A$2:$B1014,2,FALSE)),"No encontrado o error"))</f>
        <v/>
      </c>
      <c r="K556" s="264"/>
      <c r="L556" s="249"/>
      <c r="M556" s="189"/>
      <c r="N556" s="264"/>
      <c r="O556" s="249"/>
      <c r="P556" s="250"/>
      <c r="Q556" s="264"/>
      <c r="R556" s="249"/>
      <c r="S556" s="250"/>
      <c r="T556" s="264"/>
      <c r="U556" s="249"/>
      <c r="V556" s="250"/>
      <c r="W556" s="264"/>
      <c r="X556" s="394"/>
      <c r="Y556" s="429"/>
      <c r="Z556" s="395"/>
      <c r="AA556" s="394"/>
      <c r="AB556" s="118" t="str">
        <f>IF(OR(ISBLANK($B556),ISBLANK($AA556)),"",IFERROR(IF($AA556&lt;=DATE('ESTADO CONTABLE'!$B$2,9,5),VLOOKUP($B556,COSTOS!$A$2:$B1014,2,FALSE)-150,VLOOKUP($B556,COSTOS!$A$2:$B1014,2,FALSE)),"No encontrado o error"))</f>
        <v/>
      </c>
      <c r="AC556" s="395"/>
      <c r="AD556" s="394"/>
      <c r="AE556" s="429" t="str">
        <f>IF(OR(ISBLANK($B556),ISBLANK($AD556)),"",IFERROR(IF($AD556&lt;=DATE('ESTADO CONTABLE'!$B$2,10,5),VLOOKUP($B556,COSTOS!$A$2:$B1014,2,FALSE)-150,VLOOKUP($B556,COSTOS!$A$2:$B1014,2,FALSE)),"No encontrado o error"))</f>
        <v/>
      </c>
      <c r="AF556" s="395"/>
      <c r="AG556" s="394"/>
      <c r="AH556" s="429" t="str">
        <f>IF(OR(ISBLANK($B556),ISBLANK($AG556)),"",IFERROR(IF($AG556&lt;=DATE('ESTADO CONTABLE'!$B$2,11,5),VLOOKUP($B556,COSTOS!$A$2:$B1014,2,FALSE)-150,VLOOKUP($B556,COSTOS!$A$2:$B1014,2,FALSE)),"No encontrado o error"))</f>
        <v/>
      </c>
      <c r="AI556" s="395"/>
      <c r="AJ556" s="394"/>
      <c r="AK556" s="429" t="str">
        <f>IF(OR(ISBLANK($B556),ISBLANK($AJ556)),"",IFERROR(IF($AJ556&lt;=DATE('ESTADO CONTABLE'!$B$2,12,5),VLOOKUP($B556,COSTOS!$A$2:$B1014,2,FALSE)-150,VLOOKUP($B556,COSTOS!$A$2:$B1014,2,FALSE)),"No encontrado o error"))</f>
        <v/>
      </c>
      <c r="AL556" s="395"/>
      <c r="AM556" s="254"/>
      <c r="AN556" s="255"/>
      <c r="AO556" s="256"/>
    </row>
    <row r="557" ht="22.5" customHeight="1">
      <c r="A557" s="431" t="str">
        <f>'BASE DE DATOSS'!A631</f>
        <v/>
      </c>
      <c r="B557" s="432" t="str">
        <f>'BASE DE DATOSS'!C631</f>
        <v/>
      </c>
      <c r="C557" s="263"/>
      <c r="D557" s="249"/>
      <c r="E557" s="250"/>
      <c r="F557" s="251"/>
      <c r="G557" s="262"/>
      <c r="H557" s="257"/>
      <c r="I557" s="249"/>
      <c r="J557" s="193" t="str">
        <f>IF(OR(ISBLANK($B557),ISBLANK($I557)),"",IFERROR(IF($I557&lt;=DATE('ESTADO CONTABLE'!$B$2,3,5),VLOOKUP($B557,COSTOS!$A$2:$B1014,2,FALSE)-150,VLOOKUP($B557,COSTOS!$A$2:$B1014,2,FALSE)),"No encontrado o error"))</f>
        <v/>
      </c>
      <c r="K557" s="264"/>
      <c r="L557" s="249"/>
      <c r="M557" s="189"/>
      <c r="N557" s="264"/>
      <c r="O557" s="249"/>
      <c r="P557" s="250"/>
      <c r="Q557" s="264"/>
      <c r="R557" s="249"/>
      <c r="S557" s="250"/>
      <c r="T557" s="264"/>
      <c r="U557" s="249"/>
      <c r="V557" s="250"/>
      <c r="W557" s="264"/>
      <c r="X557" s="394"/>
      <c r="Y557" s="429"/>
      <c r="Z557" s="395"/>
      <c r="AA557" s="394"/>
      <c r="AB557" s="118" t="str">
        <f>IF(OR(ISBLANK($B557),ISBLANK($AA557)),"",IFERROR(IF($AA557&lt;=DATE('ESTADO CONTABLE'!$B$2,9,5),VLOOKUP($B557,COSTOS!$A$2:$B1014,2,FALSE)-150,VLOOKUP($B557,COSTOS!$A$2:$B1014,2,FALSE)),"No encontrado o error"))</f>
        <v/>
      </c>
      <c r="AC557" s="395"/>
      <c r="AD557" s="394"/>
      <c r="AE557" s="429" t="str">
        <f>IF(OR(ISBLANK($B557),ISBLANK($AD557)),"",IFERROR(IF($AD557&lt;=DATE('ESTADO CONTABLE'!$B$2,10,5),VLOOKUP($B557,COSTOS!$A$2:$B1014,2,FALSE)-150,VLOOKUP($B557,COSTOS!$A$2:$B1014,2,FALSE)),"No encontrado o error"))</f>
        <v/>
      </c>
      <c r="AF557" s="395"/>
      <c r="AG557" s="394"/>
      <c r="AH557" s="429" t="str">
        <f>IF(OR(ISBLANK($B557),ISBLANK($AG557)),"",IFERROR(IF($AG557&lt;=DATE('ESTADO CONTABLE'!$B$2,11,5),VLOOKUP($B557,COSTOS!$A$2:$B1014,2,FALSE)-150,VLOOKUP($B557,COSTOS!$A$2:$B1014,2,FALSE)),"No encontrado o error"))</f>
        <v/>
      </c>
      <c r="AI557" s="395"/>
      <c r="AJ557" s="394"/>
      <c r="AK557" s="429" t="str">
        <f>IF(OR(ISBLANK($B557),ISBLANK($AJ557)),"",IFERROR(IF($AJ557&lt;=DATE('ESTADO CONTABLE'!$B$2,12,5),VLOOKUP($B557,COSTOS!$A$2:$B1014,2,FALSE)-150,VLOOKUP($B557,COSTOS!$A$2:$B1014,2,FALSE)),"No encontrado o error"))</f>
        <v/>
      </c>
      <c r="AL557" s="395"/>
      <c r="AM557" s="254"/>
      <c r="AN557" s="255"/>
      <c r="AO557" s="256"/>
    </row>
    <row r="558" ht="22.5" customHeight="1">
      <c r="A558" s="431" t="str">
        <f>'BASE DE DATOSS'!A632</f>
        <v/>
      </c>
      <c r="B558" s="432" t="str">
        <f>'BASE DE DATOSS'!C632</f>
        <v/>
      </c>
      <c r="C558" s="263"/>
      <c r="D558" s="249"/>
      <c r="E558" s="250"/>
      <c r="F558" s="251"/>
      <c r="G558" s="262"/>
      <c r="H558" s="257"/>
      <c r="I558" s="249"/>
      <c r="J558" s="193" t="str">
        <f>IF(OR(ISBLANK($B558),ISBLANK($I558)),"",IFERROR(IF($I558&lt;=DATE('ESTADO CONTABLE'!$B$2,3,5),VLOOKUP($B558,COSTOS!$A$2:$B1014,2,FALSE)-150,VLOOKUP($B558,COSTOS!$A$2:$B1014,2,FALSE)),"No encontrado o error"))</f>
        <v/>
      </c>
      <c r="K558" s="264"/>
      <c r="L558" s="249"/>
      <c r="M558" s="189"/>
      <c r="N558" s="264"/>
      <c r="O558" s="249"/>
      <c r="P558" s="250"/>
      <c r="Q558" s="264"/>
      <c r="R558" s="249"/>
      <c r="S558" s="250"/>
      <c r="T558" s="264"/>
      <c r="U558" s="249"/>
      <c r="V558" s="250"/>
      <c r="W558" s="264"/>
      <c r="X558" s="394"/>
      <c r="Y558" s="429"/>
      <c r="Z558" s="395"/>
      <c r="AA558" s="394"/>
      <c r="AB558" s="118" t="str">
        <f>IF(OR(ISBLANK($B558),ISBLANK($AA558)),"",IFERROR(IF($AA558&lt;=DATE('ESTADO CONTABLE'!$B$2,9,5),VLOOKUP($B558,COSTOS!$A$2:$B1014,2,FALSE)-150,VLOOKUP($B558,COSTOS!$A$2:$B1014,2,FALSE)),"No encontrado o error"))</f>
        <v/>
      </c>
      <c r="AC558" s="395"/>
      <c r="AD558" s="394"/>
      <c r="AE558" s="429" t="str">
        <f>IF(OR(ISBLANK($B558),ISBLANK($AD558)),"",IFERROR(IF($AD558&lt;=DATE('ESTADO CONTABLE'!$B$2,10,5),VLOOKUP($B558,COSTOS!$A$2:$B1014,2,FALSE)-150,VLOOKUP($B558,COSTOS!$A$2:$B1014,2,FALSE)),"No encontrado o error"))</f>
        <v/>
      </c>
      <c r="AF558" s="395"/>
      <c r="AG558" s="394"/>
      <c r="AH558" s="429" t="str">
        <f>IF(OR(ISBLANK($B558),ISBLANK($AG558)),"",IFERROR(IF($AG558&lt;=DATE('ESTADO CONTABLE'!$B$2,11,5),VLOOKUP($B558,COSTOS!$A$2:$B1014,2,FALSE)-150,VLOOKUP($B558,COSTOS!$A$2:$B1014,2,FALSE)),"No encontrado o error"))</f>
        <v/>
      </c>
      <c r="AI558" s="395"/>
      <c r="AJ558" s="394"/>
      <c r="AK558" s="429" t="str">
        <f>IF(OR(ISBLANK($B558),ISBLANK($AJ558)),"",IFERROR(IF($AJ558&lt;=DATE('ESTADO CONTABLE'!$B$2,12,5),VLOOKUP($B558,COSTOS!$A$2:$B1014,2,FALSE)-150,VLOOKUP($B558,COSTOS!$A$2:$B1014,2,FALSE)),"No encontrado o error"))</f>
        <v/>
      </c>
      <c r="AL558" s="395"/>
      <c r="AM558" s="254"/>
      <c r="AN558" s="255"/>
      <c r="AO558" s="256"/>
    </row>
    <row r="559" ht="22.5" customHeight="1">
      <c r="A559" s="431" t="str">
        <f>'BASE DE DATOSS'!A633</f>
        <v/>
      </c>
      <c r="B559" s="432" t="str">
        <f>'BASE DE DATOSS'!C633</f>
        <v/>
      </c>
      <c r="C559" s="263"/>
      <c r="D559" s="249"/>
      <c r="E559" s="250"/>
      <c r="F559" s="251"/>
      <c r="G559" s="262"/>
      <c r="H559" s="257"/>
      <c r="I559" s="249"/>
      <c r="J559" s="193" t="str">
        <f>IF(OR(ISBLANK($B559),ISBLANK($I559)),"",IFERROR(IF($I559&lt;=DATE('ESTADO CONTABLE'!$B$2,3,5),VLOOKUP($B559,COSTOS!$A$2:$B1014,2,FALSE)-150,VLOOKUP($B559,COSTOS!$A$2:$B1014,2,FALSE)),"No encontrado o error"))</f>
        <v/>
      </c>
      <c r="K559" s="264"/>
      <c r="L559" s="249"/>
      <c r="M559" s="189"/>
      <c r="N559" s="264"/>
      <c r="O559" s="249"/>
      <c r="P559" s="250"/>
      <c r="Q559" s="264"/>
      <c r="R559" s="249"/>
      <c r="S559" s="250"/>
      <c r="T559" s="264"/>
      <c r="U559" s="249"/>
      <c r="V559" s="250"/>
      <c r="W559" s="264"/>
      <c r="X559" s="394"/>
      <c r="Y559" s="429"/>
      <c r="Z559" s="395"/>
      <c r="AA559" s="394"/>
      <c r="AB559" s="118" t="str">
        <f>IF(OR(ISBLANK($B559),ISBLANK($AA559)),"",IFERROR(IF($AA559&lt;=DATE('ESTADO CONTABLE'!$B$2,9,5),VLOOKUP($B559,COSTOS!$A$2:$B1014,2,FALSE)-150,VLOOKUP($B559,COSTOS!$A$2:$B1014,2,FALSE)),"No encontrado o error"))</f>
        <v/>
      </c>
      <c r="AC559" s="395"/>
      <c r="AD559" s="394"/>
      <c r="AE559" s="429" t="str">
        <f>IF(OR(ISBLANK($B559),ISBLANK($AD559)),"",IFERROR(IF($AD559&lt;=DATE('ESTADO CONTABLE'!$B$2,10,5),VLOOKUP($B559,COSTOS!$A$2:$B1014,2,FALSE)-150,VLOOKUP($B559,COSTOS!$A$2:$B1014,2,FALSE)),"No encontrado o error"))</f>
        <v/>
      </c>
      <c r="AF559" s="395"/>
      <c r="AG559" s="394"/>
      <c r="AH559" s="429" t="str">
        <f>IF(OR(ISBLANK($B559),ISBLANK($AG559)),"",IFERROR(IF($AG559&lt;=DATE('ESTADO CONTABLE'!$B$2,11,5),VLOOKUP($B559,COSTOS!$A$2:$B1014,2,FALSE)-150,VLOOKUP($B559,COSTOS!$A$2:$B1014,2,FALSE)),"No encontrado o error"))</f>
        <v/>
      </c>
      <c r="AI559" s="395"/>
      <c r="AJ559" s="394"/>
      <c r="AK559" s="429" t="str">
        <f>IF(OR(ISBLANK($B559),ISBLANK($AJ559)),"",IFERROR(IF($AJ559&lt;=DATE('ESTADO CONTABLE'!$B$2,12,5),VLOOKUP($B559,COSTOS!$A$2:$B1014,2,FALSE)-150,VLOOKUP($B559,COSTOS!$A$2:$B1014,2,FALSE)),"No encontrado o error"))</f>
        <v/>
      </c>
      <c r="AL559" s="395"/>
      <c r="AM559" s="254"/>
      <c r="AN559" s="255"/>
      <c r="AO559" s="256"/>
    </row>
    <row r="560" ht="22.5" customHeight="1">
      <c r="A560" s="431" t="str">
        <f>'BASE DE DATOSS'!A634</f>
        <v/>
      </c>
      <c r="B560" s="432" t="str">
        <f>'BASE DE DATOSS'!C634</f>
        <v/>
      </c>
      <c r="C560" s="263"/>
      <c r="D560" s="249"/>
      <c r="E560" s="250"/>
      <c r="F560" s="251"/>
      <c r="G560" s="262"/>
      <c r="H560" s="257"/>
      <c r="I560" s="249"/>
      <c r="J560" s="193" t="str">
        <f>IF(OR(ISBLANK($B560),ISBLANK($I560)),"",IFERROR(IF($I560&lt;=DATE('ESTADO CONTABLE'!$B$2,3,5),VLOOKUP($B560,COSTOS!$A$2:$B1014,2,FALSE)-150,VLOOKUP($B560,COSTOS!$A$2:$B1014,2,FALSE)),"No encontrado o error"))</f>
        <v/>
      </c>
      <c r="K560" s="264"/>
      <c r="L560" s="249"/>
      <c r="M560" s="189"/>
      <c r="N560" s="264"/>
      <c r="O560" s="249"/>
      <c r="P560" s="250"/>
      <c r="Q560" s="264"/>
      <c r="R560" s="249"/>
      <c r="S560" s="250"/>
      <c r="T560" s="264"/>
      <c r="U560" s="249"/>
      <c r="V560" s="250"/>
      <c r="W560" s="264"/>
      <c r="X560" s="394"/>
      <c r="Y560" s="429"/>
      <c r="Z560" s="395"/>
      <c r="AA560" s="394"/>
      <c r="AB560" s="118" t="str">
        <f>IF(OR(ISBLANK($B560),ISBLANK($AA560)),"",IFERROR(IF($AA560&lt;=DATE('ESTADO CONTABLE'!$B$2,9,5),VLOOKUP($B560,COSTOS!$A$2:$B1014,2,FALSE)-150,VLOOKUP($B560,COSTOS!$A$2:$B1014,2,FALSE)),"No encontrado o error"))</f>
        <v/>
      </c>
      <c r="AC560" s="395"/>
      <c r="AD560" s="394"/>
      <c r="AE560" s="429" t="str">
        <f>IF(OR(ISBLANK($B560),ISBLANK($AD560)),"",IFERROR(IF($AD560&lt;=DATE('ESTADO CONTABLE'!$B$2,10,5),VLOOKUP($B560,COSTOS!$A$2:$B1014,2,FALSE)-150,VLOOKUP($B560,COSTOS!$A$2:$B1014,2,FALSE)),"No encontrado o error"))</f>
        <v/>
      </c>
      <c r="AF560" s="395"/>
      <c r="AG560" s="394"/>
      <c r="AH560" s="429" t="str">
        <f>IF(OR(ISBLANK($B560),ISBLANK($AG560)),"",IFERROR(IF($AG560&lt;=DATE('ESTADO CONTABLE'!$B$2,11,5),VLOOKUP($B560,COSTOS!$A$2:$B1014,2,FALSE)-150,VLOOKUP($B560,COSTOS!$A$2:$B1014,2,FALSE)),"No encontrado o error"))</f>
        <v/>
      </c>
      <c r="AI560" s="395"/>
      <c r="AJ560" s="394"/>
      <c r="AK560" s="429" t="str">
        <f>IF(OR(ISBLANK($B560),ISBLANK($AJ560)),"",IFERROR(IF($AJ560&lt;=DATE('ESTADO CONTABLE'!$B$2,12,5),VLOOKUP($B560,COSTOS!$A$2:$B1014,2,FALSE)-150,VLOOKUP($B560,COSTOS!$A$2:$B1014,2,FALSE)),"No encontrado o error"))</f>
        <v/>
      </c>
      <c r="AL560" s="395"/>
      <c r="AM560" s="254"/>
      <c r="AN560" s="255"/>
      <c r="AO560" s="256"/>
    </row>
    <row r="561" ht="22.5" customHeight="1">
      <c r="A561" s="431" t="str">
        <f>'BASE DE DATOSS'!A635</f>
        <v/>
      </c>
      <c r="B561" s="432" t="str">
        <f>'BASE DE DATOSS'!C635</f>
        <v/>
      </c>
      <c r="C561" s="263"/>
      <c r="D561" s="249"/>
      <c r="E561" s="250"/>
      <c r="F561" s="251"/>
      <c r="G561" s="262"/>
      <c r="H561" s="257"/>
      <c r="I561" s="249"/>
      <c r="J561" s="193" t="str">
        <f>IF(OR(ISBLANK($B561),ISBLANK($I561)),"",IFERROR(IF($I561&lt;=DATE('ESTADO CONTABLE'!$B$2,3,5),VLOOKUP($B561,COSTOS!$A$2:$B1014,2,FALSE)-150,VLOOKUP($B561,COSTOS!$A$2:$B1014,2,FALSE)),"No encontrado o error"))</f>
        <v/>
      </c>
      <c r="K561" s="264"/>
      <c r="L561" s="249"/>
      <c r="M561" s="189"/>
      <c r="N561" s="264"/>
      <c r="O561" s="249"/>
      <c r="P561" s="250"/>
      <c r="Q561" s="264"/>
      <c r="R561" s="249"/>
      <c r="S561" s="250"/>
      <c r="T561" s="264"/>
      <c r="U561" s="249"/>
      <c r="V561" s="250"/>
      <c r="W561" s="264"/>
      <c r="X561" s="394"/>
      <c r="Y561" s="429"/>
      <c r="Z561" s="395"/>
      <c r="AA561" s="394"/>
      <c r="AB561" s="118" t="str">
        <f>IF(OR(ISBLANK($B561),ISBLANK($AA561)),"",IFERROR(IF($AA561&lt;=DATE('ESTADO CONTABLE'!$B$2,9,5),VLOOKUP($B561,COSTOS!$A$2:$B1014,2,FALSE)-150,VLOOKUP($B561,COSTOS!$A$2:$B1014,2,FALSE)),"No encontrado o error"))</f>
        <v/>
      </c>
      <c r="AC561" s="395"/>
      <c r="AD561" s="394"/>
      <c r="AE561" s="429" t="str">
        <f>IF(OR(ISBLANK($B561),ISBLANK($AD561)),"",IFERROR(IF($AD561&lt;=DATE('ESTADO CONTABLE'!$B$2,10,5),VLOOKUP($B561,COSTOS!$A$2:$B1014,2,FALSE)-150,VLOOKUP($B561,COSTOS!$A$2:$B1014,2,FALSE)),"No encontrado o error"))</f>
        <v/>
      </c>
      <c r="AF561" s="395"/>
      <c r="AG561" s="394"/>
      <c r="AH561" s="429" t="str">
        <f>IF(OR(ISBLANK($B561),ISBLANK($AG561)),"",IFERROR(IF($AG561&lt;=DATE('ESTADO CONTABLE'!$B$2,11,5),VLOOKUP($B561,COSTOS!$A$2:$B1014,2,FALSE)-150,VLOOKUP($B561,COSTOS!$A$2:$B1014,2,FALSE)),"No encontrado o error"))</f>
        <v/>
      </c>
      <c r="AI561" s="395"/>
      <c r="AJ561" s="394"/>
      <c r="AK561" s="429" t="str">
        <f>IF(OR(ISBLANK($B561),ISBLANK($AJ561)),"",IFERROR(IF($AJ561&lt;=DATE('ESTADO CONTABLE'!$B$2,12,5),VLOOKUP($B561,COSTOS!$A$2:$B1014,2,FALSE)-150,VLOOKUP($B561,COSTOS!$A$2:$B1014,2,FALSE)),"No encontrado o error"))</f>
        <v/>
      </c>
      <c r="AL561" s="395"/>
      <c r="AM561" s="254"/>
      <c r="AN561" s="255"/>
      <c r="AO561" s="256"/>
    </row>
    <row r="562" ht="22.5" customHeight="1">
      <c r="A562" s="431" t="str">
        <f>'BASE DE DATOSS'!A636</f>
        <v/>
      </c>
      <c r="B562" s="432" t="str">
        <f>'BASE DE DATOSS'!C636</f>
        <v/>
      </c>
      <c r="C562" s="263"/>
      <c r="D562" s="249"/>
      <c r="E562" s="250"/>
      <c r="F562" s="251"/>
      <c r="G562" s="262"/>
      <c r="H562" s="257"/>
      <c r="I562" s="249"/>
      <c r="J562" s="193" t="str">
        <f>IF(OR(ISBLANK($B562),ISBLANK($I562)),"",IFERROR(IF($I562&lt;=DATE('ESTADO CONTABLE'!$B$2,3,5),VLOOKUP($B562,COSTOS!$A$2:$B1014,2,FALSE)-150,VLOOKUP($B562,COSTOS!$A$2:$B1014,2,FALSE)),"No encontrado o error"))</f>
        <v/>
      </c>
      <c r="K562" s="264"/>
      <c r="L562" s="249"/>
      <c r="M562" s="189"/>
      <c r="N562" s="264"/>
      <c r="O562" s="249"/>
      <c r="P562" s="250"/>
      <c r="Q562" s="264"/>
      <c r="R562" s="249"/>
      <c r="S562" s="250"/>
      <c r="T562" s="264"/>
      <c r="U562" s="249"/>
      <c r="V562" s="250"/>
      <c r="W562" s="264"/>
      <c r="X562" s="394"/>
      <c r="Y562" s="429"/>
      <c r="Z562" s="395"/>
      <c r="AA562" s="394"/>
      <c r="AB562" s="118" t="str">
        <f>IF(OR(ISBLANK($B562),ISBLANK($AA562)),"",IFERROR(IF($AA562&lt;=DATE('ESTADO CONTABLE'!$B$2,9,5),VLOOKUP($B562,COSTOS!$A$2:$B1014,2,FALSE)-150,VLOOKUP($B562,COSTOS!$A$2:$B1014,2,FALSE)),"No encontrado o error"))</f>
        <v/>
      </c>
      <c r="AC562" s="395"/>
      <c r="AD562" s="394"/>
      <c r="AE562" s="429" t="str">
        <f>IF(OR(ISBLANK($B562),ISBLANK($AD562)),"",IFERROR(IF($AD562&lt;=DATE('ESTADO CONTABLE'!$B$2,10,5),VLOOKUP($B562,COSTOS!$A$2:$B1014,2,FALSE)-150,VLOOKUP($B562,COSTOS!$A$2:$B1014,2,FALSE)),"No encontrado o error"))</f>
        <v/>
      </c>
      <c r="AF562" s="395"/>
      <c r="AG562" s="394"/>
      <c r="AH562" s="429" t="str">
        <f>IF(OR(ISBLANK($B562),ISBLANK($AG562)),"",IFERROR(IF($AG562&lt;=DATE('ESTADO CONTABLE'!$B$2,11,5),VLOOKUP($B562,COSTOS!$A$2:$B1014,2,FALSE)-150,VLOOKUP($B562,COSTOS!$A$2:$B1014,2,FALSE)),"No encontrado o error"))</f>
        <v/>
      </c>
      <c r="AI562" s="395"/>
      <c r="AJ562" s="394"/>
      <c r="AK562" s="429" t="str">
        <f>IF(OR(ISBLANK($B562),ISBLANK($AJ562)),"",IFERROR(IF($AJ562&lt;=DATE('ESTADO CONTABLE'!$B$2,12,5),VLOOKUP($B562,COSTOS!$A$2:$B1014,2,FALSE)-150,VLOOKUP($B562,COSTOS!$A$2:$B1014,2,FALSE)),"No encontrado o error"))</f>
        <v/>
      </c>
      <c r="AL562" s="395"/>
      <c r="AM562" s="254"/>
      <c r="AN562" s="255"/>
      <c r="AO562" s="256"/>
    </row>
    <row r="563" ht="22.5" customHeight="1">
      <c r="A563" s="431" t="str">
        <f>'BASE DE DATOSS'!A637</f>
        <v/>
      </c>
      <c r="B563" s="432" t="str">
        <f>'BASE DE DATOSS'!C637</f>
        <v/>
      </c>
      <c r="C563" s="263"/>
      <c r="D563" s="249"/>
      <c r="E563" s="250"/>
      <c r="F563" s="251"/>
      <c r="G563" s="262"/>
      <c r="H563" s="257"/>
      <c r="I563" s="249"/>
      <c r="J563" s="193" t="str">
        <f>IF(OR(ISBLANK($B563),ISBLANK($I563)),"",IFERROR(IF($I563&lt;=DATE('ESTADO CONTABLE'!$B$2,3,5),VLOOKUP($B563,COSTOS!$A$2:$B1014,2,FALSE)-150,VLOOKUP($B563,COSTOS!$A$2:$B1014,2,FALSE)),"No encontrado o error"))</f>
        <v/>
      </c>
      <c r="K563" s="264"/>
      <c r="L563" s="249"/>
      <c r="M563" s="189"/>
      <c r="N563" s="264"/>
      <c r="O563" s="249"/>
      <c r="P563" s="250"/>
      <c r="Q563" s="264"/>
      <c r="R563" s="249"/>
      <c r="S563" s="250"/>
      <c r="T563" s="264"/>
      <c r="U563" s="249"/>
      <c r="V563" s="250"/>
      <c r="W563" s="264"/>
      <c r="X563" s="394"/>
      <c r="Y563" s="429"/>
      <c r="Z563" s="395"/>
      <c r="AA563" s="394"/>
      <c r="AB563" s="118" t="str">
        <f>IF(OR(ISBLANK($B563),ISBLANK($AA563)),"",IFERROR(IF($AA563&lt;=DATE('ESTADO CONTABLE'!$B$2,9,5),VLOOKUP($B563,COSTOS!$A$2:$B1014,2,FALSE)-150,VLOOKUP($B563,COSTOS!$A$2:$B1014,2,FALSE)),"No encontrado o error"))</f>
        <v/>
      </c>
      <c r="AC563" s="395"/>
      <c r="AD563" s="394"/>
      <c r="AE563" s="429" t="str">
        <f>IF(OR(ISBLANK($B563),ISBLANK($AD563)),"",IFERROR(IF($AD563&lt;=DATE('ESTADO CONTABLE'!$B$2,10,5),VLOOKUP($B563,COSTOS!$A$2:$B1014,2,FALSE)-150,VLOOKUP($B563,COSTOS!$A$2:$B1014,2,FALSE)),"No encontrado o error"))</f>
        <v/>
      </c>
      <c r="AF563" s="395"/>
      <c r="AG563" s="394"/>
      <c r="AH563" s="429" t="str">
        <f>IF(OR(ISBLANK($B563),ISBLANK($AG563)),"",IFERROR(IF($AG563&lt;=DATE('ESTADO CONTABLE'!$B$2,11,5),VLOOKUP($B563,COSTOS!$A$2:$B1014,2,FALSE)-150,VLOOKUP($B563,COSTOS!$A$2:$B1014,2,FALSE)),"No encontrado o error"))</f>
        <v/>
      </c>
      <c r="AI563" s="395"/>
      <c r="AJ563" s="394"/>
      <c r="AK563" s="429" t="str">
        <f>IF(OR(ISBLANK($B563),ISBLANK($AJ563)),"",IFERROR(IF($AJ563&lt;=DATE('ESTADO CONTABLE'!$B$2,12,5),VLOOKUP($B563,COSTOS!$A$2:$B1014,2,FALSE)-150,VLOOKUP($B563,COSTOS!$A$2:$B1014,2,FALSE)),"No encontrado o error"))</f>
        <v/>
      </c>
      <c r="AL563" s="395"/>
      <c r="AM563" s="254"/>
      <c r="AN563" s="255"/>
      <c r="AO563" s="256"/>
    </row>
    <row r="564" ht="22.5" customHeight="1">
      <c r="A564" s="431" t="str">
        <f>'BASE DE DATOSS'!A638</f>
        <v/>
      </c>
      <c r="B564" s="432" t="str">
        <f>'BASE DE DATOSS'!C638</f>
        <v/>
      </c>
      <c r="C564" s="263"/>
      <c r="D564" s="249"/>
      <c r="E564" s="250"/>
      <c r="F564" s="251"/>
      <c r="G564" s="262"/>
      <c r="H564" s="257"/>
      <c r="I564" s="249"/>
      <c r="J564" s="193" t="str">
        <f>IF(OR(ISBLANK($B564),ISBLANK($I564)),"",IFERROR(IF($I564&lt;=DATE('ESTADO CONTABLE'!$B$2,3,5),VLOOKUP($B564,COSTOS!$A$2:$B1014,2,FALSE)-150,VLOOKUP($B564,COSTOS!$A$2:$B1014,2,FALSE)),"No encontrado o error"))</f>
        <v/>
      </c>
      <c r="K564" s="264"/>
      <c r="L564" s="249"/>
      <c r="M564" s="189"/>
      <c r="N564" s="264"/>
      <c r="O564" s="249"/>
      <c r="P564" s="250"/>
      <c r="Q564" s="264"/>
      <c r="R564" s="249"/>
      <c r="S564" s="250"/>
      <c r="T564" s="264"/>
      <c r="U564" s="249"/>
      <c r="V564" s="250"/>
      <c r="W564" s="264"/>
      <c r="X564" s="394"/>
      <c r="Y564" s="429"/>
      <c r="Z564" s="395"/>
      <c r="AA564" s="394"/>
      <c r="AB564" s="118" t="str">
        <f>IF(OR(ISBLANK($B564),ISBLANK($AA564)),"",IFERROR(IF($AA564&lt;=DATE('ESTADO CONTABLE'!$B$2,9,5),VLOOKUP($B564,COSTOS!$A$2:$B1014,2,FALSE)-150,VLOOKUP($B564,COSTOS!$A$2:$B1014,2,FALSE)),"No encontrado o error"))</f>
        <v/>
      </c>
      <c r="AC564" s="395"/>
      <c r="AD564" s="394"/>
      <c r="AE564" s="429" t="str">
        <f>IF(OR(ISBLANK($B564),ISBLANK($AD564)),"",IFERROR(IF($AD564&lt;=DATE('ESTADO CONTABLE'!$B$2,10,5),VLOOKUP($B564,COSTOS!$A$2:$B1014,2,FALSE)-150,VLOOKUP($B564,COSTOS!$A$2:$B1014,2,FALSE)),"No encontrado o error"))</f>
        <v/>
      </c>
      <c r="AF564" s="395"/>
      <c r="AG564" s="394"/>
      <c r="AH564" s="429" t="str">
        <f>IF(OR(ISBLANK($B564),ISBLANK($AG564)),"",IFERROR(IF($AG564&lt;=DATE('ESTADO CONTABLE'!$B$2,11,5),VLOOKUP($B564,COSTOS!$A$2:$B1014,2,FALSE)-150,VLOOKUP($B564,COSTOS!$A$2:$B1014,2,FALSE)),"No encontrado o error"))</f>
        <v/>
      </c>
      <c r="AI564" s="395"/>
      <c r="AJ564" s="394"/>
      <c r="AK564" s="429" t="str">
        <f>IF(OR(ISBLANK($B564),ISBLANK($AJ564)),"",IFERROR(IF($AJ564&lt;=DATE('ESTADO CONTABLE'!$B$2,12,5),VLOOKUP($B564,COSTOS!$A$2:$B1014,2,FALSE)-150,VLOOKUP($B564,COSTOS!$A$2:$B1014,2,FALSE)),"No encontrado o error"))</f>
        <v/>
      </c>
      <c r="AL564" s="395"/>
      <c r="AM564" s="254"/>
      <c r="AN564" s="255"/>
      <c r="AO564" s="256"/>
    </row>
    <row r="565" ht="22.5" customHeight="1">
      <c r="A565" s="431" t="str">
        <f>'BASE DE DATOSS'!A639</f>
        <v/>
      </c>
      <c r="B565" s="432" t="str">
        <f>'BASE DE DATOSS'!C639</f>
        <v/>
      </c>
      <c r="C565" s="263"/>
      <c r="D565" s="249"/>
      <c r="E565" s="250"/>
      <c r="F565" s="251"/>
      <c r="G565" s="262"/>
      <c r="H565" s="257"/>
      <c r="I565" s="249"/>
      <c r="J565" s="193" t="str">
        <f>IF(OR(ISBLANK($B565),ISBLANK($I565)),"",IFERROR(IF($I565&lt;=DATE('ESTADO CONTABLE'!$B$2,3,5),VLOOKUP($B565,COSTOS!$A$2:$B1014,2,FALSE)-150,VLOOKUP($B565,COSTOS!$A$2:$B1014,2,FALSE)),"No encontrado o error"))</f>
        <v/>
      </c>
      <c r="K565" s="264"/>
      <c r="L565" s="249"/>
      <c r="M565" s="189"/>
      <c r="N565" s="264"/>
      <c r="O565" s="249"/>
      <c r="P565" s="250"/>
      <c r="Q565" s="264"/>
      <c r="R565" s="249"/>
      <c r="S565" s="250"/>
      <c r="T565" s="264"/>
      <c r="U565" s="249"/>
      <c r="V565" s="250"/>
      <c r="W565" s="264"/>
      <c r="X565" s="394"/>
      <c r="Y565" s="429"/>
      <c r="Z565" s="395"/>
      <c r="AA565" s="394"/>
      <c r="AB565" s="118" t="str">
        <f>IF(OR(ISBLANK($B565),ISBLANK($AA565)),"",IFERROR(IF($AA565&lt;=DATE('ESTADO CONTABLE'!$B$2,9,5),VLOOKUP($B565,COSTOS!$A$2:$B1014,2,FALSE)-150,VLOOKUP($B565,COSTOS!$A$2:$B1014,2,FALSE)),"No encontrado o error"))</f>
        <v/>
      </c>
      <c r="AC565" s="395"/>
      <c r="AD565" s="394"/>
      <c r="AE565" s="429" t="str">
        <f>IF(OR(ISBLANK($B565),ISBLANK($AD565)),"",IFERROR(IF($AD565&lt;=DATE('ESTADO CONTABLE'!$B$2,10,5),VLOOKUP($B565,COSTOS!$A$2:$B1014,2,FALSE)-150,VLOOKUP($B565,COSTOS!$A$2:$B1014,2,FALSE)),"No encontrado o error"))</f>
        <v/>
      </c>
      <c r="AF565" s="395"/>
      <c r="AG565" s="394"/>
      <c r="AH565" s="429" t="str">
        <f>IF(OR(ISBLANK($B565),ISBLANK($AG565)),"",IFERROR(IF($AG565&lt;=DATE('ESTADO CONTABLE'!$B$2,11,5),VLOOKUP($B565,COSTOS!$A$2:$B1014,2,FALSE)-150,VLOOKUP($B565,COSTOS!$A$2:$B1014,2,FALSE)),"No encontrado o error"))</f>
        <v/>
      </c>
      <c r="AI565" s="395"/>
      <c r="AJ565" s="394"/>
      <c r="AK565" s="429" t="str">
        <f>IF(OR(ISBLANK($B565),ISBLANK($AJ565)),"",IFERROR(IF($AJ565&lt;=DATE('ESTADO CONTABLE'!$B$2,12,5),VLOOKUP($B565,COSTOS!$A$2:$B1014,2,FALSE)-150,VLOOKUP($B565,COSTOS!$A$2:$B1014,2,FALSE)),"No encontrado o error"))</f>
        <v/>
      </c>
      <c r="AL565" s="395"/>
      <c r="AM565" s="254"/>
      <c r="AN565" s="255"/>
      <c r="AO565" s="256"/>
    </row>
    <row r="566" ht="22.5" customHeight="1">
      <c r="A566" s="431" t="str">
        <f>'BASE DE DATOSS'!A640</f>
        <v/>
      </c>
      <c r="B566" s="432" t="str">
        <f>'BASE DE DATOSS'!C640</f>
        <v/>
      </c>
      <c r="C566" s="263"/>
      <c r="D566" s="249"/>
      <c r="E566" s="250"/>
      <c r="F566" s="251"/>
      <c r="G566" s="262"/>
      <c r="H566" s="257"/>
      <c r="I566" s="249"/>
      <c r="J566" s="193" t="str">
        <f>IF(OR(ISBLANK($B566),ISBLANK($I566)),"",IFERROR(IF($I566&lt;=DATE('ESTADO CONTABLE'!$B$2,3,5),VLOOKUP($B566,COSTOS!$A$2:$B1014,2,FALSE)-150,VLOOKUP($B566,COSTOS!$A$2:$B1014,2,FALSE)),"No encontrado o error"))</f>
        <v/>
      </c>
      <c r="K566" s="264"/>
      <c r="L566" s="249"/>
      <c r="M566" s="189"/>
      <c r="N566" s="264"/>
      <c r="O566" s="249"/>
      <c r="P566" s="250"/>
      <c r="Q566" s="264"/>
      <c r="R566" s="249"/>
      <c r="S566" s="250"/>
      <c r="T566" s="264"/>
      <c r="U566" s="249"/>
      <c r="V566" s="250"/>
      <c r="W566" s="264"/>
      <c r="X566" s="394"/>
      <c r="Y566" s="429"/>
      <c r="Z566" s="395"/>
      <c r="AA566" s="394"/>
      <c r="AB566" s="118" t="str">
        <f>IF(OR(ISBLANK($B566),ISBLANK($AA566)),"",IFERROR(IF($AA566&lt;=DATE('ESTADO CONTABLE'!$B$2,9,5),VLOOKUP($B566,COSTOS!$A$2:$B1014,2,FALSE)-150,VLOOKUP($B566,COSTOS!$A$2:$B1014,2,FALSE)),"No encontrado o error"))</f>
        <v/>
      </c>
      <c r="AC566" s="395"/>
      <c r="AD566" s="394"/>
      <c r="AE566" s="429" t="str">
        <f>IF(OR(ISBLANK($B566),ISBLANK($AD566)),"",IFERROR(IF($AD566&lt;=DATE('ESTADO CONTABLE'!$B$2,10,5),VLOOKUP($B566,COSTOS!$A$2:$B1014,2,FALSE)-150,VLOOKUP($B566,COSTOS!$A$2:$B1014,2,FALSE)),"No encontrado o error"))</f>
        <v/>
      </c>
      <c r="AF566" s="395"/>
      <c r="AG566" s="394"/>
      <c r="AH566" s="429" t="str">
        <f>IF(OR(ISBLANK($B566),ISBLANK($AG566)),"",IFERROR(IF($AG566&lt;=DATE('ESTADO CONTABLE'!$B$2,11,5),VLOOKUP($B566,COSTOS!$A$2:$B1014,2,FALSE)-150,VLOOKUP($B566,COSTOS!$A$2:$B1014,2,FALSE)),"No encontrado o error"))</f>
        <v/>
      </c>
      <c r="AI566" s="395"/>
      <c r="AJ566" s="394"/>
      <c r="AK566" s="429" t="str">
        <f>IF(OR(ISBLANK($B566),ISBLANK($AJ566)),"",IFERROR(IF($AJ566&lt;=DATE('ESTADO CONTABLE'!$B$2,12,5),VLOOKUP($B566,COSTOS!$A$2:$B1014,2,FALSE)-150,VLOOKUP($B566,COSTOS!$A$2:$B1014,2,FALSE)),"No encontrado o error"))</f>
        <v/>
      </c>
      <c r="AL566" s="395"/>
      <c r="AM566" s="254"/>
      <c r="AN566" s="255"/>
      <c r="AO566" s="256"/>
    </row>
    <row r="567" ht="22.5" customHeight="1">
      <c r="A567" s="431" t="str">
        <f>'BASE DE DATOSS'!A641</f>
        <v/>
      </c>
      <c r="B567" s="432" t="str">
        <f>'BASE DE DATOSS'!C641</f>
        <v/>
      </c>
      <c r="C567" s="263"/>
      <c r="D567" s="249"/>
      <c r="E567" s="250"/>
      <c r="F567" s="251"/>
      <c r="G567" s="262"/>
      <c r="H567" s="257"/>
      <c r="I567" s="249"/>
      <c r="J567" s="193" t="str">
        <f>IF(OR(ISBLANK($B567),ISBLANK($I567)),"",IFERROR(IF($I567&lt;=DATE('ESTADO CONTABLE'!$B$2,3,5),VLOOKUP($B567,COSTOS!$A$2:$B1014,2,FALSE)-150,VLOOKUP($B567,COSTOS!$A$2:$B1014,2,FALSE)),"No encontrado o error"))</f>
        <v/>
      </c>
      <c r="K567" s="264"/>
      <c r="L567" s="249"/>
      <c r="M567" s="189"/>
      <c r="N567" s="264"/>
      <c r="O567" s="249"/>
      <c r="P567" s="250"/>
      <c r="Q567" s="264"/>
      <c r="R567" s="249"/>
      <c r="S567" s="250"/>
      <c r="T567" s="264"/>
      <c r="U567" s="249"/>
      <c r="V567" s="250"/>
      <c r="W567" s="264"/>
      <c r="X567" s="394"/>
      <c r="Y567" s="429"/>
      <c r="Z567" s="395"/>
      <c r="AA567" s="394"/>
      <c r="AB567" s="118" t="str">
        <f>IF(OR(ISBLANK($B567),ISBLANK($AA567)),"",IFERROR(IF($AA567&lt;=DATE('ESTADO CONTABLE'!$B$2,9,5),VLOOKUP($B567,COSTOS!$A$2:$B1014,2,FALSE)-150,VLOOKUP($B567,COSTOS!$A$2:$B1014,2,FALSE)),"No encontrado o error"))</f>
        <v/>
      </c>
      <c r="AC567" s="395"/>
      <c r="AD567" s="394"/>
      <c r="AE567" s="429" t="str">
        <f>IF(OR(ISBLANK($B567),ISBLANK($AD567)),"",IFERROR(IF($AD567&lt;=DATE('ESTADO CONTABLE'!$B$2,10,5),VLOOKUP($B567,COSTOS!$A$2:$B1014,2,FALSE)-150,VLOOKUP($B567,COSTOS!$A$2:$B1014,2,FALSE)),"No encontrado o error"))</f>
        <v/>
      </c>
      <c r="AF567" s="395"/>
      <c r="AG567" s="394"/>
      <c r="AH567" s="429" t="str">
        <f>IF(OR(ISBLANK($B567),ISBLANK($AG567)),"",IFERROR(IF($AG567&lt;=DATE('ESTADO CONTABLE'!$B$2,11,5),VLOOKUP($B567,COSTOS!$A$2:$B1014,2,FALSE)-150,VLOOKUP($B567,COSTOS!$A$2:$B1014,2,FALSE)),"No encontrado o error"))</f>
        <v/>
      </c>
      <c r="AI567" s="395"/>
      <c r="AJ567" s="394"/>
      <c r="AK567" s="429" t="str">
        <f>IF(OR(ISBLANK($B567),ISBLANK($AJ567)),"",IFERROR(IF($AJ567&lt;=DATE('ESTADO CONTABLE'!$B$2,12,5),VLOOKUP($B567,COSTOS!$A$2:$B1014,2,FALSE)-150,VLOOKUP($B567,COSTOS!$A$2:$B1014,2,FALSE)),"No encontrado o error"))</f>
        <v/>
      </c>
      <c r="AL567" s="395"/>
      <c r="AM567" s="254"/>
      <c r="AN567" s="255"/>
      <c r="AO567" s="256"/>
    </row>
    <row r="568" ht="22.5" customHeight="1">
      <c r="A568" s="431" t="str">
        <f>'BASE DE DATOSS'!A642</f>
        <v/>
      </c>
      <c r="B568" s="432" t="str">
        <f>'BASE DE DATOSS'!C642</f>
        <v/>
      </c>
      <c r="C568" s="263"/>
      <c r="D568" s="249"/>
      <c r="E568" s="250"/>
      <c r="F568" s="251"/>
      <c r="G568" s="262"/>
      <c r="H568" s="257"/>
      <c r="I568" s="249"/>
      <c r="J568" s="193" t="str">
        <f>IF(OR(ISBLANK($B568),ISBLANK($I568)),"",IFERROR(IF($I568&lt;=DATE('ESTADO CONTABLE'!$B$2,3,5),VLOOKUP($B568,COSTOS!$A$2:$B1014,2,FALSE)-150,VLOOKUP($B568,COSTOS!$A$2:$B1014,2,FALSE)),"No encontrado o error"))</f>
        <v/>
      </c>
      <c r="K568" s="264"/>
      <c r="L568" s="249"/>
      <c r="M568" s="189"/>
      <c r="N568" s="264"/>
      <c r="O568" s="249"/>
      <c r="P568" s="250"/>
      <c r="Q568" s="264"/>
      <c r="R568" s="249"/>
      <c r="S568" s="250"/>
      <c r="T568" s="264"/>
      <c r="U568" s="249"/>
      <c r="V568" s="250"/>
      <c r="W568" s="264"/>
      <c r="X568" s="394"/>
      <c r="Y568" s="429"/>
      <c r="Z568" s="395"/>
      <c r="AA568" s="394"/>
      <c r="AB568" s="118" t="str">
        <f>IF(OR(ISBLANK($B568),ISBLANK($AA568)),"",IFERROR(IF($AA568&lt;=DATE('ESTADO CONTABLE'!$B$2,9,5),VLOOKUP($B568,COSTOS!$A$2:$B1014,2,FALSE)-150,VLOOKUP($B568,COSTOS!$A$2:$B1014,2,FALSE)),"No encontrado o error"))</f>
        <v/>
      </c>
      <c r="AC568" s="395"/>
      <c r="AD568" s="394"/>
      <c r="AE568" s="429" t="str">
        <f>IF(OR(ISBLANK($B568),ISBLANK($AD568)),"",IFERROR(IF($AD568&lt;=DATE('ESTADO CONTABLE'!$B$2,10,5),VLOOKUP($B568,COSTOS!$A$2:$B1014,2,FALSE)-150,VLOOKUP($B568,COSTOS!$A$2:$B1014,2,FALSE)),"No encontrado o error"))</f>
        <v/>
      </c>
      <c r="AF568" s="395"/>
      <c r="AG568" s="394"/>
      <c r="AH568" s="429" t="str">
        <f>IF(OR(ISBLANK($B568),ISBLANK($AG568)),"",IFERROR(IF($AG568&lt;=DATE('ESTADO CONTABLE'!$B$2,11,5),VLOOKUP($B568,COSTOS!$A$2:$B1014,2,FALSE)-150,VLOOKUP($B568,COSTOS!$A$2:$B1014,2,FALSE)),"No encontrado o error"))</f>
        <v/>
      </c>
      <c r="AI568" s="395"/>
      <c r="AJ568" s="394"/>
      <c r="AK568" s="429" t="str">
        <f>IF(OR(ISBLANK($B568),ISBLANK($AJ568)),"",IFERROR(IF($AJ568&lt;=DATE('ESTADO CONTABLE'!$B$2,12,5),VLOOKUP($B568,COSTOS!$A$2:$B1014,2,FALSE)-150,VLOOKUP($B568,COSTOS!$A$2:$B1014,2,FALSE)),"No encontrado o error"))</f>
        <v/>
      </c>
      <c r="AL568" s="395"/>
      <c r="AM568" s="254"/>
      <c r="AN568" s="255"/>
      <c r="AO568" s="256"/>
    </row>
    <row r="569" ht="22.5" customHeight="1">
      <c r="A569" s="431" t="str">
        <f>'BASE DE DATOSS'!A643</f>
        <v/>
      </c>
      <c r="B569" s="432" t="str">
        <f>'BASE DE DATOSS'!C643</f>
        <v/>
      </c>
      <c r="C569" s="263"/>
      <c r="D569" s="249"/>
      <c r="E569" s="250"/>
      <c r="F569" s="251"/>
      <c r="G569" s="262"/>
      <c r="H569" s="257"/>
      <c r="I569" s="249"/>
      <c r="J569" s="193" t="str">
        <f>IF(OR(ISBLANK($B569),ISBLANK($I569)),"",IFERROR(IF($I569&lt;=DATE('ESTADO CONTABLE'!$B$2,3,5),VLOOKUP($B569,COSTOS!$A$2:$B1014,2,FALSE)-150,VLOOKUP($B569,COSTOS!$A$2:$B1014,2,FALSE)),"No encontrado o error"))</f>
        <v/>
      </c>
      <c r="K569" s="264"/>
      <c r="L569" s="249"/>
      <c r="M569" s="189"/>
      <c r="N569" s="264"/>
      <c r="O569" s="249"/>
      <c r="P569" s="250"/>
      <c r="Q569" s="264"/>
      <c r="R569" s="249"/>
      <c r="S569" s="250"/>
      <c r="T569" s="264"/>
      <c r="U569" s="249"/>
      <c r="V569" s="250"/>
      <c r="W569" s="264"/>
      <c r="X569" s="394"/>
      <c r="Y569" s="429"/>
      <c r="Z569" s="395"/>
      <c r="AA569" s="394"/>
      <c r="AB569" s="118" t="str">
        <f>IF(OR(ISBLANK($B569),ISBLANK($AA569)),"",IFERROR(IF($AA569&lt;=DATE('ESTADO CONTABLE'!$B$2,9,5),VLOOKUP($B569,COSTOS!$A$2:$B1014,2,FALSE)-150,VLOOKUP($B569,COSTOS!$A$2:$B1014,2,FALSE)),"No encontrado o error"))</f>
        <v/>
      </c>
      <c r="AC569" s="395"/>
      <c r="AD569" s="394"/>
      <c r="AE569" s="429" t="str">
        <f>IF(OR(ISBLANK($B569),ISBLANK($AD569)),"",IFERROR(IF($AD569&lt;=DATE('ESTADO CONTABLE'!$B$2,10,5),VLOOKUP($B569,COSTOS!$A$2:$B1014,2,FALSE)-150,VLOOKUP($B569,COSTOS!$A$2:$B1014,2,FALSE)),"No encontrado o error"))</f>
        <v/>
      </c>
      <c r="AF569" s="395"/>
      <c r="AG569" s="394"/>
      <c r="AH569" s="429" t="str">
        <f>IF(OR(ISBLANK($B569),ISBLANK($AG569)),"",IFERROR(IF($AG569&lt;=DATE('ESTADO CONTABLE'!$B$2,11,5),VLOOKUP($B569,COSTOS!$A$2:$B1014,2,FALSE)-150,VLOOKUP($B569,COSTOS!$A$2:$B1014,2,FALSE)),"No encontrado o error"))</f>
        <v/>
      </c>
      <c r="AI569" s="395"/>
      <c r="AJ569" s="394"/>
      <c r="AK569" s="429" t="str">
        <f>IF(OR(ISBLANK($B569),ISBLANK($AJ569)),"",IFERROR(IF($AJ569&lt;=DATE('ESTADO CONTABLE'!$B$2,12,5),VLOOKUP($B569,COSTOS!$A$2:$B1014,2,FALSE)-150,VLOOKUP($B569,COSTOS!$A$2:$B1014,2,FALSE)),"No encontrado o error"))</f>
        <v/>
      </c>
      <c r="AL569" s="395"/>
      <c r="AM569" s="254"/>
      <c r="AN569" s="255"/>
      <c r="AO569" s="256"/>
    </row>
    <row r="570" ht="22.5" customHeight="1">
      <c r="A570" s="431" t="str">
        <f>'BASE DE DATOSS'!A644</f>
        <v/>
      </c>
      <c r="B570" s="432" t="str">
        <f>'BASE DE DATOSS'!C644</f>
        <v/>
      </c>
      <c r="C570" s="263"/>
      <c r="D570" s="249"/>
      <c r="E570" s="250"/>
      <c r="F570" s="251"/>
      <c r="G570" s="262"/>
      <c r="H570" s="257"/>
      <c r="I570" s="249"/>
      <c r="J570" s="193" t="str">
        <f>IF(OR(ISBLANK($B570),ISBLANK($I570)),"",IFERROR(IF($I570&lt;=DATE('ESTADO CONTABLE'!$B$2,3,5),VLOOKUP($B570,COSTOS!$A$2:$B1014,2,FALSE)-150,VLOOKUP($B570,COSTOS!$A$2:$B1014,2,FALSE)),"No encontrado o error"))</f>
        <v/>
      </c>
      <c r="K570" s="264"/>
      <c r="L570" s="249"/>
      <c r="M570" s="189"/>
      <c r="N570" s="264"/>
      <c r="O570" s="249"/>
      <c r="P570" s="250"/>
      <c r="Q570" s="264"/>
      <c r="R570" s="249"/>
      <c r="S570" s="250"/>
      <c r="T570" s="264"/>
      <c r="U570" s="249"/>
      <c r="V570" s="250"/>
      <c r="W570" s="264"/>
      <c r="X570" s="394"/>
      <c r="Y570" s="429"/>
      <c r="Z570" s="395"/>
      <c r="AA570" s="394"/>
      <c r="AB570" s="118" t="str">
        <f>IF(OR(ISBLANK($B570),ISBLANK($AA570)),"",IFERROR(IF($AA570&lt;=DATE('ESTADO CONTABLE'!$B$2,9,5),VLOOKUP($B570,COSTOS!$A$2:$B1014,2,FALSE)-150,VLOOKUP($B570,COSTOS!$A$2:$B1014,2,FALSE)),"No encontrado o error"))</f>
        <v/>
      </c>
      <c r="AC570" s="395"/>
      <c r="AD570" s="394"/>
      <c r="AE570" s="429" t="str">
        <f>IF(OR(ISBLANK($B570),ISBLANK($AD570)),"",IFERROR(IF($AD570&lt;=DATE('ESTADO CONTABLE'!$B$2,10,5),VLOOKUP($B570,COSTOS!$A$2:$B1014,2,FALSE)-150,VLOOKUP($B570,COSTOS!$A$2:$B1014,2,FALSE)),"No encontrado o error"))</f>
        <v/>
      </c>
      <c r="AF570" s="395"/>
      <c r="AG570" s="394"/>
      <c r="AH570" s="429" t="str">
        <f>IF(OR(ISBLANK($B570),ISBLANK($AG570)),"",IFERROR(IF($AG570&lt;=DATE('ESTADO CONTABLE'!$B$2,11,5),VLOOKUP($B570,COSTOS!$A$2:$B1014,2,FALSE)-150,VLOOKUP($B570,COSTOS!$A$2:$B1014,2,FALSE)),"No encontrado o error"))</f>
        <v/>
      </c>
      <c r="AI570" s="395"/>
      <c r="AJ570" s="394"/>
      <c r="AK570" s="429" t="str">
        <f>IF(OR(ISBLANK($B570),ISBLANK($AJ570)),"",IFERROR(IF($AJ570&lt;=DATE('ESTADO CONTABLE'!$B$2,12,5),VLOOKUP($B570,COSTOS!$A$2:$B1014,2,FALSE)-150,VLOOKUP($B570,COSTOS!$A$2:$B1014,2,FALSE)),"No encontrado o error"))</f>
        <v/>
      </c>
      <c r="AL570" s="395"/>
      <c r="AM570" s="254"/>
      <c r="AN570" s="255"/>
      <c r="AO570" s="256"/>
    </row>
    <row r="571" ht="22.5" customHeight="1">
      <c r="A571" s="431" t="str">
        <f>'BASE DE DATOSS'!A645</f>
        <v/>
      </c>
      <c r="B571" s="432" t="str">
        <f>'BASE DE DATOSS'!C645</f>
        <v/>
      </c>
      <c r="C571" s="263"/>
      <c r="D571" s="249"/>
      <c r="E571" s="250"/>
      <c r="F571" s="251"/>
      <c r="G571" s="262"/>
      <c r="H571" s="257"/>
      <c r="I571" s="249"/>
      <c r="J571" s="193" t="str">
        <f>IF(OR(ISBLANK($B571),ISBLANK($I571)),"",IFERROR(IF($I571&lt;=DATE('ESTADO CONTABLE'!$B$2,3,5),VLOOKUP($B571,COSTOS!$A$2:$B1014,2,FALSE)-150,VLOOKUP($B571,COSTOS!$A$2:$B1014,2,FALSE)),"No encontrado o error"))</f>
        <v/>
      </c>
      <c r="K571" s="264"/>
      <c r="L571" s="249"/>
      <c r="M571" s="189"/>
      <c r="N571" s="264"/>
      <c r="O571" s="249"/>
      <c r="P571" s="250"/>
      <c r="Q571" s="264"/>
      <c r="R571" s="249"/>
      <c r="S571" s="250"/>
      <c r="T571" s="264"/>
      <c r="U571" s="249"/>
      <c r="V571" s="250"/>
      <c r="W571" s="264"/>
      <c r="X571" s="394"/>
      <c r="Y571" s="429"/>
      <c r="Z571" s="395"/>
      <c r="AA571" s="394"/>
      <c r="AB571" s="118" t="str">
        <f>IF(OR(ISBLANK($B571),ISBLANK($AA571)),"",IFERROR(IF($AA571&lt;=DATE('ESTADO CONTABLE'!$B$2,9,5),VLOOKUP($B571,COSTOS!$A$2:$B1014,2,FALSE)-150,VLOOKUP($B571,COSTOS!$A$2:$B1014,2,FALSE)),"No encontrado o error"))</f>
        <v/>
      </c>
      <c r="AC571" s="395"/>
      <c r="AD571" s="394"/>
      <c r="AE571" s="429" t="str">
        <f>IF(OR(ISBLANK($B571),ISBLANK($AD571)),"",IFERROR(IF($AD571&lt;=DATE('ESTADO CONTABLE'!$B$2,10,5),VLOOKUP($B571,COSTOS!$A$2:$B1014,2,FALSE)-150,VLOOKUP($B571,COSTOS!$A$2:$B1014,2,FALSE)),"No encontrado o error"))</f>
        <v/>
      </c>
      <c r="AF571" s="395"/>
      <c r="AG571" s="394"/>
      <c r="AH571" s="429" t="str">
        <f>IF(OR(ISBLANK($B571),ISBLANK($AG571)),"",IFERROR(IF($AG571&lt;=DATE('ESTADO CONTABLE'!$B$2,11,5),VLOOKUP($B571,COSTOS!$A$2:$B1014,2,FALSE)-150,VLOOKUP($B571,COSTOS!$A$2:$B1014,2,FALSE)),"No encontrado o error"))</f>
        <v/>
      </c>
      <c r="AI571" s="395"/>
      <c r="AJ571" s="394"/>
      <c r="AK571" s="429" t="str">
        <f>IF(OR(ISBLANK($B571),ISBLANK($AJ571)),"",IFERROR(IF($AJ571&lt;=DATE('ESTADO CONTABLE'!$B$2,12,5),VLOOKUP($B571,COSTOS!$A$2:$B1014,2,FALSE)-150,VLOOKUP($B571,COSTOS!$A$2:$B1014,2,FALSE)),"No encontrado o error"))</f>
        <v/>
      </c>
      <c r="AL571" s="395"/>
      <c r="AM571" s="254"/>
      <c r="AN571" s="255"/>
      <c r="AO571" s="256"/>
    </row>
    <row r="572" ht="22.5" customHeight="1">
      <c r="A572" s="431" t="str">
        <f>'BASE DE DATOSS'!A646</f>
        <v/>
      </c>
      <c r="B572" s="432" t="str">
        <f>'BASE DE DATOSS'!C646</f>
        <v/>
      </c>
      <c r="C572" s="263"/>
      <c r="D572" s="249"/>
      <c r="E572" s="250"/>
      <c r="F572" s="251"/>
      <c r="G572" s="262"/>
      <c r="H572" s="257"/>
      <c r="I572" s="249"/>
      <c r="J572" s="193" t="str">
        <f>IF(OR(ISBLANK($B572),ISBLANK($I572)),"",IFERROR(IF($I572&lt;=DATE('ESTADO CONTABLE'!$B$2,3,5),VLOOKUP($B572,COSTOS!$A$2:$B1014,2,FALSE)-150,VLOOKUP($B572,COSTOS!$A$2:$B1014,2,FALSE)),"No encontrado o error"))</f>
        <v/>
      </c>
      <c r="K572" s="264"/>
      <c r="L572" s="249"/>
      <c r="M572" s="189"/>
      <c r="N572" s="264"/>
      <c r="O572" s="249"/>
      <c r="P572" s="250"/>
      <c r="Q572" s="264"/>
      <c r="R572" s="249"/>
      <c r="S572" s="250"/>
      <c r="T572" s="264"/>
      <c r="U572" s="249"/>
      <c r="V572" s="250"/>
      <c r="W572" s="264"/>
      <c r="X572" s="394"/>
      <c r="Y572" s="429"/>
      <c r="Z572" s="395"/>
      <c r="AA572" s="394"/>
      <c r="AB572" s="118" t="str">
        <f>IF(OR(ISBLANK($B572),ISBLANK($AA572)),"",IFERROR(IF($AA572&lt;=DATE('ESTADO CONTABLE'!$B$2,9,5),VLOOKUP($B572,COSTOS!$A$2:$B1014,2,FALSE)-150,VLOOKUP($B572,COSTOS!$A$2:$B1014,2,FALSE)),"No encontrado o error"))</f>
        <v/>
      </c>
      <c r="AC572" s="395"/>
      <c r="AD572" s="394"/>
      <c r="AE572" s="429" t="str">
        <f>IF(OR(ISBLANK($B572),ISBLANK($AD572)),"",IFERROR(IF($AD572&lt;=DATE('ESTADO CONTABLE'!$B$2,10,5),VLOOKUP($B572,COSTOS!$A$2:$B1014,2,FALSE)-150,VLOOKUP($B572,COSTOS!$A$2:$B1014,2,FALSE)),"No encontrado o error"))</f>
        <v/>
      </c>
      <c r="AF572" s="395"/>
      <c r="AG572" s="394"/>
      <c r="AH572" s="429" t="str">
        <f>IF(OR(ISBLANK($B572),ISBLANK($AG572)),"",IFERROR(IF($AG572&lt;=DATE('ESTADO CONTABLE'!$B$2,11,5),VLOOKUP($B572,COSTOS!$A$2:$B1014,2,FALSE)-150,VLOOKUP($B572,COSTOS!$A$2:$B1014,2,FALSE)),"No encontrado o error"))</f>
        <v/>
      </c>
      <c r="AI572" s="395"/>
      <c r="AJ572" s="394"/>
      <c r="AK572" s="429" t="str">
        <f>IF(OR(ISBLANK($B572),ISBLANK($AJ572)),"",IFERROR(IF($AJ572&lt;=DATE('ESTADO CONTABLE'!$B$2,12,5),VLOOKUP($B572,COSTOS!$A$2:$B1014,2,FALSE)-150,VLOOKUP($B572,COSTOS!$A$2:$B1014,2,FALSE)),"No encontrado o error"))</f>
        <v/>
      </c>
      <c r="AL572" s="395"/>
      <c r="AM572" s="254"/>
      <c r="AN572" s="255"/>
      <c r="AO572" s="256"/>
    </row>
    <row r="573" ht="22.5" customHeight="1">
      <c r="A573" s="431" t="str">
        <f>'BASE DE DATOSS'!A647</f>
        <v/>
      </c>
      <c r="B573" s="432" t="str">
        <f>'BASE DE DATOSS'!C647</f>
        <v/>
      </c>
      <c r="C573" s="263"/>
      <c r="D573" s="249"/>
      <c r="E573" s="250"/>
      <c r="F573" s="251"/>
      <c r="G573" s="262"/>
      <c r="H573" s="257"/>
      <c r="I573" s="249"/>
      <c r="J573" s="193" t="str">
        <f>IF(OR(ISBLANK($B573),ISBLANK($I573)),"",IFERROR(IF($I573&lt;=DATE('ESTADO CONTABLE'!$B$2,3,5),VLOOKUP($B573,COSTOS!$A$2:$B1014,2,FALSE)-150,VLOOKUP($B573,COSTOS!$A$2:$B1014,2,FALSE)),"No encontrado o error"))</f>
        <v/>
      </c>
      <c r="K573" s="264"/>
      <c r="L573" s="249"/>
      <c r="M573" s="189"/>
      <c r="N573" s="264"/>
      <c r="O573" s="249"/>
      <c r="P573" s="250"/>
      <c r="Q573" s="264"/>
      <c r="R573" s="249"/>
      <c r="S573" s="250"/>
      <c r="T573" s="264"/>
      <c r="U573" s="249"/>
      <c r="V573" s="250"/>
      <c r="W573" s="264"/>
      <c r="X573" s="394"/>
      <c r="Y573" s="429"/>
      <c r="Z573" s="395"/>
      <c r="AA573" s="394"/>
      <c r="AB573" s="118" t="str">
        <f>IF(OR(ISBLANK($B573),ISBLANK($AA573)),"",IFERROR(IF($AA573&lt;=DATE('ESTADO CONTABLE'!$B$2,9,5),VLOOKUP($B573,COSTOS!$A$2:$B1014,2,FALSE)-150,VLOOKUP($B573,COSTOS!$A$2:$B1014,2,FALSE)),"No encontrado o error"))</f>
        <v/>
      </c>
      <c r="AC573" s="395"/>
      <c r="AD573" s="394"/>
      <c r="AE573" s="429" t="str">
        <f>IF(OR(ISBLANK($B573),ISBLANK($AD573)),"",IFERROR(IF($AD573&lt;=DATE('ESTADO CONTABLE'!$B$2,10,5),VLOOKUP($B573,COSTOS!$A$2:$B1014,2,FALSE)-150,VLOOKUP($B573,COSTOS!$A$2:$B1014,2,FALSE)),"No encontrado o error"))</f>
        <v/>
      </c>
      <c r="AF573" s="395"/>
      <c r="AG573" s="394"/>
      <c r="AH573" s="429" t="str">
        <f>IF(OR(ISBLANK($B573),ISBLANK($AG573)),"",IFERROR(IF($AG573&lt;=DATE('ESTADO CONTABLE'!$B$2,11,5),VLOOKUP($B573,COSTOS!$A$2:$B1014,2,FALSE)-150,VLOOKUP($B573,COSTOS!$A$2:$B1014,2,FALSE)),"No encontrado o error"))</f>
        <v/>
      </c>
      <c r="AI573" s="395"/>
      <c r="AJ573" s="394"/>
      <c r="AK573" s="429" t="str">
        <f>IF(OR(ISBLANK($B573),ISBLANK($AJ573)),"",IFERROR(IF($AJ573&lt;=DATE('ESTADO CONTABLE'!$B$2,12,5),VLOOKUP($B573,COSTOS!$A$2:$B1014,2,FALSE)-150,VLOOKUP($B573,COSTOS!$A$2:$B1014,2,FALSE)),"No encontrado o error"))</f>
        <v/>
      </c>
      <c r="AL573" s="395"/>
      <c r="AM573" s="254"/>
      <c r="AN573" s="255"/>
      <c r="AO573" s="256"/>
    </row>
    <row r="574" ht="22.5" customHeight="1">
      <c r="A574" s="431" t="str">
        <f>'BASE DE DATOSS'!A648</f>
        <v/>
      </c>
      <c r="B574" s="432" t="str">
        <f>'BASE DE DATOSS'!C648</f>
        <v/>
      </c>
      <c r="C574" s="263"/>
      <c r="D574" s="249"/>
      <c r="E574" s="250"/>
      <c r="F574" s="251"/>
      <c r="G574" s="262"/>
      <c r="H574" s="257"/>
      <c r="I574" s="249"/>
      <c r="J574" s="193" t="str">
        <f>IF(OR(ISBLANK($B574),ISBLANK($I574)),"",IFERROR(IF($I574&lt;=DATE('ESTADO CONTABLE'!$B$2,3,5),VLOOKUP($B574,COSTOS!$A$2:$B1014,2,FALSE)-150,VLOOKUP($B574,COSTOS!$A$2:$B1014,2,FALSE)),"No encontrado o error"))</f>
        <v/>
      </c>
      <c r="K574" s="264"/>
      <c r="L574" s="249"/>
      <c r="M574" s="189"/>
      <c r="N574" s="264"/>
      <c r="O574" s="249"/>
      <c r="P574" s="250"/>
      <c r="Q574" s="264"/>
      <c r="R574" s="249"/>
      <c r="S574" s="250"/>
      <c r="T574" s="264"/>
      <c r="U574" s="249"/>
      <c r="V574" s="250"/>
      <c r="W574" s="264"/>
      <c r="X574" s="394"/>
      <c r="Y574" s="429"/>
      <c r="Z574" s="395"/>
      <c r="AA574" s="394"/>
      <c r="AB574" s="118" t="str">
        <f>IF(OR(ISBLANK($B574),ISBLANK($AA574)),"",IFERROR(IF($AA574&lt;=DATE('ESTADO CONTABLE'!$B$2,9,5),VLOOKUP($B574,COSTOS!$A$2:$B1014,2,FALSE)-150,VLOOKUP($B574,COSTOS!$A$2:$B1014,2,FALSE)),"No encontrado o error"))</f>
        <v/>
      </c>
      <c r="AC574" s="395"/>
      <c r="AD574" s="394"/>
      <c r="AE574" s="429" t="str">
        <f>IF(OR(ISBLANK($B574),ISBLANK($AD574)),"",IFERROR(IF($AD574&lt;=DATE('ESTADO CONTABLE'!$B$2,10,5),VLOOKUP($B574,COSTOS!$A$2:$B1014,2,FALSE)-150,VLOOKUP($B574,COSTOS!$A$2:$B1014,2,FALSE)),"No encontrado o error"))</f>
        <v/>
      </c>
      <c r="AF574" s="395"/>
      <c r="AG574" s="394"/>
      <c r="AH574" s="429" t="str">
        <f>IF(OR(ISBLANK($B574),ISBLANK($AG574)),"",IFERROR(IF($AG574&lt;=DATE('ESTADO CONTABLE'!$B$2,11,5),VLOOKUP($B574,COSTOS!$A$2:$B1014,2,FALSE)-150,VLOOKUP($B574,COSTOS!$A$2:$B1014,2,FALSE)),"No encontrado o error"))</f>
        <v/>
      </c>
      <c r="AI574" s="395"/>
      <c r="AJ574" s="394"/>
      <c r="AK574" s="429" t="str">
        <f>IF(OR(ISBLANK($B574),ISBLANK($AJ574)),"",IFERROR(IF($AJ574&lt;=DATE('ESTADO CONTABLE'!$B$2,12,5),VLOOKUP($B574,COSTOS!$A$2:$B1014,2,FALSE)-150,VLOOKUP($B574,COSTOS!$A$2:$B1014,2,FALSE)),"No encontrado o error"))</f>
        <v/>
      </c>
      <c r="AL574" s="395"/>
      <c r="AM574" s="254"/>
      <c r="AN574" s="255"/>
      <c r="AO574" s="256"/>
    </row>
    <row r="575" ht="22.5" customHeight="1">
      <c r="A575" s="431" t="str">
        <f>'BASE DE DATOSS'!A649</f>
        <v/>
      </c>
      <c r="B575" s="432" t="str">
        <f>'BASE DE DATOSS'!C649</f>
        <v/>
      </c>
      <c r="C575" s="263"/>
      <c r="D575" s="249"/>
      <c r="E575" s="250"/>
      <c r="F575" s="251"/>
      <c r="G575" s="262"/>
      <c r="H575" s="257"/>
      <c r="I575" s="249"/>
      <c r="J575" s="193" t="str">
        <f>IF(OR(ISBLANK($B575),ISBLANK($I575)),"",IFERROR(IF($I575&lt;=DATE('ESTADO CONTABLE'!$B$2,3,5),VLOOKUP($B575,COSTOS!$A$2:$B1014,2,FALSE)-150,VLOOKUP($B575,COSTOS!$A$2:$B1014,2,FALSE)),"No encontrado o error"))</f>
        <v/>
      </c>
      <c r="K575" s="264"/>
      <c r="L575" s="249"/>
      <c r="M575" s="189"/>
      <c r="N575" s="264"/>
      <c r="O575" s="249"/>
      <c r="P575" s="250"/>
      <c r="Q575" s="264"/>
      <c r="R575" s="249"/>
      <c r="S575" s="250"/>
      <c r="T575" s="264"/>
      <c r="U575" s="249"/>
      <c r="V575" s="250"/>
      <c r="W575" s="264"/>
      <c r="X575" s="394"/>
      <c r="Y575" s="429"/>
      <c r="Z575" s="395"/>
      <c r="AA575" s="394"/>
      <c r="AB575" s="118" t="str">
        <f>IF(OR(ISBLANK($B575),ISBLANK($AA575)),"",IFERROR(IF($AA575&lt;=DATE('ESTADO CONTABLE'!$B$2,9,5),VLOOKUP($B575,COSTOS!$A$2:$B1014,2,FALSE)-150,VLOOKUP($B575,COSTOS!$A$2:$B1014,2,FALSE)),"No encontrado o error"))</f>
        <v/>
      </c>
      <c r="AC575" s="395"/>
      <c r="AD575" s="394"/>
      <c r="AE575" s="429" t="str">
        <f>IF(OR(ISBLANK($B575),ISBLANK($AD575)),"",IFERROR(IF($AD575&lt;=DATE('ESTADO CONTABLE'!$B$2,10,5),VLOOKUP($B575,COSTOS!$A$2:$B1014,2,FALSE)-150,VLOOKUP($B575,COSTOS!$A$2:$B1014,2,FALSE)),"No encontrado o error"))</f>
        <v/>
      </c>
      <c r="AF575" s="395"/>
      <c r="AG575" s="394"/>
      <c r="AH575" s="429" t="str">
        <f>IF(OR(ISBLANK($B575),ISBLANK($AG575)),"",IFERROR(IF($AG575&lt;=DATE('ESTADO CONTABLE'!$B$2,11,5),VLOOKUP($B575,COSTOS!$A$2:$B1014,2,FALSE)-150,VLOOKUP($B575,COSTOS!$A$2:$B1014,2,FALSE)),"No encontrado o error"))</f>
        <v/>
      </c>
      <c r="AI575" s="395"/>
      <c r="AJ575" s="394"/>
      <c r="AK575" s="429" t="str">
        <f>IF(OR(ISBLANK($B575),ISBLANK($AJ575)),"",IFERROR(IF($AJ575&lt;=DATE('ESTADO CONTABLE'!$B$2,12,5),VLOOKUP($B575,COSTOS!$A$2:$B1014,2,FALSE)-150,VLOOKUP($B575,COSTOS!$A$2:$B1014,2,FALSE)),"No encontrado o error"))</f>
        <v/>
      </c>
      <c r="AL575" s="395"/>
      <c r="AM575" s="254"/>
      <c r="AN575" s="255"/>
      <c r="AO575" s="256"/>
    </row>
    <row r="576" ht="22.5" customHeight="1">
      <c r="A576" s="431" t="str">
        <f>'BASE DE DATOSS'!A650</f>
        <v/>
      </c>
      <c r="B576" s="432" t="str">
        <f>'BASE DE DATOSS'!C650</f>
        <v/>
      </c>
      <c r="C576" s="263"/>
      <c r="D576" s="249"/>
      <c r="E576" s="250"/>
      <c r="F576" s="251"/>
      <c r="G576" s="262"/>
      <c r="H576" s="257"/>
      <c r="I576" s="249"/>
      <c r="J576" s="193" t="str">
        <f>IF(OR(ISBLANK($B576),ISBLANK($I576)),"",IFERROR(IF($I576&lt;=DATE('ESTADO CONTABLE'!$B$2,3,5),VLOOKUP($B576,COSTOS!$A$2:$B1014,2,FALSE)-150,VLOOKUP($B576,COSTOS!$A$2:$B1014,2,FALSE)),"No encontrado o error"))</f>
        <v/>
      </c>
      <c r="K576" s="264"/>
      <c r="L576" s="249"/>
      <c r="M576" s="189"/>
      <c r="N576" s="264"/>
      <c r="O576" s="249"/>
      <c r="P576" s="250"/>
      <c r="Q576" s="264"/>
      <c r="R576" s="249"/>
      <c r="S576" s="250"/>
      <c r="T576" s="264"/>
      <c r="U576" s="249"/>
      <c r="V576" s="250"/>
      <c r="W576" s="264"/>
      <c r="X576" s="394"/>
      <c r="Y576" s="429"/>
      <c r="Z576" s="395"/>
      <c r="AA576" s="394"/>
      <c r="AB576" s="118" t="str">
        <f>IF(OR(ISBLANK($B576),ISBLANK($AA576)),"",IFERROR(IF($AA576&lt;=DATE('ESTADO CONTABLE'!$B$2,9,5),VLOOKUP($B576,COSTOS!$A$2:$B1014,2,FALSE)-150,VLOOKUP($B576,COSTOS!$A$2:$B1014,2,FALSE)),"No encontrado o error"))</f>
        <v/>
      </c>
      <c r="AC576" s="395"/>
      <c r="AD576" s="394"/>
      <c r="AE576" s="429" t="str">
        <f>IF(OR(ISBLANK($B576),ISBLANK($AD576)),"",IFERROR(IF($AD576&lt;=DATE('ESTADO CONTABLE'!$B$2,10,5),VLOOKUP($B576,COSTOS!$A$2:$B1014,2,FALSE)-150,VLOOKUP($B576,COSTOS!$A$2:$B1014,2,FALSE)),"No encontrado o error"))</f>
        <v/>
      </c>
      <c r="AF576" s="395"/>
      <c r="AG576" s="394"/>
      <c r="AH576" s="429" t="str">
        <f>IF(OR(ISBLANK($B576),ISBLANK($AG576)),"",IFERROR(IF($AG576&lt;=DATE('ESTADO CONTABLE'!$B$2,11,5),VLOOKUP($B576,COSTOS!$A$2:$B1014,2,FALSE)-150,VLOOKUP($B576,COSTOS!$A$2:$B1014,2,FALSE)),"No encontrado o error"))</f>
        <v/>
      </c>
      <c r="AI576" s="395"/>
      <c r="AJ576" s="394"/>
      <c r="AK576" s="429" t="str">
        <f>IF(OR(ISBLANK($B576),ISBLANK($AJ576)),"",IFERROR(IF($AJ576&lt;=DATE('ESTADO CONTABLE'!$B$2,12,5),VLOOKUP($B576,COSTOS!$A$2:$B1014,2,FALSE)-150,VLOOKUP($B576,COSTOS!$A$2:$B1014,2,FALSE)),"No encontrado o error"))</f>
        <v/>
      </c>
      <c r="AL576" s="395"/>
      <c r="AM576" s="254"/>
      <c r="AN576" s="255"/>
      <c r="AO576" s="256"/>
    </row>
    <row r="577" ht="22.5" customHeight="1">
      <c r="A577" s="431" t="str">
        <f>'BASE DE DATOSS'!A651</f>
        <v/>
      </c>
      <c r="B577" s="432" t="str">
        <f>'BASE DE DATOSS'!C651</f>
        <v/>
      </c>
      <c r="C577" s="263"/>
      <c r="D577" s="249"/>
      <c r="E577" s="250"/>
      <c r="F577" s="251"/>
      <c r="G577" s="262"/>
      <c r="H577" s="257"/>
      <c r="I577" s="249"/>
      <c r="J577" s="193" t="str">
        <f>IF(OR(ISBLANK($B577),ISBLANK($I577)),"",IFERROR(IF($I577&lt;=DATE('ESTADO CONTABLE'!$B$2,3,5),VLOOKUP($B577,COSTOS!$A$2:$B1014,2,FALSE)-150,VLOOKUP($B577,COSTOS!$A$2:$B1014,2,FALSE)),"No encontrado o error"))</f>
        <v/>
      </c>
      <c r="K577" s="264"/>
      <c r="L577" s="249"/>
      <c r="M577" s="189"/>
      <c r="N577" s="264"/>
      <c r="O577" s="249"/>
      <c r="P577" s="250"/>
      <c r="Q577" s="264"/>
      <c r="R577" s="249"/>
      <c r="S577" s="250"/>
      <c r="T577" s="264"/>
      <c r="U577" s="249"/>
      <c r="V577" s="250"/>
      <c r="W577" s="264"/>
      <c r="X577" s="394"/>
      <c r="Y577" s="429"/>
      <c r="Z577" s="395"/>
      <c r="AA577" s="394"/>
      <c r="AB577" s="118" t="str">
        <f>IF(OR(ISBLANK($B577),ISBLANK($AA577)),"",IFERROR(IF($AA577&lt;=DATE('ESTADO CONTABLE'!$B$2,9,5),VLOOKUP($B577,COSTOS!$A$2:$B1014,2,FALSE)-150,VLOOKUP($B577,COSTOS!$A$2:$B1014,2,FALSE)),"No encontrado o error"))</f>
        <v/>
      </c>
      <c r="AC577" s="395"/>
      <c r="AD577" s="394"/>
      <c r="AE577" s="429" t="str">
        <f>IF(OR(ISBLANK($B577),ISBLANK($AD577)),"",IFERROR(IF($AD577&lt;=DATE('ESTADO CONTABLE'!$B$2,10,5),VLOOKUP($B577,COSTOS!$A$2:$B1014,2,FALSE)-150,VLOOKUP($B577,COSTOS!$A$2:$B1014,2,FALSE)),"No encontrado o error"))</f>
        <v/>
      </c>
      <c r="AF577" s="395"/>
      <c r="AG577" s="394"/>
      <c r="AH577" s="429" t="str">
        <f>IF(OR(ISBLANK($B577),ISBLANK($AG577)),"",IFERROR(IF($AG577&lt;=DATE('ESTADO CONTABLE'!$B$2,11,5),VLOOKUP($B577,COSTOS!$A$2:$B1014,2,FALSE)-150,VLOOKUP($B577,COSTOS!$A$2:$B1014,2,FALSE)),"No encontrado o error"))</f>
        <v/>
      </c>
      <c r="AI577" s="395"/>
      <c r="AJ577" s="394"/>
      <c r="AK577" s="429" t="str">
        <f>IF(OR(ISBLANK($B577),ISBLANK($AJ577)),"",IFERROR(IF($AJ577&lt;=DATE('ESTADO CONTABLE'!$B$2,12,5),VLOOKUP($B577,COSTOS!$A$2:$B1014,2,FALSE)-150,VLOOKUP($B577,COSTOS!$A$2:$B1014,2,FALSE)),"No encontrado o error"))</f>
        <v/>
      </c>
      <c r="AL577" s="395"/>
      <c r="AM577" s="254"/>
      <c r="AN577" s="255"/>
      <c r="AO577" s="256"/>
    </row>
    <row r="578" ht="22.5" customHeight="1">
      <c r="A578" s="431" t="str">
        <f>'BASE DE DATOSS'!A652</f>
        <v/>
      </c>
      <c r="B578" s="432" t="str">
        <f>'BASE DE DATOSS'!C652</f>
        <v/>
      </c>
      <c r="C578" s="263"/>
      <c r="D578" s="249"/>
      <c r="E578" s="250"/>
      <c r="F578" s="251"/>
      <c r="G578" s="262"/>
      <c r="H578" s="257"/>
      <c r="I578" s="249"/>
      <c r="J578" s="193" t="str">
        <f>IF(OR(ISBLANK($B578),ISBLANK($I578)),"",IFERROR(IF($I578&lt;=DATE('ESTADO CONTABLE'!$B$2,3,5),VLOOKUP($B578,COSTOS!$A$2:$B1014,2,FALSE)-150,VLOOKUP($B578,COSTOS!$A$2:$B1014,2,FALSE)),"No encontrado o error"))</f>
        <v/>
      </c>
      <c r="K578" s="264"/>
      <c r="L578" s="249"/>
      <c r="M578" s="189"/>
      <c r="N578" s="264"/>
      <c r="O578" s="249"/>
      <c r="P578" s="250"/>
      <c r="Q578" s="264"/>
      <c r="R578" s="249"/>
      <c r="S578" s="250"/>
      <c r="T578" s="264"/>
      <c r="U578" s="249"/>
      <c r="V578" s="250"/>
      <c r="W578" s="264"/>
      <c r="X578" s="394"/>
      <c r="Y578" s="429"/>
      <c r="Z578" s="395"/>
      <c r="AA578" s="394"/>
      <c r="AB578" s="118" t="str">
        <f>IF(OR(ISBLANK($B578),ISBLANK($AA578)),"",IFERROR(IF($AA578&lt;=DATE('ESTADO CONTABLE'!$B$2,9,5),VLOOKUP($B578,COSTOS!$A$2:$B1014,2,FALSE)-150,VLOOKUP($B578,COSTOS!$A$2:$B1014,2,FALSE)),"No encontrado o error"))</f>
        <v/>
      </c>
      <c r="AC578" s="395"/>
      <c r="AD578" s="394"/>
      <c r="AE578" s="429" t="str">
        <f>IF(OR(ISBLANK($B578),ISBLANK($AD578)),"",IFERROR(IF($AD578&lt;=DATE('ESTADO CONTABLE'!$B$2,10,5),VLOOKUP($B578,COSTOS!$A$2:$B1014,2,FALSE)-150,VLOOKUP($B578,COSTOS!$A$2:$B1014,2,FALSE)),"No encontrado o error"))</f>
        <v/>
      </c>
      <c r="AF578" s="395"/>
      <c r="AG578" s="394"/>
      <c r="AH578" s="429" t="str">
        <f>IF(OR(ISBLANK($B578),ISBLANK($AG578)),"",IFERROR(IF($AG578&lt;=DATE('ESTADO CONTABLE'!$B$2,11,5),VLOOKUP($B578,COSTOS!$A$2:$B1014,2,FALSE)-150,VLOOKUP($B578,COSTOS!$A$2:$B1014,2,FALSE)),"No encontrado o error"))</f>
        <v/>
      </c>
      <c r="AI578" s="395"/>
      <c r="AJ578" s="394"/>
      <c r="AK578" s="429" t="str">
        <f>IF(OR(ISBLANK($B578),ISBLANK($AJ578)),"",IFERROR(IF($AJ578&lt;=DATE('ESTADO CONTABLE'!$B$2,12,5),VLOOKUP($B578,COSTOS!$A$2:$B1014,2,FALSE)-150,VLOOKUP($B578,COSTOS!$A$2:$B1014,2,FALSE)),"No encontrado o error"))</f>
        <v/>
      </c>
      <c r="AL578" s="395"/>
      <c r="AM578" s="254"/>
      <c r="AN578" s="255"/>
      <c r="AO578" s="256"/>
    </row>
    <row r="579" ht="22.5" customHeight="1">
      <c r="A579" s="431" t="str">
        <f>'BASE DE DATOSS'!A653</f>
        <v/>
      </c>
      <c r="B579" s="432" t="str">
        <f>'BASE DE DATOSS'!C653</f>
        <v/>
      </c>
      <c r="C579" s="263"/>
      <c r="D579" s="249"/>
      <c r="E579" s="250"/>
      <c r="F579" s="251"/>
      <c r="G579" s="262"/>
      <c r="H579" s="257"/>
      <c r="I579" s="249"/>
      <c r="J579" s="193" t="str">
        <f>IF(OR(ISBLANK($B579),ISBLANK($I579)),"",IFERROR(IF($I579&lt;=DATE('ESTADO CONTABLE'!$B$2,3,5),VLOOKUP($B579,COSTOS!$A$2:$B1014,2,FALSE)-150,VLOOKUP($B579,COSTOS!$A$2:$B1014,2,FALSE)),"No encontrado o error"))</f>
        <v/>
      </c>
      <c r="K579" s="264"/>
      <c r="L579" s="249"/>
      <c r="M579" s="189"/>
      <c r="N579" s="264"/>
      <c r="O579" s="249"/>
      <c r="P579" s="250"/>
      <c r="Q579" s="264"/>
      <c r="R579" s="249"/>
      <c r="S579" s="250"/>
      <c r="T579" s="264"/>
      <c r="U579" s="249"/>
      <c r="V579" s="250"/>
      <c r="W579" s="264"/>
      <c r="X579" s="394"/>
      <c r="Y579" s="429"/>
      <c r="Z579" s="395"/>
      <c r="AA579" s="394"/>
      <c r="AB579" s="118" t="str">
        <f>IF(OR(ISBLANK($B579),ISBLANK($AA579)),"",IFERROR(IF($AA579&lt;=DATE('ESTADO CONTABLE'!$B$2,9,5),VLOOKUP($B579,COSTOS!$A$2:$B1014,2,FALSE)-150,VLOOKUP($B579,COSTOS!$A$2:$B1014,2,FALSE)),"No encontrado o error"))</f>
        <v/>
      </c>
      <c r="AC579" s="395"/>
      <c r="AD579" s="394"/>
      <c r="AE579" s="429" t="str">
        <f>IF(OR(ISBLANK($B579),ISBLANK($AD579)),"",IFERROR(IF($AD579&lt;=DATE('ESTADO CONTABLE'!$B$2,10,5),VLOOKUP($B579,COSTOS!$A$2:$B1014,2,FALSE)-150,VLOOKUP($B579,COSTOS!$A$2:$B1014,2,FALSE)),"No encontrado o error"))</f>
        <v/>
      </c>
      <c r="AF579" s="395"/>
      <c r="AG579" s="394"/>
      <c r="AH579" s="429" t="str">
        <f>IF(OR(ISBLANK($B579),ISBLANK($AG579)),"",IFERROR(IF($AG579&lt;=DATE('ESTADO CONTABLE'!$B$2,11,5),VLOOKUP($B579,COSTOS!$A$2:$B1014,2,FALSE)-150,VLOOKUP($B579,COSTOS!$A$2:$B1014,2,FALSE)),"No encontrado o error"))</f>
        <v/>
      </c>
      <c r="AI579" s="395"/>
      <c r="AJ579" s="394"/>
      <c r="AK579" s="429" t="str">
        <f>IF(OR(ISBLANK($B579),ISBLANK($AJ579)),"",IFERROR(IF($AJ579&lt;=DATE('ESTADO CONTABLE'!$B$2,12,5),VLOOKUP($B579,COSTOS!$A$2:$B1014,2,FALSE)-150,VLOOKUP($B579,COSTOS!$A$2:$B1014,2,FALSE)),"No encontrado o error"))</f>
        <v/>
      </c>
      <c r="AL579" s="395"/>
      <c r="AM579" s="254"/>
      <c r="AN579" s="255"/>
      <c r="AO579" s="256"/>
    </row>
    <row r="580" ht="22.5" customHeight="1">
      <c r="A580" s="431" t="str">
        <f>'BASE DE DATOSS'!A654</f>
        <v/>
      </c>
      <c r="B580" s="432" t="str">
        <f>'BASE DE DATOSS'!C654</f>
        <v/>
      </c>
      <c r="C580" s="263"/>
      <c r="D580" s="249"/>
      <c r="E580" s="250"/>
      <c r="F580" s="251"/>
      <c r="G580" s="262"/>
      <c r="H580" s="257"/>
      <c r="I580" s="249"/>
      <c r="J580" s="193" t="str">
        <f>IF(OR(ISBLANK($B580),ISBLANK($I580)),"",IFERROR(IF($I580&lt;=DATE('ESTADO CONTABLE'!$B$2,3,5),VLOOKUP($B580,COSTOS!$A$2:$B1014,2,FALSE)-150,VLOOKUP($B580,COSTOS!$A$2:$B1014,2,FALSE)),"No encontrado o error"))</f>
        <v/>
      </c>
      <c r="K580" s="264"/>
      <c r="L580" s="249"/>
      <c r="M580" s="189"/>
      <c r="N580" s="264"/>
      <c r="O580" s="249"/>
      <c r="P580" s="250"/>
      <c r="Q580" s="264"/>
      <c r="R580" s="249"/>
      <c r="S580" s="250"/>
      <c r="T580" s="264"/>
      <c r="U580" s="249"/>
      <c r="V580" s="250"/>
      <c r="W580" s="264"/>
      <c r="X580" s="394"/>
      <c r="Y580" s="429"/>
      <c r="Z580" s="395"/>
      <c r="AA580" s="394"/>
      <c r="AB580" s="118" t="str">
        <f>IF(OR(ISBLANK($B580),ISBLANK($AA580)),"",IFERROR(IF($AA580&lt;=DATE('ESTADO CONTABLE'!$B$2,9,5),VLOOKUP($B580,COSTOS!$A$2:$B1014,2,FALSE)-150,VLOOKUP($B580,COSTOS!$A$2:$B1014,2,FALSE)),"No encontrado o error"))</f>
        <v/>
      </c>
      <c r="AC580" s="395"/>
      <c r="AD580" s="394"/>
      <c r="AE580" s="429" t="str">
        <f>IF(OR(ISBLANK($B580),ISBLANK($AD580)),"",IFERROR(IF($AD580&lt;=DATE('ESTADO CONTABLE'!$B$2,10,5),VLOOKUP($B580,COSTOS!$A$2:$B1014,2,FALSE)-150,VLOOKUP($B580,COSTOS!$A$2:$B1014,2,FALSE)),"No encontrado o error"))</f>
        <v/>
      </c>
      <c r="AF580" s="395"/>
      <c r="AG580" s="394"/>
      <c r="AH580" s="429" t="str">
        <f>IF(OR(ISBLANK($B580),ISBLANK($AG580)),"",IFERROR(IF($AG580&lt;=DATE('ESTADO CONTABLE'!$B$2,11,5),VLOOKUP($B580,COSTOS!$A$2:$B1014,2,FALSE)-150,VLOOKUP($B580,COSTOS!$A$2:$B1014,2,FALSE)),"No encontrado o error"))</f>
        <v/>
      </c>
      <c r="AI580" s="395"/>
      <c r="AJ580" s="394"/>
      <c r="AK580" s="429" t="str">
        <f>IF(OR(ISBLANK($B580),ISBLANK($AJ580)),"",IFERROR(IF($AJ580&lt;=DATE('ESTADO CONTABLE'!$B$2,12,5),VLOOKUP($B580,COSTOS!$A$2:$B1014,2,FALSE)-150,VLOOKUP($B580,COSTOS!$A$2:$B1014,2,FALSE)),"No encontrado o error"))</f>
        <v/>
      </c>
      <c r="AL580" s="395"/>
      <c r="AM580" s="254"/>
      <c r="AN580" s="255"/>
      <c r="AO580" s="256"/>
    </row>
    <row r="581" ht="22.5" customHeight="1">
      <c r="A581" s="431" t="str">
        <f>'BASE DE DATOSS'!A655</f>
        <v/>
      </c>
      <c r="B581" s="432" t="str">
        <f>'BASE DE DATOSS'!C655</f>
        <v/>
      </c>
      <c r="C581" s="263"/>
      <c r="D581" s="249"/>
      <c r="E581" s="250"/>
      <c r="F581" s="251"/>
      <c r="G581" s="262"/>
      <c r="H581" s="257"/>
      <c r="I581" s="249"/>
      <c r="J581" s="193" t="str">
        <f>IF(OR(ISBLANK($B581),ISBLANK($I581)),"",IFERROR(IF($I581&lt;=DATE('ESTADO CONTABLE'!$B$2,3,5),VLOOKUP($B581,COSTOS!$A$2:$B1014,2,FALSE)-150,VLOOKUP($B581,COSTOS!$A$2:$B1014,2,FALSE)),"No encontrado o error"))</f>
        <v/>
      </c>
      <c r="K581" s="264"/>
      <c r="L581" s="249"/>
      <c r="M581" s="189"/>
      <c r="N581" s="264"/>
      <c r="O581" s="249"/>
      <c r="P581" s="250"/>
      <c r="Q581" s="264"/>
      <c r="R581" s="249"/>
      <c r="S581" s="250"/>
      <c r="T581" s="264"/>
      <c r="U581" s="249"/>
      <c r="V581" s="250"/>
      <c r="W581" s="264"/>
      <c r="X581" s="394"/>
      <c r="Y581" s="429"/>
      <c r="Z581" s="395"/>
      <c r="AA581" s="394"/>
      <c r="AB581" s="118" t="str">
        <f>IF(OR(ISBLANK($B581),ISBLANK($AA581)),"",IFERROR(IF($AA581&lt;=DATE('ESTADO CONTABLE'!$B$2,9,5),VLOOKUP($B581,COSTOS!$A$2:$B1014,2,FALSE)-150,VLOOKUP($B581,COSTOS!$A$2:$B1014,2,FALSE)),"No encontrado o error"))</f>
        <v/>
      </c>
      <c r="AC581" s="395"/>
      <c r="AD581" s="394"/>
      <c r="AE581" s="429" t="str">
        <f>IF(OR(ISBLANK($B581),ISBLANK($AD581)),"",IFERROR(IF($AD581&lt;=DATE('ESTADO CONTABLE'!$B$2,10,5),VLOOKUP($B581,COSTOS!$A$2:$B1014,2,FALSE)-150,VLOOKUP($B581,COSTOS!$A$2:$B1014,2,FALSE)),"No encontrado o error"))</f>
        <v/>
      </c>
      <c r="AF581" s="395"/>
      <c r="AG581" s="394"/>
      <c r="AH581" s="429" t="str">
        <f>IF(OR(ISBLANK($B581),ISBLANK($AG581)),"",IFERROR(IF($AG581&lt;=DATE('ESTADO CONTABLE'!$B$2,11,5),VLOOKUP($B581,COSTOS!$A$2:$B1014,2,FALSE)-150,VLOOKUP($B581,COSTOS!$A$2:$B1014,2,FALSE)),"No encontrado o error"))</f>
        <v/>
      </c>
      <c r="AI581" s="395"/>
      <c r="AJ581" s="394"/>
      <c r="AK581" s="429" t="str">
        <f>IF(OR(ISBLANK($B581),ISBLANK($AJ581)),"",IFERROR(IF($AJ581&lt;=DATE('ESTADO CONTABLE'!$B$2,12,5),VLOOKUP($B581,COSTOS!$A$2:$B1014,2,FALSE)-150,VLOOKUP($B581,COSTOS!$A$2:$B1014,2,FALSE)),"No encontrado o error"))</f>
        <v/>
      </c>
      <c r="AL581" s="395"/>
      <c r="AM581" s="254"/>
      <c r="AN581" s="255"/>
      <c r="AO581" s="256"/>
    </row>
    <row r="582" ht="22.5" customHeight="1">
      <c r="A582" s="431" t="str">
        <f>'BASE DE DATOSS'!A656</f>
        <v/>
      </c>
      <c r="B582" s="432" t="str">
        <f>'BASE DE DATOSS'!C656</f>
        <v/>
      </c>
      <c r="C582" s="263"/>
      <c r="D582" s="249"/>
      <c r="E582" s="250"/>
      <c r="F582" s="251"/>
      <c r="G582" s="262"/>
      <c r="H582" s="257"/>
      <c r="I582" s="249"/>
      <c r="J582" s="193" t="str">
        <f>IF(OR(ISBLANK($B582),ISBLANK($I582)),"",IFERROR(IF($I582&lt;=DATE('ESTADO CONTABLE'!$B$2,3,5),VLOOKUP($B582,COSTOS!$A$2:$B1014,2,FALSE)-150,VLOOKUP($B582,COSTOS!$A$2:$B1014,2,FALSE)),"No encontrado o error"))</f>
        <v/>
      </c>
      <c r="K582" s="264"/>
      <c r="L582" s="249"/>
      <c r="M582" s="189"/>
      <c r="N582" s="264"/>
      <c r="O582" s="249"/>
      <c r="P582" s="250"/>
      <c r="Q582" s="264"/>
      <c r="R582" s="249"/>
      <c r="S582" s="250"/>
      <c r="T582" s="264"/>
      <c r="U582" s="249"/>
      <c r="V582" s="250"/>
      <c r="W582" s="264"/>
      <c r="X582" s="394"/>
      <c r="Y582" s="429"/>
      <c r="Z582" s="395"/>
      <c r="AA582" s="394"/>
      <c r="AB582" s="118" t="str">
        <f>IF(OR(ISBLANK($B582),ISBLANK($AA582)),"",IFERROR(IF($AA582&lt;=DATE('ESTADO CONTABLE'!$B$2,9,5),VLOOKUP($B582,COSTOS!$A$2:$B1014,2,FALSE)-150,VLOOKUP($B582,COSTOS!$A$2:$B1014,2,FALSE)),"No encontrado o error"))</f>
        <v/>
      </c>
      <c r="AC582" s="395"/>
      <c r="AD582" s="394"/>
      <c r="AE582" s="429" t="str">
        <f>IF(OR(ISBLANK($B582),ISBLANK($AD582)),"",IFERROR(IF($AD582&lt;=DATE('ESTADO CONTABLE'!$B$2,10,5),VLOOKUP($B582,COSTOS!$A$2:$B1014,2,FALSE)-150,VLOOKUP($B582,COSTOS!$A$2:$B1014,2,FALSE)),"No encontrado o error"))</f>
        <v/>
      </c>
      <c r="AF582" s="395"/>
      <c r="AG582" s="394"/>
      <c r="AH582" s="429" t="str">
        <f>IF(OR(ISBLANK($B582),ISBLANK($AG582)),"",IFERROR(IF($AG582&lt;=DATE('ESTADO CONTABLE'!$B$2,11,5),VLOOKUP($B582,COSTOS!$A$2:$B1014,2,FALSE)-150,VLOOKUP($B582,COSTOS!$A$2:$B1014,2,FALSE)),"No encontrado o error"))</f>
        <v/>
      </c>
      <c r="AI582" s="395"/>
      <c r="AJ582" s="394"/>
      <c r="AK582" s="429" t="str">
        <f>IF(OR(ISBLANK($B582),ISBLANK($AJ582)),"",IFERROR(IF($AJ582&lt;=DATE('ESTADO CONTABLE'!$B$2,12,5),VLOOKUP($B582,COSTOS!$A$2:$B1014,2,FALSE)-150,VLOOKUP($B582,COSTOS!$A$2:$B1014,2,FALSE)),"No encontrado o error"))</f>
        <v/>
      </c>
      <c r="AL582" s="395"/>
      <c r="AM582" s="254"/>
      <c r="AN582" s="255"/>
      <c r="AO582" s="256"/>
    </row>
    <row r="583" ht="22.5" customHeight="1">
      <c r="A583" s="431" t="str">
        <f>'BASE DE DATOSS'!A657</f>
        <v/>
      </c>
      <c r="B583" s="432" t="str">
        <f>'BASE DE DATOSS'!C657</f>
        <v/>
      </c>
      <c r="C583" s="263"/>
      <c r="D583" s="249"/>
      <c r="E583" s="250"/>
      <c r="F583" s="251"/>
      <c r="G583" s="262"/>
      <c r="H583" s="257"/>
      <c r="I583" s="249"/>
      <c r="J583" s="193" t="str">
        <f>IF(OR(ISBLANK($B583),ISBLANK($I583)),"",IFERROR(IF($I583&lt;=DATE('ESTADO CONTABLE'!$B$2,3,5),VLOOKUP($B583,COSTOS!$A$2:$B1014,2,FALSE)-150,VLOOKUP($B583,COSTOS!$A$2:$B1014,2,FALSE)),"No encontrado o error"))</f>
        <v/>
      </c>
      <c r="K583" s="264"/>
      <c r="L583" s="249"/>
      <c r="M583" s="189"/>
      <c r="N583" s="264"/>
      <c r="O583" s="249"/>
      <c r="P583" s="250"/>
      <c r="Q583" s="264"/>
      <c r="R583" s="249"/>
      <c r="S583" s="250"/>
      <c r="T583" s="264"/>
      <c r="U583" s="249"/>
      <c r="V583" s="250"/>
      <c r="W583" s="264"/>
      <c r="X583" s="394"/>
      <c r="Y583" s="429"/>
      <c r="Z583" s="395"/>
      <c r="AA583" s="394"/>
      <c r="AB583" s="118" t="str">
        <f>IF(OR(ISBLANK($B583),ISBLANK($AA583)),"",IFERROR(IF($AA583&lt;=DATE('ESTADO CONTABLE'!$B$2,9,5),VLOOKUP($B583,COSTOS!$A$2:$B1014,2,FALSE)-150,VLOOKUP($B583,COSTOS!$A$2:$B1014,2,FALSE)),"No encontrado o error"))</f>
        <v/>
      </c>
      <c r="AC583" s="395"/>
      <c r="AD583" s="394"/>
      <c r="AE583" s="429" t="str">
        <f>IF(OR(ISBLANK($B583),ISBLANK($AD583)),"",IFERROR(IF($AD583&lt;=DATE('ESTADO CONTABLE'!$B$2,10,5),VLOOKUP($B583,COSTOS!$A$2:$B1014,2,FALSE)-150,VLOOKUP($B583,COSTOS!$A$2:$B1014,2,FALSE)),"No encontrado o error"))</f>
        <v/>
      </c>
      <c r="AF583" s="395"/>
      <c r="AG583" s="394"/>
      <c r="AH583" s="429" t="str">
        <f>IF(OR(ISBLANK($B583),ISBLANK($AG583)),"",IFERROR(IF($AG583&lt;=DATE('ESTADO CONTABLE'!$B$2,11,5),VLOOKUP($B583,COSTOS!$A$2:$B1014,2,FALSE)-150,VLOOKUP($B583,COSTOS!$A$2:$B1014,2,FALSE)),"No encontrado o error"))</f>
        <v/>
      </c>
      <c r="AI583" s="395"/>
      <c r="AJ583" s="394"/>
      <c r="AK583" s="429" t="str">
        <f>IF(OR(ISBLANK($B583),ISBLANK($AJ583)),"",IFERROR(IF($AJ583&lt;=DATE('ESTADO CONTABLE'!$B$2,12,5),VLOOKUP($B583,COSTOS!$A$2:$B1014,2,FALSE)-150,VLOOKUP($B583,COSTOS!$A$2:$B1014,2,FALSE)),"No encontrado o error"))</f>
        <v/>
      </c>
      <c r="AL583" s="395"/>
      <c r="AM583" s="254"/>
      <c r="AN583" s="255"/>
      <c r="AO583" s="256"/>
    </row>
    <row r="584" ht="22.5" customHeight="1">
      <c r="A584" s="431" t="str">
        <f>'BASE DE DATOSS'!A658</f>
        <v/>
      </c>
      <c r="B584" s="432" t="str">
        <f>'BASE DE DATOSS'!C658</f>
        <v/>
      </c>
      <c r="C584" s="263"/>
      <c r="D584" s="249"/>
      <c r="E584" s="250"/>
      <c r="F584" s="251"/>
      <c r="G584" s="262"/>
      <c r="H584" s="257"/>
      <c r="I584" s="249"/>
      <c r="J584" s="193" t="str">
        <f>IF(OR(ISBLANK($B584),ISBLANK($I584)),"",IFERROR(IF($I584&lt;=DATE('ESTADO CONTABLE'!$B$2,3,5),VLOOKUP($B584,COSTOS!$A$2:$B1014,2,FALSE)-150,VLOOKUP($B584,COSTOS!$A$2:$B1014,2,FALSE)),"No encontrado o error"))</f>
        <v/>
      </c>
      <c r="K584" s="264"/>
      <c r="L584" s="249"/>
      <c r="M584" s="189"/>
      <c r="N584" s="264"/>
      <c r="O584" s="249"/>
      <c r="P584" s="250"/>
      <c r="Q584" s="264"/>
      <c r="R584" s="249"/>
      <c r="S584" s="250"/>
      <c r="T584" s="264"/>
      <c r="U584" s="249"/>
      <c r="V584" s="250"/>
      <c r="W584" s="264"/>
      <c r="X584" s="394"/>
      <c r="Y584" s="429"/>
      <c r="Z584" s="395"/>
      <c r="AA584" s="394"/>
      <c r="AB584" s="118" t="str">
        <f>IF(OR(ISBLANK($B584),ISBLANK($AA584)),"",IFERROR(IF($AA584&lt;=DATE('ESTADO CONTABLE'!$B$2,9,5),VLOOKUP($B584,COSTOS!$A$2:$B1014,2,FALSE)-150,VLOOKUP($B584,COSTOS!$A$2:$B1014,2,FALSE)),"No encontrado o error"))</f>
        <v/>
      </c>
      <c r="AC584" s="395"/>
      <c r="AD584" s="394"/>
      <c r="AE584" s="429" t="str">
        <f>IF(OR(ISBLANK($B584),ISBLANK($AD584)),"",IFERROR(IF($AD584&lt;=DATE('ESTADO CONTABLE'!$B$2,10,5),VLOOKUP($B584,COSTOS!$A$2:$B1014,2,FALSE)-150,VLOOKUP($B584,COSTOS!$A$2:$B1014,2,FALSE)),"No encontrado o error"))</f>
        <v/>
      </c>
      <c r="AF584" s="395"/>
      <c r="AG584" s="394"/>
      <c r="AH584" s="429" t="str">
        <f>IF(OR(ISBLANK($B584),ISBLANK($AG584)),"",IFERROR(IF($AG584&lt;=DATE('ESTADO CONTABLE'!$B$2,11,5),VLOOKUP($B584,COSTOS!$A$2:$B1014,2,FALSE)-150,VLOOKUP($B584,COSTOS!$A$2:$B1014,2,FALSE)),"No encontrado o error"))</f>
        <v/>
      </c>
      <c r="AI584" s="395"/>
      <c r="AJ584" s="394"/>
      <c r="AK584" s="429" t="str">
        <f>IF(OR(ISBLANK($B584),ISBLANK($AJ584)),"",IFERROR(IF($AJ584&lt;=DATE('ESTADO CONTABLE'!$B$2,12,5),VLOOKUP($B584,COSTOS!$A$2:$B1014,2,FALSE)-150,VLOOKUP($B584,COSTOS!$A$2:$B1014,2,FALSE)),"No encontrado o error"))</f>
        <v/>
      </c>
      <c r="AL584" s="395"/>
      <c r="AM584" s="254"/>
      <c r="AN584" s="255"/>
      <c r="AO584" s="256"/>
    </row>
    <row r="585" ht="22.5" customHeight="1">
      <c r="A585" s="431" t="str">
        <f>'BASE DE DATOSS'!A659</f>
        <v/>
      </c>
      <c r="B585" s="432" t="str">
        <f>'BASE DE DATOSS'!C659</f>
        <v/>
      </c>
      <c r="C585" s="263"/>
      <c r="D585" s="249"/>
      <c r="E585" s="250"/>
      <c r="F585" s="251"/>
      <c r="G585" s="262"/>
      <c r="H585" s="257"/>
      <c r="I585" s="249"/>
      <c r="J585" s="193" t="str">
        <f>IF(OR(ISBLANK($B585),ISBLANK($I585)),"",IFERROR(IF($I585&lt;=DATE('ESTADO CONTABLE'!$B$2,3,5),VLOOKUP($B585,COSTOS!$A$2:$B1014,2,FALSE)-150,VLOOKUP($B585,COSTOS!$A$2:$B1014,2,FALSE)),"No encontrado o error"))</f>
        <v/>
      </c>
      <c r="K585" s="264"/>
      <c r="L585" s="249"/>
      <c r="M585" s="189"/>
      <c r="N585" s="264"/>
      <c r="O585" s="249"/>
      <c r="P585" s="250"/>
      <c r="Q585" s="264"/>
      <c r="R585" s="249"/>
      <c r="S585" s="250"/>
      <c r="T585" s="264"/>
      <c r="U585" s="249"/>
      <c r="V585" s="250"/>
      <c r="W585" s="264"/>
      <c r="X585" s="394"/>
      <c r="Y585" s="429"/>
      <c r="Z585" s="395"/>
      <c r="AA585" s="394"/>
      <c r="AB585" s="118" t="str">
        <f>IF(OR(ISBLANK($B585),ISBLANK($AA585)),"",IFERROR(IF($AA585&lt;=DATE('ESTADO CONTABLE'!$B$2,9,5),VLOOKUP($B585,COSTOS!$A$2:$B1014,2,FALSE)-150,VLOOKUP($B585,COSTOS!$A$2:$B1014,2,FALSE)),"No encontrado o error"))</f>
        <v/>
      </c>
      <c r="AC585" s="395"/>
      <c r="AD585" s="394"/>
      <c r="AE585" s="429" t="str">
        <f>IF(OR(ISBLANK($B585),ISBLANK($AD585)),"",IFERROR(IF($AD585&lt;=DATE('ESTADO CONTABLE'!$B$2,10,5),VLOOKUP($B585,COSTOS!$A$2:$B1014,2,FALSE)-150,VLOOKUP($B585,COSTOS!$A$2:$B1014,2,FALSE)),"No encontrado o error"))</f>
        <v/>
      </c>
      <c r="AF585" s="395"/>
      <c r="AG585" s="394"/>
      <c r="AH585" s="429" t="str">
        <f>IF(OR(ISBLANK($B585),ISBLANK($AG585)),"",IFERROR(IF($AG585&lt;=DATE('ESTADO CONTABLE'!$B$2,11,5),VLOOKUP($B585,COSTOS!$A$2:$B1014,2,FALSE)-150,VLOOKUP($B585,COSTOS!$A$2:$B1014,2,FALSE)),"No encontrado o error"))</f>
        <v/>
      </c>
      <c r="AI585" s="395"/>
      <c r="AJ585" s="394"/>
      <c r="AK585" s="429" t="str">
        <f>IF(OR(ISBLANK($B585),ISBLANK($AJ585)),"",IFERROR(IF($AJ585&lt;=DATE('ESTADO CONTABLE'!$B$2,12,5),VLOOKUP($B585,COSTOS!$A$2:$B1014,2,FALSE)-150,VLOOKUP($B585,COSTOS!$A$2:$B1014,2,FALSE)),"No encontrado o error"))</f>
        <v/>
      </c>
      <c r="AL585" s="395"/>
      <c r="AM585" s="254"/>
      <c r="AN585" s="255"/>
      <c r="AO585" s="256"/>
    </row>
    <row r="586" ht="22.5" customHeight="1">
      <c r="A586" s="431" t="str">
        <f>'BASE DE DATOSS'!A660</f>
        <v/>
      </c>
      <c r="B586" s="432" t="str">
        <f>'BASE DE DATOSS'!C660</f>
        <v/>
      </c>
      <c r="C586" s="263"/>
      <c r="D586" s="249"/>
      <c r="E586" s="250"/>
      <c r="F586" s="251"/>
      <c r="G586" s="262"/>
      <c r="H586" s="257"/>
      <c r="I586" s="249"/>
      <c r="J586" s="193" t="str">
        <f>IF(OR(ISBLANK($B586),ISBLANK($I586)),"",IFERROR(IF($I586&lt;=DATE('ESTADO CONTABLE'!$B$2,3,5),VLOOKUP($B586,COSTOS!$A$2:$B1014,2,FALSE)-150,VLOOKUP($B586,COSTOS!$A$2:$B1014,2,FALSE)),"No encontrado o error"))</f>
        <v/>
      </c>
      <c r="K586" s="264"/>
      <c r="L586" s="249"/>
      <c r="M586" s="189"/>
      <c r="N586" s="264"/>
      <c r="O586" s="249"/>
      <c r="P586" s="250"/>
      <c r="Q586" s="264"/>
      <c r="R586" s="249"/>
      <c r="S586" s="250"/>
      <c r="T586" s="264"/>
      <c r="U586" s="249"/>
      <c r="V586" s="250"/>
      <c r="W586" s="264"/>
      <c r="X586" s="394"/>
      <c r="Y586" s="429"/>
      <c r="Z586" s="395"/>
      <c r="AA586" s="394"/>
      <c r="AB586" s="118" t="str">
        <f>IF(OR(ISBLANK($B586),ISBLANK($AA586)),"",IFERROR(IF($AA586&lt;=DATE('ESTADO CONTABLE'!$B$2,9,5),VLOOKUP($B586,COSTOS!$A$2:$B1014,2,FALSE)-150,VLOOKUP($B586,COSTOS!$A$2:$B1014,2,FALSE)),"No encontrado o error"))</f>
        <v/>
      </c>
      <c r="AC586" s="395"/>
      <c r="AD586" s="394"/>
      <c r="AE586" s="429" t="str">
        <f>IF(OR(ISBLANK($B586),ISBLANK($AD586)),"",IFERROR(IF($AD586&lt;=DATE('ESTADO CONTABLE'!$B$2,10,5),VLOOKUP($B586,COSTOS!$A$2:$B1014,2,FALSE)-150,VLOOKUP($B586,COSTOS!$A$2:$B1014,2,FALSE)),"No encontrado o error"))</f>
        <v/>
      </c>
      <c r="AF586" s="395"/>
      <c r="AG586" s="394"/>
      <c r="AH586" s="429" t="str">
        <f>IF(OR(ISBLANK($B586),ISBLANK($AG586)),"",IFERROR(IF($AG586&lt;=DATE('ESTADO CONTABLE'!$B$2,11,5),VLOOKUP($B586,COSTOS!$A$2:$B1014,2,FALSE)-150,VLOOKUP($B586,COSTOS!$A$2:$B1014,2,FALSE)),"No encontrado o error"))</f>
        <v/>
      </c>
      <c r="AI586" s="395"/>
      <c r="AJ586" s="394"/>
      <c r="AK586" s="429" t="str">
        <f>IF(OR(ISBLANK($B586),ISBLANK($AJ586)),"",IFERROR(IF($AJ586&lt;=DATE('ESTADO CONTABLE'!$B$2,12,5),VLOOKUP($B586,COSTOS!$A$2:$B1014,2,FALSE)-150,VLOOKUP($B586,COSTOS!$A$2:$B1014,2,FALSE)),"No encontrado o error"))</f>
        <v/>
      </c>
      <c r="AL586" s="395"/>
      <c r="AM586" s="254"/>
      <c r="AN586" s="255"/>
      <c r="AO586" s="256"/>
    </row>
    <row r="587" ht="22.5" customHeight="1">
      <c r="A587" s="431" t="str">
        <f>'BASE DE DATOSS'!A661</f>
        <v/>
      </c>
      <c r="B587" s="432" t="str">
        <f>'BASE DE DATOSS'!C661</f>
        <v/>
      </c>
      <c r="C587" s="263"/>
      <c r="D587" s="249"/>
      <c r="E587" s="250"/>
      <c r="F587" s="251"/>
      <c r="G587" s="262"/>
      <c r="H587" s="257"/>
      <c r="I587" s="249"/>
      <c r="J587" s="193" t="str">
        <f>IF(OR(ISBLANK($B587),ISBLANK($I587)),"",IFERROR(IF($I587&lt;=DATE('ESTADO CONTABLE'!$B$2,3,5),VLOOKUP($B587,COSTOS!$A$2:$B1014,2,FALSE)-150,VLOOKUP($B587,COSTOS!$A$2:$B1014,2,FALSE)),"No encontrado o error"))</f>
        <v/>
      </c>
      <c r="K587" s="264"/>
      <c r="L587" s="249"/>
      <c r="M587" s="189"/>
      <c r="N587" s="264"/>
      <c r="O587" s="249"/>
      <c r="P587" s="250"/>
      <c r="Q587" s="264"/>
      <c r="R587" s="249"/>
      <c r="S587" s="250"/>
      <c r="T587" s="264"/>
      <c r="U587" s="249"/>
      <c r="V587" s="250"/>
      <c r="W587" s="264"/>
      <c r="X587" s="394"/>
      <c r="Y587" s="429"/>
      <c r="Z587" s="395"/>
      <c r="AA587" s="394"/>
      <c r="AB587" s="118" t="str">
        <f>IF(OR(ISBLANK($B587),ISBLANK($AA587)),"",IFERROR(IF($AA587&lt;=DATE('ESTADO CONTABLE'!$B$2,9,5),VLOOKUP($B587,COSTOS!$A$2:$B1014,2,FALSE)-150,VLOOKUP($B587,COSTOS!$A$2:$B1014,2,FALSE)),"No encontrado o error"))</f>
        <v/>
      </c>
      <c r="AC587" s="395"/>
      <c r="AD587" s="394"/>
      <c r="AE587" s="429" t="str">
        <f>IF(OR(ISBLANK($B587),ISBLANK($AD587)),"",IFERROR(IF($AD587&lt;=DATE('ESTADO CONTABLE'!$B$2,10,5),VLOOKUP($B587,COSTOS!$A$2:$B1014,2,FALSE)-150,VLOOKUP($B587,COSTOS!$A$2:$B1014,2,FALSE)),"No encontrado o error"))</f>
        <v/>
      </c>
      <c r="AF587" s="395"/>
      <c r="AG587" s="394"/>
      <c r="AH587" s="429" t="str">
        <f>IF(OR(ISBLANK($B587),ISBLANK($AG587)),"",IFERROR(IF($AG587&lt;=DATE('ESTADO CONTABLE'!$B$2,11,5),VLOOKUP($B587,COSTOS!$A$2:$B1014,2,FALSE)-150,VLOOKUP($B587,COSTOS!$A$2:$B1014,2,FALSE)),"No encontrado o error"))</f>
        <v/>
      </c>
      <c r="AI587" s="395"/>
      <c r="AJ587" s="394"/>
      <c r="AK587" s="429" t="str">
        <f>IF(OR(ISBLANK($B587),ISBLANK($AJ587)),"",IFERROR(IF($AJ587&lt;=DATE('ESTADO CONTABLE'!$B$2,12,5),VLOOKUP($B587,COSTOS!$A$2:$B1014,2,FALSE)-150,VLOOKUP($B587,COSTOS!$A$2:$B1014,2,FALSE)),"No encontrado o error"))</f>
        <v/>
      </c>
      <c r="AL587" s="395"/>
      <c r="AM587" s="254"/>
      <c r="AN587" s="255"/>
      <c r="AO587" s="256"/>
    </row>
    <row r="588" ht="22.5" customHeight="1">
      <c r="A588" s="431" t="str">
        <f>'BASE DE DATOSS'!A662</f>
        <v/>
      </c>
      <c r="B588" s="432" t="str">
        <f>'BASE DE DATOSS'!C662</f>
        <v/>
      </c>
      <c r="C588" s="263"/>
      <c r="D588" s="249"/>
      <c r="E588" s="250"/>
      <c r="F588" s="251"/>
      <c r="G588" s="262"/>
      <c r="H588" s="257"/>
      <c r="I588" s="249"/>
      <c r="J588" s="193" t="str">
        <f>IF(OR(ISBLANK($B588),ISBLANK($I588)),"",IFERROR(IF($I588&lt;=DATE('ESTADO CONTABLE'!$B$2,3,5),VLOOKUP($B588,COSTOS!$A$2:$B1014,2,FALSE)-150,VLOOKUP($B588,COSTOS!$A$2:$B1014,2,FALSE)),"No encontrado o error"))</f>
        <v/>
      </c>
      <c r="K588" s="264"/>
      <c r="L588" s="249"/>
      <c r="M588" s="189"/>
      <c r="N588" s="264"/>
      <c r="O588" s="249"/>
      <c r="P588" s="250"/>
      <c r="Q588" s="264"/>
      <c r="R588" s="249"/>
      <c r="S588" s="250"/>
      <c r="T588" s="264"/>
      <c r="U588" s="249"/>
      <c r="V588" s="250"/>
      <c r="W588" s="264"/>
      <c r="X588" s="394"/>
      <c r="Y588" s="429"/>
      <c r="Z588" s="395"/>
      <c r="AA588" s="394"/>
      <c r="AB588" s="118" t="str">
        <f>IF(OR(ISBLANK($B588),ISBLANK($AA588)),"",IFERROR(IF($AA588&lt;=DATE('ESTADO CONTABLE'!$B$2,9,5),VLOOKUP($B588,COSTOS!$A$2:$B1014,2,FALSE)-150,VLOOKUP($B588,COSTOS!$A$2:$B1014,2,FALSE)),"No encontrado o error"))</f>
        <v/>
      </c>
      <c r="AC588" s="395"/>
      <c r="AD588" s="394"/>
      <c r="AE588" s="429" t="str">
        <f>IF(OR(ISBLANK($B588),ISBLANK($AD588)),"",IFERROR(IF($AD588&lt;=DATE('ESTADO CONTABLE'!$B$2,10,5),VLOOKUP($B588,COSTOS!$A$2:$B1014,2,FALSE)-150,VLOOKUP($B588,COSTOS!$A$2:$B1014,2,FALSE)),"No encontrado o error"))</f>
        <v/>
      </c>
      <c r="AF588" s="395"/>
      <c r="AG588" s="394"/>
      <c r="AH588" s="429" t="str">
        <f>IF(OR(ISBLANK($B588),ISBLANK($AG588)),"",IFERROR(IF($AG588&lt;=DATE('ESTADO CONTABLE'!$B$2,11,5),VLOOKUP($B588,COSTOS!$A$2:$B1014,2,FALSE)-150,VLOOKUP($B588,COSTOS!$A$2:$B1014,2,FALSE)),"No encontrado o error"))</f>
        <v/>
      </c>
      <c r="AI588" s="395"/>
      <c r="AJ588" s="394"/>
      <c r="AK588" s="429" t="str">
        <f>IF(OR(ISBLANK($B588),ISBLANK($AJ588)),"",IFERROR(IF($AJ588&lt;=DATE('ESTADO CONTABLE'!$B$2,12,5),VLOOKUP($B588,COSTOS!$A$2:$B1014,2,FALSE)-150,VLOOKUP($B588,COSTOS!$A$2:$B1014,2,FALSE)),"No encontrado o error"))</f>
        <v/>
      </c>
      <c r="AL588" s="395"/>
      <c r="AM588" s="254"/>
      <c r="AN588" s="255"/>
      <c r="AO588" s="256"/>
    </row>
    <row r="589" ht="22.5" customHeight="1">
      <c r="A589" s="431" t="str">
        <f>'BASE DE DATOSS'!A663</f>
        <v/>
      </c>
      <c r="B589" s="432" t="str">
        <f>'BASE DE DATOSS'!C663</f>
        <v/>
      </c>
      <c r="C589" s="263"/>
      <c r="D589" s="249"/>
      <c r="E589" s="250"/>
      <c r="F589" s="251"/>
      <c r="G589" s="262"/>
      <c r="H589" s="257"/>
      <c r="I589" s="249"/>
      <c r="J589" s="193" t="str">
        <f>IF(OR(ISBLANK($B589),ISBLANK($I589)),"",IFERROR(IF($I589&lt;=DATE('ESTADO CONTABLE'!$B$2,3,5),VLOOKUP($B589,COSTOS!$A$2:$B1014,2,FALSE)-150,VLOOKUP($B589,COSTOS!$A$2:$B1014,2,FALSE)),"No encontrado o error"))</f>
        <v/>
      </c>
      <c r="K589" s="264"/>
      <c r="L589" s="249"/>
      <c r="M589" s="189"/>
      <c r="N589" s="264"/>
      <c r="O589" s="249"/>
      <c r="P589" s="250"/>
      <c r="Q589" s="264"/>
      <c r="R589" s="249"/>
      <c r="S589" s="250"/>
      <c r="T589" s="264"/>
      <c r="U589" s="249"/>
      <c r="V589" s="250"/>
      <c r="W589" s="264"/>
      <c r="X589" s="394"/>
      <c r="Y589" s="429"/>
      <c r="Z589" s="395"/>
      <c r="AA589" s="394"/>
      <c r="AB589" s="118" t="str">
        <f>IF(OR(ISBLANK($B589),ISBLANK($AA589)),"",IFERROR(IF($AA589&lt;=DATE('ESTADO CONTABLE'!$B$2,9,5),VLOOKUP($B589,COSTOS!$A$2:$B1014,2,FALSE)-150,VLOOKUP($B589,COSTOS!$A$2:$B1014,2,FALSE)),"No encontrado o error"))</f>
        <v/>
      </c>
      <c r="AC589" s="395"/>
      <c r="AD589" s="394"/>
      <c r="AE589" s="429" t="str">
        <f>IF(OR(ISBLANK($B589),ISBLANK($AD589)),"",IFERROR(IF($AD589&lt;=DATE('ESTADO CONTABLE'!$B$2,10,5),VLOOKUP($B589,COSTOS!$A$2:$B1014,2,FALSE)-150,VLOOKUP($B589,COSTOS!$A$2:$B1014,2,FALSE)),"No encontrado o error"))</f>
        <v/>
      </c>
      <c r="AF589" s="395"/>
      <c r="AG589" s="394"/>
      <c r="AH589" s="429" t="str">
        <f>IF(OR(ISBLANK($B589),ISBLANK($AG589)),"",IFERROR(IF($AG589&lt;=DATE('ESTADO CONTABLE'!$B$2,11,5),VLOOKUP($B589,COSTOS!$A$2:$B1014,2,FALSE)-150,VLOOKUP($B589,COSTOS!$A$2:$B1014,2,FALSE)),"No encontrado o error"))</f>
        <v/>
      </c>
      <c r="AI589" s="395"/>
      <c r="AJ589" s="394"/>
      <c r="AK589" s="429" t="str">
        <f>IF(OR(ISBLANK($B589),ISBLANK($AJ589)),"",IFERROR(IF($AJ589&lt;=DATE('ESTADO CONTABLE'!$B$2,12,5),VLOOKUP($B589,COSTOS!$A$2:$B1014,2,FALSE)-150,VLOOKUP($B589,COSTOS!$A$2:$B1014,2,FALSE)),"No encontrado o error"))</f>
        <v/>
      </c>
      <c r="AL589" s="395"/>
      <c r="AM589" s="254"/>
      <c r="AN589" s="255"/>
      <c r="AO589" s="256"/>
    </row>
    <row r="590" ht="22.5" customHeight="1">
      <c r="A590" s="431" t="str">
        <f>'BASE DE DATOSS'!A664</f>
        <v/>
      </c>
      <c r="B590" s="432" t="str">
        <f>'BASE DE DATOSS'!C664</f>
        <v/>
      </c>
      <c r="C590" s="263"/>
      <c r="D590" s="249"/>
      <c r="E590" s="250"/>
      <c r="F590" s="251"/>
      <c r="G590" s="262"/>
      <c r="H590" s="257"/>
      <c r="I590" s="249"/>
      <c r="J590" s="193" t="str">
        <f>IF(OR(ISBLANK($B590),ISBLANK($I590)),"",IFERROR(IF($I590&lt;=DATE('ESTADO CONTABLE'!$B$2,3,5),VLOOKUP($B590,COSTOS!$A$2:$B1014,2,FALSE)-150,VLOOKUP($B590,COSTOS!$A$2:$B1014,2,FALSE)),"No encontrado o error"))</f>
        <v/>
      </c>
      <c r="K590" s="264"/>
      <c r="L590" s="249"/>
      <c r="M590" s="189"/>
      <c r="N590" s="264"/>
      <c r="O590" s="249"/>
      <c r="P590" s="250"/>
      <c r="Q590" s="264"/>
      <c r="R590" s="249"/>
      <c r="S590" s="250"/>
      <c r="T590" s="264"/>
      <c r="U590" s="249"/>
      <c r="V590" s="250"/>
      <c r="W590" s="264"/>
      <c r="X590" s="394"/>
      <c r="Y590" s="429"/>
      <c r="Z590" s="395"/>
      <c r="AA590" s="394"/>
      <c r="AB590" s="118" t="str">
        <f>IF(OR(ISBLANK($B590),ISBLANK($AA590)),"",IFERROR(IF($AA590&lt;=DATE('ESTADO CONTABLE'!$B$2,9,5),VLOOKUP($B590,COSTOS!$A$2:$B1014,2,FALSE)-150,VLOOKUP($B590,COSTOS!$A$2:$B1014,2,FALSE)),"No encontrado o error"))</f>
        <v/>
      </c>
      <c r="AC590" s="395"/>
      <c r="AD590" s="394"/>
      <c r="AE590" s="429" t="str">
        <f>IF(OR(ISBLANK($B590),ISBLANK($AD590)),"",IFERROR(IF($AD590&lt;=DATE('ESTADO CONTABLE'!$B$2,10,5),VLOOKUP($B590,COSTOS!$A$2:$B1014,2,FALSE)-150,VLOOKUP($B590,COSTOS!$A$2:$B1014,2,FALSE)),"No encontrado o error"))</f>
        <v/>
      </c>
      <c r="AF590" s="395"/>
      <c r="AG590" s="394"/>
      <c r="AH590" s="429" t="str">
        <f>IF(OR(ISBLANK($B590),ISBLANK($AG590)),"",IFERROR(IF($AG590&lt;=DATE('ESTADO CONTABLE'!$B$2,11,5),VLOOKUP($B590,COSTOS!$A$2:$B1014,2,FALSE)-150,VLOOKUP($B590,COSTOS!$A$2:$B1014,2,FALSE)),"No encontrado o error"))</f>
        <v/>
      </c>
      <c r="AI590" s="395"/>
      <c r="AJ590" s="394"/>
      <c r="AK590" s="429" t="str">
        <f>IF(OR(ISBLANK($B590),ISBLANK($AJ590)),"",IFERROR(IF($AJ590&lt;=DATE('ESTADO CONTABLE'!$B$2,12,5),VLOOKUP($B590,COSTOS!$A$2:$B1014,2,FALSE)-150,VLOOKUP($B590,COSTOS!$A$2:$B1014,2,FALSE)),"No encontrado o error"))</f>
        <v/>
      </c>
      <c r="AL590" s="395"/>
      <c r="AM590" s="254"/>
      <c r="AN590" s="255"/>
      <c r="AO590" s="256"/>
    </row>
    <row r="591" ht="22.5" customHeight="1">
      <c r="A591" s="431" t="str">
        <f>'BASE DE DATOSS'!A665</f>
        <v/>
      </c>
      <c r="B591" s="432" t="str">
        <f>'BASE DE DATOSS'!C665</f>
        <v/>
      </c>
      <c r="C591" s="263"/>
      <c r="D591" s="249"/>
      <c r="E591" s="250"/>
      <c r="F591" s="251"/>
      <c r="G591" s="262"/>
      <c r="H591" s="257"/>
      <c r="I591" s="249"/>
      <c r="J591" s="193" t="str">
        <f>IF(OR(ISBLANK($B591),ISBLANK($I591)),"",IFERROR(IF($I591&lt;=DATE('ESTADO CONTABLE'!$B$2,3,5),VLOOKUP($B591,COSTOS!$A$2:$B1014,2,FALSE)-150,VLOOKUP($B591,COSTOS!$A$2:$B1014,2,FALSE)),"No encontrado o error"))</f>
        <v/>
      </c>
      <c r="K591" s="264"/>
      <c r="L591" s="249"/>
      <c r="M591" s="189"/>
      <c r="N591" s="264"/>
      <c r="O591" s="249"/>
      <c r="P591" s="250"/>
      <c r="Q591" s="264"/>
      <c r="R591" s="249"/>
      <c r="S591" s="250"/>
      <c r="T591" s="264"/>
      <c r="U591" s="249"/>
      <c r="V591" s="250"/>
      <c r="W591" s="264"/>
      <c r="X591" s="394"/>
      <c r="Y591" s="429"/>
      <c r="Z591" s="395"/>
      <c r="AA591" s="394"/>
      <c r="AB591" s="118" t="str">
        <f>IF(OR(ISBLANK($B591),ISBLANK($AA591)),"",IFERROR(IF($AA591&lt;=DATE('ESTADO CONTABLE'!$B$2,9,5),VLOOKUP($B591,COSTOS!$A$2:$B1014,2,FALSE)-150,VLOOKUP($B591,COSTOS!$A$2:$B1014,2,FALSE)),"No encontrado o error"))</f>
        <v/>
      </c>
      <c r="AC591" s="395"/>
      <c r="AD591" s="394"/>
      <c r="AE591" s="429" t="str">
        <f>IF(OR(ISBLANK($B591),ISBLANK($AD591)),"",IFERROR(IF($AD591&lt;=DATE('ESTADO CONTABLE'!$B$2,10,5),VLOOKUP($B591,COSTOS!$A$2:$B1014,2,FALSE)-150,VLOOKUP($B591,COSTOS!$A$2:$B1014,2,FALSE)),"No encontrado o error"))</f>
        <v/>
      </c>
      <c r="AF591" s="395"/>
      <c r="AG591" s="394"/>
      <c r="AH591" s="429" t="str">
        <f>IF(OR(ISBLANK($B591),ISBLANK($AG591)),"",IFERROR(IF($AG591&lt;=DATE('ESTADO CONTABLE'!$B$2,11,5),VLOOKUP($B591,COSTOS!$A$2:$B1014,2,FALSE)-150,VLOOKUP($B591,COSTOS!$A$2:$B1014,2,FALSE)),"No encontrado o error"))</f>
        <v/>
      </c>
      <c r="AI591" s="395"/>
      <c r="AJ591" s="394"/>
      <c r="AK591" s="429" t="str">
        <f>IF(OR(ISBLANK($B591),ISBLANK($AJ591)),"",IFERROR(IF($AJ591&lt;=DATE('ESTADO CONTABLE'!$B$2,12,5),VLOOKUP($B591,COSTOS!$A$2:$B1014,2,FALSE)-150,VLOOKUP($B591,COSTOS!$A$2:$B1014,2,FALSE)),"No encontrado o error"))</f>
        <v/>
      </c>
      <c r="AL591" s="395"/>
      <c r="AM591" s="254"/>
      <c r="AN591" s="255"/>
      <c r="AO591" s="256"/>
    </row>
    <row r="592" ht="22.5" customHeight="1">
      <c r="A592" s="431" t="str">
        <f>'BASE DE DATOSS'!A666</f>
        <v/>
      </c>
      <c r="B592" s="432" t="str">
        <f>'BASE DE DATOSS'!C666</f>
        <v/>
      </c>
      <c r="C592" s="263"/>
      <c r="D592" s="249"/>
      <c r="E592" s="250"/>
      <c r="F592" s="251"/>
      <c r="G592" s="262"/>
      <c r="H592" s="257"/>
      <c r="I592" s="249"/>
      <c r="J592" s="193" t="str">
        <f>IF(OR(ISBLANK($B592),ISBLANK($I592)),"",IFERROR(IF($I592&lt;=DATE('ESTADO CONTABLE'!$B$2,3,5),VLOOKUP($B592,COSTOS!$A$2:$B1014,2,FALSE)-150,VLOOKUP($B592,COSTOS!$A$2:$B1014,2,FALSE)),"No encontrado o error"))</f>
        <v/>
      </c>
      <c r="K592" s="264"/>
      <c r="L592" s="249"/>
      <c r="M592" s="189"/>
      <c r="N592" s="264"/>
      <c r="O592" s="249"/>
      <c r="P592" s="250"/>
      <c r="Q592" s="264"/>
      <c r="R592" s="249"/>
      <c r="S592" s="250"/>
      <c r="T592" s="264"/>
      <c r="U592" s="249"/>
      <c r="V592" s="250"/>
      <c r="W592" s="264"/>
      <c r="X592" s="394"/>
      <c r="Y592" s="429"/>
      <c r="Z592" s="395"/>
      <c r="AA592" s="394"/>
      <c r="AB592" s="118" t="str">
        <f>IF(OR(ISBLANK($B592),ISBLANK($AA592)),"",IFERROR(IF($AA592&lt;=DATE('ESTADO CONTABLE'!$B$2,9,5),VLOOKUP($B592,COSTOS!$A$2:$B1014,2,FALSE)-150,VLOOKUP($B592,COSTOS!$A$2:$B1014,2,FALSE)),"No encontrado o error"))</f>
        <v/>
      </c>
      <c r="AC592" s="395"/>
      <c r="AD592" s="394"/>
      <c r="AE592" s="429" t="str">
        <f>IF(OR(ISBLANK($B592),ISBLANK($AD592)),"",IFERROR(IF($AD592&lt;=DATE('ESTADO CONTABLE'!$B$2,10,5),VLOOKUP($B592,COSTOS!$A$2:$B1014,2,FALSE)-150,VLOOKUP($B592,COSTOS!$A$2:$B1014,2,FALSE)),"No encontrado o error"))</f>
        <v/>
      </c>
      <c r="AF592" s="395"/>
      <c r="AG592" s="394"/>
      <c r="AH592" s="429" t="str">
        <f>IF(OR(ISBLANK($B592),ISBLANK($AG592)),"",IFERROR(IF($AG592&lt;=DATE('ESTADO CONTABLE'!$B$2,11,5),VLOOKUP($B592,COSTOS!$A$2:$B1014,2,FALSE)-150,VLOOKUP($B592,COSTOS!$A$2:$B1014,2,FALSE)),"No encontrado o error"))</f>
        <v/>
      </c>
      <c r="AI592" s="395"/>
      <c r="AJ592" s="394"/>
      <c r="AK592" s="429" t="str">
        <f>IF(OR(ISBLANK($B592),ISBLANK($AJ592)),"",IFERROR(IF($AJ592&lt;=DATE('ESTADO CONTABLE'!$B$2,12,5),VLOOKUP($B592,COSTOS!$A$2:$B1014,2,FALSE)-150,VLOOKUP($B592,COSTOS!$A$2:$B1014,2,FALSE)),"No encontrado o error"))</f>
        <v/>
      </c>
      <c r="AL592" s="395"/>
      <c r="AM592" s="254"/>
      <c r="AN592" s="255"/>
      <c r="AO592" s="256"/>
    </row>
    <row r="593" ht="22.5" customHeight="1">
      <c r="A593" s="431" t="str">
        <f>'BASE DE DATOSS'!A667</f>
        <v/>
      </c>
      <c r="B593" s="432" t="str">
        <f>'BASE DE DATOSS'!C667</f>
        <v/>
      </c>
      <c r="C593" s="263"/>
      <c r="D593" s="249"/>
      <c r="E593" s="250"/>
      <c r="F593" s="251"/>
      <c r="G593" s="262"/>
      <c r="H593" s="257"/>
      <c r="I593" s="249"/>
      <c r="J593" s="193" t="str">
        <f>IF(OR(ISBLANK($B593),ISBLANK($I593)),"",IFERROR(IF($I593&lt;=DATE('ESTADO CONTABLE'!$B$2,3,5),VLOOKUP($B593,COSTOS!$A$2:$B1014,2,FALSE)-150,VLOOKUP($B593,COSTOS!$A$2:$B1014,2,FALSE)),"No encontrado o error"))</f>
        <v/>
      </c>
      <c r="K593" s="264"/>
      <c r="L593" s="249"/>
      <c r="M593" s="189"/>
      <c r="N593" s="264"/>
      <c r="O593" s="249"/>
      <c r="P593" s="250"/>
      <c r="Q593" s="264"/>
      <c r="R593" s="249"/>
      <c r="S593" s="250"/>
      <c r="T593" s="264"/>
      <c r="U593" s="249"/>
      <c r="V593" s="250"/>
      <c r="W593" s="264"/>
      <c r="X593" s="394"/>
      <c r="Y593" s="429"/>
      <c r="Z593" s="395"/>
      <c r="AA593" s="394"/>
      <c r="AB593" s="118" t="str">
        <f>IF(OR(ISBLANK($B593),ISBLANK($AA593)),"",IFERROR(IF($AA593&lt;=DATE('ESTADO CONTABLE'!$B$2,9,5),VLOOKUP($B593,COSTOS!$A$2:$B1014,2,FALSE)-150,VLOOKUP($B593,COSTOS!$A$2:$B1014,2,FALSE)),"No encontrado o error"))</f>
        <v/>
      </c>
      <c r="AC593" s="395"/>
      <c r="AD593" s="394"/>
      <c r="AE593" s="429" t="str">
        <f>IF(OR(ISBLANK($B593),ISBLANK($AD593)),"",IFERROR(IF($AD593&lt;=DATE('ESTADO CONTABLE'!$B$2,10,5),VLOOKUP($B593,COSTOS!$A$2:$B1014,2,FALSE)-150,VLOOKUP($B593,COSTOS!$A$2:$B1014,2,FALSE)),"No encontrado o error"))</f>
        <v/>
      </c>
      <c r="AF593" s="395"/>
      <c r="AG593" s="394"/>
      <c r="AH593" s="429" t="str">
        <f>IF(OR(ISBLANK($B593),ISBLANK($AG593)),"",IFERROR(IF($AG593&lt;=DATE('ESTADO CONTABLE'!$B$2,11,5),VLOOKUP($B593,COSTOS!$A$2:$B1014,2,FALSE)-150,VLOOKUP($B593,COSTOS!$A$2:$B1014,2,FALSE)),"No encontrado o error"))</f>
        <v/>
      </c>
      <c r="AI593" s="395"/>
      <c r="AJ593" s="394"/>
      <c r="AK593" s="429" t="str">
        <f>IF(OR(ISBLANK($B593),ISBLANK($AJ593)),"",IFERROR(IF($AJ593&lt;=DATE('ESTADO CONTABLE'!$B$2,12,5),VLOOKUP($B593,COSTOS!$A$2:$B1014,2,FALSE)-150,VLOOKUP($B593,COSTOS!$A$2:$B1014,2,FALSE)),"No encontrado o error"))</f>
        <v/>
      </c>
      <c r="AL593" s="395"/>
      <c r="AM593" s="254"/>
      <c r="AN593" s="255"/>
      <c r="AO593" s="256"/>
    </row>
    <row r="594" ht="22.5" customHeight="1">
      <c r="A594" s="431" t="str">
        <f>'BASE DE DATOSS'!A668</f>
        <v/>
      </c>
      <c r="B594" s="432" t="str">
        <f>'BASE DE DATOSS'!C668</f>
        <v/>
      </c>
      <c r="C594" s="263"/>
      <c r="D594" s="249"/>
      <c r="E594" s="250"/>
      <c r="F594" s="251"/>
      <c r="G594" s="262"/>
      <c r="H594" s="257"/>
      <c r="I594" s="249"/>
      <c r="J594" s="193" t="str">
        <f>IF(OR(ISBLANK($B594),ISBLANK($I594)),"",IFERROR(IF($I594&lt;=DATE('ESTADO CONTABLE'!$B$2,3,5),VLOOKUP($B594,COSTOS!$A$2:$B1014,2,FALSE)-150,VLOOKUP($B594,COSTOS!$A$2:$B1014,2,FALSE)),"No encontrado o error"))</f>
        <v/>
      </c>
      <c r="K594" s="264"/>
      <c r="L594" s="249"/>
      <c r="M594" s="189"/>
      <c r="N594" s="264"/>
      <c r="O594" s="249"/>
      <c r="P594" s="250"/>
      <c r="Q594" s="264"/>
      <c r="R594" s="249"/>
      <c r="S594" s="250"/>
      <c r="T594" s="264"/>
      <c r="U594" s="249"/>
      <c r="V594" s="250"/>
      <c r="W594" s="264"/>
      <c r="X594" s="394"/>
      <c r="Y594" s="429"/>
      <c r="Z594" s="395"/>
      <c r="AA594" s="394"/>
      <c r="AB594" s="118" t="str">
        <f>IF(OR(ISBLANK($B594),ISBLANK($AA594)),"",IFERROR(IF($AA594&lt;=DATE('ESTADO CONTABLE'!$B$2,9,5),VLOOKUP($B594,COSTOS!$A$2:$B1014,2,FALSE)-150,VLOOKUP($B594,COSTOS!$A$2:$B1014,2,FALSE)),"No encontrado o error"))</f>
        <v/>
      </c>
      <c r="AC594" s="395"/>
      <c r="AD594" s="394"/>
      <c r="AE594" s="429" t="str">
        <f>IF(OR(ISBLANK($B594),ISBLANK($AD594)),"",IFERROR(IF($AD594&lt;=DATE('ESTADO CONTABLE'!$B$2,10,5),VLOOKUP($B594,COSTOS!$A$2:$B1014,2,FALSE)-150,VLOOKUP($B594,COSTOS!$A$2:$B1014,2,FALSE)),"No encontrado o error"))</f>
        <v/>
      </c>
      <c r="AF594" s="395"/>
      <c r="AG594" s="394"/>
      <c r="AH594" s="429" t="str">
        <f>IF(OR(ISBLANK($B594),ISBLANK($AG594)),"",IFERROR(IF($AG594&lt;=DATE('ESTADO CONTABLE'!$B$2,11,5),VLOOKUP($B594,COSTOS!$A$2:$B1014,2,FALSE)-150,VLOOKUP($B594,COSTOS!$A$2:$B1014,2,FALSE)),"No encontrado o error"))</f>
        <v/>
      </c>
      <c r="AI594" s="395"/>
      <c r="AJ594" s="394"/>
      <c r="AK594" s="429" t="str">
        <f>IF(OR(ISBLANK($B594),ISBLANK($AJ594)),"",IFERROR(IF($AJ594&lt;=DATE('ESTADO CONTABLE'!$B$2,12,5),VLOOKUP($B594,COSTOS!$A$2:$B1014,2,FALSE)-150,VLOOKUP($B594,COSTOS!$A$2:$B1014,2,FALSE)),"No encontrado o error"))</f>
        <v/>
      </c>
      <c r="AL594" s="395"/>
      <c r="AM594" s="254"/>
      <c r="AN594" s="255"/>
      <c r="AO594" s="256"/>
    </row>
    <row r="595" ht="22.5" customHeight="1">
      <c r="A595" s="431" t="str">
        <f>'BASE DE DATOSS'!A669</f>
        <v/>
      </c>
      <c r="B595" s="432" t="str">
        <f>'BASE DE DATOSS'!C669</f>
        <v/>
      </c>
      <c r="C595" s="263"/>
      <c r="D595" s="249"/>
      <c r="E595" s="250"/>
      <c r="F595" s="251"/>
      <c r="G595" s="262"/>
      <c r="H595" s="257"/>
      <c r="I595" s="249"/>
      <c r="J595" s="193" t="str">
        <f>IF(OR(ISBLANK($B595),ISBLANK($I595)),"",IFERROR(IF($I595&lt;=DATE('ESTADO CONTABLE'!$B$2,3,5),VLOOKUP($B595,COSTOS!$A$2:$B1014,2,FALSE)-150,VLOOKUP($B595,COSTOS!$A$2:$B1014,2,FALSE)),"No encontrado o error"))</f>
        <v/>
      </c>
      <c r="K595" s="264"/>
      <c r="L595" s="249"/>
      <c r="M595" s="189"/>
      <c r="N595" s="264"/>
      <c r="O595" s="249"/>
      <c r="P595" s="250"/>
      <c r="Q595" s="264"/>
      <c r="R595" s="249"/>
      <c r="S595" s="250"/>
      <c r="T595" s="264"/>
      <c r="U595" s="249"/>
      <c r="V595" s="250"/>
      <c r="W595" s="264"/>
      <c r="X595" s="394"/>
      <c r="Y595" s="429"/>
      <c r="Z595" s="395"/>
      <c r="AA595" s="394"/>
      <c r="AB595" s="118" t="str">
        <f>IF(OR(ISBLANK($B595),ISBLANK($AA595)),"",IFERROR(IF($AA595&lt;=DATE('ESTADO CONTABLE'!$B$2,9,5),VLOOKUP($B595,COSTOS!$A$2:$B1014,2,FALSE)-150,VLOOKUP($B595,COSTOS!$A$2:$B1014,2,FALSE)),"No encontrado o error"))</f>
        <v/>
      </c>
      <c r="AC595" s="395"/>
      <c r="AD595" s="394"/>
      <c r="AE595" s="429" t="str">
        <f>IF(OR(ISBLANK($B595),ISBLANK($AD595)),"",IFERROR(IF($AD595&lt;=DATE('ESTADO CONTABLE'!$B$2,10,5),VLOOKUP($B595,COSTOS!$A$2:$B1014,2,FALSE)-150,VLOOKUP($B595,COSTOS!$A$2:$B1014,2,FALSE)),"No encontrado o error"))</f>
        <v/>
      </c>
      <c r="AF595" s="395"/>
      <c r="AG595" s="394"/>
      <c r="AH595" s="429" t="str">
        <f>IF(OR(ISBLANK($B595),ISBLANK($AG595)),"",IFERROR(IF($AG595&lt;=DATE('ESTADO CONTABLE'!$B$2,11,5),VLOOKUP($B595,COSTOS!$A$2:$B1014,2,FALSE)-150,VLOOKUP($B595,COSTOS!$A$2:$B1014,2,FALSE)),"No encontrado o error"))</f>
        <v/>
      </c>
      <c r="AI595" s="395"/>
      <c r="AJ595" s="394"/>
      <c r="AK595" s="429" t="str">
        <f>IF(OR(ISBLANK($B595),ISBLANK($AJ595)),"",IFERROR(IF($AJ595&lt;=DATE('ESTADO CONTABLE'!$B$2,12,5),VLOOKUP($B595,COSTOS!$A$2:$B1014,2,FALSE)-150,VLOOKUP($B595,COSTOS!$A$2:$B1014,2,FALSE)),"No encontrado o error"))</f>
        <v/>
      </c>
      <c r="AL595" s="395"/>
      <c r="AM595" s="254"/>
      <c r="AN595" s="255"/>
      <c r="AO595" s="256"/>
    </row>
    <row r="596" ht="22.5" customHeight="1">
      <c r="A596" s="431" t="str">
        <f>'BASE DE DATOSS'!A670</f>
        <v/>
      </c>
      <c r="B596" s="432" t="str">
        <f>'BASE DE DATOSS'!C670</f>
        <v/>
      </c>
      <c r="C596" s="263"/>
      <c r="D596" s="249"/>
      <c r="E596" s="250"/>
      <c r="F596" s="251"/>
      <c r="G596" s="262"/>
      <c r="H596" s="257"/>
      <c r="I596" s="249"/>
      <c r="J596" s="193" t="str">
        <f>IF(OR(ISBLANK($B596),ISBLANK($I596)),"",IFERROR(IF($I596&lt;=DATE('ESTADO CONTABLE'!$B$2,3,5),VLOOKUP($B596,COSTOS!$A$2:$B1014,2,FALSE)-150,VLOOKUP($B596,COSTOS!$A$2:$B1014,2,FALSE)),"No encontrado o error"))</f>
        <v/>
      </c>
      <c r="K596" s="264"/>
      <c r="L596" s="249"/>
      <c r="M596" s="189"/>
      <c r="N596" s="264"/>
      <c r="O596" s="249"/>
      <c r="P596" s="250"/>
      <c r="Q596" s="264"/>
      <c r="R596" s="249"/>
      <c r="S596" s="250"/>
      <c r="T596" s="264"/>
      <c r="U596" s="249"/>
      <c r="V596" s="250"/>
      <c r="W596" s="264"/>
      <c r="X596" s="394"/>
      <c r="Y596" s="429"/>
      <c r="Z596" s="395"/>
      <c r="AA596" s="394"/>
      <c r="AB596" s="118" t="str">
        <f>IF(OR(ISBLANK($B596),ISBLANK($AA596)),"",IFERROR(IF($AA596&lt;=DATE('ESTADO CONTABLE'!$B$2,9,5),VLOOKUP($B596,COSTOS!$A$2:$B1014,2,FALSE)-150,VLOOKUP($B596,COSTOS!$A$2:$B1014,2,FALSE)),"No encontrado o error"))</f>
        <v/>
      </c>
      <c r="AC596" s="395"/>
      <c r="AD596" s="394"/>
      <c r="AE596" s="429" t="str">
        <f>IF(OR(ISBLANK($B596),ISBLANK($AD596)),"",IFERROR(IF($AD596&lt;=DATE('ESTADO CONTABLE'!$B$2,10,5),VLOOKUP($B596,COSTOS!$A$2:$B1014,2,FALSE)-150,VLOOKUP($B596,COSTOS!$A$2:$B1014,2,FALSE)),"No encontrado o error"))</f>
        <v/>
      </c>
      <c r="AF596" s="395"/>
      <c r="AG596" s="394"/>
      <c r="AH596" s="429" t="str">
        <f>IF(OR(ISBLANK($B596),ISBLANK($AG596)),"",IFERROR(IF($AG596&lt;=DATE('ESTADO CONTABLE'!$B$2,11,5),VLOOKUP($B596,COSTOS!$A$2:$B1014,2,FALSE)-150,VLOOKUP($B596,COSTOS!$A$2:$B1014,2,FALSE)),"No encontrado o error"))</f>
        <v/>
      </c>
      <c r="AI596" s="395"/>
      <c r="AJ596" s="394"/>
      <c r="AK596" s="429" t="str">
        <f>IF(OR(ISBLANK($B596),ISBLANK($AJ596)),"",IFERROR(IF($AJ596&lt;=DATE('ESTADO CONTABLE'!$B$2,12,5),VLOOKUP($B596,COSTOS!$A$2:$B1014,2,FALSE)-150,VLOOKUP($B596,COSTOS!$A$2:$B1014,2,FALSE)),"No encontrado o error"))</f>
        <v/>
      </c>
      <c r="AL596" s="395"/>
      <c r="AM596" s="254"/>
      <c r="AN596" s="255"/>
      <c r="AO596" s="256"/>
    </row>
    <row r="597" ht="22.5" customHeight="1">
      <c r="A597" s="431" t="str">
        <f>'BASE DE DATOSS'!A671</f>
        <v/>
      </c>
      <c r="B597" s="432" t="str">
        <f>'BASE DE DATOSS'!C671</f>
        <v/>
      </c>
      <c r="C597" s="263"/>
      <c r="D597" s="249"/>
      <c r="E597" s="250"/>
      <c r="F597" s="251"/>
      <c r="G597" s="262"/>
      <c r="H597" s="257"/>
      <c r="I597" s="249"/>
      <c r="J597" s="193" t="str">
        <f>IF(OR(ISBLANK($B597),ISBLANK($I597)),"",IFERROR(IF($I597&lt;=DATE('ESTADO CONTABLE'!$B$2,3,5),VLOOKUP($B597,COSTOS!$A$2:$B1014,2,FALSE)-150,VLOOKUP($B597,COSTOS!$A$2:$B1014,2,FALSE)),"No encontrado o error"))</f>
        <v/>
      </c>
      <c r="K597" s="264"/>
      <c r="L597" s="249"/>
      <c r="M597" s="189"/>
      <c r="N597" s="264"/>
      <c r="O597" s="249"/>
      <c r="P597" s="250"/>
      <c r="Q597" s="264"/>
      <c r="R597" s="249"/>
      <c r="S597" s="250"/>
      <c r="T597" s="264"/>
      <c r="U597" s="249"/>
      <c r="V597" s="250"/>
      <c r="W597" s="264"/>
      <c r="X597" s="394"/>
      <c r="Y597" s="429"/>
      <c r="Z597" s="395"/>
      <c r="AA597" s="394"/>
      <c r="AB597" s="118" t="str">
        <f>IF(OR(ISBLANK($B597),ISBLANK($AA597)),"",IFERROR(IF($AA597&lt;=DATE('ESTADO CONTABLE'!$B$2,9,5),VLOOKUP($B597,COSTOS!$A$2:$B1014,2,FALSE)-150,VLOOKUP($B597,COSTOS!$A$2:$B1014,2,FALSE)),"No encontrado o error"))</f>
        <v/>
      </c>
      <c r="AC597" s="395"/>
      <c r="AD597" s="394"/>
      <c r="AE597" s="429" t="str">
        <f>IF(OR(ISBLANK($B597),ISBLANK($AD597)),"",IFERROR(IF($AD597&lt;=DATE('ESTADO CONTABLE'!$B$2,10,5),VLOOKUP($B597,COSTOS!$A$2:$B1014,2,FALSE)-150,VLOOKUP($B597,COSTOS!$A$2:$B1014,2,FALSE)),"No encontrado o error"))</f>
        <v/>
      </c>
      <c r="AF597" s="395"/>
      <c r="AG597" s="394"/>
      <c r="AH597" s="429" t="str">
        <f>IF(OR(ISBLANK($B597),ISBLANK($AG597)),"",IFERROR(IF($AG597&lt;=DATE('ESTADO CONTABLE'!$B$2,11,5),VLOOKUP($B597,COSTOS!$A$2:$B1014,2,FALSE)-150,VLOOKUP($B597,COSTOS!$A$2:$B1014,2,FALSE)),"No encontrado o error"))</f>
        <v/>
      </c>
      <c r="AI597" s="395"/>
      <c r="AJ597" s="394"/>
      <c r="AK597" s="429" t="str">
        <f>IF(OR(ISBLANK($B597),ISBLANK($AJ597)),"",IFERROR(IF($AJ597&lt;=DATE('ESTADO CONTABLE'!$B$2,12,5),VLOOKUP($B597,COSTOS!$A$2:$B1014,2,FALSE)-150,VLOOKUP($B597,COSTOS!$A$2:$B1014,2,FALSE)),"No encontrado o error"))</f>
        <v/>
      </c>
      <c r="AL597" s="395"/>
      <c r="AM597" s="254"/>
      <c r="AN597" s="255"/>
      <c r="AO597" s="256"/>
    </row>
    <row r="598" ht="22.5" customHeight="1">
      <c r="A598" s="431" t="str">
        <f>'BASE DE DATOSS'!A672</f>
        <v/>
      </c>
      <c r="B598" s="432" t="str">
        <f>'BASE DE DATOSS'!C672</f>
        <v/>
      </c>
      <c r="C598" s="263"/>
      <c r="D598" s="249"/>
      <c r="E598" s="250"/>
      <c r="F598" s="251"/>
      <c r="G598" s="262"/>
      <c r="H598" s="257"/>
      <c r="I598" s="249"/>
      <c r="J598" s="193" t="str">
        <f>IF(OR(ISBLANK($B598),ISBLANK($I598)),"",IFERROR(IF($I598&lt;=DATE('ESTADO CONTABLE'!$B$2,3,5),VLOOKUP($B598,COSTOS!$A$2:$B1014,2,FALSE)-150,VLOOKUP($B598,COSTOS!$A$2:$B1014,2,FALSE)),"No encontrado o error"))</f>
        <v/>
      </c>
      <c r="K598" s="264"/>
      <c r="L598" s="249"/>
      <c r="M598" s="189"/>
      <c r="N598" s="264"/>
      <c r="O598" s="249"/>
      <c r="P598" s="250"/>
      <c r="Q598" s="264"/>
      <c r="R598" s="249"/>
      <c r="S598" s="250"/>
      <c r="T598" s="264"/>
      <c r="U598" s="249"/>
      <c r="V598" s="250"/>
      <c r="W598" s="264"/>
      <c r="X598" s="394"/>
      <c r="Y598" s="429"/>
      <c r="Z598" s="395"/>
      <c r="AA598" s="394"/>
      <c r="AB598" s="118" t="str">
        <f>IF(OR(ISBLANK($B598),ISBLANK($AA598)),"",IFERROR(IF($AA598&lt;=DATE('ESTADO CONTABLE'!$B$2,9,5),VLOOKUP($B598,COSTOS!$A$2:$B1014,2,FALSE)-150,VLOOKUP($B598,COSTOS!$A$2:$B1014,2,FALSE)),"No encontrado o error"))</f>
        <v/>
      </c>
      <c r="AC598" s="395"/>
      <c r="AD598" s="394"/>
      <c r="AE598" s="429" t="str">
        <f>IF(OR(ISBLANK($B598),ISBLANK($AD598)),"",IFERROR(IF($AD598&lt;=DATE('ESTADO CONTABLE'!$B$2,10,5),VLOOKUP($B598,COSTOS!$A$2:$B1014,2,FALSE)-150,VLOOKUP($B598,COSTOS!$A$2:$B1014,2,FALSE)),"No encontrado o error"))</f>
        <v/>
      </c>
      <c r="AF598" s="395"/>
      <c r="AG598" s="394"/>
      <c r="AH598" s="429" t="str">
        <f>IF(OR(ISBLANK($B598),ISBLANK($AG598)),"",IFERROR(IF($AG598&lt;=DATE('ESTADO CONTABLE'!$B$2,11,5),VLOOKUP($B598,COSTOS!$A$2:$B1014,2,FALSE)-150,VLOOKUP($B598,COSTOS!$A$2:$B1014,2,FALSE)),"No encontrado o error"))</f>
        <v/>
      </c>
      <c r="AI598" s="395"/>
      <c r="AJ598" s="394"/>
      <c r="AK598" s="429" t="str">
        <f>IF(OR(ISBLANK($B598),ISBLANK($AJ598)),"",IFERROR(IF($AJ598&lt;=DATE('ESTADO CONTABLE'!$B$2,12,5),VLOOKUP($B598,COSTOS!$A$2:$B1014,2,FALSE)-150,VLOOKUP($B598,COSTOS!$A$2:$B1014,2,FALSE)),"No encontrado o error"))</f>
        <v/>
      </c>
      <c r="AL598" s="395"/>
      <c r="AM598" s="254"/>
      <c r="AN598" s="255"/>
      <c r="AO598" s="256"/>
    </row>
    <row r="599" ht="22.5" customHeight="1">
      <c r="A599" s="431" t="str">
        <f>'BASE DE DATOSS'!A673</f>
        <v/>
      </c>
      <c r="B599" s="432" t="str">
        <f>'BASE DE DATOSS'!C673</f>
        <v/>
      </c>
      <c r="C599" s="263"/>
      <c r="D599" s="249"/>
      <c r="E599" s="250"/>
      <c r="F599" s="251"/>
      <c r="G599" s="262"/>
      <c r="H599" s="257"/>
      <c r="I599" s="249"/>
      <c r="J599" s="193" t="str">
        <f>IF(OR(ISBLANK($B599),ISBLANK($I599)),"",IFERROR(IF($I599&lt;=DATE('ESTADO CONTABLE'!$B$2,3,5),VLOOKUP($B599,COSTOS!$A$2:$B1014,2,FALSE)-150,VLOOKUP($B599,COSTOS!$A$2:$B1014,2,FALSE)),"No encontrado o error"))</f>
        <v/>
      </c>
      <c r="K599" s="264"/>
      <c r="L599" s="249"/>
      <c r="M599" s="189"/>
      <c r="N599" s="264"/>
      <c r="O599" s="249"/>
      <c r="P599" s="250"/>
      <c r="Q599" s="264"/>
      <c r="R599" s="249"/>
      <c r="S599" s="250"/>
      <c r="T599" s="264"/>
      <c r="U599" s="249"/>
      <c r="V599" s="250"/>
      <c r="W599" s="264"/>
      <c r="X599" s="394"/>
      <c r="Y599" s="429"/>
      <c r="Z599" s="395"/>
      <c r="AA599" s="394"/>
      <c r="AB599" s="118" t="str">
        <f>IF(OR(ISBLANK($B599),ISBLANK($AA599)),"",IFERROR(IF($AA599&lt;=DATE('ESTADO CONTABLE'!$B$2,9,5),VLOOKUP($B599,COSTOS!$A$2:$B1014,2,FALSE)-150,VLOOKUP($B599,COSTOS!$A$2:$B1014,2,FALSE)),"No encontrado o error"))</f>
        <v/>
      </c>
      <c r="AC599" s="395"/>
      <c r="AD599" s="394"/>
      <c r="AE599" s="429" t="str">
        <f>IF(OR(ISBLANK($B599),ISBLANK($AD599)),"",IFERROR(IF($AD599&lt;=DATE('ESTADO CONTABLE'!$B$2,10,5),VLOOKUP($B599,COSTOS!$A$2:$B1014,2,FALSE)-150,VLOOKUP($B599,COSTOS!$A$2:$B1014,2,FALSE)),"No encontrado o error"))</f>
        <v/>
      </c>
      <c r="AF599" s="395"/>
      <c r="AG599" s="394"/>
      <c r="AH599" s="429" t="str">
        <f>IF(OR(ISBLANK($B599),ISBLANK($AG599)),"",IFERROR(IF($AG599&lt;=DATE('ESTADO CONTABLE'!$B$2,11,5),VLOOKUP($B599,COSTOS!$A$2:$B1014,2,FALSE)-150,VLOOKUP($B599,COSTOS!$A$2:$B1014,2,FALSE)),"No encontrado o error"))</f>
        <v/>
      </c>
      <c r="AI599" s="395"/>
      <c r="AJ599" s="394"/>
      <c r="AK599" s="429" t="str">
        <f>IF(OR(ISBLANK($B599),ISBLANK($AJ599)),"",IFERROR(IF($AJ599&lt;=DATE('ESTADO CONTABLE'!$B$2,12,5),VLOOKUP($B599,COSTOS!$A$2:$B1014,2,FALSE)-150,VLOOKUP($B599,COSTOS!$A$2:$B1014,2,FALSE)),"No encontrado o error"))</f>
        <v/>
      </c>
      <c r="AL599" s="395"/>
      <c r="AM599" s="254"/>
      <c r="AN599" s="255"/>
      <c r="AO599" s="256"/>
    </row>
    <row r="600" ht="22.5" customHeight="1">
      <c r="A600" s="431" t="str">
        <f>'BASE DE DATOSS'!A674</f>
        <v/>
      </c>
      <c r="B600" s="432" t="str">
        <f>'BASE DE DATOSS'!C674</f>
        <v/>
      </c>
      <c r="C600" s="263"/>
      <c r="D600" s="249"/>
      <c r="E600" s="250"/>
      <c r="F600" s="251"/>
      <c r="G600" s="262"/>
      <c r="H600" s="257"/>
      <c r="I600" s="249"/>
      <c r="J600" s="193" t="str">
        <f>IF(OR(ISBLANK($B600),ISBLANK($I600)),"",IFERROR(IF($I600&lt;=DATE('ESTADO CONTABLE'!$B$2,3,5),VLOOKUP($B600,COSTOS!$A$2:$B1014,2,FALSE)-150,VLOOKUP($B600,COSTOS!$A$2:$B1014,2,FALSE)),"No encontrado o error"))</f>
        <v/>
      </c>
      <c r="K600" s="264"/>
      <c r="L600" s="249"/>
      <c r="M600" s="189"/>
      <c r="N600" s="264"/>
      <c r="O600" s="249"/>
      <c r="P600" s="250"/>
      <c r="Q600" s="264"/>
      <c r="R600" s="249"/>
      <c r="S600" s="250"/>
      <c r="T600" s="264"/>
      <c r="U600" s="249"/>
      <c r="V600" s="250"/>
      <c r="W600" s="264"/>
      <c r="X600" s="394"/>
      <c r="Y600" s="429"/>
      <c r="Z600" s="395"/>
      <c r="AA600" s="394"/>
      <c r="AB600" s="118" t="str">
        <f>IF(OR(ISBLANK($B600),ISBLANK($AA600)),"",IFERROR(IF($AA600&lt;=DATE('ESTADO CONTABLE'!$B$2,9,5),VLOOKUP($B600,COSTOS!$A$2:$B1014,2,FALSE)-150,VLOOKUP($B600,COSTOS!$A$2:$B1014,2,FALSE)),"No encontrado o error"))</f>
        <v/>
      </c>
      <c r="AC600" s="395"/>
      <c r="AD600" s="394"/>
      <c r="AE600" s="429" t="str">
        <f>IF(OR(ISBLANK($B600),ISBLANK($AD600)),"",IFERROR(IF($AD600&lt;=DATE('ESTADO CONTABLE'!$B$2,10,5),VLOOKUP($B600,COSTOS!$A$2:$B1014,2,FALSE)-150,VLOOKUP($B600,COSTOS!$A$2:$B1014,2,FALSE)),"No encontrado o error"))</f>
        <v/>
      </c>
      <c r="AF600" s="395"/>
      <c r="AG600" s="394"/>
      <c r="AH600" s="429" t="str">
        <f>IF(OR(ISBLANK($B600),ISBLANK($AG600)),"",IFERROR(IF($AG600&lt;=DATE('ESTADO CONTABLE'!$B$2,11,5),VLOOKUP($B600,COSTOS!$A$2:$B1014,2,FALSE)-150,VLOOKUP($B600,COSTOS!$A$2:$B1014,2,FALSE)),"No encontrado o error"))</f>
        <v/>
      </c>
      <c r="AI600" s="395"/>
      <c r="AJ600" s="394"/>
      <c r="AK600" s="429" t="str">
        <f>IF(OR(ISBLANK($B600),ISBLANK($AJ600)),"",IFERROR(IF($AJ600&lt;=DATE('ESTADO CONTABLE'!$B$2,12,5),VLOOKUP($B600,COSTOS!$A$2:$B1014,2,FALSE)-150,VLOOKUP($B600,COSTOS!$A$2:$B1014,2,FALSE)),"No encontrado o error"))</f>
        <v/>
      </c>
      <c r="AL600" s="395"/>
      <c r="AM600" s="254"/>
      <c r="AN600" s="255"/>
      <c r="AO600" s="256"/>
    </row>
    <row r="601" ht="22.5" customHeight="1">
      <c r="A601" s="431" t="str">
        <f>'BASE DE DATOSS'!A675</f>
        <v/>
      </c>
      <c r="B601" s="432" t="str">
        <f>'BASE DE DATOSS'!C675</f>
        <v/>
      </c>
      <c r="C601" s="263"/>
      <c r="D601" s="249"/>
      <c r="E601" s="250"/>
      <c r="F601" s="251"/>
      <c r="G601" s="262"/>
      <c r="H601" s="257"/>
      <c r="I601" s="249"/>
      <c r="J601" s="193" t="str">
        <f>IF(OR(ISBLANK($B601),ISBLANK($I601)),"",IFERROR(IF($I601&lt;=DATE('ESTADO CONTABLE'!$B$2,3,5),VLOOKUP($B601,COSTOS!$A$2:$B1014,2,FALSE)-150,VLOOKUP($B601,COSTOS!$A$2:$B1014,2,FALSE)),"No encontrado o error"))</f>
        <v/>
      </c>
      <c r="K601" s="264"/>
      <c r="L601" s="249"/>
      <c r="M601" s="189"/>
      <c r="N601" s="264"/>
      <c r="O601" s="249"/>
      <c r="P601" s="250"/>
      <c r="Q601" s="264"/>
      <c r="R601" s="249"/>
      <c r="S601" s="250"/>
      <c r="T601" s="264"/>
      <c r="U601" s="249"/>
      <c r="V601" s="250"/>
      <c r="W601" s="264"/>
      <c r="X601" s="394"/>
      <c r="Y601" s="429"/>
      <c r="Z601" s="395"/>
      <c r="AA601" s="394"/>
      <c r="AB601" s="118" t="str">
        <f>IF(OR(ISBLANK($B601),ISBLANK($AA601)),"",IFERROR(IF($AA601&lt;=DATE('ESTADO CONTABLE'!$B$2,9,5),VLOOKUP($B601,COSTOS!$A$2:$B1014,2,FALSE)-150,VLOOKUP($B601,COSTOS!$A$2:$B1014,2,FALSE)),"No encontrado o error"))</f>
        <v/>
      </c>
      <c r="AC601" s="395"/>
      <c r="AD601" s="394"/>
      <c r="AE601" s="429" t="str">
        <f>IF(OR(ISBLANK($B601),ISBLANK($AD601)),"",IFERROR(IF($AD601&lt;=DATE('ESTADO CONTABLE'!$B$2,10,5),VLOOKUP($B601,COSTOS!$A$2:$B1014,2,FALSE)-150,VLOOKUP($B601,COSTOS!$A$2:$B1014,2,FALSE)),"No encontrado o error"))</f>
        <v/>
      </c>
      <c r="AF601" s="395"/>
      <c r="AG601" s="394"/>
      <c r="AH601" s="429" t="str">
        <f>IF(OR(ISBLANK($B601),ISBLANK($AG601)),"",IFERROR(IF($AG601&lt;=DATE('ESTADO CONTABLE'!$B$2,11,5),VLOOKUP($B601,COSTOS!$A$2:$B1014,2,FALSE)-150,VLOOKUP($B601,COSTOS!$A$2:$B1014,2,FALSE)),"No encontrado o error"))</f>
        <v/>
      </c>
      <c r="AI601" s="395"/>
      <c r="AJ601" s="394"/>
      <c r="AK601" s="429" t="str">
        <f>IF(OR(ISBLANK($B601),ISBLANK($AJ601)),"",IFERROR(IF($AJ601&lt;=DATE('ESTADO CONTABLE'!$B$2,12,5),VLOOKUP($B601,COSTOS!$A$2:$B1014,2,FALSE)-150,VLOOKUP($B601,COSTOS!$A$2:$B1014,2,FALSE)),"No encontrado o error"))</f>
        <v/>
      </c>
      <c r="AL601" s="395"/>
      <c r="AM601" s="254"/>
      <c r="AN601" s="255"/>
      <c r="AO601" s="256"/>
    </row>
    <row r="602" ht="22.5" customHeight="1">
      <c r="A602" s="431" t="str">
        <f>'BASE DE DATOSS'!A676</f>
        <v/>
      </c>
      <c r="B602" s="432" t="str">
        <f>'BASE DE DATOSS'!C676</f>
        <v/>
      </c>
      <c r="C602" s="263"/>
      <c r="D602" s="249"/>
      <c r="E602" s="250"/>
      <c r="F602" s="251"/>
      <c r="G602" s="262"/>
      <c r="H602" s="257"/>
      <c r="I602" s="249"/>
      <c r="J602" s="193" t="str">
        <f>IF(OR(ISBLANK($B602),ISBLANK($I602)),"",IFERROR(IF($I602&lt;=DATE('ESTADO CONTABLE'!$B$2,3,5),VLOOKUP($B602,COSTOS!$A$2:$B1014,2,FALSE)-150,VLOOKUP($B602,COSTOS!$A$2:$B1014,2,FALSE)),"No encontrado o error"))</f>
        <v/>
      </c>
      <c r="K602" s="264"/>
      <c r="L602" s="249"/>
      <c r="M602" s="189"/>
      <c r="N602" s="264"/>
      <c r="O602" s="249"/>
      <c r="P602" s="250"/>
      <c r="Q602" s="264"/>
      <c r="R602" s="249"/>
      <c r="S602" s="250"/>
      <c r="T602" s="264"/>
      <c r="U602" s="249"/>
      <c r="V602" s="250"/>
      <c r="W602" s="264"/>
      <c r="X602" s="394"/>
      <c r="Y602" s="429"/>
      <c r="Z602" s="395"/>
      <c r="AA602" s="394"/>
      <c r="AB602" s="118" t="str">
        <f>IF(OR(ISBLANK($B602),ISBLANK($AA602)),"",IFERROR(IF($AA602&lt;=DATE('ESTADO CONTABLE'!$B$2,9,5),VLOOKUP($B602,COSTOS!$A$2:$B1014,2,FALSE)-150,VLOOKUP($B602,COSTOS!$A$2:$B1014,2,FALSE)),"No encontrado o error"))</f>
        <v/>
      </c>
      <c r="AC602" s="395"/>
      <c r="AD602" s="394"/>
      <c r="AE602" s="429" t="str">
        <f>IF(OR(ISBLANK($B602),ISBLANK($AD602)),"",IFERROR(IF($AD602&lt;=DATE('ESTADO CONTABLE'!$B$2,10,5),VLOOKUP($B602,COSTOS!$A$2:$B1014,2,FALSE)-150,VLOOKUP($B602,COSTOS!$A$2:$B1014,2,FALSE)),"No encontrado o error"))</f>
        <v/>
      </c>
      <c r="AF602" s="395"/>
      <c r="AG602" s="394"/>
      <c r="AH602" s="429" t="str">
        <f>IF(OR(ISBLANK($B602),ISBLANK($AG602)),"",IFERROR(IF($AG602&lt;=DATE('ESTADO CONTABLE'!$B$2,11,5),VLOOKUP($B602,COSTOS!$A$2:$B1014,2,FALSE)-150,VLOOKUP($B602,COSTOS!$A$2:$B1014,2,FALSE)),"No encontrado o error"))</f>
        <v/>
      </c>
      <c r="AI602" s="395"/>
      <c r="AJ602" s="394"/>
      <c r="AK602" s="429" t="str">
        <f>IF(OR(ISBLANK($B602),ISBLANK($AJ602)),"",IFERROR(IF($AJ602&lt;=DATE('ESTADO CONTABLE'!$B$2,12,5),VLOOKUP($B602,COSTOS!$A$2:$B1014,2,FALSE)-150,VLOOKUP($B602,COSTOS!$A$2:$B1014,2,FALSE)),"No encontrado o error"))</f>
        <v/>
      </c>
      <c r="AL602" s="395"/>
      <c r="AM602" s="254"/>
      <c r="AN602" s="255"/>
      <c r="AO602" s="256"/>
    </row>
    <row r="603" ht="22.5" customHeight="1">
      <c r="A603" s="431" t="str">
        <f>'BASE DE DATOSS'!A677</f>
        <v/>
      </c>
      <c r="B603" s="432" t="str">
        <f>'BASE DE DATOSS'!C677</f>
        <v/>
      </c>
      <c r="C603" s="263"/>
      <c r="D603" s="249"/>
      <c r="E603" s="250"/>
      <c r="F603" s="251"/>
      <c r="G603" s="262"/>
      <c r="H603" s="257"/>
      <c r="I603" s="249"/>
      <c r="J603" s="193" t="str">
        <f>IF(OR(ISBLANK($B603),ISBLANK($I603)),"",IFERROR(IF($I603&lt;=DATE('ESTADO CONTABLE'!$B$2,3,5),VLOOKUP($B603,COSTOS!$A$2:$B1014,2,FALSE)-150,VLOOKUP($B603,COSTOS!$A$2:$B1014,2,FALSE)),"No encontrado o error"))</f>
        <v/>
      </c>
      <c r="K603" s="264"/>
      <c r="L603" s="249"/>
      <c r="M603" s="189"/>
      <c r="N603" s="264"/>
      <c r="O603" s="249"/>
      <c r="P603" s="250"/>
      <c r="Q603" s="264"/>
      <c r="R603" s="249"/>
      <c r="S603" s="250"/>
      <c r="T603" s="264"/>
      <c r="U603" s="249"/>
      <c r="V603" s="250"/>
      <c r="W603" s="264"/>
      <c r="X603" s="394"/>
      <c r="Y603" s="429"/>
      <c r="Z603" s="395"/>
      <c r="AA603" s="394"/>
      <c r="AB603" s="118" t="str">
        <f>IF(OR(ISBLANK($B603),ISBLANK($AA603)),"",IFERROR(IF($AA603&lt;=DATE('ESTADO CONTABLE'!$B$2,9,5),VLOOKUP($B603,COSTOS!$A$2:$B1014,2,FALSE)-150,VLOOKUP($B603,COSTOS!$A$2:$B1014,2,FALSE)),"No encontrado o error"))</f>
        <v/>
      </c>
      <c r="AC603" s="395"/>
      <c r="AD603" s="394"/>
      <c r="AE603" s="429" t="str">
        <f>IF(OR(ISBLANK($B603),ISBLANK($AD603)),"",IFERROR(IF($AD603&lt;=DATE('ESTADO CONTABLE'!$B$2,10,5),VLOOKUP($B603,COSTOS!$A$2:$B1014,2,FALSE)-150,VLOOKUP($B603,COSTOS!$A$2:$B1014,2,FALSE)),"No encontrado o error"))</f>
        <v/>
      </c>
      <c r="AF603" s="395"/>
      <c r="AG603" s="394"/>
      <c r="AH603" s="429" t="str">
        <f>IF(OR(ISBLANK($B603),ISBLANK($AG603)),"",IFERROR(IF($AG603&lt;=DATE('ESTADO CONTABLE'!$B$2,11,5),VLOOKUP($B603,COSTOS!$A$2:$B1014,2,FALSE)-150,VLOOKUP($B603,COSTOS!$A$2:$B1014,2,FALSE)),"No encontrado o error"))</f>
        <v/>
      </c>
      <c r="AI603" s="395"/>
      <c r="AJ603" s="394"/>
      <c r="AK603" s="429" t="str">
        <f>IF(OR(ISBLANK($B603),ISBLANK($AJ603)),"",IFERROR(IF($AJ603&lt;=DATE('ESTADO CONTABLE'!$B$2,12,5),VLOOKUP($B603,COSTOS!$A$2:$B1014,2,FALSE)-150,VLOOKUP($B603,COSTOS!$A$2:$B1014,2,FALSE)),"No encontrado o error"))</f>
        <v/>
      </c>
      <c r="AL603" s="395"/>
      <c r="AM603" s="254"/>
      <c r="AN603" s="255"/>
      <c r="AO603" s="256"/>
    </row>
    <row r="604" ht="22.5" customHeight="1">
      <c r="A604" s="431" t="str">
        <f>'BASE DE DATOSS'!A678</f>
        <v/>
      </c>
      <c r="B604" s="432" t="str">
        <f>'BASE DE DATOSS'!C678</f>
        <v/>
      </c>
      <c r="C604" s="263"/>
      <c r="D604" s="249"/>
      <c r="E604" s="250"/>
      <c r="F604" s="251"/>
      <c r="G604" s="262"/>
      <c r="H604" s="257"/>
      <c r="I604" s="249"/>
      <c r="J604" s="193" t="str">
        <f>IF(OR(ISBLANK($B604),ISBLANK($I604)),"",IFERROR(IF($I604&lt;=DATE('ESTADO CONTABLE'!$B$2,3,5),VLOOKUP($B604,COSTOS!$A$2:$B1014,2,FALSE)-150,VLOOKUP($B604,COSTOS!$A$2:$B1014,2,FALSE)),"No encontrado o error"))</f>
        <v/>
      </c>
      <c r="K604" s="264"/>
      <c r="L604" s="249"/>
      <c r="M604" s="189"/>
      <c r="N604" s="264"/>
      <c r="O604" s="249"/>
      <c r="P604" s="250"/>
      <c r="Q604" s="264"/>
      <c r="R604" s="249"/>
      <c r="S604" s="250"/>
      <c r="T604" s="264"/>
      <c r="U604" s="249"/>
      <c r="V604" s="250"/>
      <c r="W604" s="264"/>
      <c r="X604" s="394"/>
      <c r="Y604" s="429"/>
      <c r="Z604" s="395"/>
      <c r="AA604" s="394"/>
      <c r="AB604" s="118" t="str">
        <f>IF(OR(ISBLANK($B604),ISBLANK($AA604)),"",IFERROR(IF($AA604&lt;=DATE('ESTADO CONTABLE'!$B$2,9,5),VLOOKUP($B604,COSTOS!$A$2:$B1014,2,FALSE)-150,VLOOKUP($B604,COSTOS!$A$2:$B1014,2,FALSE)),"No encontrado o error"))</f>
        <v/>
      </c>
      <c r="AC604" s="395"/>
      <c r="AD604" s="394"/>
      <c r="AE604" s="429" t="str">
        <f>IF(OR(ISBLANK($B604),ISBLANK($AD604)),"",IFERROR(IF($AD604&lt;=DATE('ESTADO CONTABLE'!$B$2,10,5),VLOOKUP($B604,COSTOS!$A$2:$B1014,2,FALSE)-150,VLOOKUP($B604,COSTOS!$A$2:$B1014,2,FALSE)),"No encontrado o error"))</f>
        <v/>
      </c>
      <c r="AF604" s="395"/>
      <c r="AG604" s="394"/>
      <c r="AH604" s="429" t="str">
        <f>IF(OR(ISBLANK($B604),ISBLANK($AG604)),"",IFERROR(IF($AG604&lt;=DATE('ESTADO CONTABLE'!$B$2,11,5),VLOOKUP($B604,COSTOS!$A$2:$B1014,2,FALSE)-150,VLOOKUP($B604,COSTOS!$A$2:$B1014,2,FALSE)),"No encontrado o error"))</f>
        <v/>
      </c>
      <c r="AI604" s="395"/>
      <c r="AJ604" s="394"/>
      <c r="AK604" s="429" t="str">
        <f>IF(OR(ISBLANK($B604),ISBLANK($AJ604)),"",IFERROR(IF($AJ604&lt;=DATE('ESTADO CONTABLE'!$B$2,12,5),VLOOKUP($B604,COSTOS!$A$2:$B1014,2,FALSE)-150,VLOOKUP($B604,COSTOS!$A$2:$B1014,2,FALSE)),"No encontrado o error"))</f>
        <v/>
      </c>
      <c r="AL604" s="395"/>
      <c r="AM604" s="254"/>
      <c r="AN604" s="255"/>
      <c r="AO604" s="256"/>
    </row>
    <row r="605" ht="22.5" customHeight="1">
      <c r="A605" s="431" t="str">
        <f>'BASE DE DATOSS'!A679</f>
        <v/>
      </c>
      <c r="B605" s="432" t="str">
        <f>'BASE DE DATOSS'!C679</f>
        <v/>
      </c>
      <c r="C605" s="263"/>
      <c r="D605" s="249"/>
      <c r="E605" s="250"/>
      <c r="F605" s="251"/>
      <c r="G605" s="262"/>
      <c r="H605" s="257"/>
      <c r="I605" s="249"/>
      <c r="J605" s="193" t="str">
        <f>IF(OR(ISBLANK($B605),ISBLANK($I605)),"",IFERROR(IF($I605&lt;=DATE('ESTADO CONTABLE'!$B$2,3,5),VLOOKUP($B605,COSTOS!$A$2:$B1014,2,FALSE)-150,VLOOKUP($B605,COSTOS!$A$2:$B1014,2,FALSE)),"No encontrado o error"))</f>
        <v/>
      </c>
      <c r="K605" s="264"/>
      <c r="L605" s="249"/>
      <c r="M605" s="189"/>
      <c r="N605" s="264"/>
      <c r="O605" s="249"/>
      <c r="P605" s="250"/>
      <c r="Q605" s="264"/>
      <c r="R605" s="249"/>
      <c r="S605" s="250"/>
      <c r="T605" s="264"/>
      <c r="U605" s="249"/>
      <c r="V605" s="250"/>
      <c r="W605" s="264"/>
      <c r="X605" s="394"/>
      <c r="Y605" s="429"/>
      <c r="Z605" s="395"/>
      <c r="AA605" s="394"/>
      <c r="AB605" s="118" t="str">
        <f>IF(OR(ISBLANK($B605),ISBLANK($AA605)),"",IFERROR(IF($AA605&lt;=DATE('ESTADO CONTABLE'!$B$2,9,5),VLOOKUP($B605,COSTOS!$A$2:$B1014,2,FALSE)-150,VLOOKUP($B605,COSTOS!$A$2:$B1014,2,FALSE)),"No encontrado o error"))</f>
        <v/>
      </c>
      <c r="AC605" s="395"/>
      <c r="AD605" s="394"/>
      <c r="AE605" s="429" t="str">
        <f>IF(OR(ISBLANK($B605),ISBLANK($AD605)),"",IFERROR(IF($AD605&lt;=DATE('ESTADO CONTABLE'!$B$2,10,5),VLOOKUP($B605,COSTOS!$A$2:$B1014,2,FALSE)-150,VLOOKUP($B605,COSTOS!$A$2:$B1014,2,FALSE)),"No encontrado o error"))</f>
        <v/>
      </c>
      <c r="AF605" s="395"/>
      <c r="AG605" s="394"/>
      <c r="AH605" s="429" t="str">
        <f>IF(OR(ISBLANK($B605),ISBLANK($AG605)),"",IFERROR(IF($AG605&lt;=DATE('ESTADO CONTABLE'!$B$2,11,5),VLOOKUP($B605,COSTOS!$A$2:$B1014,2,FALSE)-150,VLOOKUP($B605,COSTOS!$A$2:$B1014,2,FALSE)),"No encontrado o error"))</f>
        <v/>
      </c>
      <c r="AI605" s="395"/>
      <c r="AJ605" s="394"/>
      <c r="AK605" s="429" t="str">
        <f>IF(OR(ISBLANK($B605),ISBLANK($AJ605)),"",IFERROR(IF($AJ605&lt;=DATE('ESTADO CONTABLE'!$B$2,12,5),VLOOKUP($B605,COSTOS!$A$2:$B1014,2,FALSE)-150,VLOOKUP($B605,COSTOS!$A$2:$B1014,2,FALSE)),"No encontrado o error"))</f>
        <v/>
      </c>
      <c r="AL605" s="395"/>
      <c r="AM605" s="254"/>
      <c r="AN605" s="255"/>
      <c r="AO605" s="256"/>
    </row>
    <row r="606" ht="22.5" customHeight="1">
      <c r="A606" s="431" t="str">
        <f>'BASE DE DATOSS'!A680</f>
        <v/>
      </c>
      <c r="B606" s="432" t="str">
        <f>'BASE DE DATOSS'!C680</f>
        <v/>
      </c>
      <c r="C606" s="263"/>
      <c r="D606" s="249"/>
      <c r="E606" s="250"/>
      <c r="F606" s="251"/>
      <c r="G606" s="262"/>
      <c r="H606" s="257"/>
      <c r="I606" s="249"/>
      <c r="J606" s="193" t="str">
        <f>IF(OR(ISBLANK($B606),ISBLANK($I606)),"",IFERROR(IF($I606&lt;=DATE('ESTADO CONTABLE'!$B$2,3,5),VLOOKUP($B606,COSTOS!$A$2:$B1014,2,FALSE)-150,VLOOKUP($B606,COSTOS!$A$2:$B1014,2,FALSE)),"No encontrado o error"))</f>
        <v/>
      </c>
      <c r="K606" s="264"/>
      <c r="L606" s="249"/>
      <c r="M606" s="189"/>
      <c r="N606" s="264"/>
      <c r="O606" s="249"/>
      <c r="P606" s="250"/>
      <c r="Q606" s="264"/>
      <c r="R606" s="249"/>
      <c r="S606" s="250"/>
      <c r="T606" s="264"/>
      <c r="U606" s="249"/>
      <c r="V606" s="250"/>
      <c r="W606" s="264"/>
      <c r="X606" s="394"/>
      <c r="Y606" s="429"/>
      <c r="Z606" s="395"/>
      <c r="AA606" s="394"/>
      <c r="AB606" s="118" t="str">
        <f>IF(OR(ISBLANK($B606),ISBLANK($AA606)),"",IFERROR(IF($AA606&lt;=DATE('ESTADO CONTABLE'!$B$2,9,5),VLOOKUP($B606,COSTOS!$A$2:$B1014,2,FALSE)-150,VLOOKUP($B606,COSTOS!$A$2:$B1014,2,FALSE)),"No encontrado o error"))</f>
        <v/>
      </c>
      <c r="AC606" s="395"/>
      <c r="AD606" s="394"/>
      <c r="AE606" s="429" t="str">
        <f>IF(OR(ISBLANK($B606),ISBLANK($AD606)),"",IFERROR(IF($AD606&lt;=DATE('ESTADO CONTABLE'!$B$2,10,5),VLOOKUP($B606,COSTOS!$A$2:$B1014,2,FALSE)-150,VLOOKUP($B606,COSTOS!$A$2:$B1014,2,FALSE)),"No encontrado o error"))</f>
        <v/>
      </c>
      <c r="AF606" s="395"/>
      <c r="AG606" s="394"/>
      <c r="AH606" s="429" t="str">
        <f>IF(OR(ISBLANK($B606),ISBLANK($AG606)),"",IFERROR(IF($AG606&lt;=DATE('ESTADO CONTABLE'!$B$2,11,5),VLOOKUP($B606,COSTOS!$A$2:$B1014,2,FALSE)-150,VLOOKUP($B606,COSTOS!$A$2:$B1014,2,FALSE)),"No encontrado o error"))</f>
        <v/>
      </c>
      <c r="AI606" s="395"/>
      <c r="AJ606" s="394"/>
      <c r="AK606" s="429" t="str">
        <f>IF(OR(ISBLANK($B606),ISBLANK($AJ606)),"",IFERROR(IF($AJ606&lt;=DATE('ESTADO CONTABLE'!$B$2,12,5),VLOOKUP($B606,COSTOS!$A$2:$B1014,2,FALSE)-150,VLOOKUP($B606,COSTOS!$A$2:$B1014,2,FALSE)),"No encontrado o error"))</f>
        <v/>
      </c>
      <c r="AL606" s="395"/>
      <c r="AM606" s="254"/>
      <c r="AN606" s="255"/>
      <c r="AO606" s="256"/>
    </row>
    <row r="607" ht="22.5" customHeight="1">
      <c r="A607" s="431" t="str">
        <f>'BASE DE DATOSS'!A681</f>
        <v/>
      </c>
      <c r="B607" s="432" t="str">
        <f>'BASE DE DATOSS'!C681</f>
        <v/>
      </c>
      <c r="C607" s="263"/>
      <c r="D607" s="249"/>
      <c r="E607" s="250"/>
      <c r="F607" s="251"/>
      <c r="G607" s="262"/>
      <c r="H607" s="257"/>
      <c r="I607" s="249"/>
      <c r="J607" s="193" t="str">
        <f>IF(OR(ISBLANK($B607),ISBLANK($I607)),"",IFERROR(IF($I607&lt;=DATE('ESTADO CONTABLE'!$B$2,3,5),VLOOKUP($B607,COSTOS!$A$2:$B1014,2,FALSE)-150,VLOOKUP($B607,COSTOS!$A$2:$B1014,2,FALSE)),"No encontrado o error"))</f>
        <v/>
      </c>
      <c r="K607" s="264"/>
      <c r="L607" s="249"/>
      <c r="M607" s="189"/>
      <c r="N607" s="264"/>
      <c r="O607" s="249"/>
      <c r="P607" s="250"/>
      <c r="Q607" s="264"/>
      <c r="R607" s="249"/>
      <c r="S607" s="250"/>
      <c r="T607" s="264"/>
      <c r="U607" s="249"/>
      <c r="V607" s="250"/>
      <c r="W607" s="264"/>
      <c r="X607" s="394"/>
      <c r="Y607" s="429"/>
      <c r="Z607" s="395"/>
      <c r="AA607" s="394"/>
      <c r="AB607" s="118" t="str">
        <f>IF(OR(ISBLANK($B607),ISBLANK($AA607)),"",IFERROR(IF($AA607&lt;=DATE('ESTADO CONTABLE'!$B$2,9,5),VLOOKUP($B607,COSTOS!$A$2:$B1014,2,FALSE)-150,VLOOKUP($B607,COSTOS!$A$2:$B1014,2,FALSE)),"No encontrado o error"))</f>
        <v/>
      </c>
      <c r="AC607" s="395"/>
      <c r="AD607" s="394"/>
      <c r="AE607" s="429" t="str">
        <f>IF(OR(ISBLANK($B607),ISBLANK($AD607)),"",IFERROR(IF($AD607&lt;=DATE('ESTADO CONTABLE'!$B$2,10,5),VLOOKUP($B607,COSTOS!$A$2:$B1014,2,FALSE)-150,VLOOKUP($B607,COSTOS!$A$2:$B1014,2,FALSE)),"No encontrado o error"))</f>
        <v/>
      </c>
      <c r="AF607" s="395"/>
      <c r="AG607" s="394"/>
      <c r="AH607" s="429" t="str">
        <f>IF(OR(ISBLANK($B607),ISBLANK($AG607)),"",IFERROR(IF($AG607&lt;=DATE('ESTADO CONTABLE'!$B$2,11,5),VLOOKUP($B607,COSTOS!$A$2:$B1014,2,FALSE)-150,VLOOKUP($B607,COSTOS!$A$2:$B1014,2,FALSE)),"No encontrado o error"))</f>
        <v/>
      </c>
      <c r="AI607" s="395"/>
      <c r="AJ607" s="394"/>
      <c r="AK607" s="429" t="str">
        <f>IF(OR(ISBLANK($B607),ISBLANK($AJ607)),"",IFERROR(IF($AJ607&lt;=DATE('ESTADO CONTABLE'!$B$2,12,5),VLOOKUP($B607,COSTOS!$A$2:$B1014,2,FALSE)-150,VLOOKUP($B607,COSTOS!$A$2:$B1014,2,FALSE)),"No encontrado o error"))</f>
        <v/>
      </c>
      <c r="AL607" s="395"/>
      <c r="AM607" s="254"/>
      <c r="AN607" s="255"/>
      <c r="AO607" s="256"/>
    </row>
    <row r="608" ht="22.5" customHeight="1">
      <c r="A608" s="431" t="str">
        <f>'BASE DE DATOSS'!A682</f>
        <v/>
      </c>
      <c r="B608" s="432" t="str">
        <f>'BASE DE DATOSS'!C682</f>
        <v/>
      </c>
      <c r="C608" s="263"/>
      <c r="D608" s="249"/>
      <c r="E608" s="250"/>
      <c r="F608" s="251"/>
      <c r="G608" s="262"/>
      <c r="H608" s="257"/>
      <c r="I608" s="249"/>
      <c r="J608" s="193" t="str">
        <f>IF(OR(ISBLANK($B608),ISBLANK($I608)),"",IFERROR(IF($I608&lt;=DATE('ESTADO CONTABLE'!$B$2,3,5),VLOOKUP($B608,COSTOS!$A$2:$B1014,2,FALSE)-150,VLOOKUP($B608,COSTOS!$A$2:$B1014,2,FALSE)),"No encontrado o error"))</f>
        <v/>
      </c>
      <c r="K608" s="264"/>
      <c r="L608" s="249"/>
      <c r="M608" s="189"/>
      <c r="N608" s="264"/>
      <c r="O608" s="249"/>
      <c r="P608" s="250"/>
      <c r="Q608" s="264"/>
      <c r="R608" s="249"/>
      <c r="S608" s="250"/>
      <c r="T608" s="264"/>
      <c r="U608" s="249"/>
      <c r="V608" s="250"/>
      <c r="W608" s="264"/>
      <c r="X608" s="394"/>
      <c r="Y608" s="429"/>
      <c r="Z608" s="395"/>
      <c r="AA608" s="394"/>
      <c r="AB608" s="118" t="str">
        <f>IF(OR(ISBLANK($B608),ISBLANK($AA608)),"",IFERROR(IF($AA608&lt;=DATE('ESTADO CONTABLE'!$B$2,9,5),VLOOKUP($B608,COSTOS!$A$2:$B1014,2,FALSE)-150,VLOOKUP($B608,COSTOS!$A$2:$B1014,2,FALSE)),"No encontrado o error"))</f>
        <v/>
      </c>
      <c r="AC608" s="395"/>
      <c r="AD608" s="394"/>
      <c r="AE608" s="429" t="str">
        <f>IF(OR(ISBLANK($B608),ISBLANK($AD608)),"",IFERROR(IF($AD608&lt;=DATE('ESTADO CONTABLE'!$B$2,10,5),VLOOKUP($B608,COSTOS!$A$2:$B1014,2,FALSE)-150,VLOOKUP($B608,COSTOS!$A$2:$B1014,2,FALSE)),"No encontrado o error"))</f>
        <v/>
      </c>
      <c r="AF608" s="395"/>
      <c r="AG608" s="394"/>
      <c r="AH608" s="429" t="str">
        <f>IF(OR(ISBLANK($B608),ISBLANK($AG608)),"",IFERROR(IF($AG608&lt;=DATE('ESTADO CONTABLE'!$B$2,11,5),VLOOKUP($B608,COSTOS!$A$2:$B1014,2,FALSE)-150,VLOOKUP($B608,COSTOS!$A$2:$B1014,2,FALSE)),"No encontrado o error"))</f>
        <v/>
      </c>
      <c r="AI608" s="395"/>
      <c r="AJ608" s="394"/>
      <c r="AK608" s="429" t="str">
        <f>IF(OR(ISBLANK($B608),ISBLANK($AJ608)),"",IFERROR(IF($AJ608&lt;=DATE('ESTADO CONTABLE'!$B$2,12,5),VLOOKUP($B608,COSTOS!$A$2:$B1014,2,FALSE)-150,VLOOKUP($B608,COSTOS!$A$2:$B1014,2,FALSE)),"No encontrado o error"))</f>
        <v/>
      </c>
      <c r="AL608" s="395"/>
      <c r="AM608" s="254"/>
      <c r="AN608" s="255"/>
      <c r="AO608" s="256"/>
    </row>
    <row r="609" ht="22.5" customHeight="1">
      <c r="A609" s="431" t="str">
        <f>'BASE DE DATOSS'!A683</f>
        <v/>
      </c>
      <c r="B609" s="432" t="str">
        <f>'BASE DE DATOSS'!C683</f>
        <v/>
      </c>
      <c r="C609" s="263"/>
      <c r="D609" s="249"/>
      <c r="E609" s="250"/>
      <c r="F609" s="251"/>
      <c r="G609" s="262"/>
      <c r="H609" s="257"/>
      <c r="I609" s="249"/>
      <c r="J609" s="193" t="str">
        <f>IF(OR(ISBLANK($B609),ISBLANK($I609)),"",IFERROR(IF($I609&lt;=DATE('ESTADO CONTABLE'!$B$2,3,5),VLOOKUP($B609,COSTOS!$A$2:$B1014,2,FALSE)-150,VLOOKUP($B609,COSTOS!$A$2:$B1014,2,FALSE)),"No encontrado o error"))</f>
        <v/>
      </c>
      <c r="K609" s="264"/>
      <c r="L609" s="249"/>
      <c r="M609" s="189"/>
      <c r="N609" s="264"/>
      <c r="O609" s="249"/>
      <c r="P609" s="250"/>
      <c r="Q609" s="264"/>
      <c r="R609" s="249"/>
      <c r="S609" s="250"/>
      <c r="T609" s="264"/>
      <c r="U609" s="249"/>
      <c r="V609" s="250"/>
      <c r="W609" s="264"/>
      <c r="X609" s="394"/>
      <c r="Y609" s="429"/>
      <c r="Z609" s="395"/>
      <c r="AA609" s="394"/>
      <c r="AB609" s="118" t="str">
        <f>IF(OR(ISBLANK($B609),ISBLANK($AA609)),"",IFERROR(IF($AA609&lt;=DATE('ESTADO CONTABLE'!$B$2,9,5),VLOOKUP($B609,COSTOS!$A$2:$B1014,2,FALSE)-150,VLOOKUP($B609,COSTOS!$A$2:$B1014,2,FALSE)),"No encontrado o error"))</f>
        <v/>
      </c>
      <c r="AC609" s="395"/>
      <c r="AD609" s="394"/>
      <c r="AE609" s="429" t="str">
        <f>IF(OR(ISBLANK($B609),ISBLANK($AD609)),"",IFERROR(IF($AD609&lt;=DATE('ESTADO CONTABLE'!$B$2,10,5),VLOOKUP($B609,COSTOS!$A$2:$B1014,2,FALSE)-150,VLOOKUP($B609,COSTOS!$A$2:$B1014,2,FALSE)),"No encontrado o error"))</f>
        <v/>
      </c>
      <c r="AF609" s="395"/>
      <c r="AG609" s="394"/>
      <c r="AH609" s="429" t="str">
        <f>IF(OR(ISBLANK($B609),ISBLANK($AG609)),"",IFERROR(IF($AG609&lt;=DATE('ESTADO CONTABLE'!$B$2,11,5),VLOOKUP($B609,COSTOS!$A$2:$B1014,2,FALSE)-150,VLOOKUP($B609,COSTOS!$A$2:$B1014,2,FALSE)),"No encontrado o error"))</f>
        <v/>
      </c>
      <c r="AI609" s="395"/>
      <c r="AJ609" s="394"/>
      <c r="AK609" s="429" t="str">
        <f>IF(OR(ISBLANK($B609),ISBLANK($AJ609)),"",IFERROR(IF($AJ609&lt;=DATE('ESTADO CONTABLE'!$B$2,12,5),VLOOKUP($B609,COSTOS!$A$2:$B1014,2,FALSE)-150,VLOOKUP($B609,COSTOS!$A$2:$B1014,2,FALSE)),"No encontrado o error"))</f>
        <v/>
      </c>
      <c r="AL609" s="395"/>
      <c r="AM609" s="254"/>
      <c r="AN609" s="255"/>
      <c r="AO609" s="256"/>
    </row>
    <row r="610" ht="22.5" customHeight="1">
      <c r="A610" s="431" t="str">
        <f>'BASE DE DATOSS'!A684</f>
        <v/>
      </c>
      <c r="B610" s="432" t="str">
        <f>'BASE DE DATOSS'!C684</f>
        <v/>
      </c>
      <c r="C610" s="263"/>
      <c r="D610" s="249"/>
      <c r="E610" s="250"/>
      <c r="F610" s="251"/>
      <c r="G610" s="262"/>
      <c r="H610" s="257"/>
      <c r="I610" s="249"/>
      <c r="J610" s="193" t="str">
        <f>IF(OR(ISBLANK($B610),ISBLANK($I610)),"",IFERROR(IF($I610&lt;=DATE('ESTADO CONTABLE'!$B$2,3,5),VLOOKUP($B610,COSTOS!$A$2:$B1014,2,FALSE)-150,VLOOKUP($B610,COSTOS!$A$2:$B1014,2,FALSE)),"No encontrado o error"))</f>
        <v/>
      </c>
      <c r="K610" s="264"/>
      <c r="L610" s="249"/>
      <c r="M610" s="189"/>
      <c r="N610" s="264"/>
      <c r="O610" s="249"/>
      <c r="P610" s="250"/>
      <c r="Q610" s="264"/>
      <c r="R610" s="249"/>
      <c r="S610" s="250"/>
      <c r="T610" s="264"/>
      <c r="U610" s="249"/>
      <c r="V610" s="250"/>
      <c r="W610" s="264"/>
      <c r="X610" s="394"/>
      <c r="Y610" s="429"/>
      <c r="Z610" s="395"/>
      <c r="AA610" s="394"/>
      <c r="AB610" s="118" t="str">
        <f>IF(OR(ISBLANK($B610),ISBLANK($AA610)),"",IFERROR(IF($AA610&lt;=DATE('ESTADO CONTABLE'!$B$2,9,5),VLOOKUP($B610,COSTOS!$A$2:$B1014,2,FALSE)-150,VLOOKUP($B610,COSTOS!$A$2:$B1014,2,FALSE)),"No encontrado o error"))</f>
        <v/>
      </c>
      <c r="AC610" s="395"/>
      <c r="AD610" s="394"/>
      <c r="AE610" s="429" t="str">
        <f>IF(OR(ISBLANK($B610),ISBLANK($AD610)),"",IFERROR(IF($AD610&lt;=DATE('ESTADO CONTABLE'!$B$2,10,5),VLOOKUP($B610,COSTOS!$A$2:$B1014,2,FALSE)-150,VLOOKUP($B610,COSTOS!$A$2:$B1014,2,FALSE)),"No encontrado o error"))</f>
        <v/>
      </c>
      <c r="AF610" s="395"/>
      <c r="AG610" s="394"/>
      <c r="AH610" s="429" t="str">
        <f>IF(OR(ISBLANK($B610),ISBLANK($AG610)),"",IFERROR(IF($AG610&lt;=DATE('ESTADO CONTABLE'!$B$2,11,5),VLOOKUP($B610,COSTOS!$A$2:$B1014,2,FALSE)-150,VLOOKUP($B610,COSTOS!$A$2:$B1014,2,FALSE)),"No encontrado o error"))</f>
        <v/>
      </c>
      <c r="AI610" s="395"/>
      <c r="AJ610" s="394"/>
      <c r="AK610" s="429" t="str">
        <f>IF(OR(ISBLANK($B610),ISBLANK($AJ610)),"",IFERROR(IF($AJ610&lt;=DATE('ESTADO CONTABLE'!$B$2,12,5),VLOOKUP($B610,COSTOS!$A$2:$B1014,2,FALSE)-150,VLOOKUP($B610,COSTOS!$A$2:$B1014,2,FALSE)),"No encontrado o error"))</f>
        <v/>
      </c>
      <c r="AL610" s="395"/>
      <c r="AM610" s="254"/>
      <c r="AN610" s="255"/>
      <c r="AO610" s="256"/>
    </row>
    <row r="611" ht="22.5" customHeight="1">
      <c r="A611" s="431" t="str">
        <f>'BASE DE DATOSS'!A685</f>
        <v/>
      </c>
      <c r="B611" s="432" t="str">
        <f>'BASE DE DATOSS'!C685</f>
        <v/>
      </c>
      <c r="C611" s="263"/>
      <c r="D611" s="249"/>
      <c r="E611" s="250"/>
      <c r="F611" s="251"/>
      <c r="G611" s="262"/>
      <c r="H611" s="257"/>
      <c r="I611" s="249"/>
      <c r="J611" s="193" t="str">
        <f>IF(OR(ISBLANK($B611),ISBLANK($I611)),"",IFERROR(IF($I611&lt;=DATE('ESTADO CONTABLE'!$B$2,3,5),VLOOKUP($B611,COSTOS!$A$2:$B1014,2,FALSE)-150,VLOOKUP($B611,COSTOS!$A$2:$B1014,2,FALSE)),"No encontrado o error"))</f>
        <v/>
      </c>
      <c r="K611" s="264"/>
      <c r="L611" s="249"/>
      <c r="M611" s="189"/>
      <c r="N611" s="264"/>
      <c r="O611" s="249"/>
      <c r="P611" s="250"/>
      <c r="Q611" s="264"/>
      <c r="R611" s="249"/>
      <c r="S611" s="250"/>
      <c r="T611" s="264"/>
      <c r="U611" s="249"/>
      <c r="V611" s="250"/>
      <c r="W611" s="264"/>
      <c r="X611" s="394"/>
      <c r="Y611" s="429"/>
      <c r="Z611" s="395"/>
      <c r="AA611" s="394"/>
      <c r="AB611" s="118" t="str">
        <f>IF(OR(ISBLANK($B611),ISBLANK($AA611)),"",IFERROR(IF($AA611&lt;=DATE('ESTADO CONTABLE'!$B$2,9,5),VLOOKUP($B611,COSTOS!$A$2:$B1014,2,FALSE)-150,VLOOKUP($B611,COSTOS!$A$2:$B1014,2,FALSE)),"No encontrado o error"))</f>
        <v/>
      </c>
      <c r="AC611" s="395"/>
      <c r="AD611" s="394"/>
      <c r="AE611" s="429" t="str">
        <f>IF(OR(ISBLANK($B611),ISBLANK($AD611)),"",IFERROR(IF($AD611&lt;=DATE('ESTADO CONTABLE'!$B$2,10,5),VLOOKUP($B611,COSTOS!$A$2:$B1014,2,FALSE)-150,VLOOKUP($B611,COSTOS!$A$2:$B1014,2,FALSE)),"No encontrado o error"))</f>
        <v/>
      </c>
      <c r="AF611" s="395"/>
      <c r="AG611" s="394"/>
      <c r="AH611" s="429" t="str">
        <f>IF(OR(ISBLANK($B611),ISBLANK($AG611)),"",IFERROR(IF($AG611&lt;=DATE('ESTADO CONTABLE'!$B$2,11,5),VLOOKUP($B611,COSTOS!$A$2:$B1014,2,FALSE)-150,VLOOKUP($B611,COSTOS!$A$2:$B1014,2,FALSE)),"No encontrado o error"))</f>
        <v/>
      </c>
      <c r="AI611" s="395"/>
      <c r="AJ611" s="394"/>
      <c r="AK611" s="429" t="str">
        <f>IF(OR(ISBLANK($B611),ISBLANK($AJ611)),"",IFERROR(IF($AJ611&lt;=DATE('ESTADO CONTABLE'!$B$2,12,5),VLOOKUP($B611,COSTOS!$A$2:$B1014,2,FALSE)-150,VLOOKUP($B611,COSTOS!$A$2:$B1014,2,FALSE)),"No encontrado o error"))</f>
        <v/>
      </c>
      <c r="AL611" s="395"/>
      <c r="AM611" s="254"/>
      <c r="AN611" s="255"/>
      <c r="AO611" s="256"/>
    </row>
    <row r="612" ht="22.5" customHeight="1">
      <c r="A612" s="431" t="str">
        <f>'BASE DE DATOSS'!A686</f>
        <v/>
      </c>
      <c r="B612" s="432" t="str">
        <f>'BASE DE DATOSS'!C686</f>
        <v/>
      </c>
      <c r="C612" s="263"/>
      <c r="D612" s="249"/>
      <c r="E612" s="250"/>
      <c r="F612" s="251"/>
      <c r="G612" s="262"/>
      <c r="H612" s="257"/>
      <c r="I612" s="249"/>
      <c r="J612" s="193" t="str">
        <f>IF(OR(ISBLANK($B612),ISBLANK($I612)),"",IFERROR(IF($I612&lt;=DATE('ESTADO CONTABLE'!$B$2,3,5),VLOOKUP($B612,COSTOS!$A$2:$B1014,2,FALSE)-150,VLOOKUP($B612,COSTOS!$A$2:$B1014,2,FALSE)),"No encontrado o error"))</f>
        <v/>
      </c>
      <c r="K612" s="264"/>
      <c r="L612" s="249"/>
      <c r="M612" s="189"/>
      <c r="N612" s="264"/>
      <c r="O612" s="249"/>
      <c r="P612" s="250"/>
      <c r="Q612" s="264"/>
      <c r="R612" s="249"/>
      <c r="S612" s="250"/>
      <c r="T612" s="264"/>
      <c r="U612" s="249"/>
      <c r="V612" s="250"/>
      <c r="W612" s="264"/>
      <c r="X612" s="394"/>
      <c r="Y612" s="429"/>
      <c r="Z612" s="395"/>
      <c r="AA612" s="394"/>
      <c r="AB612" s="118" t="str">
        <f>IF(OR(ISBLANK($B612),ISBLANK($AA612)),"",IFERROR(IF($AA612&lt;=DATE('ESTADO CONTABLE'!$B$2,9,5),VLOOKUP($B612,COSTOS!$A$2:$B1014,2,FALSE)-150,VLOOKUP($B612,COSTOS!$A$2:$B1014,2,FALSE)),"No encontrado o error"))</f>
        <v/>
      </c>
      <c r="AC612" s="395"/>
      <c r="AD612" s="394"/>
      <c r="AE612" s="429" t="str">
        <f>IF(OR(ISBLANK($B612),ISBLANK($AD612)),"",IFERROR(IF($AD612&lt;=DATE('ESTADO CONTABLE'!$B$2,10,5),VLOOKUP($B612,COSTOS!$A$2:$B1014,2,FALSE)-150,VLOOKUP($B612,COSTOS!$A$2:$B1014,2,FALSE)),"No encontrado o error"))</f>
        <v/>
      </c>
      <c r="AF612" s="395"/>
      <c r="AG612" s="394"/>
      <c r="AH612" s="429" t="str">
        <f>IF(OR(ISBLANK($B612),ISBLANK($AG612)),"",IFERROR(IF($AG612&lt;=DATE('ESTADO CONTABLE'!$B$2,11,5),VLOOKUP($B612,COSTOS!$A$2:$B1014,2,FALSE)-150,VLOOKUP($B612,COSTOS!$A$2:$B1014,2,FALSE)),"No encontrado o error"))</f>
        <v/>
      </c>
      <c r="AI612" s="395"/>
      <c r="AJ612" s="394"/>
      <c r="AK612" s="429" t="str">
        <f>IF(OR(ISBLANK($B612),ISBLANK($AJ612)),"",IFERROR(IF($AJ612&lt;=DATE('ESTADO CONTABLE'!$B$2,12,5),VLOOKUP($B612,COSTOS!$A$2:$B1014,2,FALSE)-150,VLOOKUP($B612,COSTOS!$A$2:$B1014,2,FALSE)),"No encontrado o error"))</f>
        <v/>
      </c>
      <c r="AL612" s="395"/>
      <c r="AM612" s="254"/>
      <c r="AN612" s="255"/>
      <c r="AO612" s="256"/>
    </row>
    <row r="613" ht="22.5" customHeight="1">
      <c r="A613" s="431" t="str">
        <f>'BASE DE DATOSS'!A687</f>
        <v/>
      </c>
      <c r="B613" s="432" t="str">
        <f>'BASE DE DATOSS'!C687</f>
        <v/>
      </c>
      <c r="C613" s="263"/>
      <c r="D613" s="249"/>
      <c r="E613" s="250"/>
      <c r="F613" s="251"/>
      <c r="G613" s="262"/>
      <c r="H613" s="257"/>
      <c r="I613" s="249"/>
      <c r="J613" s="193" t="str">
        <f>IF(OR(ISBLANK($B613),ISBLANK($I613)),"",IFERROR(IF($I613&lt;=DATE('ESTADO CONTABLE'!$B$2,3,5),VLOOKUP($B613,COSTOS!$A$2:$B1014,2,FALSE)-150,VLOOKUP($B613,COSTOS!$A$2:$B1014,2,FALSE)),"No encontrado o error"))</f>
        <v/>
      </c>
      <c r="K613" s="264"/>
      <c r="L613" s="249"/>
      <c r="M613" s="189"/>
      <c r="N613" s="264"/>
      <c r="O613" s="249"/>
      <c r="P613" s="250"/>
      <c r="Q613" s="264"/>
      <c r="R613" s="249"/>
      <c r="S613" s="250"/>
      <c r="T613" s="264"/>
      <c r="U613" s="249"/>
      <c r="V613" s="250"/>
      <c r="W613" s="264"/>
      <c r="X613" s="394"/>
      <c r="Y613" s="429"/>
      <c r="Z613" s="395"/>
      <c r="AA613" s="394"/>
      <c r="AB613" s="118" t="str">
        <f>IF(OR(ISBLANK($B613),ISBLANK($AA613)),"",IFERROR(IF($AA613&lt;=DATE('ESTADO CONTABLE'!$B$2,9,5),VLOOKUP($B613,COSTOS!$A$2:$B1014,2,FALSE)-150,VLOOKUP($B613,COSTOS!$A$2:$B1014,2,FALSE)),"No encontrado o error"))</f>
        <v/>
      </c>
      <c r="AC613" s="395"/>
      <c r="AD613" s="394"/>
      <c r="AE613" s="429" t="str">
        <f>IF(OR(ISBLANK($B613),ISBLANK($AD613)),"",IFERROR(IF($AD613&lt;=DATE('ESTADO CONTABLE'!$B$2,10,5),VLOOKUP($B613,COSTOS!$A$2:$B1014,2,FALSE)-150,VLOOKUP($B613,COSTOS!$A$2:$B1014,2,FALSE)),"No encontrado o error"))</f>
        <v/>
      </c>
      <c r="AF613" s="395"/>
      <c r="AG613" s="394"/>
      <c r="AH613" s="429" t="str">
        <f>IF(OR(ISBLANK($B613),ISBLANK($AG613)),"",IFERROR(IF($AG613&lt;=DATE('ESTADO CONTABLE'!$B$2,11,5),VLOOKUP($B613,COSTOS!$A$2:$B1014,2,FALSE)-150,VLOOKUP($B613,COSTOS!$A$2:$B1014,2,FALSE)),"No encontrado o error"))</f>
        <v/>
      </c>
      <c r="AI613" s="395"/>
      <c r="AJ613" s="394"/>
      <c r="AK613" s="429" t="str">
        <f>IF(OR(ISBLANK($B613),ISBLANK($AJ613)),"",IFERROR(IF($AJ613&lt;=DATE('ESTADO CONTABLE'!$B$2,12,5),VLOOKUP($B613,COSTOS!$A$2:$B1014,2,FALSE)-150,VLOOKUP($B613,COSTOS!$A$2:$B1014,2,FALSE)),"No encontrado o error"))</f>
        <v/>
      </c>
      <c r="AL613" s="395"/>
      <c r="AM613" s="254"/>
      <c r="AN613" s="255"/>
      <c r="AO613" s="256"/>
    </row>
    <row r="614" ht="22.5" customHeight="1">
      <c r="A614" s="431" t="str">
        <f>'BASE DE DATOSS'!A688</f>
        <v/>
      </c>
      <c r="B614" s="432" t="str">
        <f>'BASE DE DATOSS'!C688</f>
        <v/>
      </c>
      <c r="C614" s="263"/>
      <c r="D614" s="249"/>
      <c r="E614" s="250"/>
      <c r="F614" s="251"/>
      <c r="G614" s="262"/>
      <c r="H614" s="257"/>
      <c r="I614" s="249"/>
      <c r="J614" s="193" t="str">
        <f>IF(OR(ISBLANK($B614),ISBLANK($I614)),"",IFERROR(IF($I614&lt;=DATE('ESTADO CONTABLE'!$B$2,3,5),VLOOKUP($B614,COSTOS!$A$2:$B1014,2,FALSE)-150,VLOOKUP($B614,COSTOS!$A$2:$B1014,2,FALSE)),"No encontrado o error"))</f>
        <v/>
      </c>
      <c r="K614" s="264"/>
      <c r="L614" s="249"/>
      <c r="M614" s="189"/>
      <c r="N614" s="264"/>
      <c r="O614" s="249"/>
      <c r="P614" s="250"/>
      <c r="Q614" s="264"/>
      <c r="R614" s="249"/>
      <c r="S614" s="250"/>
      <c r="T614" s="264"/>
      <c r="U614" s="249"/>
      <c r="V614" s="250"/>
      <c r="W614" s="264"/>
      <c r="X614" s="394"/>
      <c r="Y614" s="429"/>
      <c r="Z614" s="395"/>
      <c r="AA614" s="394"/>
      <c r="AB614" s="118" t="str">
        <f>IF(OR(ISBLANK($B614),ISBLANK($AA614)),"",IFERROR(IF($AA614&lt;=DATE('ESTADO CONTABLE'!$B$2,9,5),VLOOKUP($B614,COSTOS!$A$2:$B1014,2,FALSE)-150,VLOOKUP($B614,COSTOS!$A$2:$B1014,2,FALSE)),"No encontrado o error"))</f>
        <v/>
      </c>
      <c r="AC614" s="395"/>
      <c r="AD614" s="394"/>
      <c r="AE614" s="429" t="str">
        <f>IF(OR(ISBLANK($B614),ISBLANK($AD614)),"",IFERROR(IF($AD614&lt;=DATE('ESTADO CONTABLE'!$B$2,10,5),VLOOKUP($B614,COSTOS!$A$2:$B1014,2,FALSE)-150,VLOOKUP($B614,COSTOS!$A$2:$B1014,2,FALSE)),"No encontrado o error"))</f>
        <v/>
      </c>
      <c r="AF614" s="395"/>
      <c r="AG614" s="394"/>
      <c r="AH614" s="429" t="str">
        <f>IF(OR(ISBLANK($B614),ISBLANK($AG614)),"",IFERROR(IF($AG614&lt;=DATE('ESTADO CONTABLE'!$B$2,11,5),VLOOKUP($B614,COSTOS!$A$2:$B1014,2,FALSE)-150,VLOOKUP($B614,COSTOS!$A$2:$B1014,2,FALSE)),"No encontrado o error"))</f>
        <v/>
      </c>
      <c r="AI614" s="395"/>
      <c r="AJ614" s="394"/>
      <c r="AK614" s="429" t="str">
        <f>IF(OR(ISBLANK($B614),ISBLANK($AJ614)),"",IFERROR(IF($AJ614&lt;=DATE('ESTADO CONTABLE'!$B$2,12,5),VLOOKUP($B614,COSTOS!$A$2:$B1014,2,FALSE)-150,VLOOKUP($B614,COSTOS!$A$2:$B1014,2,FALSE)),"No encontrado o error"))</f>
        <v/>
      </c>
      <c r="AL614" s="395"/>
      <c r="AM614" s="254"/>
      <c r="AN614" s="255"/>
      <c r="AO614" s="256"/>
    </row>
    <row r="615" ht="22.5" customHeight="1">
      <c r="A615" s="431" t="str">
        <f>'BASE DE DATOSS'!A689</f>
        <v/>
      </c>
      <c r="B615" s="432" t="str">
        <f>'BASE DE DATOSS'!C689</f>
        <v/>
      </c>
      <c r="C615" s="263"/>
      <c r="D615" s="249"/>
      <c r="E615" s="250"/>
      <c r="F615" s="251"/>
      <c r="G615" s="262"/>
      <c r="H615" s="257"/>
      <c r="I615" s="249"/>
      <c r="J615" s="193" t="str">
        <f>IF(OR(ISBLANK($B615),ISBLANK($I615)),"",IFERROR(IF($I615&lt;=DATE('ESTADO CONTABLE'!$B$2,3,5),VLOOKUP($B615,COSTOS!$A$2:$B1014,2,FALSE)-150,VLOOKUP($B615,COSTOS!$A$2:$B1014,2,FALSE)),"No encontrado o error"))</f>
        <v/>
      </c>
      <c r="K615" s="264"/>
      <c r="L615" s="249"/>
      <c r="M615" s="189"/>
      <c r="N615" s="264"/>
      <c r="O615" s="249"/>
      <c r="P615" s="250"/>
      <c r="Q615" s="264"/>
      <c r="R615" s="249"/>
      <c r="S615" s="250"/>
      <c r="T615" s="264"/>
      <c r="U615" s="249"/>
      <c r="V615" s="250"/>
      <c r="W615" s="264"/>
      <c r="X615" s="394"/>
      <c r="Y615" s="429"/>
      <c r="Z615" s="395"/>
      <c r="AA615" s="394"/>
      <c r="AB615" s="118" t="str">
        <f>IF(OR(ISBLANK($B615),ISBLANK($AA615)),"",IFERROR(IF($AA615&lt;=DATE('ESTADO CONTABLE'!$B$2,9,5),VLOOKUP($B615,COSTOS!$A$2:$B1014,2,FALSE)-150,VLOOKUP($B615,COSTOS!$A$2:$B1014,2,FALSE)),"No encontrado o error"))</f>
        <v/>
      </c>
      <c r="AC615" s="395"/>
      <c r="AD615" s="394"/>
      <c r="AE615" s="429" t="str">
        <f>IF(OR(ISBLANK($B615),ISBLANK($AD615)),"",IFERROR(IF($AD615&lt;=DATE('ESTADO CONTABLE'!$B$2,10,5),VLOOKUP($B615,COSTOS!$A$2:$B1014,2,FALSE)-150,VLOOKUP($B615,COSTOS!$A$2:$B1014,2,FALSE)),"No encontrado o error"))</f>
        <v/>
      </c>
      <c r="AF615" s="395"/>
      <c r="AG615" s="394"/>
      <c r="AH615" s="429" t="str">
        <f>IF(OR(ISBLANK($B615),ISBLANK($AG615)),"",IFERROR(IF($AG615&lt;=DATE('ESTADO CONTABLE'!$B$2,11,5),VLOOKUP($B615,COSTOS!$A$2:$B1014,2,FALSE)-150,VLOOKUP($B615,COSTOS!$A$2:$B1014,2,FALSE)),"No encontrado o error"))</f>
        <v/>
      </c>
      <c r="AI615" s="395"/>
      <c r="AJ615" s="394"/>
      <c r="AK615" s="429" t="str">
        <f>IF(OR(ISBLANK($B615),ISBLANK($AJ615)),"",IFERROR(IF($AJ615&lt;=DATE('ESTADO CONTABLE'!$B$2,12,5),VLOOKUP($B615,COSTOS!$A$2:$B1014,2,FALSE)-150,VLOOKUP($B615,COSTOS!$A$2:$B1014,2,FALSE)),"No encontrado o error"))</f>
        <v/>
      </c>
      <c r="AL615" s="395"/>
      <c r="AM615" s="254"/>
      <c r="AN615" s="255"/>
      <c r="AO615" s="256"/>
    </row>
    <row r="616" ht="22.5" customHeight="1">
      <c r="A616" s="431" t="str">
        <f>'BASE DE DATOSS'!A690</f>
        <v/>
      </c>
      <c r="B616" s="432" t="str">
        <f>'BASE DE DATOSS'!C690</f>
        <v/>
      </c>
      <c r="C616" s="263"/>
      <c r="D616" s="249"/>
      <c r="E616" s="250"/>
      <c r="F616" s="251"/>
      <c r="G616" s="262"/>
      <c r="H616" s="257"/>
      <c r="I616" s="249"/>
      <c r="J616" s="193" t="str">
        <f>IF(OR(ISBLANK($B616),ISBLANK($I616)),"",IFERROR(IF($I616&lt;=DATE('ESTADO CONTABLE'!$B$2,3,5),VLOOKUP($B616,COSTOS!$A$2:$B1014,2,FALSE)-150,VLOOKUP($B616,COSTOS!$A$2:$B1014,2,FALSE)),"No encontrado o error"))</f>
        <v/>
      </c>
      <c r="K616" s="264"/>
      <c r="L616" s="249"/>
      <c r="M616" s="189"/>
      <c r="N616" s="264"/>
      <c r="O616" s="249"/>
      <c r="P616" s="250"/>
      <c r="Q616" s="264"/>
      <c r="R616" s="249"/>
      <c r="S616" s="250"/>
      <c r="T616" s="264"/>
      <c r="U616" s="249"/>
      <c r="V616" s="250"/>
      <c r="W616" s="264"/>
      <c r="X616" s="394"/>
      <c r="Y616" s="429"/>
      <c r="Z616" s="395"/>
      <c r="AA616" s="394"/>
      <c r="AB616" s="118" t="str">
        <f>IF(OR(ISBLANK($B616),ISBLANK($AA616)),"",IFERROR(IF($AA616&lt;=DATE('ESTADO CONTABLE'!$B$2,9,5),VLOOKUP($B616,COSTOS!$A$2:$B1014,2,FALSE)-150,VLOOKUP($B616,COSTOS!$A$2:$B1014,2,FALSE)),"No encontrado o error"))</f>
        <v/>
      </c>
      <c r="AC616" s="395"/>
      <c r="AD616" s="394"/>
      <c r="AE616" s="429" t="str">
        <f>IF(OR(ISBLANK($B616),ISBLANK($AD616)),"",IFERROR(IF($AD616&lt;=DATE('ESTADO CONTABLE'!$B$2,10,5),VLOOKUP($B616,COSTOS!$A$2:$B1014,2,FALSE)-150,VLOOKUP($B616,COSTOS!$A$2:$B1014,2,FALSE)),"No encontrado o error"))</f>
        <v/>
      </c>
      <c r="AF616" s="395"/>
      <c r="AG616" s="394"/>
      <c r="AH616" s="429" t="str">
        <f>IF(OR(ISBLANK($B616),ISBLANK($AG616)),"",IFERROR(IF($AG616&lt;=DATE('ESTADO CONTABLE'!$B$2,11,5),VLOOKUP($B616,COSTOS!$A$2:$B1014,2,FALSE)-150,VLOOKUP($B616,COSTOS!$A$2:$B1014,2,FALSE)),"No encontrado o error"))</f>
        <v/>
      </c>
      <c r="AI616" s="395"/>
      <c r="AJ616" s="394"/>
      <c r="AK616" s="429" t="str">
        <f>IF(OR(ISBLANK($B616),ISBLANK($AJ616)),"",IFERROR(IF($AJ616&lt;=DATE('ESTADO CONTABLE'!$B$2,12,5),VLOOKUP($B616,COSTOS!$A$2:$B1014,2,FALSE)-150,VLOOKUP($B616,COSTOS!$A$2:$B1014,2,FALSE)),"No encontrado o error"))</f>
        <v/>
      </c>
      <c r="AL616" s="395"/>
      <c r="AM616" s="254"/>
      <c r="AN616" s="255"/>
      <c r="AO616" s="256"/>
    </row>
    <row r="617" ht="22.5" customHeight="1">
      <c r="A617" s="431" t="str">
        <f>'BASE DE DATOSS'!A691</f>
        <v/>
      </c>
      <c r="B617" s="432" t="str">
        <f>'BASE DE DATOSS'!C691</f>
        <v/>
      </c>
      <c r="C617" s="263"/>
      <c r="D617" s="249"/>
      <c r="E617" s="250"/>
      <c r="F617" s="251"/>
      <c r="G617" s="262"/>
      <c r="H617" s="257"/>
      <c r="I617" s="249"/>
      <c r="J617" s="193" t="str">
        <f>IF(OR(ISBLANK($B617),ISBLANK($I617)),"",IFERROR(IF($I617&lt;=DATE('ESTADO CONTABLE'!$B$2,3,5),VLOOKUP($B617,COSTOS!$A$2:$B1014,2,FALSE)-150,VLOOKUP($B617,COSTOS!$A$2:$B1014,2,FALSE)),"No encontrado o error"))</f>
        <v/>
      </c>
      <c r="K617" s="264"/>
      <c r="L617" s="249"/>
      <c r="M617" s="189"/>
      <c r="N617" s="264"/>
      <c r="O617" s="249"/>
      <c r="P617" s="250"/>
      <c r="Q617" s="264"/>
      <c r="R617" s="249"/>
      <c r="S617" s="250"/>
      <c r="T617" s="264"/>
      <c r="U617" s="249"/>
      <c r="V617" s="250"/>
      <c r="W617" s="264"/>
      <c r="X617" s="394"/>
      <c r="Y617" s="429"/>
      <c r="Z617" s="395"/>
      <c r="AA617" s="394"/>
      <c r="AB617" s="118" t="str">
        <f>IF(OR(ISBLANK($B617),ISBLANK($AA617)),"",IFERROR(IF($AA617&lt;=DATE('ESTADO CONTABLE'!$B$2,9,5),VLOOKUP($B617,COSTOS!$A$2:$B1014,2,FALSE)-150,VLOOKUP($B617,COSTOS!$A$2:$B1014,2,FALSE)),"No encontrado o error"))</f>
        <v/>
      </c>
      <c r="AC617" s="395"/>
      <c r="AD617" s="394"/>
      <c r="AE617" s="429" t="str">
        <f>IF(OR(ISBLANK($B617),ISBLANK($AD617)),"",IFERROR(IF($AD617&lt;=DATE('ESTADO CONTABLE'!$B$2,10,5),VLOOKUP($B617,COSTOS!$A$2:$B1014,2,FALSE)-150,VLOOKUP($B617,COSTOS!$A$2:$B1014,2,FALSE)),"No encontrado o error"))</f>
        <v/>
      </c>
      <c r="AF617" s="395"/>
      <c r="AG617" s="394"/>
      <c r="AH617" s="429" t="str">
        <f>IF(OR(ISBLANK($B617),ISBLANK($AG617)),"",IFERROR(IF($AG617&lt;=DATE('ESTADO CONTABLE'!$B$2,11,5),VLOOKUP($B617,COSTOS!$A$2:$B1014,2,FALSE)-150,VLOOKUP($B617,COSTOS!$A$2:$B1014,2,FALSE)),"No encontrado o error"))</f>
        <v/>
      </c>
      <c r="AI617" s="395"/>
      <c r="AJ617" s="394"/>
      <c r="AK617" s="429" t="str">
        <f>IF(OR(ISBLANK($B617),ISBLANK($AJ617)),"",IFERROR(IF($AJ617&lt;=DATE('ESTADO CONTABLE'!$B$2,12,5),VLOOKUP($B617,COSTOS!$A$2:$B1014,2,FALSE)-150,VLOOKUP($B617,COSTOS!$A$2:$B1014,2,FALSE)),"No encontrado o error"))</f>
        <v/>
      </c>
      <c r="AL617" s="395"/>
      <c r="AM617" s="254"/>
      <c r="AN617" s="255"/>
      <c r="AO617" s="256"/>
    </row>
    <row r="618" ht="22.5" customHeight="1">
      <c r="A618" s="431" t="str">
        <f>'BASE DE DATOSS'!A692</f>
        <v/>
      </c>
      <c r="B618" s="432" t="str">
        <f>'BASE DE DATOSS'!C692</f>
        <v/>
      </c>
      <c r="C618" s="263"/>
      <c r="D618" s="249"/>
      <c r="E618" s="250"/>
      <c r="F618" s="251"/>
      <c r="G618" s="262"/>
      <c r="H618" s="257"/>
      <c r="I618" s="249"/>
      <c r="J618" s="193" t="str">
        <f>IF(OR(ISBLANK($B618),ISBLANK($I618)),"",IFERROR(IF($I618&lt;=DATE('ESTADO CONTABLE'!$B$2,3,5),VLOOKUP($B618,COSTOS!$A$2:$B1014,2,FALSE)-150,VLOOKUP($B618,COSTOS!$A$2:$B1014,2,FALSE)),"No encontrado o error"))</f>
        <v/>
      </c>
      <c r="K618" s="264"/>
      <c r="L618" s="249"/>
      <c r="M618" s="189"/>
      <c r="N618" s="264"/>
      <c r="O618" s="249"/>
      <c r="P618" s="250"/>
      <c r="Q618" s="264"/>
      <c r="R618" s="249"/>
      <c r="S618" s="250"/>
      <c r="T618" s="264"/>
      <c r="U618" s="249"/>
      <c r="V618" s="250"/>
      <c r="W618" s="264"/>
      <c r="X618" s="394"/>
      <c r="Y618" s="429"/>
      <c r="Z618" s="395"/>
      <c r="AA618" s="394"/>
      <c r="AB618" s="118" t="str">
        <f>IF(OR(ISBLANK($B618),ISBLANK($AA618)),"",IFERROR(IF($AA618&lt;=DATE('ESTADO CONTABLE'!$B$2,9,5),VLOOKUP($B618,COSTOS!$A$2:$B1014,2,FALSE)-150,VLOOKUP($B618,COSTOS!$A$2:$B1014,2,FALSE)),"No encontrado o error"))</f>
        <v/>
      </c>
      <c r="AC618" s="395"/>
      <c r="AD618" s="394"/>
      <c r="AE618" s="429" t="str">
        <f>IF(OR(ISBLANK($B618),ISBLANK($AD618)),"",IFERROR(IF($AD618&lt;=DATE('ESTADO CONTABLE'!$B$2,10,5),VLOOKUP($B618,COSTOS!$A$2:$B1014,2,FALSE)-150,VLOOKUP($B618,COSTOS!$A$2:$B1014,2,FALSE)),"No encontrado o error"))</f>
        <v/>
      </c>
      <c r="AF618" s="395"/>
      <c r="AG618" s="394"/>
      <c r="AH618" s="429" t="str">
        <f>IF(OR(ISBLANK($B618),ISBLANK($AG618)),"",IFERROR(IF($AG618&lt;=DATE('ESTADO CONTABLE'!$B$2,11,5),VLOOKUP($B618,COSTOS!$A$2:$B1014,2,FALSE)-150,VLOOKUP($B618,COSTOS!$A$2:$B1014,2,FALSE)),"No encontrado o error"))</f>
        <v/>
      </c>
      <c r="AI618" s="395"/>
      <c r="AJ618" s="394"/>
      <c r="AK618" s="429" t="str">
        <f>IF(OR(ISBLANK($B618),ISBLANK($AJ618)),"",IFERROR(IF($AJ618&lt;=DATE('ESTADO CONTABLE'!$B$2,12,5),VLOOKUP($B618,COSTOS!$A$2:$B1014,2,FALSE)-150,VLOOKUP($B618,COSTOS!$A$2:$B1014,2,FALSE)),"No encontrado o error"))</f>
        <v/>
      </c>
      <c r="AL618" s="395"/>
      <c r="AM618" s="254"/>
      <c r="AN618" s="255"/>
      <c r="AO618" s="256"/>
    </row>
    <row r="619" ht="22.5" customHeight="1">
      <c r="A619" s="431" t="str">
        <f>'BASE DE DATOSS'!A693</f>
        <v/>
      </c>
      <c r="B619" s="432" t="str">
        <f>'BASE DE DATOSS'!C693</f>
        <v/>
      </c>
      <c r="C619" s="263"/>
      <c r="D619" s="249"/>
      <c r="E619" s="250"/>
      <c r="F619" s="251"/>
      <c r="G619" s="262"/>
      <c r="H619" s="257"/>
      <c r="I619" s="249"/>
      <c r="J619" s="193" t="str">
        <f>IF(OR(ISBLANK($B619),ISBLANK($I619)),"",IFERROR(IF($I619&lt;=DATE('ESTADO CONTABLE'!$B$2,3,5),VLOOKUP($B619,COSTOS!$A$2:$B1014,2,FALSE)-150,VLOOKUP($B619,COSTOS!$A$2:$B1014,2,FALSE)),"No encontrado o error"))</f>
        <v/>
      </c>
      <c r="K619" s="264"/>
      <c r="L619" s="249"/>
      <c r="M619" s="189"/>
      <c r="N619" s="264"/>
      <c r="O619" s="249"/>
      <c r="P619" s="250"/>
      <c r="Q619" s="264"/>
      <c r="R619" s="249"/>
      <c r="S619" s="250"/>
      <c r="T619" s="264"/>
      <c r="U619" s="249"/>
      <c r="V619" s="250"/>
      <c r="W619" s="264"/>
      <c r="X619" s="394"/>
      <c r="Y619" s="429"/>
      <c r="Z619" s="395"/>
      <c r="AA619" s="394"/>
      <c r="AB619" s="118" t="str">
        <f>IF(OR(ISBLANK($B619),ISBLANK($AA619)),"",IFERROR(IF($AA619&lt;=DATE('ESTADO CONTABLE'!$B$2,9,5),VLOOKUP($B619,COSTOS!$A$2:$B1014,2,FALSE)-150,VLOOKUP($B619,COSTOS!$A$2:$B1014,2,FALSE)),"No encontrado o error"))</f>
        <v/>
      </c>
      <c r="AC619" s="395"/>
      <c r="AD619" s="394"/>
      <c r="AE619" s="429" t="str">
        <f>IF(OR(ISBLANK($B619),ISBLANK($AD619)),"",IFERROR(IF($AD619&lt;=DATE('ESTADO CONTABLE'!$B$2,10,5),VLOOKUP($B619,COSTOS!$A$2:$B1014,2,FALSE)-150,VLOOKUP($B619,COSTOS!$A$2:$B1014,2,FALSE)),"No encontrado o error"))</f>
        <v/>
      </c>
      <c r="AF619" s="395"/>
      <c r="AG619" s="394"/>
      <c r="AH619" s="429" t="str">
        <f>IF(OR(ISBLANK($B619),ISBLANK($AG619)),"",IFERROR(IF($AG619&lt;=DATE('ESTADO CONTABLE'!$B$2,11,5),VLOOKUP($B619,COSTOS!$A$2:$B1014,2,FALSE)-150,VLOOKUP($B619,COSTOS!$A$2:$B1014,2,FALSE)),"No encontrado o error"))</f>
        <v/>
      </c>
      <c r="AI619" s="395"/>
      <c r="AJ619" s="394"/>
      <c r="AK619" s="429" t="str">
        <f>IF(OR(ISBLANK($B619),ISBLANK($AJ619)),"",IFERROR(IF($AJ619&lt;=DATE('ESTADO CONTABLE'!$B$2,12,5),VLOOKUP($B619,COSTOS!$A$2:$B1014,2,FALSE)-150,VLOOKUP($B619,COSTOS!$A$2:$B1014,2,FALSE)),"No encontrado o error"))</f>
        <v/>
      </c>
      <c r="AL619" s="395"/>
      <c r="AM619" s="254"/>
      <c r="AN619" s="255"/>
      <c r="AO619" s="256"/>
    </row>
    <row r="620" ht="22.5" customHeight="1">
      <c r="A620" s="431" t="str">
        <f>'BASE DE DATOSS'!A694</f>
        <v/>
      </c>
      <c r="B620" s="432" t="str">
        <f>'BASE DE DATOSS'!C694</f>
        <v/>
      </c>
      <c r="C620" s="263"/>
      <c r="D620" s="249"/>
      <c r="E620" s="250"/>
      <c r="F620" s="251"/>
      <c r="G620" s="262"/>
      <c r="H620" s="257"/>
      <c r="I620" s="249"/>
      <c r="J620" s="193" t="str">
        <f>IF(OR(ISBLANK($B620),ISBLANK($I620)),"",IFERROR(IF($I620&lt;=DATE('ESTADO CONTABLE'!$B$2,3,5),VLOOKUP($B620,COSTOS!$A$2:$B1014,2,FALSE)-150,VLOOKUP($B620,COSTOS!$A$2:$B1014,2,FALSE)),"No encontrado o error"))</f>
        <v/>
      </c>
      <c r="K620" s="264"/>
      <c r="L620" s="249"/>
      <c r="M620" s="189"/>
      <c r="N620" s="264"/>
      <c r="O620" s="249"/>
      <c r="P620" s="250"/>
      <c r="Q620" s="264"/>
      <c r="R620" s="249"/>
      <c r="S620" s="250"/>
      <c r="T620" s="264"/>
      <c r="U620" s="249"/>
      <c r="V620" s="250"/>
      <c r="W620" s="264"/>
      <c r="X620" s="394"/>
      <c r="Y620" s="429"/>
      <c r="Z620" s="395"/>
      <c r="AA620" s="394"/>
      <c r="AB620" s="118" t="str">
        <f>IF(OR(ISBLANK($B620),ISBLANK($AA620)),"",IFERROR(IF($AA620&lt;=DATE('ESTADO CONTABLE'!$B$2,9,5),VLOOKUP($B620,COSTOS!$A$2:$B1014,2,FALSE)-150,VLOOKUP($B620,COSTOS!$A$2:$B1014,2,FALSE)),"No encontrado o error"))</f>
        <v/>
      </c>
      <c r="AC620" s="395"/>
      <c r="AD620" s="394"/>
      <c r="AE620" s="429" t="str">
        <f>IF(OR(ISBLANK($B620),ISBLANK($AD620)),"",IFERROR(IF($AD620&lt;=DATE('ESTADO CONTABLE'!$B$2,10,5),VLOOKUP($B620,COSTOS!$A$2:$B1014,2,FALSE)-150,VLOOKUP($B620,COSTOS!$A$2:$B1014,2,FALSE)),"No encontrado o error"))</f>
        <v/>
      </c>
      <c r="AF620" s="395"/>
      <c r="AG620" s="394"/>
      <c r="AH620" s="429" t="str">
        <f>IF(OR(ISBLANK($B620),ISBLANK($AG620)),"",IFERROR(IF($AG620&lt;=DATE('ESTADO CONTABLE'!$B$2,11,5),VLOOKUP($B620,COSTOS!$A$2:$B1014,2,FALSE)-150,VLOOKUP($B620,COSTOS!$A$2:$B1014,2,FALSE)),"No encontrado o error"))</f>
        <v/>
      </c>
      <c r="AI620" s="395"/>
      <c r="AJ620" s="394"/>
      <c r="AK620" s="429" t="str">
        <f>IF(OR(ISBLANK($B620),ISBLANK($AJ620)),"",IFERROR(IF($AJ620&lt;=DATE('ESTADO CONTABLE'!$B$2,12,5),VLOOKUP($B620,COSTOS!$A$2:$B1014,2,FALSE)-150,VLOOKUP($B620,COSTOS!$A$2:$B1014,2,FALSE)),"No encontrado o error"))</f>
        <v/>
      </c>
      <c r="AL620" s="395"/>
      <c r="AM620" s="254"/>
      <c r="AN620" s="255"/>
      <c r="AO620" s="256"/>
    </row>
    <row r="621" ht="22.5" customHeight="1">
      <c r="A621" s="431" t="str">
        <f>'BASE DE DATOSS'!A695</f>
        <v/>
      </c>
      <c r="B621" s="432" t="str">
        <f>'BASE DE DATOSS'!C695</f>
        <v/>
      </c>
      <c r="C621" s="263"/>
      <c r="D621" s="249"/>
      <c r="E621" s="250"/>
      <c r="F621" s="251"/>
      <c r="G621" s="262"/>
      <c r="H621" s="257"/>
      <c r="I621" s="249"/>
      <c r="J621" s="193" t="str">
        <f>IF(OR(ISBLANK($B621),ISBLANK($I621)),"",IFERROR(IF($I621&lt;=DATE('ESTADO CONTABLE'!$B$2,3,5),VLOOKUP($B621,COSTOS!$A$2:$B1014,2,FALSE)-150,VLOOKUP($B621,COSTOS!$A$2:$B1014,2,FALSE)),"No encontrado o error"))</f>
        <v/>
      </c>
      <c r="K621" s="264"/>
      <c r="L621" s="249"/>
      <c r="M621" s="189"/>
      <c r="N621" s="264"/>
      <c r="O621" s="249"/>
      <c r="P621" s="250"/>
      <c r="Q621" s="264"/>
      <c r="R621" s="249"/>
      <c r="S621" s="250"/>
      <c r="T621" s="264"/>
      <c r="U621" s="249"/>
      <c r="V621" s="250"/>
      <c r="W621" s="264"/>
      <c r="X621" s="394"/>
      <c r="Y621" s="429"/>
      <c r="Z621" s="395"/>
      <c r="AA621" s="394"/>
      <c r="AB621" s="118" t="str">
        <f>IF(OR(ISBLANK($B621),ISBLANK($AA621)),"",IFERROR(IF($AA621&lt;=DATE('ESTADO CONTABLE'!$B$2,9,5),VLOOKUP($B621,COSTOS!$A$2:$B1014,2,FALSE)-150,VLOOKUP($B621,COSTOS!$A$2:$B1014,2,FALSE)),"No encontrado o error"))</f>
        <v/>
      </c>
      <c r="AC621" s="395"/>
      <c r="AD621" s="394"/>
      <c r="AE621" s="429" t="str">
        <f>IF(OR(ISBLANK($B621),ISBLANK($AD621)),"",IFERROR(IF($AD621&lt;=DATE('ESTADO CONTABLE'!$B$2,10,5),VLOOKUP($B621,COSTOS!$A$2:$B1014,2,FALSE)-150,VLOOKUP($B621,COSTOS!$A$2:$B1014,2,FALSE)),"No encontrado o error"))</f>
        <v/>
      </c>
      <c r="AF621" s="395"/>
      <c r="AG621" s="394"/>
      <c r="AH621" s="429" t="str">
        <f>IF(OR(ISBLANK($B621),ISBLANK($AG621)),"",IFERROR(IF($AG621&lt;=DATE('ESTADO CONTABLE'!$B$2,11,5),VLOOKUP($B621,COSTOS!$A$2:$B1014,2,FALSE)-150,VLOOKUP($B621,COSTOS!$A$2:$B1014,2,FALSE)),"No encontrado o error"))</f>
        <v/>
      </c>
      <c r="AI621" s="395"/>
      <c r="AJ621" s="394"/>
      <c r="AK621" s="429" t="str">
        <f>IF(OR(ISBLANK($B621),ISBLANK($AJ621)),"",IFERROR(IF($AJ621&lt;=DATE('ESTADO CONTABLE'!$B$2,12,5),VLOOKUP($B621,COSTOS!$A$2:$B1014,2,FALSE)-150,VLOOKUP($B621,COSTOS!$A$2:$B1014,2,FALSE)),"No encontrado o error"))</f>
        <v/>
      </c>
      <c r="AL621" s="395"/>
      <c r="AM621" s="254"/>
      <c r="AN621" s="255"/>
      <c r="AO621" s="256"/>
    </row>
    <row r="622" ht="22.5" customHeight="1">
      <c r="A622" s="431" t="str">
        <f>'BASE DE DATOSS'!A696</f>
        <v/>
      </c>
      <c r="B622" s="432" t="str">
        <f>'BASE DE DATOSS'!C696</f>
        <v/>
      </c>
      <c r="C622" s="263"/>
      <c r="D622" s="249"/>
      <c r="E622" s="250"/>
      <c r="F622" s="251"/>
      <c r="G622" s="262"/>
      <c r="H622" s="257"/>
      <c r="I622" s="249"/>
      <c r="J622" s="193" t="str">
        <f>IF(OR(ISBLANK($B622),ISBLANK($I622)),"",IFERROR(IF($I622&lt;=DATE('ESTADO CONTABLE'!$B$2,3,5),VLOOKUP($B622,COSTOS!$A$2:$B1014,2,FALSE)-150,VLOOKUP($B622,COSTOS!$A$2:$B1014,2,FALSE)),"No encontrado o error"))</f>
        <v/>
      </c>
      <c r="K622" s="264"/>
      <c r="L622" s="249"/>
      <c r="M622" s="189"/>
      <c r="N622" s="264"/>
      <c r="O622" s="249"/>
      <c r="P622" s="250"/>
      <c r="Q622" s="264"/>
      <c r="R622" s="249"/>
      <c r="S622" s="250"/>
      <c r="T622" s="264"/>
      <c r="U622" s="249"/>
      <c r="V622" s="250"/>
      <c r="W622" s="264"/>
      <c r="X622" s="394"/>
      <c r="Y622" s="429"/>
      <c r="Z622" s="395"/>
      <c r="AA622" s="394"/>
      <c r="AB622" s="118" t="str">
        <f>IF(OR(ISBLANK($B622),ISBLANK($AA622)),"",IFERROR(IF($AA622&lt;=DATE('ESTADO CONTABLE'!$B$2,9,5),VLOOKUP($B622,COSTOS!$A$2:$B1014,2,FALSE)-150,VLOOKUP($B622,COSTOS!$A$2:$B1014,2,FALSE)),"No encontrado o error"))</f>
        <v/>
      </c>
      <c r="AC622" s="395"/>
      <c r="AD622" s="394"/>
      <c r="AE622" s="429" t="str">
        <f>IF(OR(ISBLANK($B622),ISBLANK($AD622)),"",IFERROR(IF($AD622&lt;=DATE('ESTADO CONTABLE'!$B$2,10,5),VLOOKUP($B622,COSTOS!$A$2:$B1014,2,FALSE)-150,VLOOKUP($B622,COSTOS!$A$2:$B1014,2,FALSE)),"No encontrado o error"))</f>
        <v/>
      </c>
      <c r="AF622" s="395"/>
      <c r="AG622" s="394"/>
      <c r="AH622" s="429" t="str">
        <f>IF(OR(ISBLANK($B622),ISBLANK($AG622)),"",IFERROR(IF($AG622&lt;=DATE('ESTADO CONTABLE'!$B$2,11,5),VLOOKUP($B622,COSTOS!$A$2:$B1014,2,FALSE)-150,VLOOKUP($B622,COSTOS!$A$2:$B1014,2,FALSE)),"No encontrado o error"))</f>
        <v/>
      </c>
      <c r="AI622" s="395"/>
      <c r="AJ622" s="394"/>
      <c r="AK622" s="429" t="str">
        <f>IF(OR(ISBLANK($B622),ISBLANK($AJ622)),"",IFERROR(IF($AJ622&lt;=DATE('ESTADO CONTABLE'!$B$2,12,5),VLOOKUP($B622,COSTOS!$A$2:$B1014,2,FALSE)-150,VLOOKUP($B622,COSTOS!$A$2:$B1014,2,FALSE)),"No encontrado o error"))</f>
        <v/>
      </c>
      <c r="AL622" s="395"/>
      <c r="AM622" s="254"/>
      <c r="AN622" s="255"/>
      <c r="AO622" s="256"/>
    </row>
    <row r="623" ht="22.5" customHeight="1">
      <c r="A623" s="431" t="str">
        <f>'BASE DE DATOSS'!A697</f>
        <v/>
      </c>
      <c r="B623" s="432" t="str">
        <f>'BASE DE DATOSS'!C697</f>
        <v/>
      </c>
      <c r="C623" s="263"/>
      <c r="D623" s="249"/>
      <c r="E623" s="250"/>
      <c r="F623" s="251"/>
      <c r="G623" s="262"/>
      <c r="H623" s="257"/>
      <c r="I623" s="249"/>
      <c r="J623" s="193" t="str">
        <f>IF(OR(ISBLANK($B623),ISBLANK($I623)),"",IFERROR(IF($I623&lt;=DATE('ESTADO CONTABLE'!$B$2,3,5),VLOOKUP($B623,COSTOS!$A$2:$B1014,2,FALSE)-150,VLOOKUP($B623,COSTOS!$A$2:$B1014,2,FALSE)),"No encontrado o error"))</f>
        <v/>
      </c>
      <c r="K623" s="264"/>
      <c r="L623" s="249"/>
      <c r="M623" s="189"/>
      <c r="N623" s="264"/>
      <c r="O623" s="249"/>
      <c r="P623" s="250"/>
      <c r="Q623" s="264"/>
      <c r="R623" s="249"/>
      <c r="S623" s="250"/>
      <c r="T623" s="264"/>
      <c r="U623" s="249"/>
      <c r="V623" s="250"/>
      <c r="W623" s="264"/>
      <c r="X623" s="394"/>
      <c r="Y623" s="429"/>
      <c r="Z623" s="395"/>
      <c r="AA623" s="394"/>
      <c r="AB623" s="118" t="str">
        <f>IF(OR(ISBLANK($B623),ISBLANK($AA623)),"",IFERROR(IF($AA623&lt;=DATE('ESTADO CONTABLE'!$B$2,9,5),VLOOKUP($B623,COSTOS!$A$2:$B1014,2,FALSE)-150,VLOOKUP($B623,COSTOS!$A$2:$B1014,2,FALSE)),"No encontrado o error"))</f>
        <v/>
      </c>
      <c r="AC623" s="395"/>
      <c r="AD623" s="394"/>
      <c r="AE623" s="429" t="str">
        <f>IF(OR(ISBLANK($B623),ISBLANK($AD623)),"",IFERROR(IF($AD623&lt;=DATE('ESTADO CONTABLE'!$B$2,10,5),VLOOKUP($B623,COSTOS!$A$2:$B1014,2,FALSE)-150,VLOOKUP($B623,COSTOS!$A$2:$B1014,2,FALSE)),"No encontrado o error"))</f>
        <v/>
      </c>
      <c r="AF623" s="395"/>
      <c r="AG623" s="394"/>
      <c r="AH623" s="429" t="str">
        <f>IF(OR(ISBLANK($B623),ISBLANK($AG623)),"",IFERROR(IF($AG623&lt;=DATE('ESTADO CONTABLE'!$B$2,11,5),VLOOKUP($B623,COSTOS!$A$2:$B1014,2,FALSE)-150,VLOOKUP($B623,COSTOS!$A$2:$B1014,2,FALSE)),"No encontrado o error"))</f>
        <v/>
      </c>
      <c r="AI623" s="395"/>
      <c r="AJ623" s="394"/>
      <c r="AK623" s="429" t="str">
        <f>IF(OR(ISBLANK($B623),ISBLANK($AJ623)),"",IFERROR(IF($AJ623&lt;=DATE('ESTADO CONTABLE'!$B$2,12,5),VLOOKUP($B623,COSTOS!$A$2:$B1014,2,FALSE)-150,VLOOKUP($B623,COSTOS!$A$2:$B1014,2,FALSE)),"No encontrado o error"))</f>
        <v/>
      </c>
      <c r="AL623" s="395"/>
      <c r="AM623" s="254"/>
      <c r="AN623" s="255"/>
      <c r="AO623" s="256"/>
    </row>
    <row r="624" ht="22.5" customHeight="1">
      <c r="A624" s="431" t="str">
        <f>'BASE DE DATOSS'!A698</f>
        <v/>
      </c>
      <c r="B624" s="432" t="str">
        <f>'BASE DE DATOSS'!C698</f>
        <v/>
      </c>
      <c r="C624" s="263"/>
      <c r="D624" s="249"/>
      <c r="E624" s="250"/>
      <c r="F624" s="251"/>
      <c r="G624" s="262"/>
      <c r="H624" s="257"/>
      <c r="I624" s="249"/>
      <c r="J624" s="193" t="str">
        <f>IF(OR(ISBLANK($B624),ISBLANK($I624)),"",IFERROR(IF($I624&lt;=DATE('ESTADO CONTABLE'!$B$2,3,5),VLOOKUP($B624,COSTOS!$A$2:$B1014,2,FALSE)-150,VLOOKUP($B624,COSTOS!$A$2:$B1014,2,FALSE)),"No encontrado o error"))</f>
        <v/>
      </c>
      <c r="K624" s="264"/>
      <c r="L624" s="249"/>
      <c r="M624" s="189"/>
      <c r="N624" s="264"/>
      <c r="O624" s="249"/>
      <c r="P624" s="250"/>
      <c r="Q624" s="264"/>
      <c r="R624" s="249"/>
      <c r="S624" s="250"/>
      <c r="T624" s="264"/>
      <c r="U624" s="249"/>
      <c r="V624" s="250"/>
      <c r="W624" s="264"/>
      <c r="X624" s="394"/>
      <c r="Y624" s="429"/>
      <c r="Z624" s="395"/>
      <c r="AA624" s="394"/>
      <c r="AB624" s="118" t="str">
        <f>IF(OR(ISBLANK($B624),ISBLANK($AA624)),"",IFERROR(IF($AA624&lt;=DATE('ESTADO CONTABLE'!$B$2,9,5),VLOOKUP($B624,COSTOS!$A$2:$B1014,2,FALSE)-150,VLOOKUP($B624,COSTOS!$A$2:$B1014,2,FALSE)),"No encontrado o error"))</f>
        <v/>
      </c>
      <c r="AC624" s="395"/>
      <c r="AD624" s="394"/>
      <c r="AE624" s="429" t="str">
        <f>IF(OR(ISBLANK($B624),ISBLANK($AD624)),"",IFERROR(IF($AD624&lt;=DATE('ESTADO CONTABLE'!$B$2,10,5),VLOOKUP($B624,COSTOS!$A$2:$B1014,2,FALSE)-150,VLOOKUP($B624,COSTOS!$A$2:$B1014,2,FALSE)),"No encontrado o error"))</f>
        <v/>
      </c>
      <c r="AF624" s="395"/>
      <c r="AG624" s="394"/>
      <c r="AH624" s="429" t="str">
        <f>IF(OR(ISBLANK($B624),ISBLANK($AG624)),"",IFERROR(IF($AG624&lt;=DATE('ESTADO CONTABLE'!$B$2,11,5),VLOOKUP($B624,COSTOS!$A$2:$B1014,2,FALSE)-150,VLOOKUP($B624,COSTOS!$A$2:$B1014,2,FALSE)),"No encontrado o error"))</f>
        <v/>
      </c>
      <c r="AI624" s="395"/>
      <c r="AJ624" s="394"/>
      <c r="AK624" s="429" t="str">
        <f>IF(OR(ISBLANK($B624),ISBLANK($AJ624)),"",IFERROR(IF($AJ624&lt;=DATE('ESTADO CONTABLE'!$B$2,12,5),VLOOKUP($B624,COSTOS!$A$2:$B1014,2,FALSE)-150,VLOOKUP($B624,COSTOS!$A$2:$B1014,2,FALSE)),"No encontrado o error"))</f>
        <v/>
      </c>
      <c r="AL624" s="395"/>
      <c r="AM624" s="254"/>
      <c r="AN624" s="255"/>
      <c r="AO624" s="256"/>
    </row>
    <row r="625" ht="22.5" customHeight="1">
      <c r="A625" s="431" t="str">
        <f>'BASE DE DATOSS'!A699</f>
        <v/>
      </c>
      <c r="B625" s="432" t="str">
        <f>'BASE DE DATOSS'!C699</f>
        <v/>
      </c>
      <c r="C625" s="263"/>
      <c r="D625" s="249"/>
      <c r="E625" s="250"/>
      <c r="F625" s="251"/>
      <c r="G625" s="262"/>
      <c r="H625" s="257"/>
      <c r="I625" s="249"/>
      <c r="J625" s="193" t="str">
        <f>IF(OR(ISBLANK($B625),ISBLANK($I625)),"",IFERROR(IF($I625&lt;=DATE('ESTADO CONTABLE'!$B$2,3,5),VLOOKUP($B625,COSTOS!$A$2:$B1014,2,FALSE)-150,VLOOKUP($B625,COSTOS!$A$2:$B1014,2,FALSE)),"No encontrado o error"))</f>
        <v/>
      </c>
      <c r="K625" s="264"/>
      <c r="L625" s="249"/>
      <c r="M625" s="189"/>
      <c r="N625" s="264"/>
      <c r="O625" s="249"/>
      <c r="P625" s="250"/>
      <c r="Q625" s="264"/>
      <c r="R625" s="249"/>
      <c r="S625" s="250"/>
      <c r="T625" s="264"/>
      <c r="U625" s="249"/>
      <c r="V625" s="250"/>
      <c r="W625" s="264"/>
      <c r="X625" s="394"/>
      <c r="Y625" s="429"/>
      <c r="Z625" s="395"/>
      <c r="AA625" s="394"/>
      <c r="AB625" s="118" t="str">
        <f>IF(OR(ISBLANK($B625),ISBLANK($AA625)),"",IFERROR(IF($AA625&lt;=DATE('ESTADO CONTABLE'!$B$2,9,5),VLOOKUP($B625,COSTOS!$A$2:$B1014,2,FALSE)-150,VLOOKUP($B625,COSTOS!$A$2:$B1014,2,FALSE)),"No encontrado o error"))</f>
        <v/>
      </c>
      <c r="AC625" s="395"/>
      <c r="AD625" s="394"/>
      <c r="AE625" s="429" t="str">
        <f>IF(OR(ISBLANK($B625),ISBLANK($AD625)),"",IFERROR(IF($AD625&lt;=DATE('ESTADO CONTABLE'!$B$2,10,5),VLOOKUP($B625,COSTOS!$A$2:$B1014,2,FALSE)-150,VLOOKUP($B625,COSTOS!$A$2:$B1014,2,FALSE)),"No encontrado o error"))</f>
        <v/>
      </c>
      <c r="AF625" s="395"/>
      <c r="AG625" s="394"/>
      <c r="AH625" s="429" t="str">
        <f>IF(OR(ISBLANK($B625),ISBLANK($AG625)),"",IFERROR(IF($AG625&lt;=DATE('ESTADO CONTABLE'!$B$2,11,5),VLOOKUP($B625,COSTOS!$A$2:$B1014,2,FALSE)-150,VLOOKUP($B625,COSTOS!$A$2:$B1014,2,FALSE)),"No encontrado o error"))</f>
        <v/>
      </c>
      <c r="AI625" s="395"/>
      <c r="AJ625" s="394"/>
      <c r="AK625" s="429" t="str">
        <f>IF(OR(ISBLANK($B625),ISBLANK($AJ625)),"",IFERROR(IF($AJ625&lt;=DATE('ESTADO CONTABLE'!$B$2,12,5),VLOOKUP($B625,COSTOS!$A$2:$B1014,2,FALSE)-150,VLOOKUP($B625,COSTOS!$A$2:$B1014,2,FALSE)),"No encontrado o error"))</f>
        <v/>
      </c>
      <c r="AL625" s="395"/>
      <c r="AM625" s="254"/>
      <c r="AN625" s="255"/>
      <c r="AO625" s="256"/>
    </row>
    <row r="626" ht="22.5" customHeight="1">
      <c r="A626" s="431" t="str">
        <f>'BASE DE DATOSS'!A700</f>
        <v/>
      </c>
      <c r="B626" s="432" t="str">
        <f>'BASE DE DATOSS'!C700</f>
        <v/>
      </c>
      <c r="C626" s="263"/>
      <c r="D626" s="249"/>
      <c r="E626" s="250"/>
      <c r="F626" s="251"/>
      <c r="G626" s="262"/>
      <c r="H626" s="257"/>
      <c r="I626" s="249"/>
      <c r="J626" s="193" t="str">
        <f>IF(OR(ISBLANK($B626),ISBLANK($I626)),"",IFERROR(IF($I626&lt;=DATE('ESTADO CONTABLE'!$B$2,3,5),VLOOKUP($B626,COSTOS!$A$2:$B1014,2,FALSE)-150,VLOOKUP($B626,COSTOS!$A$2:$B1014,2,FALSE)),"No encontrado o error"))</f>
        <v/>
      </c>
      <c r="K626" s="264"/>
      <c r="L626" s="249"/>
      <c r="M626" s="189"/>
      <c r="N626" s="264"/>
      <c r="O626" s="249"/>
      <c r="P626" s="250"/>
      <c r="Q626" s="264"/>
      <c r="R626" s="249"/>
      <c r="S626" s="250"/>
      <c r="T626" s="264"/>
      <c r="U626" s="249"/>
      <c r="V626" s="250"/>
      <c r="W626" s="264"/>
      <c r="X626" s="394"/>
      <c r="Y626" s="429"/>
      <c r="Z626" s="395"/>
      <c r="AA626" s="394"/>
      <c r="AB626" s="118" t="str">
        <f>IF(OR(ISBLANK($B626),ISBLANK($AA626)),"",IFERROR(IF($AA626&lt;=DATE('ESTADO CONTABLE'!$B$2,9,5),VLOOKUP($B626,COSTOS!$A$2:$B1014,2,FALSE)-150,VLOOKUP($B626,COSTOS!$A$2:$B1014,2,FALSE)),"No encontrado o error"))</f>
        <v/>
      </c>
      <c r="AC626" s="395"/>
      <c r="AD626" s="394"/>
      <c r="AE626" s="429" t="str">
        <f>IF(OR(ISBLANK($B626),ISBLANK($AD626)),"",IFERROR(IF($AD626&lt;=DATE('ESTADO CONTABLE'!$B$2,10,5),VLOOKUP($B626,COSTOS!$A$2:$B1014,2,FALSE)-150,VLOOKUP($B626,COSTOS!$A$2:$B1014,2,FALSE)),"No encontrado o error"))</f>
        <v/>
      </c>
      <c r="AF626" s="395"/>
      <c r="AG626" s="394"/>
      <c r="AH626" s="429" t="str">
        <f>IF(OR(ISBLANK($B626),ISBLANK($AG626)),"",IFERROR(IF($AG626&lt;=DATE('ESTADO CONTABLE'!$B$2,11,5),VLOOKUP($B626,COSTOS!$A$2:$B1014,2,FALSE)-150,VLOOKUP($B626,COSTOS!$A$2:$B1014,2,FALSE)),"No encontrado o error"))</f>
        <v/>
      </c>
      <c r="AI626" s="395"/>
      <c r="AJ626" s="394"/>
      <c r="AK626" s="429" t="str">
        <f>IF(OR(ISBLANK($B626),ISBLANK($AJ626)),"",IFERROR(IF($AJ626&lt;=DATE('ESTADO CONTABLE'!$B$2,12,5),VLOOKUP($B626,COSTOS!$A$2:$B1014,2,FALSE)-150,VLOOKUP($B626,COSTOS!$A$2:$B1014,2,FALSE)),"No encontrado o error"))</f>
        <v/>
      </c>
      <c r="AL626" s="395"/>
      <c r="AM626" s="254"/>
      <c r="AN626" s="255"/>
      <c r="AO626" s="256"/>
    </row>
    <row r="627" ht="22.5" customHeight="1">
      <c r="A627" s="431" t="str">
        <f>'BASE DE DATOSS'!A701</f>
        <v/>
      </c>
      <c r="B627" s="432" t="str">
        <f>'BASE DE DATOSS'!C701</f>
        <v/>
      </c>
      <c r="C627" s="263"/>
      <c r="D627" s="249"/>
      <c r="E627" s="250"/>
      <c r="F627" s="251"/>
      <c r="G627" s="262"/>
      <c r="H627" s="257"/>
      <c r="I627" s="249"/>
      <c r="J627" s="193" t="str">
        <f>IF(OR(ISBLANK($B627),ISBLANK($I627)),"",IFERROR(IF($I627&lt;=DATE('ESTADO CONTABLE'!$B$2,3,5),VLOOKUP($B627,COSTOS!$A$2:$B1014,2,FALSE)-150,VLOOKUP($B627,COSTOS!$A$2:$B1014,2,FALSE)),"No encontrado o error"))</f>
        <v/>
      </c>
      <c r="K627" s="264"/>
      <c r="L627" s="249"/>
      <c r="M627" s="189"/>
      <c r="N627" s="264"/>
      <c r="O627" s="249"/>
      <c r="P627" s="250"/>
      <c r="Q627" s="264"/>
      <c r="R627" s="249"/>
      <c r="S627" s="250"/>
      <c r="T627" s="264"/>
      <c r="U627" s="249"/>
      <c r="V627" s="250"/>
      <c r="W627" s="264"/>
      <c r="X627" s="394"/>
      <c r="Y627" s="429"/>
      <c r="Z627" s="395"/>
      <c r="AA627" s="394"/>
      <c r="AB627" s="118" t="str">
        <f>IF(OR(ISBLANK($B627),ISBLANK($AA627)),"",IFERROR(IF($AA627&lt;=DATE('ESTADO CONTABLE'!$B$2,9,5),VLOOKUP($B627,COSTOS!$A$2:$B1014,2,FALSE)-150,VLOOKUP($B627,COSTOS!$A$2:$B1014,2,FALSE)),"No encontrado o error"))</f>
        <v/>
      </c>
      <c r="AC627" s="395"/>
      <c r="AD627" s="394"/>
      <c r="AE627" s="429" t="str">
        <f>IF(OR(ISBLANK($B627),ISBLANK($AD627)),"",IFERROR(IF($AD627&lt;=DATE('ESTADO CONTABLE'!$B$2,10,5),VLOOKUP($B627,COSTOS!$A$2:$B1014,2,FALSE)-150,VLOOKUP($B627,COSTOS!$A$2:$B1014,2,FALSE)),"No encontrado o error"))</f>
        <v/>
      </c>
      <c r="AF627" s="395"/>
      <c r="AG627" s="394"/>
      <c r="AH627" s="429" t="str">
        <f>IF(OR(ISBLANK($B627),ISBLANK($AG627)),"",IFERROR(IF($AG627&lt;=DATE('ESTADO CONTABLE'!$B$2,11,5),VLOOKUP($B627,COSTOS!$A$2:$B1014,2,FALSE)-150,VLOOKUP($B627,COSTOS!$A$2:$B1014,2,FALSE)),"No encontrado o error"))</f>
        <v/>
      </c>
      <c r="AI627" s="395"/>
      <c r="AJ627" s="394"/>
      <c r="AK627" s="429" t="str">
        <f>IF(OR(ISBLANK($B627),ISBLANK($AJ627)),"",IFERROR(IF($AJ627&lt;=DATE('ESTADO CONTABLE'!$B$2,12,5),VLOOKUP($B627,COSTOS!$A$2:$B1014,2,FALSE)-150,VLOOKUP($B627,COSTOS!$A$2:$B1014,2,FALSE)),"No encontrado o error"))</f>
        <v/>
      </c>
      <c r="AL627" s="395"/>
      <c r="AM627" s="254"/>
      <c r="AN627" s="255"/>
      <c r="AO627" s="256"/>
    </row>
    <row r="628" ht="22.5" customHeight="1">
      <c r="A628" s="431" t="str">
        <f>'BASE DE DATOSS'!A702</f>
        <v/>
      </c>
      <c r="B628" s="432" t="str">
        <f>'BASE DE DATOSS'!C702</f>
        <v/>
      </c>
      <c r="C628" s="263"/>
      <c r="D628" s="249"/>
      <c r="E628" s="250"/>
      <c r="F628" s="251"/>
      <c r="G628" s="262"/>
      <c r="H628" s="257"/>
      <c r="I628" s="249"/>
      <c r="J628" s="193" t="str">
        <f>IF(OR(ISBLANK($B628),ISBLANK($I628)),"",IFERROR(IF($I628&lt;=DATE('ESTADO CONTABLE'!$B$2,3,5),VLOOKUP($B628,COSTOS!$A$2:$B1014,2,FALSE)-150,VLOOKUP($B628,COSTOS!$A$2:$B1014,2,FALSE)),"No encontrado o error"))</f>
        <v/>
      </c>
      <c r="K628" s="264"/>
      <c r="L628" s="249"/>
      <c r="M628" s="189"/>
      <c r="N628" s="264"/>
      <c r="O628" s="249"/>
      <c r="P628" s="250"/>
      <c r="Q628" s="264"/>
      <c r="R628" s="249"/>
      <c r="S628" s="250"/>
      <c r="T628" s="264"/>
      <c r="U628" s="249"/>
      <c r="V628" s="250"/>
      <c r="W628" s="264"/>
      <c r="X628" s="394"/>
      <c r="Y628" s="429"/>
      <c r="Z628" s="395"/>
      <c r="AA628" s="394"/>
      <c r="AB628" s="118" t="str">
        <f>IF(OR(ISBLANK($B628),ISBLANK($AA628)),"",IFERROR(IF($AA628&lt;=DATE('ESTADO CONTABLE'!$B$2,9,5),VLOOKUP($B628,COSTOS!$A$2:$B1014,2,FALSE)-150,VLOOKUP($B628,COSTOS!$A$2:$B1014,2,FALSE)),"No encontrado o error"))</f>
        <v/>
      </c>
      <c r="AC628" s="395"/>
      <c r="AD628" s="394"/>
      <c r="AE628" s="429" t="str">
        <f>IF(OR(ISBLANK($B628),ISBLANK($AD628)),"",IFERROR(IF($AD628&lt;=DATE('ESTADO CONTABLE'!$B$2,10,5),VLOOKUP($B628,COSTOS!$A$2:$B1014,2,FALSE)-150,VLOOKUP($B628,COSTOS!$A$2:$B1014,2,FALSE)),"No encontrado o error"))</f>
        <v/>
      </c>
      <c r="AF628" s="395"/>
      <c r="AG628" s="394"/>
      <c r="AH628" s="429" t="str">
        <f>IF(OR(ISBLANK($B628),ISBLANK($AG628)),"",IFERROR(IF($AG628&lt;=DATE('ESTADO CONTABLE'!$B$2,11,5),VLOOKUP($B628,COSTOS!$A$2:$B1014,2,FALSE)-150,VLOOKUP($B628,COSTOS!$A$2:$B1014,2,FALSE)),"No encontrado o error"))</f>
        <v/>
      </c>
      <c r="AI628" s="395"/>
      <c r="AJ628" s="394"/>
      <c r="AK628" s="429" t="str">
        <f>IF(OR(ISBLANK($B628),ISBLANK($AJ628)),"",IFERROR(IF($AJ628&lt;=DATE('ESTADO CONTABLE'!$B$2,12,5),VLOOKUP($B628,COSTOS!$A$2:$B1014,2,FALSE)-150,VLOOKUP($B628,COSTOS!$A$2:$B1014,2,FALSE)),"No encontrado o error"))</f>
        <v/>
      </c>
      <c r="AL628" s="395"/>
      <c r="AM628" s="254"/>
      <c r="AN628" s="255"/>
      <c r="AO628" s="256"/>
    </row>
    <row r="629" ht="22.5" customHeight="1">
      <c r="A629" s="431" t="str">
        <f>'BASE DE DATOSS'!A703</f>
        <v/>
      </c>
      <c r="B629" s="432" t="str">
        <f>'BASE DE DATOSS'!C703</f>
        <v/>
      </c>
      <c r="C629" s="263"/>
      <c r="D629" s="249"/>
      <c r="E629" s="250"/>
      <c r="F629" s="251"/>
      <c r="G629" s="262"/>
      <c r="H629" s="257"/>
      <c r="I629" s="249"/>
      <c r="J629" s="193" t="str">
        <f>IF(OR(ISBLANK($B629),ISBLANK($I629)),"",IFERROR(IF($I629&lt;=DATE('ESTADO CONTABLE'!$B$2,3,5),VLOOKUP($B629,COSTOS!$A$2:$B1014,2,FALSE)-150,VLOOKUP($B629,COSTOS!$A$2:$B1014,2,FALSE)),"No encontrado o error"))</f>
        <v/>
      </c>
      <c r="K629" s="264"/>
      <c r="L629" s="249"/>
      <c r="M629" s="189"/>
      <c r="N629" s="264"/>
      <c r="O629" s="249"/>
      <c r="P629" s="250"/>
      <c r="Q629" s="264"/>
      <c r="R629" s="249"/>
      <c r="S629" s="250"/>
      <c r="T629" s="264"/>
      <c r="U629" s="249"/>
      <c r="V629" s="250"/>
      <c r="W629" s="264"/>
      <c r="X629" s="394"/>
      <c r="Y629" s="429"/>
      <c r="Z629" s="395"/>
      <c r="AA629" s="394"/>
      <c r="AB629" s="118" t="str">
        <f>IF(OR(ISBLANK($B629),ISBLANK($AA629)),"",IFERROR(IF($AA629&lt;=DATE('ESTADO CONTABLE'!$B$2,9,5),VLOOKUP($B629,COSTOS!$A$2:$B1014,2,FALSE)-150,VLOOKUP($B629,COSTOS!$A$2:$B1014,2,FALSE)),"No encontrado o error"))</f>
        <v/>
      </c>
      <c r="AC629" s="395"/>
      <c r="AD629" s="394"/>
      <c r="AE629" s="429" t="str">
        <f>IF(OR(ISBLANK($B629),ISBLANK($AD629)),"",IFERROR(IF($AD629&lt;=DATE('ESTADO CONTABLE'!$B$2,10,5),VLOOKUP($B629,COSTOS!$A$2:$B1014,2,FALSE)-150,VLOOKUP($B629,COSTOS!$A$2:$B1014,2,FALSE)),"No encontrado o error"))</f>
        <v/>
      </c>
      <c r="AF629" s="395"/>
      <c r="AG629" s="394"/>
      <c r="AH629" s="429" t="str">
        <f>IF(OR(ISBLANK($B629),ISBLANK($AG629)),"",IFERROR(IF($AG629&lt;=DATE('ESTADO CONTABLE'!$B$2,11,5),VLOOKUP($B629,COSTOS!$A$2:$B1014,2,FALSE)-150,VLOOKUP($B629,COSTOS!$A$2:$B1014,2,FALSE)),"No encontrado o error"))</f>
        <v/>
      </c>
      <c r="AI629" s="395"/>
      <c r="AJ629" s="394"/>
      <c r="AK629" s="429" t="str">
        <f>IF(OR(ISBLANK($B629),ISBLANK($AJ629)),"",IFERROR(IF($AJ629&lt;=DATE('ESTADO CONTABLE'!$B$2,12,5),VLOOKUP($B629,COSTOS!$A$2:$B1014,2,FALSE)-150,VLOOKUP($B629,COSTOS!$A$2:$B1014,2,FALSE)),"No encontrado o error"))</f>
        <v/>
      </c>
      <c r="AL629" s="395"/>
      <c r="AM629" s="254"/>
      <c r="AN629" s="255"/>
      <c r="AO629" s="256"/>
    </row>
    <row r="630" ht="22.5" customHeight="1">
      <c r="A630" s="431" t="str">
        <f>'BASE DE DATOSS'!A704</f>
        <v/>
      </c>
      <c r="B630" s="432" t="str">
        <f>'BASE DE DATOSS'!C704</f>
        <v/>
      </c>
      <c r="C630" s="263"/>
      <c r="D630" s="249"/>
      <c r="E630" s="250"/>
      <c r="F630" s="251"/>
      <c r="G630" s="262"/>
      <c r="H630" s="257"/>
      <c r="I630" s="249"/>
      <c r="J630" s="193" t="str">
        <f>IF(OR(ISBLANK($B630),ISBLANK($I630)),"",IFERROR(IF($I630&lt;=DATE('ESTADO CONTABLE'!$B$2,3,5),VLOOKUP($B630,COSTOS!$A$2:$B1014,2,FALSE)-150,VLOOKUP($B630,COSTOS!$A$2:$B1014,2,FALSE)),"No encontrado o error"))</f>
        <v/>
      </c>
      <c r="K630" s="264"/>
      <c r="L630" s="249"/>
      <c r="M630" s="189"/>
      <c r="N630" s="264"/>
      <c r="O630" s="249"/>
      <c r="P630" s="250"/>
      <c r="Q630" s="264"/>
      <c r="R630" s="249"/>
      <c r="S630" s="250"/>
      <c r="T630" s="264"/>
      <c r="U630" s="249"/>
      <c r="V630" s="250"/>
      <c r="W630" s="264"/>
      <c r="X630" s="394"/>
      <c r="Y630" s="429"/>
      <c r="Z630" s="395"/>
      <c r="AA630" s="394"/>
      <c r="AB630" s="118" t="str">
        <f>IF(OR(ISBLANK($B630),ISBLANK($AA630)),"",IFERROR(IF($AA630&lt;=DATE('ESTADO CONTABLE'!$B$2,9,5),VLOOKUP($B630,COSTOS!$A$2:$B1014,2,FALSE)-150,VLOOKUP($B630,COSTOS!$A$2:$B1014,2,FALSE)),"No encontrado o error"))</f>
        <v/>
      </c>
      <c r="AC630" s="395"/>
      <c r="AD630" s="394"/>
      <c r="AE630" s="429" t="str">
        <f>IF(OR(ISBLANK($B630),ISBLANK($AD630)),"",IFERROR(IF($AD630&lt;=DATE('ESTADO CONTABLE'!$B$2,10,5),VLOOKUP($B630,COSTOS!$A$2:$B1014,2,FALSE)-150,VLOOKUP($B630,COSTOS!$A$2:$B1014,2,FALSE)),"No encontrado o error"))</f>
        <v/>
      </c>
      <c r="AF630" s="395"/>
      <c r="AG630" s="394"/>
      <c r="AH630" s="429" t="str">
        <f>IF(OR(ISBLANK($B630),ISBLANK($AG630)),"",IFERROR(IF($AG630&lt;=DATE('ESTADO CONTABLE'!$B$2,11,5),VLOOKUP($B630,COSTOS!$A$2:$B1014,2,FALSE)-150,VLOOKUP($B630,COSTOS!$A$2:$B1014,2,FALSE)),"No encontrado o error"))</f>
        <v/>
      </c>
      <c r="AI630" s="395"/>
      <c r="AJ630" s="394"/>
      <c r="AK630" s="429" t="str">
        <f>IF(OR(ISBLANK($B630),ISBLANK($AJ630)),"",IFERROR(IF($AJ630&lt;=DATE('ESTADO CONTABLE'!$B$2,12,5),VLOOKUP($B630,COSTOS!$A$2:$B1014,2,FALSE)-150,VLOOKUP($B630,COSTOS!$A$2:$B1014,2,FALSE)),"No encontrado o error"))</f>
        <v/>
      </c>
      <c r="AL630" s="395"/>
      <c r="AM630" s="254"/>
      <c r="AN630" s="255"/>
      <c r="AO630" s="256"/>
    </row>
    <row r="631" ht="22.5" customHeight="1">
      <c r="A631" s="431" t="str">
        <f>'BASE DE DATOSS'!A705</f>
        <v/>
      </c>
      <c r="B631" s="432" t="str">
        <f>'BASE DE DATOSS'!C705</f>
        <v/>
      </c>
      <c r="C631" s="263"/>
      <c r="D631" s="249"/>
      <c r="E631" s="250"/>
      <c r="F631" s="251"/>
      <c r="G631" s="262"/>
      <c r="H631" s="257"/>
      <c r="I631" s="249"/>
      <c r="J631" s="193" t="str">
        <f>IF(OR(ISBLANK($B631),ISBLANK($I631)),"",IFERROR(IF($I631&lt;=DATE('ESTADO CONTABLE'!$B$2,3,5),VLOOKUP($B631,COSTOS!$A$2:$B1014,2,FALSE)-150,VLOOKUP($B631,COSTOS!$A$2:$B1014,2,FALSE)),"No encontrado o error"))</f>
        <v/>
      </c>
      <c r="K631" s="264"/>
      <c r="L631" s="249"/>
      <c r="M631" s="189"/>
      <c r="N631" s="264"/>
      <c r="O631" s="249"/>
      <c r="P631" s="250"/>
      <c r="Q631" s="264"/>
      <c r="R631" s="249"/>
      <c r="S631" s="250"/>
      <c r="T631" s="264"/>
      <c r="U631" s="249"/>
      <c r="V631" s="250"/>
      <c r="W631" s="264"/>
      <c r="X631" s="394"/>
      <c r="Y631" s="429"/>
      <c r="Z631" s="395"/>
      <c r="AA631" s="394"/>
      <c r="AB631" s="118" t="str">
        <f>IF(OR(ISBLANK($B631),ISBLANK($AA631)),"",IFERROR(IF($AA631&lt;=DATE('ESTADO CONTABLE'!$B$2,9,5),VLOOKUP($B631,COSTOS!$A$2:$B1014,2,FALSE)-150,VLOOKUP($B631,COSTOS!$A$2:$B1014,2,FALSE)),"No encontrado o error"))</f>
        <v/>
      </c>
      <c r="AC631" s="395"/>
      <c r="AD631" s="394"/>
      <c r="AE631" s="429" t="str">
        <f>IF(OR(ISBLANK($B631),ISBLANK($AD631)),"",IFERROR(IF($AD631&lt;=DATE('ESTADO CONTABLE'!$B$2,10,5),VLOOKUP($B631,COSTOS!$A$2:$B1014,2,FALSE)-150,VLOOKUP($B631,COSTOS!$A$2:$B1014,2,FALSE)),"No encontrado o error"))</f>
        <v/>
      </c>
      <c r="AF631" s="395"/>
      <c r="AG631" s="394"/>
      <c r="AH631" s="429" t="str">
        <f>IF(OR(ISBLANK($B631),ISBLANK($AG631)),"",IFERROR(IF($AG631&lt;=DATE('ESTADO CONTABLE'!$B$2,11,5),VLOOKUP($B631,COSTOS!$A$2:$B1014,2,FALSE)-150,VLOOKUP($B631,COSTOS!$A$2:$B1014,2,FALSE)),"No encontrado o error"))</f>
        <v/>
      </c>
      <c r="AI631" s="395"/>
      <c r="AJ631" s="394"/>
      <c r="AK631" s="429" t="str">
        <f>IF(OR(ISBLANK($B631),ISBLANK($AJ631)),"",IFERROR(IF($AJ631&lt;=DATE('ESTADO CONTABLE'!$B$2,12,5),VLOOKUP($B631,COSTOS!$A$2:$B1014,2,FALSE)-150,VLOOKUP($B631,COSTOS!$A$2:$B1014,2,FALSE)),"No encontrado o error"))</f>
        <v/>
      </c>
      <c r="AL631" s="395"/>
      <c r="AM631" s="254"/>
      <c r="AN631" s="255"/>
      <c r="AO631" s="256"/>
    </row>
    <row r="632" ht="22.5" customHeight="1">
      <c r="A632" s="431" t="str">
        <f>'BASE DE DATOSS'!A706</f>
        <v/>
      </c>
      <c r="B632" s="432" t="str">
        <f>'BASE DE DATOSS'!C706</f>
        <v/>
      </c>
      <c r="C632" s="263"/>
      <c r="D632" s="249"/>
      <c r="E632" s="250"/>
      <c r="F632" s="251"/>
      <c r="G632" s="262"/>
      <c r="H632" s="257"/>
      <c r="I632" s="249"/>
      <c r="J632" s="193" t="str">
        <f>IF(OR(ISBLANK($B632),ISBLANK($I632)),"",IFERROR(IF($I632&lt;=DATE('ESTADO CONTABLE'!$B$2,3,5),VLOOKUP($B632,COSTOS!$A$2:$B1014,2,FALSE)-150,VLOOKUP($B632,COSTOS!$A$2:$B1014,2,FALSE)),"No encontrado o error"))</f>
        <v/>
      </c>
      <c r="K632" s="264"/>
      <c r="L632" s="249"/>
      <c r="M632" s="189"/>
      <c r="N632" s="264"/>
      <c r="O632" s="249"/>
      <c r="P632" s="250"/>
      <c r="Q632" s="264"/>
      <c r="R632" s="249"/>
      <c r="S632" s="250"/>
      <c r="T632" s="264"/>
      <c r="U632" s="249"/>
      <c r="V632" s="250"/>
      <c r="W632" s="264"/>
      <c r="X632" s="394"/>
      <c r="Y632" s="429"/>
      <c r="Z632" s="395"/>
      <c r="AA632" s="394"/>
      <c r="AB632" s="118" t="str">
        <f>IF(OR(ISBLANK($B632),ISBLANK($AA632)),"",IFERROR(IF($AA632&lt;=DATE('ESTADO CONTABLE'!$B$2,9,5),VLOOKUP($B632,COSTOS!$A$2:$B1014,2,FALSE)-150,VLOOKUP($B632,COSTOS!$A$2:$B1014,2,FALSE)),"No encontrado o error"))</f>
        <v/>
      </c>
      <c r="AC632" s="395"/>
      <c r="AD632" s="394"/>
      <c r="AE632" s="429" t="str">
        <f>IF(OR(ISBLANK($B632),ISBLANK($AD632)),"",IFERROR(IF($AD632&lt;=DATE('ESTADO CONTABLE'!$B$2,10,5),VLOOKUP($B632,COSTOS!$A$2:$B1014,2,FALSE)-150,VLOOKUP($B632,COSTOS!$A$2:$B1014,2,FALSE)),"No encontrado o error"))</f>
        <v/>
      </c>
      <c r="AF632" s="395"/>
      <c r="AG632" s="394"/>
      <c r="AH632" s="429" t="str">
        <f>IF(OR(ISBLANK($B632),ISBLANK($AG632)),"",IFERROR(IF($AG632&lt;=DATE('ESTADO CONTABLE'!$B$2,11,5),VLOOKUP($B632,COSTOS!$A$2:$B1014,2,FALSE)-150,VLOOKUP($B632,COSTOS!$A$2:$B1014,2,FALSE)),"No encontrado o error"))</f>
        <v/>
      </c>
      <c r="AI632" s="395"/>
      <c r="AJ632" s="394"/>
      <c r="AK632" s="429" t="str">
        <f>IF(OR(ISBLANK($B632),ISBLANK($AJ632)),"",IFERROR(IF($AJ632&lt;=DATE('ESTADO CONTABLE'!$B$2,12,5),VLOOKUP($B632,COSTOS!$A$2:$B1014,2,FALSE)-150,VLOOKUP($B632,COSTOS!$A$2:$B1014,2,FALSE)),"No encontrado o error"))</f>
        <v/>
      </c>
      <c r="AL632" s="395"/>
      <c r="AM632" s="254"/>
      <c r="AN632" s="255"/>
      <c r="AO632" s="256"/>
    </row>
    <row r="633" ht="22.5" customHeight="1">
      <c r="A633" s="431" t="str">
        <f>'BASE DE DATOSS'!A707</f>
        <v/>
      </c>
      <c r="B633" s="432" t="str">
        <f>'BASE DE DATOSS'!C707</f>
        <v/>
      </c>
      <c r="C633" s="263"/>
      <c r="D633" s="249"/>
      <c r="E633" s="250"/>
      <c r="F633" s="251"/>
      <c r="G633" s="262"/>
      <c r="H633" s="257"/>
      <c r="I633" s="249"/>
      <c r="J633" s="193" t="str">
        <f>IF(OR(ISBLANK($B633),ISBLANK($I633)),"",IFERROR(IF($I633&lt;=DATE('ESTADO CONTABLE'!$B$2,3,5),VLOOKUP($B633,COSTOS!$A$2:$B1014,2,FALSE)-150,VLOOKUP($B633,COSTOS!$A$2:$B1014,2,FALSE)),"No encontrado o error"))</f>
        <v/>
      </c>
      <c r="K633" s="264"/>
      <c r="L633" s="249"/>
      <c r="M633" s="189"/>
      <c r="N633" s="264"/>
      <c r="O633" s="249"/>
      <c r="P633" s="250"/>
      <c r="Q633" s="264"/>
      <c r="R633" s="249"/>
      <c r="S633" s="250"/>
      <c r="T633" s="264"/>
      <c r="U633" s="249"/>
      <c r="V633" s="250"/>
      <c r="W633" s="264"/>
      <c r="X633" s="394"/>
      <c r="Y633" s="429"/>
      <c r="Z633" s="395"/>
      <c r="AA633" s="394"/>
      <c r="AB633" s="118" t="str">
        <f>IF(OR(ISBLANK($B633),ISBLANK($AA633)),"",IFERROR(IF($AA633&lt;=DATE('ESTADO CONTABLE'!$B$2,9,5),VLOOKUP($B633,COSTOS!$A$2:$B1014,2,FALSE)-150,VLOOKUP($B633,COSTOS!$A$2:$B1014,2,FALSE)),"No encontrado o error"))</f>
        <v/>
      </c>
      <c r="AC633" s="395"/>
      <c r="AD633" s="394"/>
      <c r="AE633" s="429" t="str">
        <f>IF(OR(ISBLANK($B633),ISBLANK($AD633)),"",IFERROR(IF($AD633&lt;=DATE('ESTADO CONTABLE'!$B$2,10,5),VLOOKUP($B633,COSTOS!$A$2:$B1014,2,FALSE)-150,VLOOKUP($B633,COSTOS!$A$2:$B1014,2,FALSE)),"No encontrado o error"))</f>
        <v/>
      </c>
      <c r="AF633" s="395"/>
      <c r="AG633" s="394"/>
      <c r="AH633" s="429" t="str">
        <f>IF(OR(ISBLANK($B633),ISBLANK($AG633)),"",IFERROR(IF($AG633&lt;=DATE('ESTADO CONTABLE'!$B$2,11,5),VLOOKUP($B633,COSTOS!$A$2:$B1014,2,FALSE)-150,VLOOKUP($B633,COSTOS!$A$2:$B1014,2,FALSE)),"No encontrado o error"))</f>
        <v/>
      </c>
      <c r="AI633" s="395"/>
      <c r="AJ633" s="394"/>
      <c r="AK633" s="429" t="str">
        <f>IF(OR(ISBLANK($B633),ISBLANK($AJ633)),"",IFERROR(IF($AJ633&lt;=DATE('ESTADO CONTABLE'!$B$2,12,5),VLOOKUP($B633,COSTOS!$A$2:$B1014,2,FALSE)-150,VLOOKUP($B633,COSTOS!$A$2:$B1014,2,FALSE)),"No encontrado o error"))</f>
        <v/>
      </c>
      <c r="AL633" s="395"/>
      <c r="AM633" s="254"/>
      <c r="AN633" s="255"/>
      <c r="AO633" s="256"/>
    </row>
    <row r="634" ht="22.5" customHeight="1">
      <c r="A634" s="431" t="str">
        <f>'BASE DE DATOSS'!A708</f>
        <v/>
      </c>
      <c r="B634" s="432" t="str">
        <f>'BASE DE DATOSS'!C708</f>
        <v/>
      </c>
      <c r="C634" s="263"/>
      <c r="D634" s="249"/>
      <c r="E634" s="250"/>
      <c r="F634" s="251"/>
      <c r="G634" s="262"/>
      <c r="H634" s="257"/>
      <c r="I634" s="249"/>
      <c r="J634" s="193" t="str">
        <f>IF(OR(ISBLANK($B634),ISBLANK($I634)),"",IFERROR(IF($I634&lt;=DATE('ESTADO CONTABLE'!$B$2,3,5),VLOOKUP($B634,COSTOS!$A$2:$B1014,2,FALSE)-150,VLOOKUP($B634,COSTOS!$A$2:$B1014,2,FALSE)),"No encontrado o error"))</f>
        <v/>
      </c>
      <c r="K634" s="264"/>
      <c r="L634" s="249"/>
      <c r="M634" s="189"/>
      <c r="N634" s="264"/>
      <c r="O634" s="249"/>
      <c r="P634" s="250"/>
      <c r="Q634" s="264"/>
      <c r="R634" s="249"/>
      <c r="S634" s="250"/>
      <c r="T634" s="264"/>
      <c r="U634" s="249"/>
      <c r="V634" s="250"/>
      <c r="W634" s="264"/>
      <c r="X634" s="394"/>
      <c r="Y634" s="429"/>
      <c r="Z634" s="395"/>
      <c r="AA634" s="394"/>
      <c r="AB634" s="118" t="str">
        <f>IF(OR(ISBLANK($B634),ISBLANK($AA634)),"",IFERROR(IF($AA634&lt;=DATE('ESTADO CONTABLE'!$B$2,9,5),VLOOKUP($B634,COSTOS!$A$2:$B1014,2,FALSE)-150,VLOOKUP($B634,COSTOS!$A$2:$B1014,2,FALSE)),"No encontrado o error"))</f>
        <v/>
      </c>
      <c r="AC634" s="395"/>
      <c r="AD634" s="394"/>
      <c r="AE634" s="429" t="str">
        <f>IF(OR(ISBLANK($B634),ISBLANK($AD634)),"",IFERROR(IF($AD634&lt;=DATE('ESTADO CONTABLE'!$B$2,10,5),VLOOKUP($B634,COSTOS!$A$2:$B1014,2,FALSE)-150,VLOOKUP($B634,COSTOS!$A$2:$B1014,2,FALSE)),"No encontrado o error"))</f>
        <v/>
      </c>
      <c r="AF634" s="395"/>
      <c r="AG634" s="394"/>
      <c r="AH634" s="429" t="str">
        <f>IF(OR(ISBLANK($B634),ISBLANK($AG634)),"",IFERROR(IF($AG634&lt;=DATE('ESTADO CONTABLE'!$B$2,11,5),VLOOKUP($B634,COSTOS!$A$2:$B1014,2,FALSE)-150,VLOOKUP($B634,COSTOS!$A$2:$B1014,2,FALSE)),"No encontrado o error"))</f>
        <v/>
      </c>
      <c r="AI634" s="395"/>
      <c r="AJ634" s="394"/>
      <c r="AK634" s="429" t="str">
        <f>IF(OR(ISBLANK($B634),ISBLANK($AJ634)),"",IFERROR(IF($AJ634&lt;=DATE('ESTADO CONTABLE'!$B$2,12,5),VLOOKUP($B634,COSTOS!$A$2:$B1014,2,FALSE)-150,VLOOKUP($B634,COSTOS!$A$2:$B1014,2,FALSE)),"No encontrado o error"))</f>
        <v/>
      </c>
      <c r="AL634" s="395"/>
      <c r="AM634" s="254"/>
      <c r="AN634" s="255"/>
      <c r="AO634" s="256"/>
    </row>
    <row r="635" ht="22.5" customHeight="1">
      <c r="A635" s="431" t="str">
        <f>'BASE DE DATOSS'!A709</f>
        <v/>
      </c>
      <c r="B635" s="432" t="str">
        <f>'BASE DE DATOSS'!C709</f>
        <v/>
      </c>
      <c r="C635" s="263"/>
      <c r="D635" s="249"/>
      <c r="E635" s="250"/>
      <c r="F635" s="251"/>
      <c r="G635" s="262"/>
      <c r="H635" s="257"/>
      <c r="I635" s="249"/>
      <c r="J635" s="193" t="str">
        <f>IF(OR(ISBLANK($B635),ISBLANK($I635)),"",IFERROR(IF($I635&lt;=DATE('ESTADO CONTABLE'!$B$2,3,5),VLOOKUP($B635,COSTOS!$A$2:$B1014,2,FALSE)-150,VLOOKUP($B635,COSTOS!$A$2:$B1014,2,FALSE)),"No encontrado o error"))</f>
        <v/>
      </c>
      <c r="K635" s="264"/>
      <c r="L635" s="249"/>
      <c r="M635" s="189"/>
      <c r="N635" s="264"/>
      <c r="O635" s="249"/>
      <c r="P635" s="250"/>
      <c r="Q635" s="264"/>
      <c r="R635" s="249"/>
      <c r="S635" s="250"/>
      <c r="T635" s="264"/>
      <c r="U635" s="249"/>
      <c r="V635" s="250"/>
      <c r="W635" s="264"/>
      <c r="X635" s="394"/>
      <c r="Y635" s="429"/>
      <c r="Z635" s="395"/>
      <c r="AA635" s="394"/>
      <c r="AB635" s="118" t="str">
        <f>IF(OR(ISBLANK($B635),ISBLANK($AA635)),"",IFERROR(IF($AA635&lt;=DATE('ESTADO CONTABLE'!$B$2,9,5),VLOOKUP($B635,COSTOS!$A$2:$B1014,2,FALSE)-150,VLOOKUP($B635,COSTOS!$A$2:$B1014,2,FALSE)),"No encontrado o error"))</f>
        <v/>
      </c>
      <c r="AC635" s="395"/>
      <c r="AD635" s="394"/>
      <c r="AE635" s="429" t="str">
        <f>IF(OR(ISBLANK($B635),ISBLANK($AD635)),"",IFERROR(IF($AD635&lt;=DATE('ESTADO CONTABLE'!$B$2,10,5),VLOOKUP($B635,COSTOS!$A$2:$B1014,2,FALSE)-150,VLOOKUP($B635,COSTOS!$A$2:$B1014,2,FALSE)),"No encontrado o error"))</f>
        <v/>
      </c>
      <c r="AF635" s="395"/>
      <c r="AG635" s="394"/>
      <c r="AH635" s="429" t="str">
        <f>IF(OR(ISBLANK($B635),ISBLANK($AG635)),"",IFERROR(IF($AG635&lt;=DATE('ESTADO CONTABLE'!$B$2,11,5),VLOOKUP($B635,COSTOS!$A$2:$B1014,2,FALSE)-150,VLOOKUP($B635,COSTOS!$A$2:$B1014,2,FALSE)),"No encontrado o error"))</f>
        <v/>
      </c>
      <c r="AI635" s="395"/>
      <c r="AJ635" s="394"/>
      <c r="AK635" s="429" t="str">
        <f>IF(OR(ISBLANK($B635),ISBLANK($AJ635)),"",IFERROR(IF($AJ635&lt;=DATE('ESTADO CONTABLE'!$B$2,12,5),VLOOKUP($B635,COSTOS!$A$2:$B1014,2,FALSE)-150,VLOOKUP($B635,COSTOS!$A$2:$B1014,2,FALSE)),"No encontrado o error"))</f>
        <v/>
      </c>
      <c r="AL635" s="395"/>
      <c r="AM635" s="254"/>
      <c r="AN635" s="255"/>
      <c r="AO635" s="256"/>
    </row>
    <row r="636" ht="22.5" customHeight="1">
      <c r="A636" s="431" t="str">
        <f>'BASE DE DATOSS'!A710</f>
        <v/>
      </c>
      <c r="B636" s="432" t="str">
        <f>'BASE DE DATOSS'!C710</f>
        <v/>
      </c>
      <c r="C636" s="263"/>
      <c r="D636" s="249"/>
      <c r="E636" s="250"/>
      <c r="F636" s="251"/>
      <c r="G636" s="262"/>
      <c r="H636" s="257"/>
      <c r="I636" s="249"/>
      <c r="J636" s="193" t="str">
        <f>IF(OR(ISBLANK($B636),ISBLANK($I636)),"",IFERROR(IF($I636&lt;=DATE('ESTADO CONTABLE'!$B$2,3,5),VLOOKUP($B636,COSTOS!$A$2:$B1014,2,FALSE)-150,VLOOKUP($B636,COSTOS!$A$2:$B1014,2,FALSE)),"No encontrado o error"))</f>
        <v/>
      </c>
      <c r="K636" s="264"/>
      <c r="L636" s="249"/>
      <c r="M636" s="189"/>
      <c r="N636" s="264"/>
      <c r="O636" s="249"/>
      <c r="P636" s="250"/>
      <c r="Q636" s="264"/>
      <c r="R636" s="249"/>
      <c r="S636" s="250"/>
      <c r="T636" s="264"/>
      <c r="U636" s="249"/>
      <c r="V636" s="250"/>
      <c r="W636" s="264"/>
      <c r="X636" s="394"/>
      <c r="Y636" s="429"/>
      <c r="Z636" s="395"/>
      <c r="AA636" s="394"/>
      <c r="AB636" s="118" t="str">
        <f>IF(OR(ISBLANK($B636),ISBLANK($AA636)),"",IFERROR(IF($AA636&lt;=DATE('ESTADO CONTABLE'!$B$2,9,5),VLOOKUP($B636,COSTOS!$A$2:$B1014,2,FALSE)-150,VLOOKUP($B636,COSTOS!$A$2:$B1014,2,FALSE)),"No encontrado o error"))</f>
        <v/>
      </c>
      <c r="AC636" s="395"/>
      <c r="AD636" s="394"/>
      <c r="AE636" s="429" t="str">
        <f>IF(OR(ISBLANK($B636),ISBLANK($AD636)),"",IFERROR(IF($AD636&lt;=DATE('ESTADO CONTABLE'!$B$2,10,5),VLOOKUP($B636,COSTOS!$A$2:$B1014,2,FALSE)-150,VLOOKUP($B636,COSTOS!$A$2:$B1014,2,FALSE)),"No encontrado o error"))</f>
        <v/>
      </c>
      <c r="AF636" s="395"/>
      <c r="AG636" s="394"/>
      <c r="AH636" s="429" t="str">
        <f>IF(OR(ISBLANK($B636),ISBLANK($AG636)),"",IFERROR(IF($AG636&lt;=DATE('ESTADO CONTABLE'!$B$2,11,5),VLOOKUP($B636,COSTOS!$A$2:$B1014,2,FALSE)-150,VLOOKUP($B636,COSTOS!$A$2:$B1014,2,FALSE)),"No encontrado o error"))</f>
        <v/>
      </c>
      <c r="AI636" s="395"/>
      <c r="AJ636" s="394"/>
      <c r="AK636" s="429" t="str">
        <f>IF(OR(ISBLANK($B636),ISBLANK($AJ636)),"",IFERROR(IF($AJ636&lt;=DATE('ESTADO CONTABLE'!$B$2,12,5),VLOOKUP($B636,COSTOS!$A$2:$B1014,2,FALSE)-150,VLOOKUP($B636,COSTOS!$A$2:$B1014,2,FALSE)),"No encontrado o error"))</f>
        <v/>
      </c>
      <c r="AL636" s="395"/>
      <c r="AM636" s="254"/>
      <c r="AN636" s="255"/>
      <c r="AO636" s="256"/>
    </row>
    <row r="637" ht="22.5" customHeight="1">
      <c r="A637" s="431" t="str">
        <f>'BASE DE DATOSS'!A711</f>
        <v/>
      </c>
      <c r="B637" s="432" t="str">
        <f>'BASE DE DATOSS'!C711</f>
        <v/>
      </c>
      <c r="C637" s="263"/>
      <c r="D637" s="249"/>
      <c r="E637" s="250"/>
      <c r="F637" s="251"/>
      <c r="G637" s="262"/>
      <c r="H637" s="257"/>
      <c r="I637" s="249"/>
      <c r="J637" s="193" t="str">
        <f>IF(OR(ISBLANK($B637),ISBLANK($I637)),"",IFERROR(IF($I637&lt;=DATE('ESTADO CONTABLE'!$B$2,3,5),VLOOKUP($B637,COSTOS!$A$2:$B1014,2,FALSE)-150,VLOOKUP($B637,COSTOS!$A$2:$B1014,2,FALSE)),"No encontrado o error"))</f>
        <v/>
      </c>
      <c r="K637" s="264"/>
      <c r="L637" s="249"/>
      <c r="M637" s="189"/>
      <c r="N637" s="264"/>
      <c r="O637" s="249"/>
      <c r="P637" s="250"/>
      <c r="Q637" s="264"/>
      <c r="R637" s="249"/>
      <c r="S637" s="250"/>
      <c r="T637" s="264"/>
      <c r="U637" s="249"/>
      <c r="V637" s="250"/>
      <c r="W637" s="264"/>
      <c r="X637" s="394"/>
      <c r="Y637" s="429"/>
      <c r="Z637" s="395"/>
      <c r="AA637" s="394"/>
      <c r="AB637" s="118" t="str">
        <f>IF(OR(ISBLANK($B637),ISBLANK($AA637)),"",IFERROR(IF($AA637&lt;=DATE('ESTADO CONTABLE'!$B$2,9,5),VLOOKUP($B637,COSTOS!$A$2:$B1014,2,FALSE)-150,VLOOKUP($B637,COSTOS!$A$2:$B1014,2,FALSE)),"No encontrado o error"))</f>
        <v/>
      </c>
      <c r="AC637" s="395"/>
      <c r="AD637" s="394"/>
      <c r="AE637" s="429" t="str">
        <f>IF(OR(ISBLANK($B637),ISBLANK($AD637)),"",IFERROR(IF($AD637&lt;=DATE('ESTADO CONTABLE'!$B$2,10,5),VLOOKUP($B637,COSTOS!$A$2:$B1014,2,FALSE)-150,VLOOKUP($B637,COSTOS!$A$2:$B1014,2,FALSE)),"No encontrado o error"))</f>
        <v/>
      </c>
      <c r="AF637" s="395"/>
      <c r="AG637" s="394"/>
      <c r="AH637" s="429" t="str">
        <f>IF(OR(ISBLANK($B637),ISBLANK($AG637)),"",IFERROR(IF($AG637&lt;=DATE('ESTADO CONTABLE'!$B$2,11,5),VLOOKUP($B637,COSTOS!$A$2:$B1014,2,FALSE)-150,VLOOKUP($B637,COSTOS!$A$2:$B1014,2,FALSE)),"No encontrado o error"))</f>
        <v/>
      </c>
      <c r="AI637" s="395"/>
      <c r="AJ637" s="394"/>
      <c r="AK637" s="429" t="str">
        <f>IF(OR(ISBLANK($B637),ISBLANK($AJ637)),"",IFERROR(IF($AJ637&lt;=DATE('ESTADO CONTABLE'!$B$2,12,5),VLOOKUP($B637,COSTOS!$A$2:$B1014,2,FALSE)-150,VLOOKUP($B637,COSTOS!$A$2:$B1014,2,FALSE)),"No encontrado o error"))</f>
        <v/>
      </c>
      <c r="AL637" s="395"/>
      <c r="AM637" s="254"/>
      <c r="AN637" s="255"/>
      <c r="AO637" s="256"/>
    </row>
    <row r="638" ht="22.5" customHeight="1">
      <c r="A638" s="431" t="str">
        <f>'BASE DE DATOSS'!A712</f>
        <v/>
      </c>
      <c r="B638" s="432" t="str">
        <f>'BASE DE DATOSS'!C712</f>
        <v/>
      </c>
      <c r="C638" s="263"/>
      <c r="D638" s="249"/>
      <c r="E638" s="250"/>
      <c r="F638" s="251"/>
      <c r="G638" s="262"/>
      <c r="H638" s="257"/>
      <c r="I638" s="249"/>
      <c r="J638" s="193" t="str">
        <f>IF(OR(ISBLANK($B638),ISBLANK($I638)),"",IFERROR(IF($I638&lt;=DATE('ESTADO CONTABLE'!$B$2,3,5),VLOOKUP($B638,COSTOS!$A$2:$B1014,2,FALSE)-150,VLOOKUP($B638,COSTOS!$A$2:$B1014,2,FALSE)),"No encontrado o error"))</f>
        <v/>
      </c>
      <c r="K638" s="264"/>
      <c r="L638" s="249"/>
      <c r="M638" s="189"/>
      <c r="N638" s="264"/>
      <c r="O638" s="249"/>
      <c r="P638" s="250"/>
      <c r="Q638" s="264"/>
      <c r="R638" s="249"/>
      <c r="S638" s="250"/>
      <c r="T638" s="264"/>
      <c r="U638" s="249"/>
      <c r="V638" s="250"/>
      <c r="W638" s="264"/>
      <c r="X638" s="394"/>
      <c r="Y638" s="429"/>
      <c r="Z638" s="395"/>
      <c r="AA638" s="394"/>
      <c r="AB638" s="118" t="str">
        <f>IF(OR(ISBLANK($B638),ISBLANK($AA638)),"",IFERROR(IF($AA638&lt;=DATE('ESTADO CONTABLE'!$B$2,9,5),VLOOKUP($B638,COSTOS!$A$2:$B1014,2,FALSE)-150,VLOOKUP($B638,COSTOS!$A$2:$B1014,2,FALSE)),"No encontrado o error"))</f>
        <v/>
      </c>
      <c r="AC638" s="395"/>
      <c r="AD638" s="394"/>
      <c r="AE638" s="429" t="str">
        <f>IF(OR(ISBLANK($B638),ISBLANK($AD638)),"",IFERROR(IF($AD638&lt;=DATE('ESTADO CONTABLE'!$B$2,10,5),VLOOKUP($B638,COSTOS!$A$2:$B1014,2,FALSE)-150,VLOOKUP($B638,COSTOS!$A$2:$B1014,2,FALSE)),"No encontrado o error"))</f>
        <v/>
      </c>
      <c r="AF638" s="395"/>
      <c r="AG638" s="394"/>
      <c r="AH638" s="429" t="str">
        <f>IF(OR(ISBLANK($B638),ISBLANK($AG638)),"",IFERROR(IF($AG638&lt;=DATE('ESTADO CONTABLE'!$B$2,11,5),VLOOKUP($B638,COSTOS!$A$2:$B1014,2,FALSE)-150,VLOOKUP($B638,COSTOS!$A$2:$B1014,2,FALSE)),"No encontrado o error"))</f>
        <v/>
      </c>
      <c r="AI638" s="395"/>
      <c r="AJ638" s="394"/>
      <c r="AK638" s="429" t="str">
        <f>IF(OR(ISBLANK($B638),ISBLANK($AJ638)),"",IFERROR(IF($AJ638&lt;=DATE('ESTADO CONTABLE'!$B$2,12,5),VLOOKUP($B638,COSTOS!$A$2:$B1014,2,FALSE)-150,VLOOKUP($B638,COSTOS!$A$2:$B1014,2,FALSE)),"No encontrado o error"))</f>
        <v/>
      </c>
      <c r="AL638" s="395"/>
      <c r="AM638" s="254"/>
      <c r="AN638" s="255"/>
      <c r="AO638" s="256"/>
    </row>
    <row r="639" ht="22.5" customHeight="1">
      <c r="A639" s="431" t="str">
        <f>'BASE DE DATOSS'!A713</f>
        <v/>
      </c>
      <c r="B639" s="432" t="str">
        <f>'BASE DE DATOSS'!C713</f>
        <v/>
      </c>
      <c r="C639" s="263"/>
      <c r="D639" s="249"/>
      <c r="E639" s="250"/>
      <c r="F639" s="251"/>
      <c r="G639" s="262"/>
      <c r="H639" s="257"/>
      <c r="I639" s="249"/>
      <c r="J639" s="193" t="str">
        <f>IF(OR(ISBLANK($B639),ISBLANK($I639)),"",IFERROR(IF($I639&lt;=DATE('ESTADO CONTABLE'!$B$2,3,5),VLOOKUP($B639,COSTOS!$A$2:$B1014,2,FALSE)-150,VLOOKUP($B639,COSTOS!$A$2:$B1014,2,FALSE)),"No encontrado o error"))</f>
        <v/>
      </c>
      <c r="K639" s="264"/>
      <c r="L639" s="249"/>
      <c r="M639" s="189"/>
      <c r="N639" s="264"/>
      <c r="O639" s="249"/>
      <c r="P639" s="250"/>
      <c r="Q639" s="264"/>
      <c r="R639" s="249"/>
      <c r="S639" s="250"/>
      <c r="T639" s="264"/>
      <c r="U639" s="249"/>
      <c r="V639" s="250"/>
      <c r="W639" s="264"/>
      <c r="X639" s="394"/>
      <c r="Y639" s="429"/>
      <c r="Z639" s="395"/>
      <c r="AA639" s="394"/>
      <c r="AB639" s="118" t="str">
        <f>IF(OR(ISBLANK($B639),ISBLANK($AA639)),"",IFERROR(IF($AA639&lt;=DATE('ESTADO CONTABLE'!$B$2,9,5),VLOOKUP($B639,COSTOS!$A$2:$B1014,2,FALSE)-150,VLOOKUP($B639,COSTOS!$A$2:$B1014,2,FALSE)),"No encontrado o error"))</f>
        <v/>
      </c>
      <c r="AC639" s="395"/>
      <c r="AD639" s="394"/>
      <c r="AE639" s="429" t="str">
        <f>IF(OR(ISBLANK($B639),ISBLANK($AD639)),"",IFERROR(IF($AD639&lt;=DATE('ESTADO CONTABLE'!$B$2,10,5),VLOOKUP($B639,COSTOS!$A$2:$B1014,2,FALSE)-150,VLOOKUP($B639,COSTOS!$A$2:$B1014,2,FALSE)),"No encontrado o error"))</f>
        <v/>
      </c>
      <c r="AF639" s="395"/>
      <c r="AG639" s="394"/>
      <c r="AH639" s="429" t="str">
        <f>IF(OR(ISBLANK($B639),ISBLANK($AG639)),"",IFERROR(IF($AG639&lt;=DATE('ESTADO CONTABLE'!$B$2,11,5),VLOOKUP($B639,COSTOS!$A$2:$B1014,2,FALSE)-150,VLOOKUP($B639,COSTOS!$A$2:$B1014,2,FALSE)),"No encontrado o error"))</f>
        <v/>
      </c>
      <c r="AI639" s="395"/>
      <c r="AJ639" s="394"/>
      <c r="AK639" s="429" t="str">
        <f>IF(OR(ISBLANK($B639),ISBLANK($AJ639)),"",IFERROR(IF($AJ639&lt;=DATE('ESTADO CONTABLE'!$B$2,12,5),VLOOKUP($B639,COSTOS!$A$2:$B1014,2,FALSE)-150,VLOOKUP($B639,COSTOS!$A$2:$B1014,2,FALSE)),"No encontrado o error"))</f>
        <v/>
      </c>
      <c r="AL639" s="395"/>
      <c r="AM639" s="254"/>
      <c r="AN639" s="255"/>
      <c r="AO639" s="256"/>
    </row>
    <row r="640" ht="22.5" customHeight="1">
      <c r="A640" s="431" t="str">
        <f>'BASE DE DATOSS'!A714</f>
        <v/>
      </c>
      <c r="B640" s="432" t="str">
        <f>'BASE DE DATOSS'!C714</f>
        <v/>
      </c>
      <c r="C640" s="263"/>
      <c r="D640" s="249"/>
      <c r="E640" s="250"/>
      <c r="F640" s="251"/>
      <c r="G640" s="262"/>
      <c r="H640" s="257"/>
      <c r="I640" s="249"/>
      <c r="J640" s="193" t="str">
        <f>IF(OR(ISBLANK($B640),ISBLANK($I640)),"",IFERROR(IF($I640&lt;=DATE('ESTADO CONTABLE'!$B$2,3,5),VLOOKUP($B640,COSTOS!$A$2:$B1014,2,FALSE)-150,VLOOKUP($B640,COSTOS!$A$2:$B1014,2,FALSE)),"No encontrado o error"))</f>
        <v/>
      </c>
      <c r="K640" s="264"/>
      <c r="L640" s="249"/>
      <c r="M640" s="189"/>
      <c r="N640" s="264"/>
      <c r="O640" s="249"/>
      <c r="P640" s="250"/>
      <c r="Q640" s="264"/>
      <c r="R640" s="249"/>
      <c r="S640" s="250"/>
      <c r="T640" s="264"/>
      <c r="U640" s="249"/>
      <c r="V640" s="250"/>
      <c r="W640" s="264"/>
      <c r="X640" s="394"/>
      <c r="Y640" s="429"/>
      <c r="Z640" s="395"/>
      <c r="AA640" s="394"/>
      <c r="AB640" s="118" t="str">
        <f>IF(OR(ISBLANK($B640),ISBLANK($AA640)),"",IFERROR(IF($AA640&lt;=DATE('ESTADO CONTABLE'!$B$2,9,5),VLOOKUP($B640,COSTOS!$A$2:$B1014,2,FALSE)-150,VLOOKUP($B640,COSTOS!$A$2:$B1014,2,FALSE)),"No encontrado o error"))</f>
        <v/>
      </c>
      <c r="AC640" s="395"/>
      <c r="AD640" s="394"/>
      <c r="AE640" s="429" t="str">
        <f>IF(OR(ISBLANK($B640),ISBLANK($AD640)),"",IFERROR(IF($AD640&lt;=DATE('ESTADO CONTABLE'!$B$2,10,5),VLOOKUP($B640,COSTOS!$A$2:$B1014,2,FALSE)-150,VLOOKUP($B640,COSTOS!$A$2:$B1014,2,FALSE)),"No encontrado o error"))</f>
        <v/>
      </c>
      <c r="AF640" s="395"/>
      <c r="AG640" s="394"/>
      <c r="AH640" s="429" t="str">
        <f>IF(OR(ISBLANK($B640),ISBLANK($AG640)),"",IFERROR(IF($AG640&lt;=DATE('ESTADO CONTABLE'!$B$2,11,5),VLOOKUP($B640,COSTOS!$A$2:$B1014,2,FALSE)-150,VLOOKUP($B640,COSTOS!$A$2:$B1014,2,FALSE)),"No encontrado o error"))</f>
        <v/>
      </c>
      <c r="AI640" s="395"/>
      <c r="AJ640" s="394"/>
      <c r="AK640" s="429" t="str">
        <f>IF(OR(ISBLANK($B640),ISBLANK($AJ640)),"",IFERROR(IF($AJ640&lt;=DATE('ESTADO CONTABLE'!$B$2,12,5),VLOOKUP($B640,COSTOS!$A$2:$B1014,2,FALSE)-150,VLOOKUP($B640,COSTOS!$A$2:$B1014,2,FALSE)),"No encontrado o error"))</f>
        <v/>
      </c>
      <c r="AL640" s="395"/>
      <c r="AM640" s="254"/>
      <c r="AN640" s="255"/>
      <c r="AO640" s="256"/>
    </row>
    <row r="641" ht="22.5" customHeight="1">
      <c r="A641" s="431" t="str">
        <f>'BASE DE DATOSS'!A715</f>
        <v/>
      </c>
      <c r="B641" s="432" t="str">
        <f>'BASE DE DATOSS'!C715</f>
        <v/>
      </c>
      <c r="C641" s="263"/>
      <c r="D641" s="249"/>
      <c r="E641" s="250"/>
      <c r="F641" s="251"/>
      <c r="G641" s="262"/>
      <c r="H641" s="257"/>
      <c r="I641" s="249"/>
      <c r="J641" s="193" t="str">
        <f>IF(OR(ISBLANK($B641),ISBLANK($I641)),"",IFERROR(IF($I641&lt;=DATE('ESTADO CONTABLE'!$B$2,3,5),VLOOKUP($B641,COSTOS!$A$2:$B1014,2,FALSE)-150,VLOOKUP($B641,COSTOS!$A$2:$B1014,2,FALSE)),"No encontrado o error"))</f>
        <v/>
      </c>
      <c r="K641" s="264"/>
      <c r="L641" s="249"/>
      <c r="M641" s="189"/>
      <c r="N641" s="264"/>
      <c r="O641" s="249"/>
      <c r="P641" s="250"/>
      <c r="Q641" s="264"/>
      <c r="R641" s="249"/>
      <c r="S641" s="250"/>
      <c r="T641" s="264"/>
      <c r="U641" s="249"/>
      <c r="V641" s="250"/>
      <c r="W641" s="264"/>
      <c r="X641" s="394"/>
      <c r="Y641" s="429"/>
      <c r="Z641" s="395"/>
      <c r="AA641" s="394"/>
      <c r="AB641" s="118" t="str">
        <f>IF(OR(ISBLANK($B641),ISBLANK($AA641)),"",IFERROR(IF($AA641&lt;=DATE('ESTADO CONTABLE'!$B$2,9,5),VLOOKUP($B641,COSTOS!$A$2:$B1014,2,FALSE)-150,VLOOKUP($B641,COSTOS!$A$2:$B1014,2,FALSE)),"No encontrado o error"))</f>
        <v/>
      </c>
      <c r="AC641" s="395"/>
      <c r="AD641" s="394"/>
      <c r="AE641" s="429" t="str">
        <f>IF(OR(ISBLANK($B641),ISBLANK($AD641)),"",IFERROR(IF($AD641&lt;=DATE('ESTADO CONTABLE'!$B$2,10,5),VLOOKUP($B641,COSTOS!$A$2:$B1014,2,FALSE)-150,VLOOKUP($B641,COSTOS!$A$2:$B1014,2,FALSE)),"No encontrado o error"))</f>
        <v/>
      </c>
      <c r="AF641" s="395"/>
      <c r="AG641" s="394"/>
      <c r="AH641" s="429" t="str">
        <f>IF(OR(ISBLANK($B641),ISBLANK($AG641)),"",IFERROR(IF($AG641&lt;=DATE('ESTADO CONTABLE'!$B$2,11,5),VLOOKUP($B641,COSTOS!$A$2:$B1014,2,FALSE)-150,VLOOKUP($B641,COSTOS!$A$2:$B1014,2,FALSE)),"No encontrado o error"))</f>
        <v/>
      </c>
      <c r="AI641" s="395"/>
      <c r="AJ641" s="394"/>
      <c r="AK641" s="429" t="str">
        <f>IF(OR(ISBLANK($B641),ISBLANK($AJ641)),"",IFERROR(IF($AJ641&lt;=DATE('ESTADO CONTABLE'!$B$2,12,5),VLOOKUP($B641,COSTOS!$A$2:$B1014,2,FALSE)-150,VLOOKUP($B641,COSTOS!$A$2:$B1014,2,FALSE)),"No encontrado o error"))</f>
        <v/>
      </c>
      <c r="AL641" s="395"/>
      <c r="AM641" s="254"/>
      <c r="AN641" s="255"/>
      <c r="AO641" s="256"/>
    </row>
    <row r="642" ht="22.5" customHeight="1">
      <c r="A642" s="431" t="str">
        <f>'BASE DE DATOSS'!A716</f>
        <v/>
      </c>
      <c r="B642" s="432" t="str">
        <f>'BASE DE DATOSS'!C716</f>
        <v/>
      </c>
      <c r="C642" s="263"/>
      <c r="D642" s="249"/>
      <c r="E642" s="250"/>
      <c r="F642" s="251"/>
      <c r="G642" s="262"/>
      <c r="H642" s="257"/>
      <c r="I642" s="249"/>
      <c r="J642" s="193" t="str">
        <f>IF(OR(ISBLANK($B642),ISBLANK($I642)),"",IFERROR(IF($I642&lt;=DATE('ESTADO CONTABLE'!$B$2,3,5),VLOOKUP($B642,COSTOS!$A$2:$B1014,2,FALSE)-150,VLOOKUP($B642,COSTOS!$A$2:$B1014,2,FALSE)),"No encontrado o error"))</f>
        <v/>
      </c>
      <c r="K642" s="264"/>
      <c r="L642" s="249"/>
      <c r="M642" s="189"/>
      <c r="N642" s="264"/>
      <c r="O642" s="249"/>
      <c r="P642" s="250"/>
      <c r="Q642" s="264"/>
      <c r="R642" s="249"/>
      <c r="S642" s="250"/>
      <c r="T642" s="264"/>
      <c r="U642" s="249"/>
      <c r="V642" s="250"/>
      <c r="W642" s="264"/>
      <c r="X642" s="394"/>
      <c r="Y642" s="429"/>
      <c r="Z642" s="395"/>
      <c r="AA642" s="394"/>
      <c r="AB642" s="118" t="str">
        <f>IF(OR(ISBLANK($B642),ISBLANK($AA642)),"",IFERROR(IF($AA642&lt;=DATE('ESTADO CONTABLE'!$B$2,9,5),VLOOKUP($B642,COSTOS!$A$2:$B1014,2,FALSE)-150,VLOOKUP($B642,COSTOS!$A$2:$B1014,2,FALSE)),"No encontrado o error"))</f>
        <v/>
      </c>
      <c r="AC642" s="395"/>
      <c r="AD642" s="394"/>
      <c r="AE642" s="429" t="str">
        <f>IF(OR(ISBLANK($B642),ISBLANK($AD642)),"",IFERROR(IF($AD642&lt;=DATE('ESTADO CONTABLE'!$B$2,10,5),VLOOKUP($B642,COSTOS!$A$2:$B1014,2,FALSE)-150,VLOOKUP($B642,COSTOS!$A$2:$B1014,2,FALSE)),"No encontrado o error"))</f>
        <v/>
      </c>
      <c r="AF642" s="395"/>
      <c r="AG642" s="394"/>
      <c r="AH642" s="429" t="str">
        <f>IF(OR(ISBLANK($B642),ISBLANK($AG642)),"",IFERROR(IF($AG642&lt;=DATE('ESTADO CONTABLE'!$B$2,11,5),VLOOKUP($B642,COSTOS!$A$2:$B1014,2,FALSE)-150,VLOOKUP($B642,COSTOS!$A$2:$B1014,2,FALSE)),"No encontrado o error"))</f>
        <v/>
      </c>
      <c r="AI642" s="395"/>
      <c r="AJ642" s="394"/>
      <c r="AK642" s="429" t="str">
        <f>IF(OR(ISBLANK($B642),ISBLANK($AJ642)),"",IFERROR(IF($AJ642&lt;=DATE('ESTADO CONTABLE'!$B$2,12,5),VLOOKUP($B642,COSTOS!$A$2:$B1014,2,FALSE)-150,VLOOKUP($B642,COSTOS!$A$2:$B1014,2,FALSE)),"No encontrado o error"))</f>
        <v/>
      </c>
      <c r="AL642" s="395"/>
      <c r="AM642" s="254"/>
      <c r="AN642" s="255"/>
      <c r="AO642" s="256"/>
    </row>
    <row r="643" ht="22.5" customHeight="1">
      <c r="A643" s="431" t="str">
        <f>'BASE DE DATOSS'!A717</f>
        <v/>
      </c>
      <c r="B643" s="432" t="str">
        <f>'BASE DE DATOSS'!C717</f>
        <v/>
      </c>
      <c r="C643" s="263"/>
      <c r="D643" s="249"/>
      <c r="E643" s="250"/>
      <c r="F643" s="251"/>
      <c r="G643" s="262"/>
      <c r="H643" s="257"/>
      <c r="I643" s="249"/>
      <c r="J643" s="193" t="str">
        <f>IF(OR(ISBLANK($B643),ISBLANK($I643)),"",IFERROR(IF($I643&lt;=DATE('ESTADO CONTABLE'!$B$2,3,5),VLOOKUP($B643,COSTOS!$A$2:$B1014,2,FALSE)-150,VLOOKUP($B643,COSTOS!$A$2:$B1014,2,FALSE)),"No encontrado o error"))</f>
        <v/>
      </c>
      <c r="K643" s="264"/>
      <c r="L643" s="249"/>
      <c r="M643" s="189"/>
      <c r="N643" s="264"/>
      <c r="O643" s="249"/>
      <c r="P643" s="250"/>
      <c r="Q643" s="264"/>
      <c r="R643" s="249"/>
      <c r="S643" s="250"/>
      <c r="T643" s="264"/>
      <c r="U643" s="249"/>
      <c r="V643" s="250"/>
      <c r="W643" s="264"/>
      <c r="X643" s="394"/>
      <c r="Y643" s="429"/>
      <c r="Z643" s="395"/>
      <c r="AA643" s="394"/>
      <c r="AB643" s="118" t="str">
        <f>IF(OR(ISBLANK($B643),ISBLANK($AA643)),"",IFERROR(IF($AA643&lt;=DATE('ESTADO CONTABLE'!$B$2,9,5),VLOOKUP($B643,COSTOS!$A$2:$B1014,2,FALSE)-150,VLOOKUP($B643,COSTOS!$A$2:$B1014,2,FALSE)),"No encontrado o error"))</f>
        <v/>
      </c>
      <c r="AC643" s="395"/>
      <c r="AD643" s="394"/>
      <c r="AE643" s="429" t="str">
        <f>IF(OR(ISBLANK($B643),ISBLANK($AD643)),"",IFERROR(IF($AD643&lt;=DATE('ESTADO CONTABLE'!$B$2,10,5),VLOOKUP($B643,COSTOS!$A$2:$B1014,2,FALSE)-150,VLOOKUP($B643,COSTOS!$A$2:$B1014,2,FALSE)),"No encontrado o error"))</f>
        <v/>
      </c>
      <c r="AF643" s="395"/>
      <c r="AG643" s="394"/>
      <c r="AH643" s="429" t="str">
        <f>IF(OR(ISBLANK($B643),ISBLANK($AG643)),"",IFERROR(IF($AG643&lt;=DATE('ESTADO CONTABLE'!$B$2,11,5),VLOOKUP($B643,COSTOS!$A$2:$B1014,2,FALSE)-150,VLOOKUP($B643,COSTOS!$A$2:$B1014,2,FALSE)),"No encontrado o error"))</f>
        <v/>
      </c>
      <c r="AI643" s="395"/>
      <c r="AJ643" s="394"/>
      <c r="AK643" s="429" t="str">
        <f>IF(OR(ISBLANK($B643),ISBLANK($AJ643)),"",IFERROR(IF($AJ643&lt;=DATE('ESTADO CONTABLE'!$B$2,12,5),VLOOKUP($B643,COSTOS!$A$2:$B1014,2,FALSE)-150,VLOOKUP($B643,COSTOS!$A$2:$B1014,2,FALSE)),"No encontrado o error"))</f>
        <v/>
      </c>
      <c r="AL643" s="395"/>
      <c r="AM643" s="254"/>
      <c r="AN643" s="255"/>
      <c r="AO643" s="256"/>
    </row>
    <row r="644" ht="22.5" customHeight="1">
      <c r="A644" s="431" t="str">
        <f>'BASE DE DATOSS'!A718</f>
        <v/>
      </c>
      <c r="B644" s="432" t="str">
        <f>'BASE DE DATOSS'!C718</f>
        <v/>
      </c>
      <c r="C644" s="263"/>
      <c r="D644" s="249"/>
      <c r="E644" s="250"/>
      <c r="F644" s="251"/>
      <c r="G644" s="262"/>
      <c r="H644" s="257"/>
      <c r="I644" s="249"/>
      <c r="J644" s="193" t="str">
        <f>IF(OR(ISBLANK($B644),ISBLANK($I644)),"",IFERROR(IF($I644&lt;=DATE('ESTADO CONTABLE'!$B$2,3,5),VLOOKUP($B644,COSTOS!$A$2:$B1014,2,FALSE)-150,VLOOKUP($B644,COSTOS!$A$2:$B1014,2,FALSE)),"No encontrado o error"))</f>
        <v/>
      </c>
      <c r="K644" s="264"/>
      <c r="L644" s="249"/>
      <c r="M644" s="189"/>
      <c r="N644" s="264"/>
      <c r="O644" s="249"/>
      <c r="P644" s="250"/>
      <c r="Q644" s="264"/>
      <c r="R644" s="249"/>
      <c r="S644" s="250"/>
      <c r="T644" s="264"/>
      <c r="U644" s="249"/>
      <c r="V644" s="250"/>
      <c r="W644" s="264"/>
      <c r="X644" s="394"/>
      <c r="Y644" s="429"/>
      <c r="Z644" s="395"/>
      <c r="AA644" s="394"/>
      <c r="AB644" s="118" t="str">
        <f>IF(OR(ISBLANK($B644),ISBLANK($AA644)),"",IFERROR(IF($AA644&lt;=DATE('ESTADO CONTABLE'!$B$2,9,5),VLOOKUP($B644,COSTOS!$A$2:$B1014,2,FALSE)-150,VLOOKUP($B644,COSTOS!$A$2:$B1014,2,FALSE)),"No encontrado o error"))</f>
        <v/>
      </c>
      <c r="AC644" s="395"/>
      <c r="AD644" s="394"/>
      <c r="AE644" s="429" t="str">
        <f>IF(OR(ISBLANK($B644),ISBLANK($AD644)),"",IFERROR(IF($AD644&lt;=DATE('ESTADO CONTABLE'!$B$2,10,5),VLOOKUP($B644,COSTOS!$A$2:$B1014,2,FALSE)-150,VLOOKUP($B644,COSTOS!$A$2:$B1014,2,FALSE)),"No encontrado o error"))</f>
        <v/>
      </c>
      <c r="AF644" s="395"/>
      <c r="AG644" s="394"/>
      <c r="AH644" s="429" t="str">
        <f>IF(OR(ISBLANK($B644),ISBLANK($AG644)),"",IFERROR(IF($AG644&lt;=DATE('ESTADO CONTABLE'!$B$2,11,5),VLOOKUP($B644,COSTOS!$A$2:$B1014,2,FALSE)-150,VLOOKUP($B644,COSTOS!$A$2:$B1014,2,FALSE)),"No encontrado o error"))</f>
        <v/>
      </c>
      <c r="AI644" s="395"/>
      <c r="AJ644" s="394"/>
      <c r="AK644" s="429" t="str">
        <f>IF(OR(ISBLANK($B644),ISBLANK($AJ644)),"",IFERROR(IF($AJ644&lt;=DATE('ESTADO CONTABLE'!$B$2,12,5),VLOOKUP($B644,COSTOS!$A$2:$B1014,2,FALSE)-150,VLOOKUP($B644,COSTOS!$A$2:$B1014,2,FALSE)),"No encontrado o error"))</f>
        <v/>
      </c>
      <c r="AL644" s="395"/>
      <c r="AM644" s="254"/>
      <c r="AN644" s="255"/>
      <c r="AO644" s="256"/>
    </row>
    <row r="645" ht="22.5" customHeight="1">
      <c r="A645" s="431" t="str">
        <f>'BASE DE DATOSS'!A719</f>
        <v/>
      </c>
      <c r="B645" s="432" t="str">
        <f>'BASE DE DATOSS'!C719</f>
        <v/>
      </c>
      <c r="C645" s="263"/>
      <c r="D645" s="249"/>
      <c r="E645" s="250"/>
      <c r="F645" s="251"/>
      <c r="G645" s="262"/>
      <c r="H645" s="257"/>
      <c r="I645" s="249"/>
      <c r="J645" s="193" t="str">
        <f>IF(OR(ISBLANK($B645),ISBLANK($I645)),"",IFERROR(IF($I645&lt;=DATE('ESTADO CONTABLE'!$B$2,3,5),VLOOKUP($B645,COSTOS!$A$2:$B1014,2,FALSE)-150,VLOOKUP($B645,COSTOS!$A$2:$B1014,2,FALSE)),"No encontrado o error"))</f>
        <v/>
      </c>
      <c r="K645" s="264"/>
      <c r="L645" s="249"/>
      <c r="M645" s="189"/>
      <c r="N645" s="264"/>
      <c r="O645" s="249"/>
      <c r="P645" s="250"/>
      <c r="Q645" s="264"/>
      <c r="R645" s="249"/>
      <c r="S645" s="250"/>
      <c r="T645" s="264"/>
      <c r="U645" s="249"/>
      <c r="V645" s="250"/>
      <c r="W645" s="264"/>
      <c r="X645" s="394"/>
      <c r="Y645" s="429"/>
      <c r="Z645" s="395"/>
      <c r="AA645" s="394"/>
      <c r="AB645" s="118" t="str">
        <f>IF(OR(ISBLANK($B645),ISBLANK($AA645)),"",IFERROR(IF($AA645&lt;=DATE('ESTADO CONTABLE'!$B$2,9,5),VLOOKUP($B645,COSTOS!$A$2:$B1014,2,FALSE)-150,VLOOKUP($B645,COSTOS!$A$2:$B1014,2,FALSE)),"No encontrado o error"))</f>
        <v/>
      </c>
      <c r="AC645" s="395"/>
      <c r="AD645" s="394"/>
      <c r="AE645" s="429" t="str">
        <f>IF(OR(ISBLANK($B645),ISBLANK($AD645)),"",IFERROR(IF($AD645&lt;=DATE('ESTADO CONTABLE'!$B$2,10,5),VLOOKUP($B645,COSTOS!$A$2:$B1014,2,FALSE)-150,VLOOKUP($B645,COSTOS!$A$2:$B1014,2,FALSE)),"No encontrado o error"))</f>
        <v/>
      </c>
      <c r="AF645" s="395"/>
      <c r="AG645" s="394"/>
      <c r="AH645" s="429" t="str">
        <f>IF(OR(ISBLANK($B645),ISBLANK($AG645)),"",IFERROR(IF($AG645&lt;=DATE('ESTADO CONTABLE'!$B$2,11,5),VLOOKUP($B645,COSTOS!$A$2:$B1014,2,FALSE)-150,VLOOKUP($B645,COSTOS!$A$2:$B1014,2,FALSE)),"No encontrado o error"))</f>
        <v/>
      </c>
      <c r="AI645" s="395"/>
      <c r="AJ645" s="394"/>
      <c r="AK645" s="429" t="str">
        <f>IF(OR(ISBLANK($B645),ISBLANK($AJ645)),"",IFERROR(IF($AJ645&lt;=DATE('ESTADO CONTABLE'!$B$2,12,5),VLOOKUP($B645,COSTOS!$A$2:$B1014,2,FALSE)-150,VLOOKUP($B645,COSTOS!$A$2:$B1014,2,FALSE)),"No encontrado o error"))</f>
        <v/>
      </c>
      <c r="AL645" s="395"/>
      <c r="AM645" s="254"/>
      <c r="AN645" s="255"/>
      <c r="AO645" s="256"/>
    </row>
    <row r="646" ht="22.5" customHeight="1">
      <c r="A646" s="431" t="str">
        <f>'BASE DE DATOSS'!A720</f>
        <v/>
      </c>
      <c r="B646" s="432" t="str">
        <f>'BASE DE DATOSS'!C720</f>
        <v/>
      </c>
      <c r="C646" s="263"/>
      <c r="D646" s="249"/>
      <c r="E646" s="250"/>
      <c r="F646" s="251"/>
      <c r="G646" s="262"/>
      <c r="H646" s="257"/>
      <c r="I646" s="249"/>
      <c r="J646" s="193" t="str">
        <f>IF(OR(ISBLANK($B646),ISBLANK($I646)),"",IFERROR(IF($I646&lt;=DATE('ESTADO CONTABLE'!$B$2,3,5),VLOOKUP($B646,COSTOS!$A$2:$B1014,2,FALSE)-150,VLOOKUP($B646,COSTOS!$A$2:$B1014,2,FALSE)),"No encontrado o error"))</f>
        <v/>
      </c>
      <c r="K646" s="264"/>
      <c r="L646" s="249"/>
      <c r="M646" s="189"/>
      <c r="N646" s="264"/>
      <c r="O646" s="249"/>
      <c r="P646" s="250"/>
      <c r="Q646" s="264"/>
      <c r="R646" s="249"/>
      <c r="S646" s="250"/>
      <c r="T646" s="264"/>
      <c r="U646" s="249"/>
      <c r="V646" s="250"/>
      <c r="W646" s="264"/>
      <c r="X646" s="394"/>
      <c r="Y646" s="429"/>
      <c r="Z646" s="395"/>
      <c r="AA646" s="394"/>
      <c r="AB646" s="118" t="str">
        <f>IF(OR(ISBLANK($B646),ISBLANK($AA646)),"",IFERROR(IF($AA646&lt;=DATE('ESTADO CONTABLE'!$B$2,9,5),VLOOKUP($B646,COSTOS!$A$2:$B1014,2,FALSE)-150,VLOOKUP($B646,COSTOS!$A$2:$B1014,2,FALSE)),"No encontrado o error"))</f>
        <v/>
      </c>
      <c r="AC646" s="395"/>
      <c r="AD646" s="394"/>
      <c r="AE646" s="429" t="str">
        <f>IF(OR(ISBLANK($B646),ISBLANK($AD646)),"",IFERROR(IF($AD646&lt;=DATE('ESTADO CONTABLE'!$B$2,10,5),VLOOKUP($B646,COSTOS!$A$2:$B1014,2,FALSE)-150,VLOOKUP($B646,COSTOS!$A$2:$B1014,2,FALSE)),"No encontrado o error"))</f>
        <v/>
      </c>
      <c r="AF646" s="395"/>
      <c r="AG646" s="394"/>
      <c r="AH646" s="429" t="str">
        <f>IF(OR(ISBLANK($B646),ISBLANK($AG646)),"",IFERROR(IF($AG646&lt;=DATE('ESTADO CONTABLE'!$B$2,11,5),VLOOKUP($B646,COSTOS!$A$2:$B1014,2,FALSE)-150,VLOOKUP($B646,COSTOS!$A$2:$B1014,2,FALSE)),"No encontrado o error"))</f>
        <v/>
      </c>
      <c r="AI646" s="395"/>
      <c r="AJ646" s="394"/>
      <c r="AK646" s="429" t="str">
        <f>IF(OR(ISBLANK($B646),ISBLANK($AJ646)),"",IFERROR(IF($AJ646&lt;=DATE('ESTADO CONTABLE'!$B$2,12,5),VLOOKUP($B646,COSTOS!$A$2:$B1014,2,FALSE)-150,VLOOKUP($B646,COSTOS!$A$2:$B1014,2,FALSE)),"No encontrado o error"))</f>
        <v/>
      </c>
      <c r="AL646" s="395"/>
      <c r="AM646" s="254"/>
      <c r="AN646" s="255"/>
      <c r="AO646" s="256"/>
    </row>
    <row r="647" ht="22.5" customHeight="1">
      <c r="A647" s="431" t="str">
        <f>'BASE DE DATOSS'!A721</f>
        <v/>
      </c>
      <c r="B647" s="432" t="str">
        <f>'BASE DE DATOSS'!C721</f>
        <v/>
      </c>
      <c r="C647" s="263"/>
      <c r="D647" s="249"/>
      <c r="E647" s="250"/>
      <c r="F647" s="251"/>
      <c r="G647" s="262"/>
      <c r="H647" s="257"/>
      <c r="I647" s="249"/>
      <c r="J647" s="193" t="str">
        <f>IF(OR(ISBLANK($B647),ISBLANK($I647)),"",IFERROR(IF($I647&lt;=DATE('ESTADO CONTABLE'!$B$2,3,5),VLOOKUP($B647,COSTOS!$A$2:$B1014,2,FALSE)-150,VLOOKUP($B647,COSTOS!$A$2:$B1014,2,FALSE)),"No encontrado o error"))</f>
        <v/>
      </c>
      <c r="K647" s="264"/>
      <c r="L647" s="249"/>
      <c r="M647" s="189"/>
      <c r="N647" s="264"/>
      <c r="O647" s="249"/>
      <c r="P647" s="250"/>
      <c r="Q647" s="264"/>
      <c r="R647" s="249"/>
      <c r="S647" s="250"/>
      <c r="T647" s="264"/>
      <c r="U647" s="249"/>
      <c r="V647" s="250"/>
      <c r="W647" s="264"/>
      <c r="X647" s="394"/>
      <c r="Y647" s="429"/>
      <c r="Z647" s="395"/>
      <c r="AA647" s="394"/>
      <c r="AB647" s="118" t="str">
        <f>IF(OR(ISBLANK($B647),ISBLANK($AA647)),"",IFERROR(IF($AA647&lt;=DATE('ESTADO CONTABLE'!$B$2,9,5),VLOOKUP($B647,COSTOS!$A$2:$B1014,2,FALSE)-150,VLOOKUP($B647,COSTOS!$A$2:$B1014,2,FALSE)),"No encontrado o error"))</f>
        <v/>
      </c>
      <c r="AC647" s="395"/>
      <c r="AD647" s="394"/>
      <c r="AE647" s="429" t="str">
        <f>IF(OR(ISBLANK($B647),ISBLANK($AD647)),"",IFERROR(IF($AD647&lt;=DATE('ESTADO CONTABLE'!$B$2,10,5),VLOOKUP($B647,COSTOS!$A$2:$B1014,2,FALSE)-150,VLOOKUP($B647,COSTOS!$A$2:$B1014,2,FALSE)),"No encontrado o error"))</f>
        <v/>
      </c>
      <c r="AF647" s="395"/>
      <c r="AG647" s="394"/>
      <c r="AH647" s="429" t="str">
        <f>IF(OR(ISBLANK($B647),ISBLANK($AG647)),"",IFERROR(IF($AG647&lt;=DATE('ESTADO CONTABLE'!$B$2,11,5),VLOOKUP($B647,COSTOS!$A$2:$B1014,2,FALSE)-150,VLOOKUP($B647,COSTOS!$A$2:$B1014,2,FALSE)),"No encontrado o error"))</f>
        <v/>
      </c>
      <c r="AI647" s="395"/>
      <c r="AJ647" s="394"/>
      <c r="AK647" s="429" t="str">
        <f>IF(OR(ISBLANK($B647),ISBLANK($AJ647)),"",IFERROR(IF($AJ647&lt;=DATE('ESTADO CONTABLE'!$B$2,12,5),VLOOKUP($B647,COSTOS!$A$2:$B1014,2,FALSE)-150,VLOOKUP($B647,COSTOS!$A$2:$B1014,2,FALSE)),"No encontrado o error"))</f>
        <v/>
      </c>
      <c r="AL647" s="395"/>
      <c r="AM647" s="254"/>
      <c r="AN647" s="255"/>
      <c r="AO647" s="256"/>
    </row>
    <row r="648" ht="22.5" customHeight="1">
      <c r="A648" s="431" t="str">
        <f>'BASE DE DATOSS'!A722</f>
        <v/>
      </c>
      <c r="B648" s="432" t="str">
        <f>'BASE DE DATOSS'!C722</f>
        <v/>
      </c>
      <c r="C648" s="263"/>
      <c r="D648" s="249"/>
      <c r="E648" s="250"/>
      <c r="F648" s="251"/>
      <c r="G648" s="262"/>
      <c r="H648" s="257"/>
      <c r="I648" s="249"/>
      <c r="J648" s="193" t="str">
        <f>IF(OR(ISBLANK($B648),ISBLANK($I648)),"",IFERROR(IF($I648&lt;=DATE('ESTADO CONTABLE'!$B$2,3,5),VLOOKUP($B648,COSTOS!$A$2:$B1014,2,FALSE)-150,VLOOKUP($B648,COSTOS!$A$2:$B1014,2,FALSE)),"No encontrado o error"))</f>
        <v/>
      </c>
      <c r="K648" s="264"/>
      <c r="L648" s="249"/>
      <c r="M648" s="189"/>
      <c r="N648" s="264"/>
      <c r="O648" s="249"/>
      <c r="P648" s="250"/>
      <c r="Q648" s="264"/>
      <c r="R648" s="249"/>
      <c r="S648" s="250"/>
      <c r="T648" s="264"/>
      <c r="U648" s="249"/>
      <c r="V648" s="250"/>
      <c r="W648" s="264"/>
      <c r="X648" s="394"/>
      <c r="Y648" s="429"/>
      <c r="Z648" s="395"/>
      <c r="AA648" s="394"/>
      <c r="AB648" s="118" t="str">
        <f>IF(OR(ISBLANK($B648),ISBLANK($AA648)),"",IFERROR(IF($AA648&lt;=DATE('ESTADO CONTABLE'!$B$2,9,5),VLOOKUP($B648,COSTOS!$A$2:$B1014,2,FALSE)-150,VLOOKUP($B648,COSTOS!$A$2:$B1014,2,FALSE)),"No encontrado o error"))</f>
        <v/>
      </c>
      <c r="AC648" s="395"/>
      <c r="AD648" s="394"/>
      <c r="AE648" s="429" t="str">
        <f>IF(OR(ISBLANK($B648),ISBLANK($AD648)),"",IFERROR(IF($AD648&lt;=DATE('ESTADO CONTABLE'!$B$2,10,5),VLOOKUP($B648,COSTOS!$A$2:$B1014,2,FALSE)-150,VLOOKUP($B648,COSTOS!$A$2:$B1014,2,FALSE)),"No encontrado o error"))</f>
        <v/>
      </c>
      <c r="AF648" s="395"/>
      <c r="AG648" s="394"/>
      <c r="AH648" s="429" t="str">
        <f>IF(OR(ISBLANK($B648),ISBLANK($AG648)),"",IFERROR(IF($AG648&lt;=DATE('ESTADO CONTABLE'!$B$2,11,5),VLOOKUP($B648,COSTOS!$A$2:$B1014,2,FALSE)-150,VLOOKUP($B648,COSTOS!$A$2:$B1014,2,FALSE)),"No encontrado o error"))</f>
        <v/>
      </c>
      <c r="AI648" s="395"/>
      <c r="AJ648" s="394"/>
      <c r="AK648" s="429" t="str">
        <f>IF(OR(ISBLANK($B648),ISBLANK($AJ648)),"",IFERROR(IF($AJ648&lt;=DATE('ESTADO CONTABLE'!$B$2,12,5),VLOOKUP($B648,COSTOS!$A$2:$B1014,2,FALSE)-150,VLOOKUP($B648,COSTOS!$A$2:$B1014,2,FALSE)),"No encontrado o error"))</f>
        <v/>
      </c>
      <c r="AL648" s="395"/>
      <c r="AM648" s="254"/>
      <c r="AN648" s="255"/>
      <c r="AO648" s="256"/>
    </row>
    <row r="649" ht="22.5" customHeight="1">
      <c r="A649" s="431" t="str">
        <f>'BASE DE DATOSS'!A723</f>
        <v/>
      </c>
      <c r="B649" s="432" t="str">
        <f>'BASE DE DATOSS'!C723</f>
        <v/>
      </c>
      <c r="C649" s="263"/>
      <c r="D649" s="249"/>
      <c r="E649" s="250"/>
      <c r="F649" s="251"/>
      <c r="G649" s="262"/>
      <c r="H649" s="257"/>
      <c r="I649" s="249"/>
      <c r="J649" s="193" t="str">
        <f>IF(OR(ISBLANK($B649),ISBLANK($I649)),"",IFERROR(IF($I649&lt;=DATE('ESTADO CONTABLE'!$B$2,3,5),VLOOKUP($B649,COSTOS!$A$2:$B1014,2,FALSE)-150,VLOOKUP($B649,COSTOS!$A$2:$B1014,2,FALSE)),"No encontrado o error"))</f>
        <v/>
      </c>
      <c r="K649" s="264"/>
      <c r="L649" s="249"/>
      <c r="M649" s="189"/>
      <c r="N649" s="264"/>
      <c r="O649" s="249"/>
      <c r="P649" s="250"/>
      <c r="Q649" s="264"/>
      <c r="R649" s="249"/>
      <c r="S649" s="250"/>
      <c r="T649" s="264"/>
      <c r="U649" s="249"/>
      <c r="V649" s="250"/>
      <c r="W649" s="264"/>
      <c r="X649" s="394"/>
      <c r="Y649" s="429"/>
      <c r="Z649" s="395"/>
      <c r="AA649" s="394"/>
      <c r="AB649" s="118" t="str">
        <f>IF(OR(ISBLANK($B649),ISBLANK($AA649)),"",IFERROR(IF($AA649&lt;=DATE('ESTADO CONTABLE'!$B$2,9,5),VLOOKUP($B649,COSTOS!$A$2:$B1014,2,FALSE)-150,VLOOKUP($B649,COSTOS!$A$2:$B1014,2,FALSE)),"No encontrado o error"))</f>
        <v/>
      </c>
      <c r="AC649" s="395"/>
      <c r="AD649" s="394"/>
      <c r="AE649" s="429" t="str">
        <f>IF(OR(ISBLANK($B649),ISBLANK($AD649)),"",IFERROR(IF($AD649&lt;=DATE('ESTADO CONTABLE'!$B$2,10,5),VLOOKUP($B649,COSTOS!$A$2:$B1014,2,FALSE)-150,VLOOKUP($B649,COSTOS!$A$2:$B1014,2,FALSE)),"No encontrado o error"))</f>
        <v/>
      </c>
      <c r="AF649" s="395"/>
      <c r="AG649" s="394"/>
      <c r="AH649" s="429" t="str">
        <f>IF(OR(ISBLANK($B649),ISBLANK($AG649)),"",IFERROR(IF($AG649&lt;=DATE('ESTADO CONTABLE'!$B$2,11,5),VLOOKUP($B649,COSTOS!$A$2:$B1014,2,FALSE)-150,VLOOKUP($B649,COSTOS!$A$2:$B1014,2,FALSE)),"No encontrado o error"))</f>
        <v/>
      </c>
      <c r="AI649" s="395"/>
      <c r="AJ649" s="394"/>
      <c r="AK649" s="429" t="str">
        <f>IF(OR(ISBLANK($B649),ISBLANK($AJ649)),"",IFERROR(IF($AJ649&lt;=DATE('ESTADO CONTABLE'!$B$2,12,5),VLOOKUP($B649,COSTOS!$A$2:$B1014,2,FALSE)-150,VLOOKUP($B649,COSTOS!$A$2:$B1014,2,FALSE)),"No encontrado o error"))</f>
        <v/>
      </c>
      <c r="AL649" s="395"/>
      <c r="AM649" s="254"/>
      <c r="AN649" s="255"/>
      <c r="AO649" s="256"/>
    </row>
    <row r="650" ht="22.5" customHeight="1">
      <c r="A650" s="431" t="str">
        <f>'BASE DE DATOSS'!A724</f>
        <v/>
      </c>
      <c r="B650" s="432" t="str">
        <f>'BASE DE DATOSS'!C724</f>
        <v/>
      </c>
      <c r="C650" s="263"/>
      <c r="D650" s="249"/>
      <c r="E650" s="250"/>
      <c r="F650" s="251"/>
      <c r="G650" s="262"/>
      <c r="H650" s="257"/>
      <c r="I650" s="249"/>
      <c r="J650" s="193" t="str">
        <f>IF(OR(ISBLANK($B650),ISBLANK($I650)),"",IFERROR(IF($I650&lt;=DATE('ESTADO CONTABLE'!$B$2,3,5),VLOOKUP($B650,COSTOS!$A$2:$B1014,2,FALSE)-150,VLOOKUP($B650,COSTOS!$A$2:$B1014,2,FALSE)),"No encontrado o error"))</f>
        <v/>
      </c>
      <c r="K650" s="264"/>
      <c r="L650" s="249"/>
      <c r="M650" s="189"/>
      <c r="N650" s="264"/>
      <c r="O650" s="249"/>
      <c r="P650" s="250"/>
      <c r="Q650" s="264"/>
      <c r="R650" s="249"/>
      <c r="S650" s="250"/>
      <c r="T650" s="264"/>
      <c r="U650" s="249"/>
      <c r="V650" s="250"/>
      <c r="W650" s="264"/>
      <c r="X650" s="394"/>
      <c r="Y650" s="429"/>
      <c r="Z650" s="395"/>
      <c r="AA650" s="394"/>
      <c r="AB650" s="118" t="str">
        <f>IF(OR(ISBLANK($B650),ISBLANK($AA650)),"",IFERROR(IF($AA650&lt;=DATE('ESTADO CONTABLE'!$B$2,9,5),VLOOKUP($B650,COSTOS!$A$2:$B1014,2,FALSE)-150,VLOOKUP($B650,COSTOS!$A$2:$B1014,2,FALSE)),"No encontrado o error"))</f>
        <v/>
      </c>
      <c r="AC650" s="395"/>
      <c r="AD650" s="394"/>
      <c r="AE650" s="429" t="str">
        <f>IF(OR(ISBLANK($B650),ISBLANK($AD650)),"",IFERROR(IF($AD650&lt;=DATE('ESTADO CONTABLE'!$B$2,10,5),VLOOKUP($B650,COSTOS!$A$2:$B1014,2,FALSE)-150,VLOOKUP($B650,COSTOS!$A$2:$B1014,2,FALSE)),"No encontrado o error"))</f>
        <v/>
      </c>
      <c r="AF650" s="395"/>
      <c r="AG650" s="394"/>
      <c r="AH650" s="429" t="str">
        <f>IF(OR(ISBLANK($B650),ISBLANK($AG650)),"",IFERROR(IF($AG650&lt;=DATE('ESTADO CONTABLE'!$B$2,11,5),VLOOKUP($B650,COSTOS!$A$2:$B1014,2,FALSE)-150,VLOOKUP($B650,COSTOS!$A$2:$B1014,2,FALSE)),"No encontrado o error"))</f>
        <v/>
      </c>
      <c r="AI650" s="395"/>
      <c r="AJ650" s="394"/>
      <c r="AK650" s="429" t="str">
        <f>IF(OR(ISBLANK($B650),ISBLANK($AJ650)),"",IFERROR(IF($AJ650&lt;=DATE('ESTADO CONTABLE'!$B$2,12,5),VLOOKUP($B650,COSTOS!$A$2:$B1014,2,FALSE)-150,VLOOKUP($B650,COSTOS!$A$2:$B1014,2,FALSE)),"No encontrado o error"))</f>
        <v/>
      </c>
      <c r="AL650" s="395"/>
      <c r="AM650" s="254"/>
      <c r="AN650" s="255"/>
      <c r="AO650" s="256"/>
    </row>
    <row r="651" ht="22.5" customHeight="1">
      <c r="A651" s="431" t="str">
        <f>'BASE DE DATOSS'!A725</f>
        <v/>
      </c>
      <c r="B651" s="432" t="str">
        <f>'BASE DE DATOSS'!C725</f>
        <v/>
      </c>
      <c r="C651" s="263"/>
      <c r="D651" s="249"/>
      <c r="E651" s="250"/>
      <c r="F651" s="251"/>
      <c r="G651" s="262"/>
      <c r="H651" s="257"/>
      <c r="I651" s="249"/>
      <c r="J651" s="193" t="str">
        <f>IF(OR(ISBLANK($B651),ISBLANK($I651)),"",IFERROR(IF($I651&lt;=DATE('ESTADO CONTABLE'!$B$2,3,5),VLOOKUP($B651,COSTOS!$A$2:$B1014,2,FALSE)-150,VLOOKUP($B651,COSTOS!$A$2:$B1014,2,FALSE)),"No encontrado o error"))</f>
        <v/>
      </c>
      <c r="K651" s="264"/>
      <c r="L651" s="249"/>
      <c r="M651" s="189"/>
      <c r="N651" s="264"/>
      <c r="O651" s="249"/>
      <c r="P651" s="250"/>
      <c r="Q651" s="264"/>
      <c r="R651" s="249"/>
      <c r="S651" s="250"/>
      <c r="T651" s="264"/>
      <c r="U651" s="249"/>
      <c r="V651" s="250"/>
      <c r="W651" s="264"/>
      <c r="X651" s="394"/>
      <c r="Y651" s="429"/>
      <c r="Z651" s="395"/>
      <c r="AA651" s="394"/>
      <c r="AB651" s="118" t="str">
        <f>IF(OR(ISBLANK($B651),ISBLANK($AA651)),"",IFERROR(IF($AA651&lt;=DATE('ESTADO CONTABLE'!$B$2,9,5),VLOOKUP($B651,COSTOS!$A$2:$B1014,2,FALSE)-150,VLOOKUP($B651,COSTOS!$A$2:$B1014,2,FALSE)),"No encontrado o error"))</f>
        <v/>
      </c>
      <c r="AC651" s="395"/>
      <c r="AD651" s="394"/>
      <c r="AE651" s="429" t="str">
        <f>IF(OR(ISBLANK($B651),ISBLANK($AD651)),"",IFERROR(IF($AD651&lt;=DATE('ESTADO CONTABLE'!$B$2,10,5),VLOOKUP($B651,COSTOS!$A$2:$B1014,2,FALSE)-150,VLOOKUP($B651,COSTOS!$A$2:$B1014,2,FALSE)),"No encontrado o error"))</f>
        <v/>
      </c>
      <c r="AF651" s="395"/>
      <c r="AG651" s="394"/>
      <c r="AH651" s="429" t="str">
        <f>IF(OR(ISBLANK($B651),ISBLANK($AG651)),"",IFERROR(IF($AG651&lt;=DATE('ESTADO CONTABLE'!$B$2,11,5),VLOOKUP($B651,COSTOS!$A$2:$B1014,2,FALSE)-150,VLOOKUP($B651,COSTOS!$A$2:$B1014,2,FALSE)),"No encontrado o error"))</f>
        <v/>
      </c>
      <c r="AI651" s="395"/>
      <c r="AJ651" s="394"/>
      <c r="AK651" s="429" t="str">
        <f>IF(OR(ISBLANK($B651),ISBLANK($AJ651)),"",IFERROR(IF($AJ651&lt;=DATE('ESTADO CONTABLE'!$B$2,12,5),VLOOKUP($B651,COSTOS!$A$2:$B1014,2,FALSE)-150,VLOOKUP($B651,COSTOS!$A$2:$B1014,2,FALSE)),"No encontrado o error"))</f>
        <v/>
      </c>
      <c r="AL651" s="395"/>
      <c r="AM651" s="254"/>
      <c r="AN651" s="255"/>
      <c r="AO651" s="256"/>
    </row>
    <row r="652" ht="22.5" customHeight="1">
      <c r="A652" s="431" t="str">
        <f>'BASE DE DATOSS'!A726</f>
        <v/>
      </c>
      <c r="B652" s="432" t="str">
        <f>'BASE DE DATOSS'!C726</f>
        <v/>
      </c>
      <c r="C652" s="263"/>
      <c r="D652" s="249"/>
      <c r="E652" s="250"/>
      <c r="F652" s="251"/>
      <c r="G652" s="262"/>
      <c r="H652" s="257"/>
      <c r="I652" s="249"/>
      <c r="J652" s="193" t="str">
        <f>IF(OR(ISBLANK($B652),ISBLANK($I652)),"",IFERROR(IF($I652&lt;=DATE('ESTADO CONTABLE'!$B$2,3,5),VLOOKUP($B652,COSTOS!$A$2:$B1014,2,FALSE)-150,VLOOKUP($B652,COSTOS!$A$2:$B1014,2,FALSE)),"No encontrado o error"))</f>
        <v/>
      </c>
      <c r="K652" s="264"/>
      <c r="L652" s="249"/>
      <c r="M652" s="189"/>
      <c r="N652" s="264"/>
      <c r="O652" s="249"/>
      <c r="P652" s="250"/>
      <c r="Q652" s="264"/>
      <c r="R652" s="249"/>
      <c r="S652" s="250"/>
      <c r="T652" s="264"/>
      <c r="U652" s="249"/>
      <c r="V652" s="250"/>
      <c r="W652" s="264"/>
      <c r="X652" s="394"/>
      <c r="Y652" s="429"/>
      <c r="Z652" s="395"/>
      <c r="AA652" s="394"/>
      <c r="AB652" s="118" t="str">
        <f>IF(OR(ISBLANK($B652),ISBLANK($AA652)),"",IFERROR(IF($AA652&lt;=DATE('ESTADO CONTABLE'!$B$2,9,5),VLOOKUP($B652,COSTOS!$A$2:$B1014,2,FALSE)-150,VLOOKUP($B652,COSTOS!$A$2:$B1014,2,FALSE)),"No encontrado o error"))</f>
        <v/>
      </c>
      <c r="AC652" s="395"/>
      <c r="AD652" s="394"/>
      <c r="AE652" s="429" t="str">
        <f>IF(OR(ISBLANK($B652),ISBLANK($AD652)),"",IFERROR(IF($AD652&lt;=DATE('ESTADO CONTABLE'!$B$2,10,5),VLOOKUP($B652,COSTOS!$A$2:$B1014,2,FALSE)-150,VLOOKUP($B652,COSTOS!$A$2:$B1014,2,FALSE)),"No encontrado o error"))</f>
        <v/>
      </c>
      <c r="AF652" s="395"/>
      <c r="AG652" s="394"/>
      <c r="AH652" s="429" t="str">
        <f>IF(OR(ISBLANK($B652),ISBLANK($AG652)),"",IFERROR(IF($AG652&lt;=DATE('ESTADO CONTABLE'!$B$2,11,5),VLOOKUP($B652,COSTOS!$A$2:$B1014,2,FALSE)-150,VLOOKUP($B652,COSTOS!$A$2:$B1014,2,FALSE)),"No encontrado o error"))</f>
        <v/>
      </c>
      <c r="AI652" s="395"/>
      <c r="AJ652" s="394"/>
      <c r="AK652" s="429" t="str">
        <f>IF(OR(ISBLANK($B652),ISBLANK($AJ652)),"",IFERROR(IF($AJ652&lt;=DATE('ESTADO CONTABLE'!$B$2,12,5),VLOOKUP($B652,COSTOS!$A$2:$B1014,2,FALSE)-150,VLOOKUP($B652,COSTOS!$A$2:$B1014,2,FALSE)),"No encontrado o error"))</f>
        <v/>
      </c>
      <c r="AL652" s="395"/>
      <c r="AM652" s="254"/>
      <c r="AN652" s="255"/>
      <c r="AO652" s="256"/>
    </row>
    <row r="653" ht="22.5" customHeight="1">
      <c r="A653" s="431" t="str">
        <f>'BASE DE DATOSS'!A727</f>
        <v/>
      </c>
      <c r="B653" s="432" t="str">
        <f>'BASE DE DATOSS'!C727</f>
        <v/>
      </c>
      <c r="C653" s="263"/>
      <c r="D653" s="249"/>
      <c r="E653" s="250"/>
      <c r="F653" s="251"/>
      <c r="G653" s="262"/>
      <c r="H653" s="257"/>
      <c r="I653" s="249"/>
      <c r="J653" s="193" t="str">
        <f>IF(OR(ISBLANK($B653),ISBLANK($I653)),"",IFERROR(IF($I653&lt;=DATE('ESTADO CONTABLE'!$B$2,3,5),VLOOKUP($B653,COSTOS!$A$2:$B1014,2,FALSE)-150,VLOOKUP($B653,COSTOS!$A$2:$B1014,2,FALSE)),"No encontrado o error"))</f>
        <v/>
      </c>
      <c r="K653" s="264"/>
      <c r="L653" s="249"/>
      <c r="M653" s="189"/>
      <c r="N653" s="264"/>
      <c r="O653" s="249"/>
      <c r="P653" s="250"/>
      <c r="Q653" s="264"/>
      <c r="R653" s="249"/>
      <c r="S653" s="250"/>
      <c r="T653" s="264"/>
      <c r="U653" s="249"/>
      <c r="V653" s="250"/>
      <c r="W653" s="264"/>
      <c r="X653" s="394"/>
      <c r="Y653" s="429"/>
      <c r="Z653" s="395"/>
      <c r="AA653" s="394"/>
      <c r="AB653" s="118" t="str">
        <f>IF(OR(ISBLANK($B653),ISBLANK($AA653)),"",IFERROR(IF($AA653&lt;=DATE('ESTADO CONTABLE'!$B$2,9,5),VLOOKUP($B653,COSTOS!$A$2:$B1014,2,FALSE)-150,VLOOKUP($B653,COSTOS!$A$2:$B1014,2,FALSE)),"No encontrado o error"))</f>
        <v/>
      </c>
      <c r="AC653" s="395"/>
      <c r="AD653" s="394"/>
      <c r="AE653" s="429" t="str">
        <f>IF(OR(ISBLANK($B653),ISBLANK($AD653)),"",IFERROR(IF($AD653&lt;=DATE('ESTADO CONTABLE'!$B$2,10,5),VLOOKUP($B653,COSTOS!$A$2:$B1014,2,FALSE)-150,VLOOKUP($B653,COSTOS!$A$2:$B1014,2,FALSE)),"No encontrado o error"))</f>
        <v/>
      </c>
      <c r="AF653" s="395"/>
      <c r="AG653" s="394"/>
      <c r="AH653" s="429" t="str">
        <f>IF(OR(ISBLANK($B653),ISBLANK($AG653)),"",IFERROR(IF($AG653&lt;=DATE('ESTADO CONTABLE'!$B$2,11,5),VLOOKUP($B653,COSTOS!$A$2:$B1014,2,FALSE)-150,VLOOKUP($B653,COSTOS!$A$2:$B1014,2,FALSE)),"No encontrado o error"))</f>
        <v/>
      </c>
      <c r="AI653" s="395"/>
      <c r="AJ653" s="394"/>
      <c r="AK653" s="429" t="str">
        <f>IF(OR(ISBLANK($B653),ISBLANK($AJ653)),"",IFERROR(IF($AJ653&lt;=DATE('ESTADO CONTABLE'!$B$2,12,5),VLOOKUP($B653,COSTOS!$A$2:$B1014,2,FALSE)-150,VLOOKUP($B653,COSTOS!$A$2:$B1014,2,FALSE)),"No encontrado o error"))</f>
        <v/>
      </c>
      <c r="AL653" s="395"/>
      <c r="AM653" s="254"/>
      <c r="AN653" s="255"/>
      <c r="AO653" s="256"/>
    </row>
    <row r="654" ht="22.5" customHeight="1">
      <c r="A654" s="431" t="str">
        <f>'BASE DE DATOSS'!A728</f>
        <v/>
      </c>
      <c r="B654" s="432" t="str">
        <f>'BASE DE DATOSS'!C728</f>
        <v/>
      </c>
      <c r="C654" s="263"/>
      <c r="D654" s="249"/>
      <c r="E654" s="250"/>
      <c r="F654" s="251"/>
      <c r="G654" s="262"/>
      <c r="H654" s="257"/>
      <c r="I654" s="249"/>
      <c r="J654" s="193" t="str">
        <f>IF(OR(ISBLANK($B654),ISBLANK($I654)),"",IFERROR(IF($I654&lt;=DATE('ESTADO CONTABLE'!$B$2,3,5),VLOOKUP($B654,COSTOS!$A$2:$B1014,2,FALSE)-150,VLOOKUP($B654,COSTOS!$A$2:$B1014,2,FALSE)),"No encontrado o error"))</f>
        <v/>
      </c>
      <c r="K654" s="264"/>
      <c r="L654" s="249"/>
      <c r="M654" s="189"/>
      <c r="N654" s="264"/>
      <c r="O654" s="249"/>
      <c r="P654" s="250"/>
      <c r="Q654" s="264"/>
      <c r="R654" s="249"/>
      <c r="S654" s="250"/>
      <c r="T654" s="264"/>
      <c r="U654" s="249"/>
      <c r="V654" s="250"/>
      <c r="W654" s="264"/>
      <c r="X654" s="394"/>
      <c r="Y654" s="429"/>
      <c r="Z654" s="395"/>
      <c r="AA654" s="394"/>
      <c r="AB654" s="118" t="str">
        <f>IF(OR(ISBLANK($B654),ISBLANK($AA654)),"",IFERROR(IF($AA654&lt;=DATE('ESTADO CONTABLE'!$B$2,9,5),VLOOKUP($B654,COSTOS!$A$2:$B1014,2,FALSE)-150,VLOOKUP($B654,COSTOS!$A$2:$B1014,2,FALSE)),"No encontrado o error"))</f>
        <v/>
      </c>
      <c r="AC654" s="395"/>
      <c r="AD654" s="394"/>
      <c r="AE654" s="429" t="str">
        <f>IF(OR(ISBLANK($B654),ISBLANK($AD654)),"",IFERROR(IF($AD654&lt;=DATE('ESTADO CONTABLE'!$B$2,10,5),VLOOKUP($B654,COSTOS!$A$2:$B1014,2,FALSE)-150,VLOOKUP($B654,COSTOS!$A$2:$B1014,2,FALSE)),"No encontrado o error"))</f>
        <v/>
      </c>
      <c r="AF654" s="395"/>
      <c r="AG654" s="394"/>
      <c r="AH654" s="429" t="str">
        <f>IF(OR(ISBLANK($B654),ISBLANK($AG654)),"",IFERROR(IF($AG654&lt;=DATE('ESTADO CONTABLE'!$B$2,11,5),VLOOKUP($B654,COSTOS!$A$2:$B1014,2,FALSE)-150,VLOOKUP($B654,COSTOS!$A$2:$B1014,2,FALSE)),"No encontrado o error"))</f>
        <v/>
      </c>
      <c r="AI654" s="395"/>
      <c r="AJ654" s="394"/>
      <c r="AK654" s="429" t="str">
        <f>IF(OR(ISBLANK($B654),ISBLANK($AJ654)),"",IFERROR(IF($AJ654&lt;=DATE('ESTADO CONTABLE'!$B$2,12,5),VLOOKUP($B654,COSTOS!$A$2:$B1014,2,FALSE)-150,VLOOKUP($B654,COSTOS!$A$2:$B1014,2,FALSE)),"No encontrado o error"))</f>
        <v/>
      </c>
      <c r="AL654" s="395"/>
      <c r="AM654" s="254"/>
      <c r="AN654" s="255"/>
      <c r="AO654" s="256"/>
    </row>
    <row r="655" ht="22.5" customHeight="1">
      <c r="A655" s="431" t="str">
        <f>'BASE DE DATOSS'!A729</f>
        <v/>
      </c>
      <c r="B655" s="432" t="str">
        <f>'BASE DE DATOSS'!C729</f>
        <v/>
      </c>
      <c r="C655" s="263"/>
      <c r="D655" s="249"/>
      <c r="E655" s="250"/>
      <c r="F655" s="251"/>
      <c r="G655" s="262"/>
      <c r="H655" s="257"/>
      <c r="I655" s="249"/>
      <c r="J655" s="193" t="str">
        <f>IF(OR(ISBLANK($B655),ISBLANK($I655)),"",IFERROR(IF($I655&lt;=DATE('ESTADO CONTABLE'!$B$2,3,5),VLOOKUP($B655,COSTOS!$A$2:$B1014,2,FALSE)-150,VLOOKUP($B655,COSTOS!$A$2:$B1014,2,FALSE)),"No encontrado o error"))</f>
        <v/>
      </c>
      <c r="K655" s="264"/>
      <c r="L655" s="249"/>
      <c r="M655" s="189"/>
      <c r="N655" s="264"/>
      <c r="O655" s="249"/>
      <c r="P655" s="250"/>
      <c r="Q655" s="264"/>
      <c r="R655" s="249"/>
      <c r="S655" s="250"/>
      <c r="T655" s="264"/>
      <c r="U655" s="249"/>
      <c r="V655" s="250"/>
      <c r="W655" s="264"/>
      <c r="X655" s="394"/>
      <c r="Y655" s="429"/>
      <c r="Z655" s="395"/>
      <c r="AA655" s="394"/>
      <c r="AB655" s="118" t="str">
        <f>IF(OR(ISBLANK($B655),ISBLANK($AA655)),"",IFERROR(IF($AA655&lt;=DATE('ESTADO CONTABLE'!$B$2,9,5),VLOOKUP($B655,COSTOS!$A$2:$B1014,2,FALSE)-150,VLOOKUP($B655,COSTOS!$A$2:$B1014,2,FALSE)),"No encontrado o error"))</f>
        <v/>
      </c>
      <c r="AC655" s="395"/>
      <c r="AD655" s="394"/>
      <c r="AE655" s="429" t="str">
        <f>IF(OR(ISBLANK($B655),ISBLANK($AD655)),"",IFERROR(IF($AD655&lt;=DATE('ESTADO CONTABLE'!$B$2,10,5),VLOOKUP($B655,COSTOS!$A$2:$B1014,2,FALSE)-150,VLOOKUP($B655,COSTOS!$A$2:$B1014,2,FALSE)),"No encontrado o error"))</f>
        <v/>
      </c>
      <c r="AF655" s="395"/>
      <c r="AG655" s="394"/>
      <c r="AH655" s="429" t="str">
        <f>IF(OR(ISBLANK($B655),ISBLANK($AG655)),"",IFERROR(IF($AG655&lt;=DATE('ESTADO CONTABLE'!$B$2,11,5),VLOOKUP($B655,COSTOS!$A$2:$B1014,2,FALSE)-150,VLOOKUP($B655,COSTOS!$A$2:$B1014,2,FALSE)),"No encontrado o error"))</f>
        <v/>
      </c>
      <c r="AI655" s="395"/>
      <c r="AJ655" s="394"/>
      <c r="AK655" s="429" t="str">
        <f>IF(OR(ISBLANK($B655),ISBLANK($AJ655)),"",IFERROR(IF($AJ655&lt;=DATE('ESTADO CONTABLE'!$B$2,12,5),VLOOKUP($B655,COSTOS!$A$2:$B1014,2,FALSE)-150,VLOOKUP($B655,COSTOS!$A$2:$B1014,2,FALSE)),"No encontrado o error"))</f>
        <v/>
      </c>
      <c r="AL655" s="395"/>
      <c r="AM655" s="254"/>
      <c r="AN655" s="255"/>
      <c r="AO655" s="256"/>
    </row>
    <row r="656" ht="22.5" customHeight="1">
      <c r="A656" s="431" t="str">
        <f>'BASE DE DATOSS'!A730</f>
        <v/>
      </c>
      <c r="B656" s="432" t="str">
        <f>'BASE DE DATOSS'!C730</f>
        <v/>
      </c>
      <c r="C656" s="263"/>
      <c r="D656" s="249"/>
      <c r="E656" s="250"/>
      <c r="F656" s="251"/>
      <c r="G656" s="262"/>
      <c r="H656" s="257"/>
      <c r="I656" s="249"/>
      <c r="J656" s="193" t="str">
        <f>IF(OR(ISBLANK($B656),ISBLANK($I656)),"",IFERROR(IF($I656&lt;=DATE('ESTADO CONTABLE'!$B$2,3,5),VLOOKUP($B656,COSTOS!$A$2:$B1014,2,FALSE)-150,VLOOKUP($B656,COSTOS!$A$2:$B1014,2,FALSE)),"No encontrado o error"))</f>
        <v/>
      </c>
      <c r="K656" s="264"/>
      <c r="L656" s="249"/>
      <c r="M656" s="189"/>
      <c r="N656" s="264"/>
      <c r="O656" s="249"/>
      <c r="P656" s="250"/>
      <c r="Q656" s="264"/>
      <c r="R656" s="249"/>
      <c r="S656" s="250"/>
      <c r="T656" s="264"/>
      <c r="U656" s="249"/>
      <c r="V656" s="250"/>
      <c r="W656" s="264"/>
      <c r="X656" s="394"/>
      <c r="Y656" s="429"/>
      <c r="Z656" s="395"/>
      <c r="AA656" s="394"/>
      <c r="AB656" s="118" t="str">
        <f>IF(OR(ISBLANK($B656),ISBLANK($AA656)),"",IFERROR(IF($AA656&lt;=DATE('ESTADO CONTABLE'!$B$2,9,5),VLOOKUP($B656,COSTOS!$A$2:$B1014,2,FALSE)-150,VLOOKUP($B656,COSTOS!$A$2:$B1014,2,FALSE)),"No encontrado o error"))</f>
        <v/>
      </c>
      <c r="AC656" s="395"/>
      <c r="AD656" s="394"/>
      <c r="AE656" s="429" t="str">
        <f>IF(OR(ISBLANK($B656),ISBLANK($AD656)),"",IFERROR(IF($AD656&lt;=DATE('ESTADO CONTABLE'!$B$2,10,5),VLOOKUP($B656,COSTOS!$A$2:$B1014,2,FALSE)-150,VLOOKUP($B656,COSTOS!$A$2:$B1014,2,FALSE)),"No encontrado o error"))</f>
        <v/>
      </c>
      <c r="AF656" s="395"/>
      <c r="AG656" s="394"/>
      <c r="AH656" s="429" t="str">
        <f>IF(OR(ISBLANK($B656),ISBLANK($AG656)),"",IFERROR(IF($AG656&lt;=DATE('ESTADO CONTABLE'!$B$2,11,5),VLOOKUP($B656,COSTOS!$A$2:$B1014,2,FALSE)-150,VLOOKUP($B656,COSTOS!$A$2:$B1014,2,FALSE)),"No encontrado o error"))</f>
        <v/>
      </c>
      <c r="AI656" s="395"/>
      <c r="AJ656" s="394"/>
      <c r="AK656" s="429" t="str">
        <f>IF(OR(ISBLANK($B656),ISBLANK($AJ656)),"",IFERROR(IF($AJ656&lt;=DATE('ESTADO CONTABLE'!$B$2,12,5),VLOOKUP($B656,COSTOS!$A$2:$B1014,2,FALSE)-150,VLOOKUP($B656,COSTOS!$A$2:$B1014,2,FALSE)),"No encontrado o error"))</f>
        <v/>
      </c>
      <c r="AL656" s="395"/>
      <c r="AM656" s="254"/>
      <c r="AN656" s="255"/>
      <c r="AO656" s="256"/>
    </row>
    <row r="657" ht="22.5" customHeight="1">
      <c r="A657" s="431" t="str">
        <f>'BASE DE DATOSS'!A731</f>
        <v/>
      </c>
      <c r="B657" s="432" t="str">
        <f>'BASE DE DATOSS'!C731</f>
        <v/>
      </c>
      <c r="C657" s="263"/>
      <c r="D657" s="249"/>
      <c r="E657" s="250"/>
      <c r="F657" s="251"/>
      <c r="G657" s="262"/>
      <c r="H657" s="257"/>
      <c r="I657" s="249"/>
      <c r="J657" s="193" t="str">
        <f>IF(OR(ISBLANK($B657),ISBLANK($I657)),"",IFERROR(IF($I657&lt;=DATE('ESTADO CONTABLE'!$B$2,3,5),VLOOKUP($B657,COSTOS!$A$2:$B1014,2,FALSE)-150,VLOOKUP($B657,COSTOS!$A$2:$B1014,2,FALSE)),"No encontrado o error"))</f>
        <v/>
      </c>
      <c r="K657" s="264"/>
      <c r="L657" s="249"/>
      <c r="M657" s="189"/>
      <c r="N657" s="264"/>
      <c r="O657" s="249"/>
      <c r="P657" s="250"/>
      <c r="Q657" s="264"/>
      <c r="R657" s="249"/>
      <c r="S657" s="250"/>
      <c r="T657" s="264"/>
      <c r="U657" s="249"/>
      <c r="V657" s="250"/>
      <c r="W657" s="264"/>
      <c r="X657" s="394"/>
      <c r="Y657" s="429"/>
      <c r="Z657" s="395"/>
      <c r="AA657" s="394"/>
      <c r="AB657" s="118" t="str">
        <f>IF(OR(ISBLANK($B657),ISBLANK($AA657)),"",IFERROR(IF($AA657&lt;=DATE('ESTADO CONTABLE'!$B$2,9,5),VLOOKUP($B657,COSTOS!$A$2:$B1014,2,FALSE)-150,VLOOKUP($B657,COSTOS!$A$2:$B1014,2,FALSE)),"No encontrado o error"))</f>
        <v/>
      </c>
      <c r="AC657" s="395"/>
      <c r="AD657" s="394"/>
      <c r="AE657" s="429" t="str">
        <f>IF(OR(ISBLANK($B657),ISBLANK($AD657)),"",IFERROR(IF($AD657&lt;=DATE('ESTADO CONTABLE'!$B$2,10,5),VLOOKUP($B657,COSTOS!$A$2:$B1014,2,FALSE)-150,VLOOKUP($B657,COSTOS!$A$2:$B1014,2,FALSE)),"No encontrado o error"))</f>
        <v/>
      </c>
      <c r="AF657" s="395"/>
      <c r="AG657" s="394"/>
      <c r="AH657" s="429" t="str">
        <f>IF(OR(ISBLANK($B657),ISBLANK($AG657)),"",IFERROR(IF($AG657&lt;=DATE('ESTADO CONTABLE'!$B$2,11,5),VLOOKUP($B657,COSTOS!$A$2:$B1014,2,FALSE)-150,VLOOKUP($B657,COSTOS!$A$2:$B1014,2,FALSE)),"No encontrado o error"))</f>
        <v/>
      </c>
      <c r="AI657" s="395"/>
      <c r="AJ657" s="394"/>
      <c r="AK657" s="429" t="str">
        <f>IF(OR(ISBLANK($B657),ISBLANK($AJ657)),"",IFERROR(IF($AJ657&lt;=DATE('ESTADO CONTABLE'!$B$2,12,5),VLOOKUP($B657,COSTOS!$A$2:$B1014,2,FALSE)-150,VLOOKUP($B657,COSTOS!$A$2:$B1014,2,FALSE)),"No encontrado o error"))</f>
        <v/>
      </c>
      <c r="AL657" s="395"/>
      <c r="AM657" s="254"/>
      <c r="AN657" s="255"/>
      <c r="AO657" s="256"/>
    </row>
    <row r="658" ht="22.5" customHeight="1">
      <c r="A658" s="431" t="str">
        <f>'BASE DE DATOSS'!A732</f>
        <v/>
      </c>
      <c r="B658" s="432" t="str">
        <f>'BASE DE DATOSS'!C732</f>
        <v/>
      </c>
      <c r="C658" s="263"/>
      <c r="D658" s="249"/>
      <c r="E658" s="250"/>
      <c r="F658" s="251"/>
      <c r="G658" s="262"/>
      <c r="H658" s="257"/>
      <c r="I658" s="249"/>
      <c r="J658" s="193" t="str">
        <f>IF(OR(ISBLANK($B658),ISBLANK($I658)),"",IFERROR(IF($I658&lt;=DATE('ESTADO CONTABLE'!$B$2,3,5),VLOOKUP($B658,COSTOS!$A$2:$B1014,2,FALSE)-150,VLOOKUP($B658,COSTOS!$A$2:$B1014,2,FALSE)),"No encontrado o error"))</f>
        <v/>
      </c>
      <c r="K658" s="264"/>
      <c r="L658" s="249"/>
      <c r="M658" s="189"/>
      <c r="N658" s="264"/>
      <c r="O658" s="249"/>
      <c r="P658" s="250"/>
      <c r="Q658" s="264"/>
      <c r="R658" s="249"/>
      <c r="S658" s="250"/>
      <c r="T658" s="264"/>
      <c r="U658" s="249"/>
      <c r="V658" s="250"/>
      <c r="W658" s="264"/>
      <c r="X658" s="394"/>
      <c r="Y658" s="429"/>
      <c r="Z658" s="395"/>
      <c r="AA658" s="394"/>
      <c r="AB658" s="118" t="str">
        <f>IF(OR(ISBLANK($B658),ISBLANK($AA658)),"",IFERROR(IF($AA658&lt;=DATE('ESTADO CONTABLE'!$B$2,9,5),VLOOKUP($B658,COSTOS!$A$2:$B1014,2,FALSE)-150,VLOOKUP($B658,COSTOS!$A$2:$B1014,2,FALSE)),"No encontrado o error"))</f>
        <v/>
      </c>
      <c r="AC658" s="395"/>
      <c r="AD658" s="394"/>
      <c r="AE658" s="429" t="str">
        <f>IF(OR(ISBLANK($B658),ISBLANK($AD658)),"",IFERROR(IF($AD658&lt;=DATE('ESTADO CONTABLE'!$B$2,10,5),VLOOKUP($B658,COSTOS!$A$2:$B1014,2,FALSE)-150,VLOOKUP($B658,COSTOS!$A$2:$B1014,2,FALSE)),"No encontrado o error"))</f>
        <v/>
      </c>
      <c r="AF658" s="395"/>
      <c r="AG658" s="394"/>
      <c r="AH658" s="429" t="str">
        <f>IF(OR(ISBLANK($B658),ISBLANK($AG658)),"",IFERROR(IF($AG658&lt;=DATE('ESTADO CONTABLE'!$B$2,11,5),VLOOKUP($B658,COSTOS!$A$2:$B1014,2,FALSE)-150,VLOOKUP($B658,COSTOS!$A$2:$B1014,2,FALSE)),"No encontrado o error"))</f>
        <v/>
      </c>
      <c r="AI658" s="395"/>
      <c r="AJ658" s="394"/>
      <c r="AK658" s="429" t="str">
        <f>IF(OR(ISBLANK($B658),ISBLANK($AJ658)),"",IFERROR(IF($AJ658&lt;=DATE('ESTADO CONTABLE'!$B$2,12,5),VLOOKUP($B658,COSTOS!$A$2:$B1014,2,FALSE)-150,VLOOKUP($B658,COSTOS!$A$2:$B1014,2,FALSE)),"No encontrado o error"))</f>
        <v/>
      </c>
      <c r="AL658" s="395"/>
      <c r="AM658" s="254"/>
      <c r="AN658" s="255"/>
      <c r="AO658" s="256"/>
    </row>
    <row r="659" ht="22.5" customHeight="1">
      <c r="A659" s="431" t="str">
        <f>'BASE DE DATOSS'!A733</f>
        <v/>
      </c>
      <c r="B659" s="432" t="str">
        <f>'BASE DE DATOSS'!C733</f>
        <v/>
      </c>
      <c r="C659" s="263"/>
      <c r="D659" s="249"/>
      <c r="E659" s="250"/>
      <c r="F659" s="251"/>
      <c r="G659" s="262"/>
      <c r="H659" s="257"/>
      <c r="I659" s="249"/>
      <c r="J659" s="193" t="str">
        <f>IF(OR(ISBLANK($B659),ISBLANK($I659)),"",IFERROR(IF($I659&lt;=DATE('ESTADO CONTABLE'!$B$2,3,5),VLOOKUP($B659,COSTOS!$A$2:$B1014,2,FALSE)-150,VLOOKUP($B659,COSTOS!$A$2:$B1014,2,FALSE)),"No encontrado o error"))</f>
        <v/>
      </c>
      <c r="K659" s="264"/>
      <c r="L659" s="249"/>
      <c r="M659" s="189"/>
      <c r="N659" s="264"/>
      <c r="O659" s="249"/>
      <c r="P659" s="250"/>
      <c r="Q659" s="264"/>
      <c r="R659" s="249"/>
      <c r="S659" s="250"/>
      <c r="T659" s="264"/>
      <c r="U659" s="249"/>
      <c r="V659" s="250"/>
      <c r="W659" s="264"/>
      <c r="X659" s="394"/>
      <c r="Y659" s="429"/>
      <c r="Z659" s="395"/>
      <c r="AA659" s="394"/>
      <c r="AB659" s="118" t="str">
        <f>IF(OR(ISBLANK($B659),ISBLANK($AA659)),"",IFERROR(IF($AA659&lt;=DATE('ESTADO CONTABLE'!$B$2,9,5),VLOOKUP($B659,COSTOS!$A$2:$B1014,2,FALSE)-150,VLOOKUP($B659,COSTOS!$A$2:$B1014,2,FALSE)),"No encontrado o error"))</f>
        <v/>
      </c>
      <c r="AC659" s="395"/>
      <c r="AD659" s="394"/>
      <c r="AE659" s="429" t="str">
        <f>IF(OR(ISBLANK($B659),ISBLANK($AD659)),"",IFERROR(IF($AD659&lt;=DATE('ESTADO CONTABLE'!$B$2,10,5),VLOOKUP($B659,COSTOS!$A$2:$B1014,2,FALSE)-150,VLOOKUP($B659,COSTOS!$A$2:$B1014,2,FALSE)),"No encontrado o error"))</f>
        <v/>
      </c>
      <c r="AF659" s="395"/>
      <c r="AG659" s="394"/>
      <c r="AH659" s="429" t="str">
        <f>IF(OR(ISBLANK($B659),ISBLANK($AG659)),"",IFERROR(IF($AG659&lt;=DATE('ESTADO CONTABLE'!$B$2,11,5),VLOOKUP($B659,COSTOS!$A$2:$B1014,2,FALSE)-150,VLOOKUP($B659,COSTOS!$A$2:$B1014,2,FALSE)),"No encontrado o error"))</f>
        <v/>
      </c>
      <c r="AI659" s="395"/>
      <c r="AJ659" s="394"/>
      <c r="AK659" s="429" t="str">
        <f>IF(OR(ISBLANK($B659),ISBLANK($AJ659)),"",IFERROR(IF($AJ659&lt;=DATE('ESTADO CONTABLE'!$B$2,12,5),VLOOKUP($B659,COSTOS!$A$2:$B1014,2,FALSE)-150,VLOOKUP($B659,COSTOS!$A$2:$B1014,2,FALSE)),"No encontrado o error"))</f>
        <v/>
      </c>
      <c r="AL659" s="395"/>
      <c r="AM659" s="254"/>
      <c r="AN659" s="255"/>
      <c r="AO659" s="256"/>
    </row>
    <row r="660" ht="22.5" customHeight="1">
      <c r="A660" s="431" t="str">
        <f>'BASE DE DATOSS'!A734</f>
        <v/>
      </c>
      <c r="B660" s="432" t="str">
        <f>'BASE DE DATOSS'!C734</f>
        <v/>
      </c>
      <c r="C660" s="263"/>
      <c r="D660" s="249"/>
      <c r="E660" s="250"/>
      <c r="F660" s="251"/>
      <c r="G660" s="262"/>
      <c r="H660" s="257"/>
      <c r="I660" s="249"/>
      <c r="J660" s="193" t="str">
        <f>IF(OR(ISBLANK($B660),ISBLANK($I660)),"",IFERROR(IF($I660&lt;=DATE('ESTADO CONTABLE'!$B$2,3,5),VLOOKUP($B660,COSTOS!$A$2:$B1014,2,FALSE)-150,VLOOKUP($B660,COSTOS!$A$2:$B1014,2,FALSE)),"No encontrado o error"))</f>
        <v/>
      </c>
      <c r="K660" s="264"/>
      <c r="L660" s="249"/>
      <c r="M660" s="189"/>
      <c r="N660" s="264"/>
      <c r="O660" s="249"/>
      <c r="P660" s="250"/>
      <c r="Q660" s="264"/>
      <c r="R660" s="249"/>
      <c r="S660" s="250"/>
      <c r="T660" s="264"/>
      <c r="U660" s="249"/>
      <c r="V660" s="250"/>
      <c r="W660" s="264"/>
      <c r="X660" s="394"/>
      <c r="Y660" s="429"/>
      <c r="Z660" s="395"/>
      <c r="AA660" s="394"/>
      <c r="AB660" s="118" t="str">
        <f>IF(OR(ISBLANK($B660),ISBLANK($AA660)),"",IFERROR(IF($AA660&lt;=DATE('ESTADO CONTABLE'!$B$2,9,5),VLOOKUP($B660,COSTOS!$A$2:$B1014,2,FALSE)-150,VLOOKUP($B660,COSTOS!$A$2:$B1014,2,FALSE)),"No encontrado o error"))</f>
        <v/>
      </c>
      <c r="AC660" s="395"/>
      <c r="AD660" s="394"/>
      <c r="AE660" s="429" t="str">
        <f>IF(OR(ISBLANK($B660),ISBLANK($AD660)),"",IFERROR(IF($AD660&lt;=DATE('ESTADO CONTABLE'!$B$2,10,5),VLOOKUP($B660,COSTOS!$A$2:$B1014,2,FALSE)-150,VLOOKUP($B660,COSTOS!$A$2:$B1014,2,FALSE)),"No encontrado o error"))</f>
        <v/>
      </c>
      <c r="AF660" s="395"/>
      <c r="AG660" s="394"/>
      <c r="AH660" s="429" t="str">
        <f>IF(OR(ISBLANK($B660),ISBLANK($AG660)),"",IFERROR(IF($AG660&lt;=DATE('ESTADO CONTABLE'!$B$2,11,5),VLOOKUP($B660,COSTOS!$A$2:$B1014,2,FALSE)-150,VLOOKUP($B660,COSTOS!$A$2:$B1014,2,FALSE)),"No encontrado o error"))</f>
        <v/>
      </c>
      <c r="AI660" s="395"/>
      <c r="AJ660" s="394"/>
      <c r="AK660" s="429" t="str">
        <f>IF(OR(ISBLANK($B660),ISBLANK($AJ660)),"",IFERROR(IF($AJ660&lt;=DATE('ESTADO CONTABLE'!$B$2,12,5),VLOOKUP($B660,COSTOS!$A$2:$B1014,2,FALSE)-150,VLOOKUP($B660,COSTOS!$A$2:$B1014,2,FALSE)),"No encontrado o error"))</f>
        <v/>
      </c>
      <c r="AL660" s="395"/>
      <c r="AM660" s="254"/>
      <c r="AN660" s="255"/>
      <c r="AO660" s="256"/>
    </row>
    <row r="661" ht="22.5" customHeight="1">
      <c r="A661" s="431" t="str">
        <f>'BASE DE DATOSS'!A735</f>
        <v/>
      </c>
      <c r="B661" s="432" t="str">
        <f>'BASE DE DATOSS'!C735</f>
        <v/>
      </c>
      <c r="C661" s="263"/>
      <c r="D661" s="249"/>
      <c r="E661" s="250"/>
      <c r="F661" s="251"/>
      <c r="G661" s="262"/>
      <c r="H661" s="257"/>
      <c r="I661" s="249"/>
      <c r="J661" s="193" t="str">
        <f>IF(OR(ISBLANK($B661),ISBLANK($I661)),"",IFERROR(IF($I661&lt;=DATE('ESTADO CONTABLE'!$B$2,3,5),VLOOKUP($B661,COSTOS!$A$2:$B1014,2,FALSE)-150,VLOOKUP($B661,COSTOS!$A$2:$B1014,2,FALSE)),"No encontrado o error"))</f>
        <v/>
      </c>
      <c r="K661" s="264"/>
      <c r="L661" s="249"/>
      <c r="M661" s="189"/>
      <c r="N661" s="264"/>
      <c r="O661" s="249"/>
      <c r="P661" s="250"/>
      <c r="Q661" s="264"/>
      <c r="R661" s="249"/>
      <c r="S661" s="250"/>
      <c r="T661" s="264"/>
      <c r="U661" s="249"/>
      <c r="V661" s="250"/>
      <c r="W661" s="264"/>
      <c r="X661" s="394"/>
      <c r="Y661" s="429"/>
      <c r="Z661" s="395"/>
      <c r="AA661" s="394"/>
      <c r="AB661" s="118" t="str">
        <f>IF(OR(ISBLANK($B661),ISBLANK($AA661)),"",IFERROR(IF($AA661&lt;=DATE('ESTADO CONTABLE'!$B$2,9,5),VLOOKUP($B661,COSTOS!$A$2:$B1014,2,FALSE)-150,VLOOKUP($B661,COSTOS!$A$2:$B1014,2,FALSE)),"No encontrado o error"))</f>
        <v/>
      </c>
      <c r="AC661" s="395"/>
      <c r="AD661" s="394"/>
      <c r="AE661" s="429" t="str">
        <f>IF(OR(ISBLANK($B661),ISBLANK($AD661)),"",IFERROR(IF($AD661&lt;=DATE('ESTADO CONTABLE'!$B$2,10,5),VLOOKUP($B661,COSTOS!$A$2:$B1014,2,FALSE)-150,VLOOKUP($B661,COSTOS!$A$2:$B1014,2,FALSE)),"No encontrado o error"))</f>
        <v/>
      </c>
      <c r="AF661" s="395"/>
      <c r="AG661" s="394"/>
      <c r="AH661" s="429" t="str">
        <f>IF(OR(ISBLANK($B661),ISBLANK($AG661)),"",IFERROR(IF($AG661&lt;=DATE('ESTADO CONTABLE'!$B$2,11,5),VLOOKUP($B661,COSTOS!$A$2:$B1014,2,FALSE)-150,VLOOKUP($B661,COSTOS!$A$2:$B1014,2,FALSE)),"No encontrado o error"))</f>
        <v/>
      </c>
      <c r="AI661" s="395"/>
      <c r="AJ661" s="394"/>
      <c r="AK661" s="429" t="str">
        <f>IF(OR(ISBLANK($B661),ISBLANK($AJ661)),"",IFERROR(IF($AJ661&lt;=DATE('ESTADO CONTABLE'!$B$2,12,5),VLOOKUP($B661,COSTOS!$A$2:$B1014,2,FALSE)-150,VLOOKUP($B661,COSTOS!$A$2:$B1014,2,FALSE)),"No encontrado o error"))</f>
        <v/>
      </c>
      <c r="AL661" s="395"/>
      <c r="AM661" s="254"/>
      <c r="AN661" s="255"/>
      <c r="AO661" s="256"/>
    </row>
    <row r="662" ht="22.5" customHeight="1">
      <c r="A662" s="431" t="str">
        <f>'BASE DE DATOSS'!A736</f>
        <v/>
      </c>
      <c r="B662" s="432" t="str">
        <f>'BASE DE DATOSS'!C736</f>
        <v/>
      </c>
      <c r="C662" s="263"/>
      <c r="D662" s="249"/>
      <c r="E662" s="250"/>
      <c r="F662" s="251"/>
      <c r="G662" s="262"/>
      <c r="H662" s="257"/>
      <c r="I662" s="249"/>
      <c r="J662" s="193" t="str">
        <f>IF(OR(ISBLANK($B662),ISBLANK($I662)),"",IFERROR(IF($I662&lt;=DATE('ESTADO CONTABLE'!$B$2,3,5),VLOOKUP($B662,COSTOS!$A$2:$B1014,2,FALSE)-150,VLOOKUP($B662,COSTOS!$A$2:$B1014,2,FALSE)),"No encontrado o error"))</f>
        <v/>
      </c>
      <c r="K662" s="264"/>
      <c r="L662" s="249"/>
      <c r="M662" s="189"/>
      <c r="N662" s="264"/>
      <c r="O662" s="249"/>
      <c r="P662" s="250"/>
      <c r="Q662" s="264"/>
      <c r="R662" s="249"/>
      <c r="S662" s="250"/>
      <c r="T662" s="264"/>
      <c r="U662" s="249"/>
      <c r="V662" s="250"/>
      <c r="W662" s="264"/>
      <c r="X662" s="394"/>
      <c r="Y662" s="429"/>
      <c r="Z662" s="395"/>
      <c r="AA662" s="394"/>
      <c r="AB662" s="118" t="str">
        <f>IF(OR(ISBLANK($B662),ISBLANK($AA662)),"",IFERROR(IF($AA662&lt;=DATE('ESTADO CONTABLE'!$B$2,9,5),VLOOKUP($B662,COSTOS!$A$2:$B1014,2,FALSE)-150,VLOOKUP($B662,COSTOS!$A$2:$B1014,2,FALSE)),"No encontrado o error"))</f>
        <v/>
      </c>
      <c r="AC662" s="395"/>
      <c r="AD662" s="394"/>
      <c r="AE662" s="429" t="str">
        <f>IF(OR(ISBLANK($B662),ISBLANK($AD662)),"",IFERROR(IF($AD662&lt;=DATE('ESTADO CONTABLE'!$B$2,10,5),VLOOKUP($B662,COSTOS!$A$2:$B1014,2,FALSE)-150,VLOOKUP($B662,COSTOS!$A$2:$B1014,2,FALSE)),"No encontrado o error"))</f>
        <v/>
      </c>
      <c r="AF662" s="395"/>
      <c r="AG662" s="394"/>
      <c r="AH662" s="429" t="str">
        <f>IF(OR(ISBLANK($B662),ISBLANK($AG662)),"",IFERROR(IF($AG662&lt;=DATE('ESTADO CONTABLE'!$B$2,11,5),VLOOKUP($B662,COSTOS!$A$2:$B1014,2,FALSE)-150,VLOOKUP($B662,COSTOS!$A$2:$B1014,2,FALSE)),"No encontrado o error"))</f>
        <v/>
      </c>
      <c r="AI662" s="395"/>
      <c r="AJ662" s="394"/>
      <c r="AK662" s="429" t="str">
        <f>IF(OR(ISBLANK($B662),ISBLANK($AJ662)),"",IFERROR(IF($AJ662&lt;=DATE('ESTADO CONTABLE'!$B$2,12,5),VLOOKUP($B662,COSTOS!$A$2:$B1014,2,FALSE)-150,VLOOKUP($B662,COSTOS!$A$2:$B1014,2,FALSE)),"No encontrado o error"))</f>
        <v/>
      </c>
      <c r="AL662" s="395"/>
      <c r="AM662" s="254"/>
      <c r="AN662" s="255"/>
      <c r="AO662" s="256"/>
    </row>
    <row r="663" ht="22.5" customHeight="1">
      <c r="A663" s="431" t="str">
        <f>'BASE DE DATOSS'!A737</f>
        <v/>
      </c>
      <c r="B663" s="432" t="str">
        <f>'BASE DE DATOSS'!C737</f>
        <v/>
      </c>
      <c r="C663" s="263"/>
      <c r="D663" s="249"/>
      <c r="E663" s="250"/>
      <c r="F663" s="251"/>
      <c r="G663" s="262"/>
      <c r="H663" s="257"/>
      <c r="I663" s="249"/>
      <c r="J663" s="193" t="str">
        <f>IF(OR(ISBLANK($B663),ISBLANK($I663)),"",IFERROR(IF($I663&lt;=DATE('ESTADO CONTABLE'!$B$2,3,5),VLOOKUP($B663,COSTOS!$A$2:$B1014,2,FALSE)-150,VLOOKUP($B663,COSTOS!$A$2:$B1014,2,FALSE)),"No encontrado o error"))</f>
        <v/>
      </c>
      <c r="K663" s="264"/>
      <c r="L663" s="249"/>
      <c r="M663" s="189"/>
      <c r="N663" s="264"/>
      <c r="O663" s="249"/>
      <c r="P663" s="250"/>
      <c r="Q663" s="264"/>
      <c r="R663" s="249"/>
      <c r="S663" s="250"/>
      <c r="T663" s="264"/>
      <c r="U663" s="249"/>
      <c r="V663" s="250"/>
      <c r="W663" s="264"/>
      <c r="X663" s="394"/>
      <c r="Y663" s="429"/>
      <c r="Z663" s="395"/>
      <c r="AA663" s="394"/>
      <c r="AB663" s="118" t="str">
        <f>IF(OR(ISBLANK($B663),ISBLANK($AA663)),"",IFERROR(IF($AA663&lt;=DATE('ESTADO CONTABLE'!$B$2,9,5),VLOOKUP($B663,COSTOS!$A$2:$B1014,2,FALSE)-150,VLOOKUP($B663,COSTOS!$A$2:$B1014,2,FALSE)),"No encontrado o error"))</f>
        <v/>
      </c>
      <c r="AC663" s="395"/>
      <c r="AD663" s="394"/>
      <c r="AE663" s="429" t="str">
        <f>IF(OR(ISBLANK($B663),ISBLANK($AD663)),"",IFERROR(IF($AD663&lt;=DATE('ESTADO CONTABLE'!$B$2,10,5),VLOOKUP($B663,COSTOS!$A$2:$B1014,2,FALSE)-150,VLOOKUP($B663,COSTOS!$A$2:$B1014,2,FALSE)),"No encontrado o error"))</f>
        <v/>
      </c>
      <c r="AF663" s="395"/>
      <c r="AG663" s="394"/>
      <c r="AH663" s="429" t="str">
        <f>IF(OR(ISBLANK($B663),ISBLANK($AG663)),"",IFERROR(IF($AG663&lt;=DATE('ESTADO CONTABLE'!$B$2,11,5),VLOOKUP($B663,COSTOS!$A$2:$B1014,2,FALSE)-150,VLOOKUP($B663,COSTOS!$A$2:$B1014,2,FALSE)),"No encontrado o error"))</f>
        <v/>
      </c>
      <c r="AI663" s="395"/>
      <c r="AJ663" s="394"/>
      <c r="AK663" s="429" t="str">
        <f>IF(OR(ISBLANK($B663),ISBLANK($AJ663)),"",IFERROR(IF($AJ663&lt;=DATE('ESTADO CONTABLE'!$B$2,12,5),VLOOKUP($B663,COSTOS!$A$2:$B1014,2,FALSE)-150,VLOOKUP($B663,COSTOS!$A$2:$B1014,2,FALSE)),"No encontrado o error"))</f>
        <v/>
      </c>
      <c r="AL663" s="395"/>
      <c r="AM663" s="254"/>
      <c r="AN663" s="255"/>
      <c r="AO663" s="256"/>
    </row>
    <row r="664" ht="22.5" customHeight="1">
      <c r="A664" s="431" t="str">
        <f>'BASE DE DATOSS'!A738</f>
        <v/>
      </c>
      <c r="B664" s="432" t="str">
        <f>'BASE DE DATOSS'!C738</f>
        <v/>
      </c>
      <c r="C664" s="263"/>
      <c r="D664" s="249"/>
      <c r="E664" s="250"/>
      <c r="F664" s="251"/>
      <c r="G664" s="262"/>
      <c r="H664" s="257"/>
      <c r="I664" s="249"/>
      <c r="J664" s="193" t="str">
        <f>IF(OR(ISBLANK($B664),ISBLANK($I664)),"",IFERROR(IF($I664&lt;=DATE('ESTADO CONTABLE'!$B$2,3,5),VLOOKUP($B664,COSTOS!$A$2:$B1014,2,FALSE)-150,VLOOKUP($B664,COSTOS!$A$2:$B1014,2,FALSE)),"No encontrado o error"))</f>
        <v/>
      </c>
      <c r="K664" s="264"/>
      <c r="L664" s="249"/>
      <c r="M664" s="189"/>
      <c r="N664" s="264"/>
      <c r="O664" s="249"/>
      <c r="P664" s="250"/>
      <c r="Q664" s="264"/>
      <c r="R664" s="249"/>
      <c r="S664" s="250"/>
      <c r="T664" s="264"/>
      <c r="U664" s="249"/>
      <c r="V664" s="250"/>
      <c r="W664" s="264"/>
      <c r="X664" s="394"/>
      <c r="Y664" s="429"/>
      <c r="Z664" s="395"/>
      <c r="AA664" s="394"/>
      <c r="AB664" s="118" t="str">
        <f>IF(OR(ISBLANK($B664),ISBLANK($AA664)),"",IFERROR(IF($AA664&lt;=DATE('ESTADO CONTABLE'!$B$2,9,5),VLOOKUP($B664,COSTOS!$A$2:$B1014,2,FALSE)-150,VLOOKUP($B664,COSTOS!$A$2:$B1014,2,FALSE)),"No encontrado o error"))</f>
        <v/>
      </c>
      <c r="AC664" s="395"/>
      <c r="AD664" s="394"/>
      <c r="AE664" s="429" t="str">
        <f>IF(OR(ISBLANK($B664),ISBLANK($AD664)),"",IFERROR(IF($AD664&lt;=DATE('ESTADO CONTABLE'!$B$2,10,5),VLOOKUP($B664,COSTOS!$A$2:$B1014,2,FALSE)-150,VLOOKUP($B664,COSTOS!$A$2:$B1014,2,FALSE)),"No encontrado o error"))</f>
        <v/>
      </c>
      <c r="AF664" s="395"/>
      <c r="AG664" s="394"/>
      <c r="AH664" s="429" t="str">
        <f>IF(OR(ISBLANK($B664),ISBLANK($AG664)),"",IFERROR(IF($AG664&lt;=DATE('ESTADO CONTABLE'!$B$2,11,5),VLOOKUP($B664,COSTOS!$A$2:$B1014,2,FALSE)-150,VLOOKUP($B664,COSTOS!$A$2:$B1014,2,FALSE)),"No encontrado o error"))</f>
        <v/>
      </c>
      <c r="AI664" s="395"/>
      <c r="AJ664" s="394"/>
      <c r="AK664" s="429" t="str">
        <f>IF(OR(ISBLANK($B664),ISBLANK($AJ664)),"",IFERROR(IF($AJ664&lt;=DATE('ESTADO CONTABLE'!$B$2,12,5),VLOOKUP($B664,COSTOS!$A$2:$B1014,2,FALSE)-150,VLOOKUP($B664,COSTOS!$A$2:$B1014,2,FALSE)),"No encontrado o error"))</f>
        <v/>
      </c>
      <c r="AL664" s="395"/>
      <c r="AM664" s="254"/>
      <c r="AN664" s="255"/>
      <c r="AO664" s="256"/>
    </row>
    <row r="665" ht="22.5" customHeight="1">
      <c r="A665" s="431" t="str">
        <f>'BASE DE DATOSS'!A739</f>
        <v/>
      </c>
      <c r="B665" s="432" t="str">
        <f>'BASE DE DATOSS'!C739</f>
        <v/>
      </c>
      <c r="C665" s="263"/>
      <c r="D665" s="249"/>
      <c r="E665" s="250"/>
      <c r="F665" s="251"/>
      <c r="G665" s="262"/>
      <c r="H665" s="257"/>
      <c r="I665" s="249"/>
      <c r="J665" s="193" t="str">
        <f>IF(OR(ISBLANK($B665),ISBLANK($I665)),"",IFERROR(IF($I665&lt;=DATE('ESTADO CONTABLE'!$B$2,3,5),VLOOKUP($B665,COSTOS!$A$2:$B1014,2,FALSE)-150,VLOOKUP($B665,COSTOS!$A$2:$B1014,2,FALSE)),"No encontrado o error"))</f>
        <v/>
      </c>
      <c r="K665" s="264"/>
      <c r="L665" s="249"/>
      <c r="M665" s="189"/>
      <c r="N665" s="264"/>
      <c r="O665" s="249"/>
      <c r="P665" s="250"/>
      <c r="Q665" s="264"/>
      <c r="R665" s="249"/>
      <c r="S665" s="250"/>
      <c r="T665" s="264"/>
      <c r="U665" s="249"/>
      <c r="V665" s="250"/>
      <c r="W665" s="264"/>
      <c r="X665" s="394"/>
      <c r="Y665" s="429"/>
      <c r="Z665" s="395"/>
      <c r="AA665" s="394"/>
      <c r="AB665" s="118" t="str">
        <f>IF(OR(ISBLANK($B665),ISBLANK($AA665)),"",IFERROR(IF($AA665&lt;=DATE('ESTADO CONTABLE'!$B$2,9,5),VLOOKUP($B665,COSTOS!$A$2:$B1014,2,FALSE)-150,VLOOKUP($B665,COSTOS!$A$2:$B1014,2,FALSE)),"No encontrado o error"))</f>
        <v/>
      </c>
      <c r="AC665" s="395"/>
      <c r="AD665" s="394"/>
      <c r="AE665" s="429" t="str">
        <f>IF(OR(ISBLANK($B665),ISBLANK($AD665)),"",IFERROR(IF($AD665&lt;=DATE('ESTADO CONTABLE'!$B$2,10,5),VLOOKUP($B665,COSTOS!$A$2:$B1014,2,FALSE)-150,VLOOKUP($B665,COSTOS!$A$2:$B1014,2,FALSE)),"No encontrado o error"))</f>
        <v/>
      </c>
      <c r="AF665" s="395"/>
      <c r="AG665" s="394"/>
      <c r="AH665" s="429" t="str">
        <f>IF(OR(ISBLANK($B665),ISBLANK($AG665)),"",IFERROR(IF($AG665&lt;=DATE('ESTADO CONTABLE'!$B$2,11,5),VLOOKUP($B665,COSTOS!$A$2:$B1014,2,FALSE)-150,VLOOKUP($B665,COSTOS!$A$2:$B1014,2,FALSE)),"No encontrado o error"))</f>
        <v/>
      </c>
      <c r="AI665" s="395"/>
      <c r="AJ665" s="394"/>
      <c r="AK665" s="429" t="str">
        <f>IF(OR(ISBLANK($B665),ISBLANK($AJ665)),"",IFERROR(IF($AJ665&lt;=DATE('ESTADO CONTABLE'!$B$2,12,5),VLOOKUP($B665,COSTOS!$A$2:$B1014,2,FALSE)-150,VLOOKUP($B665,COSTOS!$A$2:$B1014,2,FALSE)),"No encontrado o error"))</f>
        <v/>
      </c>
      <c r="AL665" s="395"/>
      <c r="AM665" s="254"/>
      <c r="AN665" s="255"/>
      <c r="AO665" s="256"/>
    </row>
    <row r="666" ht="22.5" customHeight="1">
      <c r="A666" s="431" t="str">
        <f>'BASE DE DATOSS'!A740</f>
        <v/>
      </c>
      <c r="B666" s="432" t="str">
        <f>'BASE DE DATOSS'!C740</f>
        <v/>
      </c>
      <c r="C666" s="263"/>
      <c r="D666" s="249"/>
      <c r="E666" s="250"/>
      <c r="F666" s="251"/>
      <c r="G666" s="262"/>
      <c r="H666" s="257"/>
      <c r="I666" s="249"/>
      <c r="J666" s="193" t="str">
        <f>IF(OR(ISBLANK($B666),ISBLANK($I666)),"",IFERROR(IF($I666&lt;=DATE('ESTADO CONTABLE'!$B$2,3,5),VLOOKUP($B666,COSTOS!$A$2:$B1014,2,FALSE)-150,VLOOKUP($B666,COSTOS!$A$2:$B1014,2,FALSE)),"No encontrado o error"))</f>
        <v/>
      </c>
      <c r="K666" s="264"/>
      <c r="L666" s="249"/>
      <c r="M666" s="189"/>
      <c r="N666" s="264"/>
      <c r="O666" s="249"/>
      <c r="P666" s="250"/>
      <c r="Q666" s="264"/>
      <c r="R666" s="249"/>
      <c r="S666" s="250"/>
      <c r="T666" s="264"/>
      <c r="U666" s="249"/>
      <c r="V666" s="250"/>
      <c r="W666" s="264"/>
      <c r="X666" s="394"/>
      <c r="Y666" s="429"/>
      <c r="Z666" s="395"/>
      <c r="AA666" s="394"/>
      <c r="AB666" s="118" t="str">
        <f>IF(OR(ISBLANK($B666),ISBLANK($AA666)),"",IFERROR(IF($AA666&lt;=DATE('ESTADO CONTABLE'!$B$2,9,5),VLOOKUP($B666,COSTOS!$A$2:$B1014,2,FALSE)-150,VLOOKUP($B666,COSTOS!$A$2:$B1014,2,FALSE)),"No encontrado o error"))</f>
        <v/>
      </c>
      <c r="AC666" s="395"/>
      <c r="AD666" s="394"/>
      <c r="AE666" s="429" t="str">
        <f>IF(OR(ISBLANK($B666),ISBLANK($AD666)),"",IFERROR(IF($AD666&lt;=DATE('ESTADO CONTABLE'!$B$2,10,5),VLOOKUP($B666,COSTOS!$A$2:$B1014,2,FALSE)-150,VLOOKUP($B666,COSTOS!$A$2:$B1014,2,FALSE)),"No encontrado o error"))</f>
        <v/>
      </c>
      <c r="AF666" s="395"/>
      <c r="AG666" s="394"/>
      <c r="AH666" s="429" t="str">
        <f>IF(OR(ISBLANK($B666),ISBLANK($AG666)),"",IFERROR(IF($AG666&lt;=DATE('ESTADO CONTABLE'!$B$2,11,5),VLOOKUP($B666,COSTOS!$A$2:$B1014,2,FALSE)-150,VLOOKUP($B666,COSTOS!$A$2:$B1014,2,FALSE)),"No encontrado o error"))</f>
        <v/>
      </c>
      <c r="AI666" s="395"/>
      <c r="AJ666" s="394"/>
      <c r="AK666" s="429" t="str">
        <f>IF(OR(ISBLANK($B666),ISBLANK($AJ666)),"",IFERROR(IF($AJ666&lt;=DATE('ESTADO CONTABLE'!$B$2,12,5),VLOOKUP($B666,COSTOS!$A$2:$B1014,2,FALSE)-150,VLOOKUP($B666,COSTOS!$A$2:$B1014,2,FALSE)),"No encontrado o error"))</f>
        <v/>
      </c>
      <c r="AL666" s="395"/>
      <c r="AM666" s="254"/>
      <c r="AN666" s="255"/>
      <c r="AO666" s="256"/>
    </row>
    <row r="667" ht="22.5" customHeight="1">
      <c r="A667" s="431" t="str">
        <f>'BASE DE DATOSS'!A741</f>
        <v/>
      </c>
      <c r="B667" s="432" t="str">
        <f>'BASE DE DATOSS'!C741</f>
        <v/>
      </c>
      <c r="C667" s="263"/>
      <c r="D667" s="249"/>
      <c r="E667" s="250"/>
      <c r="F667" s="251"/>
      <c r="G667" s="262"/>
      <c r="H667" s="257"/>
      <c r="I667" s="249"/>
      <c r="J667" s="193" t="str">
        <f>IF(OR(ISBLANK($B667),ISBLANK($I667)),"",IFERROR(IF($I667&lt;=DATE('ESTADO CONTABLE'!$B$2,3,5),VLOOKUP($B667,COSTOS!$A$2:$B1014,2,FALSE)-150,VLOOKUP($B667,COSTOS!$A$2:$B1014,2,FALSE)),"No encontrado o error"))</f>
        <v/>
      </c>
      <c r="K667" s="264"/>
      <c r="L667" s="249"/>
      <c r="M667" s="189"/>
      <c r="N667" s="264"/>
      <c r="O667" s="249"/>
      <c r="P667" s="250"/>
      <c r="Q667" s="264"/>
      <c r="R667" s="249"/>
      <c r="S667" s="250"/>
      <c r="T667" s="264"/>
      <c r="U667" s="249"/>
      <c r="V667" s="250"/>
      <c r="W667" s="264"/>
      <c r="X667" s="394"/>
      <c r="Y667" s="429"/>
      <c r="Z667" s="395"/>
      <c r="AA667" s="394"/>
      <c r="AB667" s="118" t="str">
        <f>IF(OR(ISBLANK($B667),ISBLANK($AA667)),"",IFERROR(IF($AA667&lt;=DATE('ESTADO CONTABLE'!$B$2,9,5),VLOOKUP($B667,COSTOS!$A$2:$B1014,2,FALSE)-150,VLOOKUP($B667,COSTOS!$A$2:$B1014,2,FALSE)),"No encontrado o error"))</f>
        <v/>
      </c>
      <c r="AC667" s="395"/>
      <c r="AD667" s="394"/>
      <c r="AE667" s="429" t="str">
        <f>IF(OR(ISBLANK($B667),ISBLANK($AD667)),"",IFERROR(IF($AD667&lt;=DATE('ESTADO CONTABLE'!$B$2,10,5),VLOOKUP($B667,COSTOS!$A$2:$B1014,2,FALSE)-150,VLOOKUP($B667,COSTOS!$A$2:$B1014,2,FALSE)),"No encontrado o error"))</f>
        <v/>
      </c>
      <c r="AF667" s="395"/>
      <c r="AG667" s="394"/>
      <c r="AH667" s="429" t="str">
        <f>IF(OR(ISBLANK($B667),ISBLANK($AG667)),"",IFERROR(IF($AG667&lt;=DATE('ESTADO CONTABLE'!$B$2,11,5),VLOOKUP($B667,COSTOS!$A$2:$B1014,2,FALSE)-150,VLOOKUP($B667,COSTOS!$A$2:$B1014,2,FALSE)),"No encontrado o error"))</f>
        <v/>
      </c>
      <c r="AI667" s="395"/>
      <c r="AJ667" s="394"/>
      <c r="AK667" s="429" t="str">
        <f>IF(OR(ISBLANK($B667),ISBLANK($AJ667)),"",IFERROR(IF($AJ667&lt;=DATE('ESTADO CONTABLE'!$B$2,12,5),VLOOKUP($B667,COSTOS!$A$2:$B1014,2,FALSE)-150,VLOOKUP($B667,COSTOS!$A$2:$B1014,2,FALSE)),"No encontrado o error"))</f>
        <v/>
      </c>
      <c r="AL667" s="395"/>
      <c r="AM667" s="254"/>
      <c r="AN667" s="255"/>
      <c r="AO667" s="256"/>
    </row>
    <row r="668" ht="22.5" customHeight="1">
      <c r="A668" s="431" t="str">
        <f>'BASE DE DATOSS'!A742</f>
        <v/>
      </c>
      <c r="B668" s="432" t="str">
        <f>'BASE DE DATOSS'!C742</f>
        <v/>
      </c>
      <c r="C668" s="263"/>
      <c r="D668" s="249"/>
      <c r="E668" s="250"/>
      <c r="F668" s="251"/>
      <c r="G668" s="262"/>
      <c r="H668" s="257"/>
      <c r="I668" s="249"/>
      <c r="J668" s="193" t="str">
        <f>IF(OR(ISBLANK($B668),ISBLANK($I668)),"",IFERROR(IF($I668&lt;=DATE('ESTADO CONTABLE'!$B$2,3,5),VLOOKUP($B668,COSTOS!$A$2:$B1014,2,FALSE)-150,VLOOKUP($B668,COSTOS!$A$2:$B1014,2,FALSE)),"No encontrado o error"))</f>
        <v/>
      </c>
      <c r="K668" s="264"/>
      <c r="L668" s="249"/>
      <c r="M668" s="189"/>
      <c r="N668" s="264"/>
      <c r="O668" s="249"/>
      <c r="P668" s="250"/>
      <c r="Q668" s="264"/>
      <c r="R668" s="249"/>
      <c r="S668" s="250"/>
      <c r="T668" s="264"/>
      <c r="U668" s="249"/>
      <c r="V668" s="250"/>
      <c r="W668" s="264"/>
      <c r="X668" s="394"/>
      <c r="Y668" s="429"/>
      <c r="Z668" s="395"/>
      <c r="AA668" s="394"/>
      <c r="AB668" s="118" t="str">
        <f>IF(OR(ISBLANK($B668),ISBLANK($AA668)),"",IFERROR(IF($AA668&lt;=DATE('ESTADO CONTABLE'!$B$2,9,5),VLOOKUP($B668,COSTOS!$A$2:$B1014,2,FALSE)-150,VLOOKUP($B668,COSTOS!$A$2:$B1014,2,FALSE)),"No encontrado o error"))</f>
        <v/>
      </c>
      <c r="AC668" s="395"/>
      <c r="AD668" s="394"/>
      <c r="AE668" s="429" t="str">
        <f>IF(OR(ISBLANK($B668),ISBLANK($AD668)),"",IFERROR(IF($AD668&lt;=DATE('ESTADO CONTABLE'!$B$2,10,5),VLOOKUP($B668,COSTOS!$A$2:$B1014,2,FALSE)-150,VLOOKUP($B668,COSTOS!$A$2:$B1014,2,FALSE)),"No encontrado o error"))</f>
        <v/>
      </c>
      <c r="AF668" s="395"/>
      <c r="AG668" s="394"/>
      <c r="AH668" s="429" t="str">
        <f>IF(OR(ISBLANK($B668),ISBLANK($AG668)),"",IFERROR(IF($AG668&lt;=DATE('ESTADO CONTABLE'!$B$2,11,5),VLOOKUP($B668,COSTOS!$A$2:$B1014,2,FALSE)-150,VLOOKUP($B668,COSTOS!$A$2:$B1014,2,FALSE)),"No encontrado o error"))</f>
        <v/>
      </c>
      <c r="AI668" s="395"/>
      <c r="AJ668" s="394"/>
      <c r="AK668" s="429" t="str">
        <f>IF(OR(ISBLANK($B668),ISBLANK($AJ668)),"",IFERROR(IF($AJ668&lt;=DATE('ESTADO CONTABLE'!$B$2,12,5),VLOOKUP($B668,COSTOS!$A$2:$B1014,2,FALSE)-150,VLOOKUP($B668,COSTOS!$A$2:$B1014,2,FALSE)),"No encontrado o error"))</f>
        <v/>
      </c>
      <c r="AL668" s="395"/>
      <c r="AM668" s="254"/>
      <c r="AN668" s="255"/>
      <c r="AO668" s="256"/>
    </row>
    <row r="669" ht="22.5" customHeight="1">
      <c r="A669" s="431" t="str">
        <f>'BASE DE DATOSS'!A743</f>
        <v/>
      </c>
      <c r="B669" s="432" t="str">
        <f>'BASE DE DATOSS'!C743</f>
        <v/>
      </c>
      <c r="C669" s="263"/>
      <c r="D669" s="249"/>
      <c r="E669" s="250"/>
      <c r="F669" s="251"/>
      <c r="G669" s="262"/>
      <c r="H669" s="257"/>
      <c r="I669" s="249"/>
      <c r="J669" s="193" t="str">
        <f>IF(OR(ISBLANK($B669),ISBLANK($I669)),"",IFERROR(IF($I669&lt;=DATE('ESTADO CONTABLE'!$B$2,3,5),VLOOKUP($B669,COSTOS!$A$2:$B1014,2,FALSE)-150,VLOOKUP($B669,COSTOS!$A$2:$B1014,2,FALSE)),"No encontrado o error"))</f>
        <v/>
      </c>
      <c r="K669" s="264"/>
      <c r="L669" s="249"/>
      <c r="M669" s="189"/>
      <c r="N669" s="264"/>
      <c r="O669" s="249"/>
      <c r="P669" s="250"/>
      <c r="Q669" s="264"/>
      <c r="R669" s="249"/>
      <c r="S669" s="250"/>
      <c r="T669" s="264"/>
      <c r="U669" s="249"/>
      <c r="V669" s="250"/>
      <c r="W669" s="264"/>
      <c r="X669" s="394"/>
      <c r="Y669" s="429"/>
      <c r="Z669" s="395"/>
      <c r="AA669" s="394"/>
      <c r="AB669" s="118" t="str">
        <f>IF(OR(ISBLANK($B669),ISBLANK($AA669)),"",IFERROR(IF($AA669&lt;=DATE('ESTADO CONTABLE'!$B$2,9,5),VLOOKUP($B669,COSTOS!$A$2:$B1014,2,FALSE)-150,VLOOKUP($B669,COSTOS!$A$2:$B1014,2,FALSE)),"No encontrado o error"))</f>
        <v/>
      </c>
      <c r="AC669" s="395"/>
      <c r="AD669" s="394"/>
      <c r="AE669" s="429" t="str">
        <f>IF(OR(ISBLANK($B669),ISBLANK($AD669)),"",IFERROR(IF($AD669&lt;=DATE('ESTADO CONTABLE'!$B$2,10,5),VLOOKUP($B669,COSTOS!$A$2:$B1014,2,FALSE)-150,VLOOKUP($B669,COSTOS!$A$2:$B1014,2,FALSE)),"No encontrado o error"))</f>
        <v/>
      </c>
      <c r="AF669" s="395"/>
      <c r="AG669" s="394"/>
      <c r="AH669" s="429" t="str">
        <f>IF(OR(ISBLANK($B669),ISBLANK($AG669)),"",IFERROR(IF($AG669&lt;=DATE('ESTADO CONTABLE'!$B$2,11,5),VLOOKUP($B669,COSTOS!$A$2:$B1014,2,FALSE)-150,VLOOKUP($B669,COSTOS!$A$2:$B1014,2,FALSE)),"No encontrado o error"))</f>
        <v/>
      </c>
      <c r="AI669" s="395"/>
      <c r="AJ669" s="394"/>
      <c r="AK669" s="429" t="str">
        <f>IF(OR(ISBLANK($B669),ISBLANK($AJ669)),"",IFERROR(IF($AJ669&lt;=DATE('ESTADO CONTABLE'!$B$2,12,5),VLOOKUP($B669,COSTOS!$A$2:$B1014,2,FALSE)-150,VLOOKUP($B669,COSTOS!$A$2:$B1014,2,FALSE)),"No encontrado o error"))</f>
        <v/>
      </c>
      <c r="AL669" s="395"/>
      <c r="AM669" s="254"/>
      <c r="AN669" s="255"/>
      <c r="AO669" s="256"/>
    </row>
    <row r="670" ht="22.5" customHeight="1">
      <c r="A670" s="431" t="str">
        <f>'BASE DE DATOSS'!A744</f>
        <v/>
      </c>
      <c r="B670" s="432" t="str">
        <f>'BASE DE DATOSS'!C744</f>
        <v/>
      </c>
      <c r="C670" s="263"/>
      <c r="D670" s="249"/>
      <c r="E670" s="250"/>
      <c r="F670" s="251"/>
      <c r="G670" s="262"/>
      <c r="H670" s="257"/>
      <c r="I670" s="249"/>
      <c r="J670" s="193" t="str">
        <f>IF(OR(ISBLANK($B670),ISBLANK($I670)),"",IFERROR(IF($I670&lt;=DATE('ESTADO CONTABLE'!$B$2,3,5),VLOOKUP($B670,COSTOS!$A$2:$B1014,2,FALSE)-150,VLOOKUP($B670,COSTOS!$A$2:$B1014,2,FALSE)),"No encontrado o error"))</f>
        <v/>
      </c>
      <c r="K670" s="264"/>
      <c r="L670" s="249"/>
      <c r="M670" s="189"/>
      <c r="N670" s="264"/>
      <c r="O670" s="249"/>
      <c r="P670" s="250"/>
      <c r="Q670" s="264"/>
      <c r="R670" s="249"/>
      <c r="S670" s="250"/>
      <c r="T670" s="264"/>
      <c r="U670" s="249"/>
      <c r="V670" s="250"/>
      <c r="W670" s="264"/>
      <c r="X670" s="394"/>
      <c r="Y670" s="429"/>
      <c r="Z670" s="395"/>
      <c r="AA670" s="394"/>
      <c r="AB670" s="118" t="str">
        <f>IF(OR(ISBLANK($B670),ISBLANK($AA670)),"",IFERROR(IF($AA670&lt;=DATE('ESTADO CONTABLE'!$B$2,9,5),VLOOKUP($B670,COSTOS!$A$2:$B1014,2,FALSE)-150,VLOOKUP($B670,COSTOS!$A$2:$B1014,2,FALSE)),"No encontrado o error"))</f>
        <v/>
      </c>
      <c r="AC670" s="395"/>
      <c r="AD670" s="394"/>
      <c r="AE670" s="429" t="str">
        <f>IF(OR(ISBLANK($B670),ISBLANK($AD670)),"",IFERROR(IF($AD670&lt;=DATE('ESTADO CONTABLE'!$B$2,10,5),VLOOKUP($B670,COSTOS!$A$2:$B1014,2,FALSE)-150,VLOOKUP($B670,COSTOS!$A$2:$B1014,2,FALSE)),"No encontrado o error"))</f>
        <v/>
      </c>
      <c r="AF670" s="395"/>
      <c r="AG670" s="394"/>
      <c r="AH670" s="429" t="str">
        <f>IF(OR(ISBLANK($B670),ISBLANK($AG670)),"",IFERROR(IF($AG670&lt;=DATE('ESTADO CONTABLE'!$B$2,11,5),VLOOKUP($B670,COSTOS!$A$2:$B1014,2,FALSE)-150,VLOOKUP($B670,COSTOS!$A$2:$B1014,2,FALSE)),"No encontrado o error"))</f>
        <v/>
      </c>
      <c r="AI670" s="395"/>
      <c r="AJ670" s="394"/>
      <c r="AK670" s="429" t="str">
        <f>IF(OR(ISBLANK($B670),ISBLANK($AJ670)),"",IFERROR(IF($AJ670&lt;=DATE('ESTADO CONTABLE'!$B$2,12,5),VLOOKUP($B670,COSTOS!$A$2:$B1014,2,FALSE)-150,VLOOKUP($B670,COSTOS!$A$2:$B1014,2,FALSE)),"No encontrado o error"))</f>
        <v/>
      </c>
      <c r="AL670" s="395"/>
      <c r="AM670" s="254"/>
      <c r="AN670" s="255"/>
      <c r="AO670" s="256"/>
    </row>
    <row r="671" ht="22.5" customHeight="1">
      <c r="A671" s="431" t="str">
        <f>'BASE DE DATOSS'!A745</f>
        <v/>
      </c>
      <c r="B671" s="432" t="str">
        <f>'BASE DE DATOSS'!C745</f>
        <v/>
      </c>
      <c r="C671" s="263"/>
      <c r="D671" s="249"/>
      <c r="E671" s="250"/>
      <c r="F671" s="251"/>
      <c r="G671" s="262"/>
      <c r="H671" s="257"/>
      <c r="I671" s="249"/>
      <c r="J671" s="193" t="str">
        <f>IF(OR(ISBLANK($B671),ISBLANK($I671)),"",IFERROR(IF($I671&lt;=DATE('ESTADO CONTABLE'!$B$2,3,5),VLOOKUP($B671,COSTOS!$A$2:$B1014,2,FALSE)-150,VLOOKUP($B671,COSTOS!$A$2:$B1014,2,FALSE)),"No encontrado o error"))</f>
        <v/>
      </c>
      <c r="K671" s="264"/>
      <c r="L671" s="249"/>
      <c r="M671" s="189"/>
      <c r="N671" s="264"/>
      <c r="O671" s="249"/>
      <c r="P671" s="250"/>
      <c r="Q671" s="264"/>
      <c r="R671" s="249"/>
      <c r="S671" s="250"/>
      <c r="T671" s="264"/>
      <c r="U671" s="249"/>
      <c r="V671" s="250"/>
      <c r="W671" s="264"/>
      <c r="X671" s="394"/>
      <c r="Y671" s="429"/>
      <c r="Z671" s="395"/>
      <c r="AA671" s="394"/>
      <c r="AB671" s="118" t="str">
        <f>IF(OR(ISBLANK($B671),ISBLANK($AA671)),"",IFERROR(IF($AA671&lt;=DATE('ESTADO CONTABLE'!$B$2,9,5),VLOOKUP($B671,COSTOS!$A$2:$B1014,2,FALSE)-150,VLOOKUP($B671,COSTOS!$A$2:$B1014,2,FALSE)),"No encontrado o error"))</f>
        <v/>
      </c>
      <c r="AC671" s="395"/>
      <c r="AD671" s="394"/>
      <c r="AE671" s="429" t="str">
        <f>IF(OR(ISBLANK($B671),ISBLANK($AD671)),"",IFERROR(IF($AD671&lt;=DATE('ESTADO CONTABLE'!$B$2,10,5),VLOOKUP($B671,COSTOS!$A$2:$B1014,2,FALSE)-150,VLOOKUP($B671,COSTOS!$A$2:$B1014,2,FALSE)),"No encontrado o error"))</f>
        <v/>
      </c>
      <c r="AF671" s="395"/>
      <c r="AG671" s="394"/>
      <c r="AH671" s="429" t="str">
        <f>IF(OR(ISBLANK($B671),ISBLANK($AG671)),"",IFERROR(IF($AG671&lt;=DATE('ESTADO CONTABLE'!$B$2,11,5),VLOOKUP($B671,COSTOS!$A$2:$B1014,2,FALSE)-150,VLOOKUP($B671,COSTOS!$A$2:$B1014,2,FALSE)),"No encontrado o error"))</f>
        <v/>
      </c>
      <c r="AI671" s="395"/>
      <c r="AJ671" s="394"/>
      <c r="AK671" s="429" t="str">
        <f>IF(OR(ISBLANK($B671),ISBLANK($AJ671)),"",IFERROR(IF($AJ671&lt;=DATE('ESTADO CONTABLE'!$B$2,12,5),VLOOKUP($B671,COSTOS!$A$2:$B1014,2,FALSE)-150,VLOOKUP($B671,COSTOS!$A$2:$B1014,2,FALSE)),"No encontrado o error"))</f>
        <v/>
      </c>
      <c r="AL671" s="395"/>
      <c r="AM671" s="254"/>
      <c r="AN671" s="255"/>
      <c r="AO671" s="256"/>
    </row>
    <row r="672" ht="22.5" customHeight="1">
      <c r="A672" s="431" t="str">
        <f>'BASE DE DATOSS'!A746</f>
        <v/>
      </c>
      <c r="B672" s="432" t="str">
        <f>'BASE DE DATOSS'!C746</f>
        <v/>
      </c>
      <c r="C672" s="263"/>
      <c r="D672" s="249"/>
      <c r="E672" s="250"/>
      <c r="F672" s="251"/>
      <c r="G672" s="262"/>
      <c r="H672" s="257"/>
      <c r="I672" s="249"/>
      <c r="J672" s="193" t="str">
        <f>IF(OR(ISBLANK($B672),ISBLANK($I672)),"",IFERROR(IF($I672&lt;=DATE('ESTADO CONTABLE'!$B$2,3,5),VLOOKUP($B672,COSTOS!$A$2:$B1014,2,FALSE)-150,VLOOKUP($B672,COSTOS!$A$2:$B1014,2,FALSE)),"No encontrado o error"))</f>
        <v/>
      </c>
      <c r="K672" s="264"/>
      <c r="L672" s="249"/>
      <c r="M672" s="189"/>
      <c r="N672" s="264"/>
      <c r="O672" s="249"/>
      <c r="P672" s="250"/>
      <c r="Q672" s="264"/>
      <c r="R672" s="249"/>
      <c r="S672" s="250"/>
      <c r="T672" s="264"/>
      <c r="U672" s="249"/>
      <c r="V672" s="250"/>
      <c r="W672" s="264"/>
      <c r="X672" s="394"/>
      <c r="Y672" s="429"/>
      <c r="Z672" s="395"/>
      <c r="AA672" s="394"/>
      <c r="AB672" s="118" t="str">
        <f>IF(OR(ISBLANK($B672),ISBLANK($AA672)),"",IFERROR(IF($AA672&lt;=DATE('ESTADO CONTABLE'!$B$2,9,5),VLOOKUP($B672,COSTOS!$A$2:$B1014,2,FALSE)-150,VLOOKUP($B672,COSTOS!$A$2:$B1014,2,FALSE)),"No encontrado o error"))</f>
        <v/>
      </c>
      <c r="AC672" s="395"/>
      <c r="AD672" s="394"/>
      <c r="AE672" s="429" t="str">
        <f>IF(OR(ISBLANK($B672),ISBLANK($AD672)),"",IFERROR(IF($AD672&lt;=DATE('ESTADO CONTABLE'!$B$2,10,5),VLOOKUP($B672,COSTOS!$A$2:$B1014,2,FALSE)-150,VLOOKUP($B672,COSTOS!$A$2:$B1014,2,FALSE)),"No encontrado o error"))</f>
        <v/>
      </c>
      <c r="AF672" s="395"/>
      <c r="AG672" s="394"/>
      <c r="AH672" s="429" t="str">
        <f>IF(OR(ISBLANK($B672),ISBLANK($AG672)),"",IFERROR(IF($AG672&lt;=DATE('ESTADO CONTABLE'!$B$2,11,5),VLOOKUP($B672,COSTOS!$A$2:$B1014,2,FALSE)-150,VLOOKUP($B672,COSTOS!$A$2:$B1014,2,FALSE)),"No encontrado o error"))</f>
        <v/>
      </c>
      <c r="AI672" s="395"/>
      <c r="AJ672" s="394"/>
      <c r="AK672" s="429" t="str">
        <f>IF(OR(ISBLANK($B672),ISBLANK($AJ672)),"",IFERROR(IF($AJ672&lt;=DATE('ESTADO CONTABLE'!$B$2,12,5),VLOOKUP($B672,COSTOS!$A$2:$B1014,2,FALSE)-150,VLOOKUP($B672,COSTOS!$A$2:$B1014,2,FALSE)),"No encontrado o error"))</f>
        <v/>
      </c>
      <c r="AL672" s="395"/>
      <c r="AM672" s="254"/>
      <c r="AN672" s="255"/>
      <c r="AO672" s="256"/>
    </row>
    <row r="673" ht="22.5" customHeight="1">
      <c r="A673" s="431" t="str">
        <f>'BASE DE DATOSS'!A747</f>
        <v/>
      </c>
      <c r="B673" s="432" t="str">
        <f>'BASE DE DATOSS'!C747</f>
        <v/>
      </c>
      <c r="C673" s="263"/>
      <c r="D673" s="249"/>
      <c r="E673" s="250"/>
      <c r="F673" s="251"/>
      <c r="G673" s="262"/>
      <c r="H673" s="257"/>
      <c r="I673" s="249"/>
      <c r="J673" s="193" t="str">
        <f>IF(OR(ISBLANK($B673),ISBLANK($I673)),"",IFERROR(IF($I673&lt;=DATE('ESTADO CONTABLE'!$B$2,3,5),VLOOKUP($B673,COSTOS!$A$2:$B1014,2,FALSE)-150,VLOOKUP($B673,COSTOS!$A$2:$B1014,2,FALSE)),"No encontrado o error"))</f>
        <v/>
      </c>
      <c r="K673" s="264"/>
      <c r="L673" s="249"/>
      <c r="M673" s="189"/>
      <c r="N673" s="264"/>
      <c r="O673" s="249"/>
      <c r="P673" s="250"/>
      <c r="Q673" s="264"/>
      <c r="R673" s="249"/>
      <c r="S673" s="250"/>
      <c r="T673" s="264"/>
      <c r="U673" s="249"/>
      <c r="V673" s="250"/>
      <c r="W673" s="264"/>
      <c r="X673" s="394"/>
      <c r="Y673" s="429"/>
      <c r="Z673" s="395"/>
      <c r="AA673" s="394"/>
      <c r="AB673" s="118" t="str">
        <f>IF(OR(ISBLANK($B673),ISBLANK($AA673)),"",IFERROR(IF($AA673&lt;=DATE('ESTADO CONTABLE'!$B$2,9,5),VLOOKUP($B673,COSTOS!$A$2:$B1014,2,FALSE)-150,VLOOKUP($B673,COSTOS!$A$2:$B1014,2,FALSE)),"No encontrado o error"))</f>
        <v/>
      </c>
      <c r="AC673" s="395"/>
      <c r="AD673" s="394"/>
      <c r="AE673" s="429" t="str">
        <f>IF(OR(ISBLANK($B673),ISBLANK($AD673)),"",IFERROR(IF($AD673&lt;=DATE('ESTADO CONTABLE'!$B$2,10,5),VLOOKUP($B673,COSTOS!$A$2:$B1014,2,FALSE)-150,VLOOKUP($B673,COSTOS!$A$2:$B1014,2,FALSE)),"No encontrado o error"))</f>
        <v/>
      </c>
      <c r="AF673" s="395"/>
      <c r="AG673" s="394"/>
      <c r="AH673" s="429" t="str">
        <f>IF(OR(ISBLANK($B673),ISBLANK($AG673)),"",IFERROR(IF($AG673&lt;=DATE('ESTADO CONTABLE'!$B$2,11,5),VLOOKUP($B673,COSTOS!$A$2:$B1014,2,FALSE)-150,VLOOKUP($B673,COSTOS!$A$2:$B1014,2,FALSE)),"No encontrado o error"))</f>
        <v/>
      </c>
      <c r="AI673" s="395"/>
      <c r="AJ673" s="394"/>
      <c r="AK673" s="429" t="str">
        <f>IF(OR(ISBLANK($B673),ISBLANK($AJ673)),"",IFERROR(IF($AJ673&lt;=DATE('ESTADO CONTABLE'!$B$2,12,5),VLOOKUP($B673,COSTOS!$A$2:$B1014,2,FALSE)-150,VLOOKUP($B673,COSTOS!$A$2:$B1014,2,FALSE)),"No encontrado o error"))</f>
        <v/>
      </c>
      <c r="AL673" s="395"/>
      <c r="AM673" s="254"/>
      <c r="AN673" s="255"/>
      <c r="AO673" s="256"/>
    </row>
    <row r="674" ht="22.5" customHeight="1">
      <c r="A674" s="431" t="str">
        <f>'BASE DE DATOSS'!A748</f>
        <v/>
      </c>
      <c r="B674" s="432" t="str">
        <f>'BASE DE DATOSS'!C748</f>
        <v/>
      </c>
      <c r="C674" s="263"/>
      <c r="D674" s="249"/>
      <c r="E674" s="250"/>
      <c r="F674" s="251"/>
      <c r="G674" s="262"/>
      <c r="H674" s="257"/>
      <c r="I674" s="249"/>
      <c r="J674" s="193" t="str">
        <f>IF(OR(ISBLANK($B674),ISBLANK($I674)),"",IFERROR(IF($I674&lt;=DATE('ESTADO CONTABLE'!$B$2,3,5),VLOOKUP($B674,COSTOS!$A$2:$B1014,2,FALSE)-150,VLOOKUP($B674,COSTOS!$A$2:$B1014,2,FALSE)),"No encontrado o error"))</f>
        <v/>
      </c>
      <c r="K674" s="264"/>
      <c r="L674" s="249"/>
      <c r="M674" s="189"/>
      <c r="N674" s="264"/>
      <c r="O674" s="249"/>
      <c r="P674" s="250"/>
      <c r="Q674" s="264"/>
      <c r="R674" s="249"/>
      <c r="S674" s="250"/>
      <c r="T674" s="264"/>
      <c r="U674" s="249"/>
      <c r="V674" s="250"/>
      <c r="W674" s="264"/>
      <c r="X674" s="394"/>
      <c r="Y674" s="429"/>
      <c r="Z674" s="395"/>
      <c r="AA674" s="394"/>
      <c r="AB674" s="118" t="str">
        <f>IF(OR(ISBLANK($B674),ISBLANK($AA674)),"",IFERROR(IF($AA674&lt;=DATE('ESTADO CONTABLE'!$B$2,9,5),VLOOKUP($B674,COSTOS!$A$2:$B1014,2,FALSE)-150,VLOOKUP($B674,COSTOS!$A$2:$B1014,2,FALSE)),"No encontrado o error"))</f>
        <v/>
      </c>
      <c r="AC674" s="395"/>
      <c r="AD674" s="394"/>
      <c r="AE674" s="429" t="str">
        <f>IF(OR(ISBLANK($B674),ISBLANK($AD674)),"",IFERROR(IF($AD674&lt;=DATE('ESTADO CONTABLE'!$B$2,10,5),VLOOKUP($B674,COSTOS!$A$2:$B1014,2,FALSE)-150,VLOOKUP($B674,COSTOS!$A$2:$B1014,2,FALSE)),"No encontrado o error"))</f>
        <v/>
      </c>
      <c r="AF674" s="395"/>
      <c r="AG674" s="394"/>
      <c r="AH674" s="429" t="str">
        <f>IF(OR(ISBLANK($B674),ISBLANK($AG674)),"",IFERROR(IF($AG674&lt;=DATE('ESTADO CONTABLE'!$B$2,11,5),VLOOKUP($B674,COSTOS!$A$2:$B1014,2,FALSE)-150,VLOOKUP($B674,COSTOS!$A$2:$B1014,2,FALSE)),"No encontrado o error"))</f>
        <v/>
      </c>
      <c r="AI674" s="395"/>
      <c r="AJ674" s="394"/>
      <c r="AK674" s="429" t="str">
        <f>IF(OR(ISBLANK($B674),ISBLANK($AJ674)),"",IFERROR(IF($AJ674&lt;=DATE('ESTADO CONTABLE'!$B$2,12,5),VLOOKUP($B674,COSTOS!$A$2:$B1014,2,FALSE)-150,VLOOKUP($B674,COSTOS!$A$2:$B1014,2,FALSE)),"No encontrado o error"))</f>
        <v/>
      </c>
      <c r="AL674" s="395"/>
      <c r="AM674" s="254"/>
      <c r="AN674" s="255"/>
      <c r="AO674" s="256"/>
    </row>
    <row r="675" ht="22.5" customHeight="1">
      <c r="A675" s="431" t="str">
        <f>'BASE DE DATOSS'!A749</f>
        <v/>
      </c>
      <c r="B675" s="432" t="str">
        <f>'BASE DE DATOSS'!C749</f>
        <v/>
      </c>
      <c r="C675" s="263"/>
      <c r="D675" s="249"/>
      <c r="E675" s="250"/>
      <c r="F675" s="251"/>
      <c r="G675" s="262"/>
      <c r="H675" s="257"/>
      <c r="I675" s="249"/>
      <c r="J675" s="193" t="str">
        <f>IF(OR(ISBLANK($B675),ISBLANK($I675)),"",IFERROR(IF($I675&lt;=DATE('ESTADO CONTABLE'!$B$2,3,5),VLOOKUP($B675,COSTOS!$A$2:$B1014,2,FALSE)-150,VLOOKUP($B675,COSTOS!$A$2:$B1014,2,FALSE)),"No encontrado o error"))</f>
        <v/>
      </c>
      <c r="K675" s="264"/>
      <c r="L675" s="249"/>
      <c r="M675" s="189"/>
      <c r="N675" s="264"/>
      <c r="O675" s="249"/>
      <c r="P675" s="250"/>
      <c r="Q675" s="264"/>
      <c r="R675" s="249"/>
      <c r="S675" s="250"/>
      <c r="T675" s="264"/>
      <c r="U675" s="249"/>
      <c r="V675" s="250"/>
      <c r="W675" s="264"/>
      <c r="X675" s="394"/>
      <c r="Y675" s="429"/>
      <c r="Z675" s="395"/>
      <c r="AA675" s="394"/>
      <c r="AB675" s="118" t="str">
        <f>IF(OR(ISBLANK($B675),ISBLANK($AA675)),"",IFERROR(IF($AA675&lt;=DATE('ESTADO CONTABLE'!$B$2,9,5),VLOOKUP($B675,COSTOS!$A$2:$B1014,2,FALSE)-150,VLOOKUP($B675,COSTOS!$A$2:$B1014,2,FALSE)),"No encontrado o error"))</f>
        <v/>
      </c>
      <c r="AC675" s="395"/>
      <c r="AD675" s="394"/>
      <c r="AE675" s="429" t="str">
        <f>IF(OR(ISBLANK($B675),ISBLANK($AD675)),"",IFERROR(IF($AD675&lt;=DATE('ESTADO CONTABLE'!$B$2,10,5),VLOOKUP($B675,COSTOS!$A$2:$B1014,2,FALSE)-150,VLOOKUP($B675,COSTOS!$A$2:$B1014,2,FALSE)),"No encontrado o error"))</f>
        <v/>
      </c>
      <c r="AF675" s="395"/>
      <c r="AG675" s="394"/>
      <c r="AH675" s="429" t="str">
        <f>IF(OR(ISBLANK($B675),ISBLANK($AG675)),"",IFERROR(IF($AG675&lt;=DATE('ESTADO CONTABLE'!$B$2,11,5),VLOOKUP($B675,COSTOS!$A$2:$B1014,2,FALSE)-150,VLOOKUP($B675,COSTOS!$A$2:$B1014,2,FALSE)),"No encontrado o error"))</f>
        <v/>
      </c>
      <c r="AI675" s="395"/>
      <c r="AJ675" s="394"/>
      <c r="AK675" s="429" t="str">
        <f>IF(OR(ISBLANK($B675),ISBLANK($AJ675)),"",IFERROR(IF($AJ675&lt;=DATE('ESTADO CONTABLE'!$B$2,12,5),VLOOKUP($B675,COSTOS!$A$2:$B1014,2,FALSE)-150,VLOOKUP($B675,COSTOS!$A$2:$B1014,2,FALSE)),"No encontrado o error"))</f>
        <v/>
      </c>
      <c r="AL675" s="395"/>
      <c r="AM675" s="254"/>
      <c r="AN675" s="255"/>
      <c r="AO675" s="256"/>
    </row>
    <row r="676" ht="22.5" customHeight="1">
      <c r="A676" s="431" t="str">
        <f>'BASE DE DATOSS'!A750</f>
        <v/>
      </c>
      <c r="B676" s="432" t="str">
        <f>'BASE DE DATOSS'!C750</f>
        <v/>
      </c>
      <c r="C676" s="263"/>
      <c r="D676" s="249"/>
      <c r="E676" s="250"/>
      <c r="F676" s="251"/>
      <c r="G676" s="262"/>
      <c r="H676" s="257"/>
      <c r="I676" s="249"/>
      <c r="J676" s="193" t="str">
        <f>IF(OR(ISBLANK($B676),ISBLANK($I676)),"",IFERROR(IF($I676&lt;=DATE('ESTADO CONTABLE'!$B$2,3,5),VLOOKUP($B676,COSTOS!$A$2:$B1014,2,FALSE)-150,VLOOKUP($B676,COSTOS!$A$2:$B1014,2,FALSE)),"No encontrado o error"))</f>
        <v/>
      </c>
      <c r="K676" s="264"/>
      <c r="L676" s="249"/>
      <c r="M676" s="189"/>
      <c r="N676" s="264"/>
      <c r="O676" s="249"/>
      <c r="P676" s="250"/>
      <c r="Q676" s="264"/>
      <c r="R676" s="249"/>
      <c r="S676" s="250"/>
      <c r="T676" s="264"/>
      <c r="U676" s="249"/>
      <c r="V676" s="250"/>
      <c r="W676" s="264"/>
      <c r="X676" s="394"/>
      <c r="Y676" s="429"/>
      <c r="Z676" s="395"/>
      <c r="AA676" s="394"/>
      <c r="AB676" s="118" t="str">
        <f>IF(OR(ISBLANK($B676),ISBLANK($AA676)),"",IFERROR(IF($AA676&lt;=DATE('ESTADO CONTABLE'!$B$2,9,5),VLOOKUP($B676,COSTOS!$A$2:$B1014,2,FALSE)-150,VLOOKUP($B676,COSTOS!$A$2:$B1014,2,FALSE)),"No encontrado o error"))</f>
        <v/>
      </c>
      <c r="AC676" s="395"/>
      <c r="AD676" s="394"/>
      <c r="AE676" s="429" t="str">
        <f>IF(OR(ISBLANK($B676),ISBLANK($AD676)),"",IFERROR(IF($AD676&lt;=DATE('ESTADO CONTABLE'!$B$2,10,5),VLOOKUP($B676,COSTOS!$A$2:$B1014,2,FALSE)-150,VLOOKUP($B676,COSTOS!$A$2:$B1014,2,FALSE)),"No encontrado o error"))</f>
        <v/>
      </c>
      <c r="AF676" s="395"/>
      <c r="AG676" s="394"/>
      <c r="AH676" s="429" t="str">
        <f>IF(OR(ISBLANK($B676),ISBLANK($AG676)),"",IFERROR(IF($AG676&lt;=DATE('ESTADO CONTABLE'!$B$2,11,5),VLOOKUP($B676,COSTOS!$A$2:$B1014,2,FALSE)-150,VLOOKUP($B676,COSTOS!$A$2:$B1014,2,FALSE)),"No encontrado o error"))</f>
        <v/>
      </c>
      <c r="AI676" s="395"/>
      <c r="AJ676" s="394"/>
      <c r="AK676" s="429" t="str">
        <f>IF(OR(ISBLANK($B676),ISBLANK($AJ676)),"",IFERROR(IF($AJ676&lt;=DATE('ESTADO CONTABLE'!$B$2,12,5),VLOOKUP($B676,COSTOS!$A$2:$B1014,2,FALSE)-150,VLOOKUP($B676,COSTOS!$A$2:$B1014,2,FALSE)),"No encontrado o error"))</f>
        <v/>
      </c>
      <c r="AL676" s="395"/>
      <c r="AM676" s="254"/>
      <c r="AN676" s="255"/>
      <c r="AO676" s="256"/>
    </row>
    <row r="677" ht="22.5" customHeight="1">
      <c r="A677" s="431" t="str">
        <f>'BASE DE DATOSS'!A751</f>
        <v/>
      </c>
      <c r="B677" s="432" t="str">
        <f>'BASE DE DATOSS'!C751</f>
        <v/>
      </c>
      <c r="C677" s="263"/>
      <c r="D677" s="249"/>
      <c r="E677" s="250"/>
      <c r="F677" s="251"/>
      <c r="G677" s="262"/>
      <c r="H677" s="257"/>
      <c r="I677" s="249"/>
      <c r="J677" s="193" t="str">
        <f>IF(OR(ISBLANK($B677),ISBLANK($I677)),"",IFERROR(IF($I677&lt;=DATE('ESTADO CONTABLE'!$B$2,3,5),VLOOKUP($B677,COSTOS!$A$2:$B1014,2,FALSE)-150,VLOOKUP($B677,COSTOS!$A$2:$B1014,2,FALSE)),"No encontrado o error"))</f>
        <v/>
      </c>
      <c r="K677" s="264"/>
      <c r="L677" s="249"/>
      <c r="M677" s="189"/>
      <c r="N677" s="264"/>
      <c r="O677" s="249"/>
      <c r="P677" s="250"/>
      <c r="Q677" s="264"/>
      <c r="R677" s="249"/>
      <c r="S677" s="250"/>
      <c r="T677" s="264"/>
      <c r="U677" s="249"/>
      <c r="V677" s="250"/>
      <c r="W677" s="264"/>
      <c r="X677" s="394"/>
      <c r="Y677" s="429"/>
      <c r="Z677" s="395"/>
      <c r="AA677" s="394"/>
      <c r="AB677" s="118" t="str">
        <f>IF(OR(ISBLANK($B677),ISBLANK($AA677)),"",IFERROR(IF($AA677&lt;=DATE('ESTADO CONTABLE'!$B$2,9,5),VLOOKUP($B677,COSTOS!$A$2:$B1014,2,FALSE)-150,VLOOKUP($B677,COSTOS!$A$2:$B1014,2,FALSE)),"No encontrado o error"))</f>
        <v/>
      </c>
      <c r="AC677" s="395"/>
      <c r="AD677" s="394"/>
      <c r="AE677" s="429" t="str">
        <f>IF(OR(ISBLANK($B677),ISBLANK($AD677)),"",IFERROR(IF($AD677&lt;=DATE('ESTADO CONTABLE'!$B$2,10,5),VLOOKUP($B677,COSTOS!$A$2:$B1014,2,FALSE)-150,VLOOKUP($B677,COSTOS!$A$2:$B1014,2,FALSE)),"No encontrado o error"))</f>
        <v/>
      </c>
      <c r="AF677" s="395"/>
      <c r="AG677" s="394"/>
      <c r="AH677" s="429" t="str">
        <f>IF(OR(ISBLANK($B677),ISBLANK($AG677)),"",IFERROR(IF($AG677&lt;=DATE('ESTADO CONTABLE'!$B$2,11,5),VLOOKUP($B677,COSTOS!$A$2:$B1014,2,FALSE)-150,VLOOKUP($B677,COSTOS!$A$2:$B1014,2,FALSE)),"No encontrado o error"))</f>
        <v/>
      </c>
      <c r="AI677" s="395"/>
      <c r="AJ677" s="394"/>
      <c r="AK677" s="429" t="str">
        <f>IF(OR(ISBLANK($B677),ISBLANK($AJ677)),"",IFERROR(IF($AJ677&lt;=DATE('ESTADO CONTABLE'!$B$2,12,5),VLOOKUP($B677,COSTOS!$A$2:$B1014,2,FALSE)-150,VLOOKUP($B677,COSTOS!$A$2:$B1014,2,FALSE)),"No encontrado o error"))</f>
        <v/>
      </c>
      <c r="AL677" s="395"/>
      <c r="AM677" s="254"/>
      <c r="AN677" s="255"/>
      <c r="AO677" s="256"/>
    </row>
    <row r="678" ht="22.5" customHeight="1">
      <c r="A678" s="431" t="str">
        <f>'BASE DE DATOSS'!A752</f>
        <v/>
      </c>
      <c r="B678" s="432" t="str">
        <f>'BASE DE DATOSS'!C752</f>
        <v/>
      </c>
      <c r="C678" s="263"/>
      <c r="D678" s="249"/>
      <c r="E678" s="250"/>
      <c r="F678" s="251"/>
      <c r="G678" s="262"/>
      <c r="H678" s="257"/>
      <c r="I678" s="249"/>
      <c r="J678" s="193" t="str">
        <f>IF(OR(ISBLANK($B678),ISBLANK($I678)),"",IFERROR(IF($I678&lt;=DATE('ESTADO CONTABLE'!$B$2,3,5),VLOOKUP($B678,COSTOS!$A$2:$B1014,2,FALSE)-150,VLOOKUP($B678,COSTOS!$A$2:$B1014,2,FALSE)),"No encontrado o error"))</f>
        <v/>
      </c>
      <c r="K678" s="264"/>
      <c r="L678" s="249"/>
      <c r="M678" s="189"/>
      <c r="N678" s="264"/>
      <c r="O678" s="249"/>
      <c r="P678" s="250"/>
      <c r="Q678" s="264"/>
      <c r="R678" s="249"/>
      <c r="S678" s="250"/>
      <c r="T678" s="264"/>
      <c r="U678" s="249"/>
      <c r="V678" s="250"/>
      <c r="W678" s="264"/>
      <c r="X678" s="394"/>
      <c r="Y678" s="429"/>
      <c r="Z678" s="395"/>
      <c r="AA678" s="394"/>
      <c r="AB678" s="118" t="str">
        <f>IF(OR(ISBLANK($B678),ISBLANK($AA678)),"",IFERROR(IF($AA678&lt;=DATE('ESTADO CONTABLE'!$B$2,9,5),VLOOKUP($B678,COSTOS!$A$2:$B1014,2,FALSE)-150,VLOOKUP($B678,COSTOS!$A$2:$B1014,2,FALSE)),"No encontrado o error"))</f>
        <v/>
      </c>
      <c r="AC678" s="395"/>
      <c r="AD678" s="394"/>
      <c r="AE678" s="429" t="str">
        <f>IF(OR(ISBLANK($B678),ISBLANK($AD678)),"",IFERROR(IF($AD678&lt;=DATE('ESTADO CONTABLE'!$B$2,10,5),VLOOKUP($B678,COSTOS!$A$2:$B1014,2,FALSE)-150,VLOOKUP($B678,COSTOS!$A$2:$B1014,2,FALSE)),"No encontrado o error"))</f>
        <v/>
      </c>
      <c r="AF678" s="395"/>
      <c r="AG678" s="394"/>
      <c r="AH678" s="429" t="str">
        <f>IF(OR(ISBLANK($B678),ISBLANK($AG678)),"",IFERROR(IF($AG678&lt;=DATE('ESTADO CONTABLE'!$B$2,11,5),VLOOKUP($B678,COSTOS!$A$2:$B1014,2,FALSE)-150,VLOOKUP($B678,COSTOS!$A$2:$B1014,2,FALSE)),"No encontrado o error"))</f>
        <v/>
      </c>
      <c r="AI678" s="395"/>
      <c r="AJ678" s="394"/>
      <c r="AK678" s="429" t="str">
        <f>IF(OR(ISBLANK($B678),ISBLANK($AJ678)),"",IFERROR(IF($AJ678&lt;=DATE('ESTADO CONTABLE'!$B$2,12,5),VLOOKUP($B678,COSTOS!$A$2:$B1014,2,FALSE)-150,VLOOKUP($B678,COSTOS!$A$2:$B1014,2,FALSE)),"No encontrado o error"))</f>
        <v/>
      </c>
      <c r="AL678" s="395"/>
      <c r="AM678" s="254"/>
      <c r="AN678" s="255"/>
      <c r="AO678" s="256"/>
    </row>
    <row r="679" ht="22.5" customHeight="1">
      <c r="A679" s="431" t="str">
        <f>'BASE DE DATOSS'!A753</f>
        <v/>
      </c>
      <c r="B679" s="432" t="str">
        <f>'BASE DE DATOSS'!C753</f>
        <v/>
      </c>
      <c r="C679" s="263"/>
      <c r="D679" s="249"/>
      <c r="E679" s="250"/>
      <c r="F679" s="251"/>
      <c r="G679" s="262"/>
      <c r="H679" s="257"/>
      <c r="I679" s="249"/>
      <c r="J679" s="193" t="str">
        <f>IF(OR(ISBLANK($B679),ISBLANK($I679)),"",IFERROR(IF($I679&lt;=DATE('ESTADO CONTABLE'!$B$2,3,5),VLOOKUP($B679,COSTOS!$A$2:$B1014,2,FALSE)-150,VLOOKUP($B679,COSTOS!$A$2:$B1014,2,FALSE)),"No encontrado o error"))</f>
        <v/>
      </c>
      <c r="K679" s="264"/>
      <c r="L679" s="249"/>
      <c r="M679" s="189"/>
      <c r="N679" s="264"/>
      <c r="O679" s="249"/>
      <c r="P679" s="250"/>
      <c r="Q679" s="264"/>
      <c r="R679" s="249"/>
      <c r="S679" s="250"/>
      <c r="T679" s="264"/>
      <c r="U679" s="249"/>
      <c r="V679" s="250"/>
      <c r="W679" s="264"/>
      <c r="X679" s="394"/>
      <c r="Y679" s="429"/>
      <c r="Z679" s="395"/>
      <c r="AA679" s="394"/>
      <c r="AB679" s="118" t="str">
        <f>IF(OR(ISBLANK($B679),ISBLANK($AA679)),"",IFERROR(IF($AA679&lt;=DATE('ESTADO CONTABLE'!$B$2,9,5),VLOOKUP($B679,COSTOS!$A$2:$B1014,2,FALSE)-150,VLOOKUP($B679,COSTOS!$A$2:$B1014,2,FALSE)),"No encontrado o error"))</f>
        <v/>
      </c>
      <c r="AC679" s="395"/>
      <c r="AD679" s="394"/>
      <c r="AE679" s="429" t="str">
        <f>IF(OR(ISBLANK($B679),ISBLANK($AD679)),"",IFERROR(IF($AD679&lt;=DATE('ESTADO CONTABLE'!$B$2,10,5),VLOOKUP($B679,COSTOS!$A$2:$B1014,2,FALSE)-150,VLOOKUP($B679,COSTOS!$A$2:$B1014,2,FALSE)),"No encontrado o error"))</f>
        <v/>
      </c>
      <c r="AF679" s="395"/>
      <c r="AG679" s="394"/>
      <c r="AH679" s="429" t="str">
        <f>IF(OR(ISBLANK($B679),ISBLANK($AG679)),"",IFERROR(IF($AG679&lt;=DATE('ESTADO CONTABLE'!$B$2,11,5),VLOOKUP($B679,COSTOS!$A$2:$B1014,2,FALSE)-150,VLOOKUP($B679,COSTOS!$A$2:$B1014,2,FALSE)),"No encontrado o error"))</f>
        <v/>
      </c>
      <c r="AI679" s="395"/>
      <c r="AJ679" s="394"/>
      <c r="AK679" s="429" t="str">
        <f>IF(OR(ISBLANK($B679),ISBLANK($AJ679)),"",IFERROR(IF($AJ679&lt;=DATE('ESTADO CONTABLE'!$B$2,12,5),VLOOKUP($B679,COSTOS!$A$2:$B1014,2,FALSE)-150,VLOOKUP($B679,COSTOS!$A$2:$B1014,2,FALSE)),"No encontrado o error"))</f>
        <v/>
      </c>
      <c r="AL679" s="395"/>
      <c r="AM679" s="254"/>
      <c r="AN679" s="255"/>
      <c r="AO679" s="256"/>
    </row>
    <row r="680" ht="22.5" customHeight="1">
      <c r="A680" s="431" t="str">
        <f>'BASE DE DATOSS'!A754</f>
        <v/>
      </c>
      <c r="B680" s="432" t="str">
        <f>'BASE DE DATOSS'!C754</f>
        <v/>
      </c>
      <c r="C680" s="263"/>
      <c r="D680" s="249"/>
      <c r="E680" s="250"/>
      <c r="F680" s="251"/>
      <c r="G680" s="262"/>
      <c r="H680" s="257"/>
      <c r="I680" s="249"/>
      <c r="J680" s="193" t="str">
        <f>IF(OR(ISBLANK($B680),ISBLANK($I680)),"",IFERROR(IF($I680&lt;=DATE('ESTADO CONTABLE'!$B$2,3,5),VLOOKUP($B680,COSTOS!$A$2:$B1014,2,FALSE)-150,VLOOKUP($B680,COSTOS!$A$2:$B1014,2,FALSE)),"No encontrado o error"))</f>
        <v/>
      </c>
      <c r="K680" s="264"/>
      <c r="L680" s="249"/>
      <c r="M680" s="189"/>
      <c r="N680" s="264"/>
      <c r="O680" s="249"/>
      <c r="P680" s="250"/>
      <c r="Q680" s="264"/>
      <c r="R680" s="249"/>
      <c r="S680" s="250"/>
      <c r="T680" s="264"/>
      <c r="U680" s="249"/>
      <c r="V680" s="250"/>
      <c r="W680" s="264"/>
      <c r="X680" s="394"/>
      <c r="Y680" s="429"/>
      <c r="Z680" s="395"/>
      <c r="AA680" s="394"/>
      <c r="AB680" s="118" t="str">
        <f>IF(OR(ISBLANK($B680),ISBLANK($AA680)),"",IFERROR(IF($AA680&lt;=DATE('ESTADO CONTABLE'!$B$2,9,5),VLOOKUP($B680,COSTOS!$A$2:$B1014,2,FALSE)-150,VLOOKUP($B680,COSTOS!$A$2:$B1014,2,FALSE)),"No encontrado o error"))</f>
        <v/>
      </c>
      <c r="AC680" s="395"/>
      <c r="AD680" s="394"/>
      <c r="AE680" s="429" t="str">
        <f>IF(OR(ISBLANK($B680),ISBLANK($AD680)),"",IFERROR(IF($AD680&lt;=DATE('ESTADO CONTABLE'!$B$2,10,5),VLOOKUP($B680,COSTOS!$A$2:$B1014,2,FALSE)-150,VLOOKUP($B680,COSTOS!$A$2:$B1014,2,FALSE)),"No encontrado o error"))</f>
        <v/>
      </c>
      <c r="AF680" s="395"/>
      <c r="AG680" s="394"/>
      <c r="AH680" s="429" t="str">
        <f>IF(OR(ISBLANK($B680),ISBLANK($AG680)),"",IFERROR(IF($AG680&lt;=DATE('ESTADO CONTABLE'!$B$2,11,5),VLOOKUP($B680,COSTOS!$A$2:$B1014,2,FALSE)-150,VLOOKUP($B680,COSTOS!$A$2:$B1014,2,FALSE)),"No encontrado o error"))</f>
        <v/>
      </c>
      <c r="AI680" s="395"/>
      <c r="AJ680" s="394"/>
      <c r="AK680" s="429" t="str">
        <f>IF(OR(ISBLANK($B680),ISBLANK($AJ680)),"",IFERROR(IF($AJ680&lt;=DATE('ESTADO CONTABLE'!$B$2,12,5),VLOOKUP($B680,COSTOS!$A$2:$B1014,2,FALSE)-150,VLOOKUP($B680,COSTOS!$A$2:$B1014,2,FALSE)),"No encontrado o error"))</f>
        <v/>
      </c>
      <c r="AL680" s="395"/>
      <c r="AM680" s="254"/>
      <c r="AN680" s="255"/>
      <c r="AO680" s="256"/>
    </row>
    <row r="681" ht="22.5" customHeight="1">
      <c r="A681" s="431" t="str">
        <f>'BASE DE DATOSS'!A755</f>
        <v/>
      </c>
      <c r="B681" s="432" t="str">
        <f>'BASE DE DATOSS'!C755</f>
        <v/>
      </c>
      <c r="C681" s="263"/>
      <c r="D681" s="249"/>
      <c r="E681" s="250"/>
      <c r="F681" s="251"/>
      <c r="G681" s="262"/>
      <c r="H681" s="257"/>
      <c r="I681" s="249"/>
      <c r="J681" s="193" t="str">
        <f>IF(OR(ISBLANK($B681),ISBLANK($I681)),"",IFERROR(IF($I681&lt;=DATE('ESTADO CONTABLE'!$B$2,3,5),VLOOKUP($B681,COSTOS!$A$2:$B1014,2,FALSE)-150,VLOOKUP($B681,COSTOS!$A$2:$B1014,2,FALSE)),"No encontrado o error"))</f>
        <v/>
      </c>
      <c r="K681" s="264"/>
      <c r="L681" s="249"/>
      <c r="M681" s="189"/>
      <c r="N681" s="264"/>
      <c r="O681" s="249"/>
      <c r="P681" s="250"/>
      <c r="Q681" s="264"/>
      <c r="R681" s="249"/>
      <c r="S681" s="250"/>
      <c r="T681" s="264"/>
      <c r="U681" s="249"/>
      <c r="V681" s="250"/>
      <c r="W681" s="264"/>
      <c r="X681" s="394"/>
      <c r="Y681" s="429"/>
      <c r="Z681" s="395"/>
      <c r="AA681" s="394"/>
      <c r="AB681" s="118" t="str">
        <f>IF(OR(ISBLANK($B681),ISBLANK($AA681)),"",IFERROR(IF($AA681&lt;=DATE('ESTADO CONTABLE'!$B$2,9,5),VLOOKUP($B681,COSTOS!$A$2:$B1014,2,FALSE)-150,VLOOKUP($B681,COSTOS!$A$2:$B1014,2,FALSE)),"No encontrado o error"))</f>
        <v/>
      </c>
      <c r="AC681" s="395"/>
      <c r="AD681" s="394"/>
      <c r="AE681" s="429" t="str">
        <f>IF(OR(ISBLANK($B681),ISBLANK($AD681)),"",IFERROR(IF($AD681&lt;=DATE('ESTADO CONTABLE'!$B$2,10,5),VLOOKUP($B681,COSTOS!$A$2:$B1014,2,FALSE)-150,VLOOKUP($B681,COSTOS!$A$2:$B1014,2,FALSE)),"No encontrado o error"))</f>
        <v/>
      </c>
      <c r="AF681" s="395"/>
      <c r="AG681" s="394"/>
      <c r="AH681" s="429" t="str">
        <f>IF(OR(ISBLANK($B681),ISBLANK($AG681)),"",IFERROR(IF($AG681&lt;=DATE('ESTADO CONTABLE'!$B$2,11,5),VLOOKUP($B681,COSTOS!$A$2:$B1014,2,FALSE)-150,VLOOKUP($B681,COSTOS!$A$2:$B1014,2,FALSE)),"No encontrado o error"))</f>
        <v/>
      </c>
      <c r="AI681" s="395"/>
      <c r="AJ681" s="394"/>
      <c r="AK681" s="429" t="str">
        <f>IF(OR(ISBLANK($B681),ISBLANK($AJ681)),"",IFERROR(IF($AJ681&lt;=DATE('ESTADO CONTABLE'!$B$2,12,5),VLOOKUP($B681,COSTOS!$A$2:$B1014,2,FALSE)-150,VLOOKUP($B681,COSTOS!$A$2:$B1014,2,FALSE)),"No encontrado o error"))</f>
        <v/>
      </c>
      <c r="AL681" s="395"/>
      <c r="AM681" s="254"/>
      <c r="AN681" s="255"/>
      <c r="AO681" s="256"/>
    </row>
    <row r="682" ht="22.5" customHeight="1">
      <c r="A682" s="431" t="str">
        <f>'BASE DE DATOSS'!A756</f>
        <v/>
      </c>
      <c r="B682" s="432" t="str">
        <f>'BASE DE DATOSS'!C756</f>
        <v/>
      </c>
      <c r="C682" s="263"/>
      <c r="D682" s="249"/>
      <c r="E682" s="250"/>
      <c r="F682" s="251"/>
      <c r="G682" s="262"/>
      <c r="H682" s="257"/>
      <c r="I682" s="249"/>
      <c r="J682" s="193" t="str">
        <f>IF(OR(ISBLANK($B682),ISBLANK($I682)),"",IFERROR(IF($I682&lt;=DATE('ESTADO CONTABLE'!$B$2,3,5),VLOOKUP($B682,COSTOS!$A$2:$B1014,2,FALSE)-150,VLOOKUP($B682,COSTOS!$A$2:$B1014,2,FALSE)),"No encontrado o error"))</f>
        <v/>
      </c>
      <c r="K682" s="264"/>
      <c r="L682" s="249"/>
      <c r="M682" s="189"/>
      <c r="N682" s="264"/>
      <c r="O682" s="249"/>
      <c r="P682" s="250"/>
      <c r="Q682" s="264"/>
      <c r="R682" s="249"/>
      <c r="S682" s="250"/>
      <c r="T682" s="264"/>
      <c r="U682" s="249"/>
      <c r="V682" s="250"/>
      <c r="W682" s="264"/>
      <c r="X682" s="394"/>
      <c r="Y682" s="429"/>
      <c r="Z682" s="395"/>
      <c r="AA682" s="394"/>
      <c r="AB682" s="118" t="str">
        <f>IF(OR(ISBLANK($B682),ISBLANK($AA682)),"",IFERROR(IF($AA682&lt;=DATE('ESTADO CONTABLE'!$B$2,9,5),VLOOKUP($B682,COSTOS!$A$2:$B1014,2,FALSE)-150,VLOOKUP($B682,COSTOS!$A$2:$B1014,2,FALSE)),"No encontrado o error"))</f>
        <v/>
      </c>
      <c r="AC682" s="395"/>
      <c r="AD682" s="394"/>
      <c r="AE682" s="429" t="str">
        <f>IF(OR(ISBLANK($B682),ISBLANK($AD682)),"",IFERROR(IF($AD682&lt;=DATE('ESTADO CONTABLE'!$B$2,10,5),VLOOKUP($B682,COSTOS!$A$2:$B1014,2,FALSE)-150,VLOOKUP($B682,COSTOS!$A$2:$B1014,2,FALSE)),"No encontrado o error"))</f>
        <v/>
      </c>
      <c r="AF682" s="395"/>
      <c r="AG682" s="394"/>
      <c r="AH682" s="429" t="str">
        <f>IF(OR(ISBLANK($B682),ISBLANK($AG682)),"",IFERROR(IF($AG682&lt;=DATE('ESTADO CONTABLE'!$B$2,11,5),VLOOKUP($B682,COSTOS!$A$2:$B1014,2,FALSE)-150,VLOOKUP($B682,COSTOS!$A$2:$B1014,2,FALSE)),"No encontrado o error"))</f>
        <v/>
      </c>
      <c r="AI682" s="395"/>
      <c r="AJ682" s="394"/>
      <c r="AK682" s="429" t="str">
        <f>IF(OR(ISBLANK($B682),ISBLANK($AJ682)),"",IFERROR(IF($AJ682&lt;=DATE('ESTADO CONTABLE'!$B$2,12,5),VLOOKUP($B682,COSTOS!$A$2:$B1014,2,FALSE)-150,VLOOKUP($B682,COSTOS!$A$2:$B1014,2,FALSE)),"No encontrado o error"))</f>
        <v/>
      </c>
      <c r="AL682" s="395"/>
      <c r="AM682" s="254"/>
      <c r="AN682" s="255"/>
      <c r="AO682" s="256"/>
    </row>
    <row r="683" ht="22.5" customHeight="1">
      <c r="A683" s="431" t="str">
        <f>'BASE DE DATOSS'!A757</f>
        <v/>
      </c>
      <c r="B683" s="432" t="str">
        <f>'BASE DE DATOSS'!C757</f>
        <v/>
      </c>
      <c r="C683" s="263"/>
      <c r="D683" s="249"/>
      <c r="E683" s="250"/>
      <c r="F683" s="251"/>
      <c r="G683" s="262"/>
      <c r="H683" s="257"/>
      <c r="I683" s="249"/>
      <c r="J683" s="193" t="str">
        <f>IF(OR(ISBLANK($B683),ISBLANK($I683)),"",IFERROR(IF($I683&lt;=DATE('ESTADO CONTABLE'!$B$2,3,5),VLOOKUP($B683,COSTOS!$A$2:$B1014,2,FALSE)-150,VLOOKUP($B683,COSTOS!$A$2:$B1014,2,FALSE)),"No encontrado o error"))</f>
        <v/>
      </c>
      <c r="K683" s="264"/>
      <c r="L683" s="249"/>
      <c r="M683" s="189"/>
      <c r="N683" s="264"/>
      <c r="O683" s="249"/>
      <c r="P683" s="250"/>
      <c r="Q683" s="264"/>
      <c r="R683" s="249"/>
      <c r="S683" s="250"/>
      <c r="T683" s="264"/>
      <c r="U683" s="249"/>
      <c r="V683" s="250"/>
      <c r="W683" s="264"/>
      <c r="X683" s="394"/>
      <c r="Y683" s="429"/>
      <c r="Z683" s="395"/>
      <c r="AA683" s="394"/>
      <c r="AB683" s="118" t="str">
        <f>IF(OR(ISBLANK($B683),ISBLANK($AA683)),"",IFERROR(IF($AA683&lt;=DATE('ESTADO CONTABLE'!$B$2,9,5),VLOOKUP($B683,COSTOS!$A$2:$B1014,2,FALSE)-150,VLOOKUP($B683,COSTOS!$A$2:$B1014,2,FALSE)),"No encontrado o error"))</f>
        <v/>
      </c>
      <c r="AC683" s="395"/>
      <c r="AD683" s="394"/>
      <c r="AE683" s="429" t="str">
        <f>IF(OR(ISBLANK($B683),ISBLANK($AD683)),"",IFERROR(IF($AD683&lt;=DATE('ESTADO CONTABLE'!$B$2,10,5),VLOOKUP($B683,COSTOS!$A$2:$B1014,2,FALSE)-150,VLOOKUP($B683,COSTOS!$A$2:$B1014,2,FALSE)),"No encontrado o error"))</f>
        <v/>
      </c>
      <c r="AF683" s="395"/>
      <c r="AG683" s="394"/>
      <c r="AH683" s="429" t="str">
        <f>IF(OR(ISBLANK($B683),ISBLANK($AG683)),"",IFERROR(IF($AG683&lt;=DATE('ESTADO CONTABLE'!$B$2,11,5),VLOOKUP($B683,COSTOS!$A$2:$B1014,2,FALSE)-150,VLOOKUP($B683,COSTOS!$A$2:$B1014,2,FALSE)),"No encontrado o error"))</f>
        <v/>
      </c>
      <c r="AI683" s="395"/>
      <c r="AJ683" s="394"/>
      <c r="AK683" s="429" t="str">
        <f>IF(OR(ISBLANK($B683),ISBLANK($AJ683)),"",IFERROR(IF($AJ683&lt;=DATE('ESTADO CONTABLE'!$B$2,12,5),VLOOKUP($B683,COSTOS!$A$2:$B1014,2,FALSE)-150,VLOOKUP($B683,COSTOS!$A$2:$B1014,2,FALSE)),"No encontrado o error"))</f>
        <v/>
      </c>
      <c r="AL683" s="395"/>
      <c r="AM683" s="254"/>
      <c r="AN683" s="255"/>
      <c r="AO683" s="256"/>
    </row>
    <row r="684" ht="22.5" customHeight="1">
      <c r="A684" s="431" t="str">
        <f>'BASE DE DATOSS'!A758</f>
        <v/>
      </c>
      <c r="B684" s="432" t="str">
        <f>'BASE DE DATOSS'!C758</f>
        <v/>
      </c>
      <c r="C684" s="263"/>
      <c r="D684" s="249"/>
      <c r="E684" s="250"/>
      <c r="F684" s="251"/>
      <c r="G684" s="262"/>
      <c r="H684" s="257"/>
      <c r="I684" s="249"/>
      <c r="J684" s="193" t="str">
        <f>IF(OR(ISBLANK($B684),ISBLANK($I684)),"",IFERROR(IF($I684&lt;=DATE('ESTADO CONTABLE'!$B$2,3,5),VLOOKUP($B684,COSTOS!$A$2:$B1014,2,FALSE)-150,VLOOKUP($B684,COSTOS!$A$2:$B1014,2,FALSE)),"No encontrado o error"))</f>
        <v/>
      </c>
      <c r="K684" s="264"/>
      <c r="L684" s="249"/>
      <c r="M684" s="189"/>
      <c r="N684" s="264"/>
      <c r="O684" s="249"/>
      <c r="P684" s="250"/>
      <c r="Q684" s="264"/>
      <c r="R684" s="249"/>
      <c r="S684" s="250"/>
      <c r="T684" s="264"/>
      <c r="U684" s="249"/>
      <c r="V684" s="250"/>
      <c r="W684" s="264"/>
      <c r="X684" s="394"/>
      <c r="Y684" s="429"/>
      <c r="Z684" s="395"/>
      <c r="AA684" s="394"/>
      <c r="AB684" s="118" t="str">
        <f>IF(OR(ISBLANK($B684),ISBLANK($AA684)),"",IFERROR(IF($AA684&lt;=DATE('ESTADO CONTABLE'!$B$2,9,5),VLOOKUP($B684,COSTOS!$A$2:$B1014,2,FALSE)-150,VLOOKUP($B684,COSTOS!$A$2:$B1014,2,FALSE)),"No encontrado o error"))</f>
        <v/>
      </c>
      <c r="AC684" s="395"/>
      <c r="AD684" s="394"/>
      <c r="AE684" s="429" t="str">
        <f>IF(OR(ISBLANK($B684),ISBLANK($AD684)),"",IFERROR(IF($AD684&lt;=DATE('ESTADO CONTABLE'!$B$2,10,5),VLOOKUP($B684,COSTOS!$A$2:$B1014,2,FALSE)-150,VLOOKUP($B684,COSTOS!$A$2:$B1014,2,FALSE)),"No encontrado o error"))</f>
        <v/>
      </c>
      <c r="AF684" s="395"/>
      <c r="AG684" s="394"/>
      <c r="AH684" s="429" t="str">
        <f>IF(OR(ISBLANK($B684),ISBLANK($AG684)),"",IFERROR(IF($AG684&lt;=DATE('ESTADO CONTABLE'!$B$2,11,5),VLOOKUP($B684,COSTOS!$A$2:$B1014,2,FALSE)-150,VLOOKUP($B684,COSTOS!$A$2:$B1014,2,FALSE)),"No encontrado o error"))</f>
        <v/>
      </c>
      <c r="AI684" s="395"/>
      <c r="AJ684" s="394"/>
      <c r="AK684" s="429" t="str">
        <f>IF(OR(ISBLANK($B684),ISBLANK($AJ684)),"",IFERROR(IF($AJ684&lt;=DATE('ESTADO CONTABLE'!$B$2,12,5),VLOOKUP($B684,COSTOS!$A$2:$B1014,2,FALSE)-150,VLOOKUP($B684,COSTOS!$A$2:$B1014,2,FALSE)),"No encontrado o error"))</f>
        <v/>
      </c>
      <c r="AL684" s="395"/>
      <c r="AM684" s="254"/>
      <c r="AN684" s="255"/>
      <c r="AO684" s="256"/>
    </row>
    <row r="685" ht="22.5" customHeight="1">
      <c r="A685" s="431" t="str">
        <f>'BASE DE DATOSS'!A759</f>
        <v/>
      </c>
      <c r="B685" s="432" t="str">
        <f>'BASE DE DATOSS'!C759</f>
        <v/>
      </c>
      <c r="C685" s="263"/>
      <c r="D685" s="249"/>
      <c r="E685" s="250"/>
      <c r="F685" s="251"/>
      <c r="G685" s="262"/>
      <c r="H685" s="257"/>
      <c r="I685" s="249"/>
      <c r="J685" s="193" t="str">
        <f>IF(OR(ISBLANK($B685),ISBLANK($I685)),"",IFERROR(IF($I685&lt;=DATE('ESTADO CONTABLE'!$B$2,3,5),VLOOKUP($B685,COSTOS!$A$2:$B1014,2,FALSE)-150,VLOOKUP($B685,COSTOS!$A$2:$B1014,2,FALSE)),"No encontrado o error"))</f>
        <v/>
      </c>
      <c r="K685" s="264"/>
      <c r="L685" s="249"/>
      <c r="M685" s="189"/>
      <c r="N685" s="264"/>
      <c r="O685" s="249"/>
      <c r="P685" s="250"/>
      <c r="Q685" s="264"/>
      <c r="R685" s="249"/>
      <c r="S685" s="250"/>
      <c r="T685" s="264"/>
      <c r="U685" s="249"/>
      <c r="V685" s="250"/>
      <c r="W685" s="264"/>
      <c r="X685" s="394"/>
      <c r="Y685" s="429"/>
      <c r="Z685" s="395"/>
      <c r="AA685" s="394"/>
      <c r="AB685" s="118" t="str">
        <f>IF(OR(ISBLANK($B685),ISBLANK($AA685)),"",IFERROR(IF($AA685&lt;=DATE('ESTADO CONTABLE'!$B$2,9,5),VLOOKUP($B685,COSTOS!$A$2:$B1014,2,FALSE)-150,VLOOKUP($B685,COSTOS!$A$2:$B1014,2,FALSE)),"No encontrado o error"))</f>
        <v/>
      </c>
      <c r="AC685" s="395"/>
      <c r="AD685" s="394"/>
      <c r="AE685" s="429" t="str">
        <f>IF(OR(ISBLANK($B685),ISBLANK($AD685)),"",IFERROR(IF($AD685&lt;=DATE('ESTADO CONTABLE'!$B$2,10,5),VLOOKUP($B685,COSTOS!$A$2:$B1014,2,FALSE)-150,VLOOKUP($B685,COSTOS!$A$2:$B1014,2,FALSE)),"No encontrado o error"))</f>
        <v/>
      </c>
      <c r="AF685" s="395"/>
      <c r="AG685" s="394"/>
      <c r="AH685" s="429" t="str">
        <f>IF(OR(ISBLANK($B685),ISBLANK($AG685)),"",IFERROR(IF($AG685&lt;=DATE('ESTADO CONTABLE'!$B$2,11,5),VLOOKUP($B685,COSTOS!$A$2:$B1014,2,FALSE)-150,VLOOKUP($B685,COSTOS!$A$2:$B1014,2,FALSE)),"No encontrado o error"))</f>
        <v/>
      </c>
      <c r="AI685" s="395"/>
      <c r="AJ685" s="394"/>
      <c r="AK685" s="429" t="str">
        <f>IF(OR(ISBLANK($B685),ISBLANK($AJ685)),"",IFERROR(IF($AJ685&lt;=DATE('ESTADO CONTABLE'!$B$2,12,5),VLOOKUP($B685,COSTOS!$A$2:$B1014,2,FALSE)-150,VLOOKUP($B685,COSTOS!$A$2:$B1014,2,FALSE)),"No encontrado o error"))</f>
        <v/>
      </c>
      <c r="AL685" s="395"/>
      <c r="AM685" s="254"/>
      <c r="AN685" s="255"/>
      <c r="AO685" s="256"/>
    </row>
    <row r="686" ht="22.5" customHeight="1">
      <c r="A686" s="431" t="str">
        <f>'BASE DE DATOSS'!A760</f>
        <v/>
      </c>
      <c r="B686" s="432" t="str">
        <f>'BASE DE DATOSS'!C760</f>
        <v/>
      </c>
      <c r="C686" s="263"/>
      <c r="D686" s="249"/>
      <c r="E686" s="250"/>
      <c r="F686" s="251"/>
      <c r="G686" s="262"/>
      <c r="H686" s="257"/>
      <c r="I686" s="249"/>
      <c r="J686" s="193" t="str">
        <f>IF(OR(ISBLANK($B686),ISBLANK($I686)),"",IFERROR(IF($I686&lt;=DATE('ESTADO CONTABLE'!$B$2,3,5),VLOOKUP($B686,COSTOS!$A$2:$B1014,2,FALSE)-150,VLOOKUP($B686,COSTOS!$A$2:$B1014,2,FALSE)),"No encontrado o error"))</f>
        <v/>
      </c>
      <c r="K686" s="264"/>
      <c r="L686" s="249"/>
      <c r="M686" s="189"/>
      <c r="N686" s="264"/>
      <c r="O686" s="249"/>
      <c r="P686" s="250"/>
      <c r="Q686" s="264"/>
      <c r="R686" s="249"/>
      <c r="S686" s="250"/>
      <c r="T686" s="264"/>
      <c r="U686" s="249"/>
      <c r="V686" s="250"/>
      <c r="W686" s="264"/>
      <c r="X686" s="394"/>
      <c r="Y686" s="429"/>
      <c r="Z686" s="395"/>
      <c r="AA686" s="394"/>
      <c r="AB686" s="118" t="str">
        <f>IF(OR(ISBLANK($B686),ISBLANK($AA686)),"",IFERROR(IF($AA686&lt;=DATE('ESTADO CONTABLE'!$B$2,9,5),VLOOKUP($B686,COSTOS!$A$2:$B1014,2,FALSE)-150,VLOOKUP($B686,COSTOS!$A$2:$B1014,2,FALSE)),"No encontrado o error"))</f>
        <v/>
      </c>
      <c r="AC686" s="395"/>
      <c r="AD686" s="394"/>
      <c r="AE686" s="429" t="str">
        <f>IF(OR(ISBLANK($B686),ISBLANK($AD686)),"",IFERROR(IF($AD686&lt;=DATE('ESTADO CONTABLE'!$B$2,10,5),VLOOKUP($B686,COSTOS!$A$2:$B1014,2,FALSE)-150,VLOOKUP($B686,COSTOS!$A$2:$B1014,2,FALSE)),"No encontrado o error"))</f>
        <v/>
      </c>
      <c r="AF686" s="395"/>
      <c r="AG686" s="394"/>
      <c r="AH686" s="429" t="str">
        <f>IF(OR(ISBLANK($B686),ISBLANK($AG686)),"",IFERROR(IF($AG686&lt;=DATE('ESTADO CONTABLE'!$B$2,11,5),VLOOKUP($B686,COSTOS!$A$2:$B1014,2,FALSE)-150,VLOOKUP($B686,COSTOS!$A$2:$B1014,2,FALSE)),"No encontrado o error"))</f>
        <v/>
      </c>
      <c r="AI686" s="395"/>
      <c r="AJ686" s="394"/>
      <c r="AK686" s="429" t="str">
        <f>IF(OR(ISBLANK($B686),ISBLANK($AJ686)),"",IFERROR(IF($AJ686&lt;=DATE('ESTADO CONTABLE'!$B$2,12,5),VLOOKUP($B686,COSTOS!$A$2:$B1014,2,FALSE)-150,VLOOKUP($B686,COSTOS!$A$2:$B1014,2,FALSE)),"No encontrado o error"))</f>
        <v/>
      </c>
      <c r="AL686" s="395"/>
      <c r="AM686" s="254"/>
      <c r="AN686" s="255"/>
      <c r="AO686" s="256"/>
    </row>
    <row r="687" ht="22.5" customHeight="1">
      <c r="A687" s="431" t="str">
        <f>'BASE DE DATOSS'!A761</f>
        <v/>
      </c>
      <c r="B687" s="432" t="str">
        <f>'BASE DE DATOSS'!C761</f>
        <v/>
      </c>
      <c r="C687" s="263"/>
      <c r="D687" s="249"/>
      <c r="E687" s="250"/>
      <c r="F687" s="251"/>
      <c r="G687" s="262"/>
      <c r="H687" s="257"/>
      <c r="I687" s="249"/>
      <c r="J687" s="193" t="str">
        <f>IF(OR(ISBLANK($B687),ISBLANK($I687)),"",IFERROR(IF($I687&lt;=DATE('ESTADO CONTABLE'!$B$2,3,5),VLOOKUP($B687,COSTOS!$A$2:$B1014,2,FALSE)-150,VLOOKUP($B687,COSTOS!$A$2:$B1014,2,FALSE)),"No encontrado o error"))</f>
        <v/>
      </c>
      <c r="K687" s="264"/>
      <c r="L687" s="249"/>
      <c r="M687" s="189"/>
      <c r="N687" s="264"/>
      <c r="O687" s="249"/>
      <c r="P687" s="250"/>
      <c r="Q687" s="264"/>
      <c r="R687" s="249"/>
      <c r="S687" s="250"/>
      <c r="T687" s="264"/>
      <c r="U687" s="249"/>
      <c r="V687" s="250"/>
      <c r="W687" s="264"/>
      <c r="X687" s="394"/>
      <c r="Y687" s="429"/>
      <c r="Z687" s="395"/>
      <c r="AA687" s="394"/>
      <c r="AB687" s="118" t="str">
        <f>IF(OR(ISBLANK($B687),ISBLANK($AA687)),"",IFERROR(IF($AA687&lt;=DATE('ESTADO CONTABLE'!$B$2,9,5),VLOOKUP($B687,COSTOS!$A$2:$B1014,2,FALSE)-150,VLOOKUP($B687,COSTOS!$A$2:$B1014,2,FALSE)),"No encontrado o error"))</f>
        <v/>
      </c>
      <c r="AC687" s="395"/>
      <c r="AD687" s="394"/>
      <c r="AE687" s="429" t="str">
        <f>IF(OR(ISBLANK($B687),ISBLANK($AD687)),"",IFERROR(IF($AD687&lt;=DATE('ESTADO CONTABLE'!$B$2,10,5),VLOOKUP($B687,COSTOS!$A$2:$B1014,2,FALSE)-150,VLOOKUP($B687,COSTOS!$A$2:$B1014,2,FALSE)),"No encontrado o error"))</f>
        <v/>
      </c>
      <c r="AF687" s="395"/>
      <c r="AG687" s="394"/>
      <c r="AH687" s="429" t="str">
        <f>IF(OR(ISBLANK($B687),ISBLANK($AG687)),"",IFERROR(IF($AG687&lt;=DATE('ESTADO CONTABLE'!$B$2,11,5),VLOOKUP($B687,COSTOS!$A$2:$B1014,2,FALSE)-150,VLOOKUP($B687,COSTOS!$A$2:$B1014,2,FALSE)),"No encontrado o error"))</f>
        <v/>
      </c>
      <c r="AI687" s="395"/>
      <c r="AJ687" s="394"/>
      <c r="AK687" s="429" t="str">
        <f>IF(OR(ISBLANK($B687),ISBLANK($AJ687)),"",IFERROR(IF($AJ687&lt;=DATE('ESTADO CONTABLE'!$B$2,12,5),VLOOKUP($B687,COSTOS!$A$2:$B1014,2,FALSE)-150,VLOOKUP($B687,COSTOS!$A$2:$B1014,2,FALSE)),"No encontrado o error"))</f>
        <v/>
      </c>
      <c r="AL687" s="395"/>
      <c r="AM687" s="254"/>
      <c r="AN687" s="255"/>
      <c r="AO687" s="256"/>
    </row>
    <row r="688" ht="22.5" customHeight="1">
      <c r="A688" s="431" t="str">
        <f>'BASE DE DATOSS'!A762</f>
        <v/>
      </c>
      <c r="B688" s="432" t="str">
        <f>'BASE DE DATOSS'!C762</f>
        <v/>
      </c>
      <c r="C688" s="263"/>
      <c r="D688" s="249"/>
      <c r="E688" s="250"/>
      <c r="F688" s="251"/>
      <c r="G688" s="262"/>
      <c r="H688" s="257"/>
      <c r="I688" s="249"/>
      <c r="J688" s="193" t="str">
        <f>IF(OR(ISBLANK($B688),ISBLANK($I688)),"",IFERROR(IF($I688&lt;=DATE('ESTADO CONTABLE'!$B$2,3,5),VLOOKUP($B688,COSTOS!$A$2:$B1014,2,FALSE)-150,VLOOKUP($B688,COSTOS!$A$2:$B1014,2,FALSE)),"No encontrado o error"))</f>
        <v/>
      </c>
      <c r="K688" s="264"/>
      <c r="L688" s="249"/>
      <c r="M688" s="189"/>
      <c r="N688" s="264"/>
      <c r="O688" s="249"/>
      <c r="P688" s="250"/>
      <c r="Q688" s="264"/>
      <c r="R688" s="249"/>
      <c r="S688" s="250"/>
      <c r="T688" s="264"/>
      <c r="U688" s="249"/>
      <c r="V688" s="250"/>
      <c r="W688" s="264"/>
      <c r="X688" s="394"/>
      <c r="Y688" s="429"/>
      <c r="Z688" s="395"/>
      <c r="AA688" s="394"/>
      <c r="AB688" s="118" t="str">
        <f>IF(OR(ISBLANK($B688),ISBLANK($AA688)),"",IFERROR(IF($AA688&lt;=DATE('ESTADO CONTABLE'!$B$2,9,5),VLOOKUP($B688,COSTOS!$A$2:$B1014,2,FALSE)-150,VLOOKUP($B688,COSTOS!$A$2:$B1014,2,FALSE)),"No encontrado o error"))</f>
        <v/>
      </c>
      <c r="AC688" s="395"/>
      <c r="AD688" s="394"/>
      <c r="AE688" s="429" t="str">
        <f>IF(OR(ISBLANK($B688),ISBLANK($AD688)),"",IFERROR(IF($AD688&lt;=DATE('ESTADO CONTABLE'!$B$2,10,5),VLOOKUP($B688,COSTOS!$A$2:$B1014,2,FALSE)-150,VLOOKUP($B688,COSTOS!$A$2:$B1014,2,FALSE)),"No encontrado o error"))</f>
        <v/>
      </c>
      <c r="AF688" s="395"/>
      <c r="AG688" s="394"/>
      <c r="AH688" s="429" t="str">
        <f>IF(OR(ISBLANK($B688),ISBLANK($AG688)),"",IFERROR(IF($AG688&lt;=DATE('ESTADO CONTABLE'!$B$2,11,5),VLOOKUP($B688,COSTOS!$A$2:$B1014,2,FALSE)-150,VLOOKUP($B688,COSTOS!$A$2:$B1014,2,FALSE)),"No encontrado o error"))</f>
        <v/>
      </c>
      <c r="AI688" s="395"/>
      <c r="AJ688" s="394"/>
      <c r="AK688" s="429" t="str">
        <f>IF(OR(ISBLANK($B688),ISBLANK($AJ688)),"",IFERROR(IF($AJ688&lt;=DATE('ESTADO CONTABLE'!$B$2,12,5),VLOOKUP($B688,COSTOS!$A$2:$B1014,2,FALSE)-150,VLOOKUP($B688,COSTOS!$A$2:$B1014,2,FALSE)),"No encontrado o error"))</f>
        <v/>
      </c>
      <c r="AL688" s="395"/>
      <c r="AM688" s="254"/>
      <c r="AN688" s="255"/>
      <c r="AO688" s="256"/>
    </row>
    <row r="689" ht="22.5" customHeight="1">
      <c r="A689" s="431" t="str">
        <f>'BASE DE DATOSS'!A763</f>
        <v/>
      </c>
      <c r="B689" s="432" t="str">
        <f>'BASE DE DATOSS'!C763</f>
        <v/>
      </c>
      <c r="C689" s="263"/>
      <c r="D689" s="249"/>
      <c r="E689" s="250"/>
      <c r="F689" s="251"/>
      <c r="G689" s="262"/>
      <c r="H689" s="257"/>
      <c r="I689" s="249"/>
      <c r="J689" s="193" t="str">
        <f>IF(OR(ISBLANK($B689),ISBLANK($I689)),"",IFERROR(IF($I689&lt;=DATE('ESTADO CONTABLE'!$B$2,3,5),VLOOKUP($B689,COSTOS!$A$2:$B1014,2,FALSE)-150,VLOOKUP($B689,COSTOS!$A$2:$B1014,2,FALSE)),"No encontrado o error"))</f>
        <v/>
      </c>
      <c r="K689" s="264"/>
      <c r="L689" s="249"/>
      <c r="M689" s="189"/>
      <c r="N689" s="264"/>
      <c r="O689" s="249"/>
      <c r="P689" s="250"/>
      <c r="Q689" s="264"/>
      <c r="R689" s="249"/>
      <c r="S689" s="250"/>
      <c r="T689" s="264"/>
      <c r="U689" s="249"/>
      <c r="V689" s="250"/>
      <c r="W689" s="264"/>
      <c r="X689" s="394"/>
      <c r="Y689" s="429"/>
      <c r="Z689" s="395"/>
      <c r="AA689" s="394"/>
      <c r="AB689" s="118" t="str">
        <f>IF(OR(ISBLANK($B689),ISBLANK($AA689)),"",IFERROR(IF($AA689&lt;=DATE('ESTADO CONTABLE'!$B$2,9,5),VLOOKUP($B689,COSTOS!$A$2:$B1014,2,FALSE)-150,VLOOKUP($B689,COSTOS!$A$2:$B1014,2,FALSE)),"No encontrado o error"))</f>
        <v/>
      </c>
      <c r="AC689" s="395"/>
      <c r="AD689" s="394"/>
      <c r="AE689" s="429" t="str">
        <f>IF(OR(ISBLANK($B689),ISBLANK($AD689)),"",IFERROR(IF($AD689&lt;=DATE('ESTADO CONTABLE'!$B$2,10,5),VLOOKUP($B689,COSTOS!$A$2:$B1014,2,FALSE)-150,VLOOKUP($B689,COSTOS!$A$2:$B1014,2,FALSE)),"No encontrado o error"))</f>
        <v/>
      </c>
      <c r="AF689" s="395"/>
      <c r="AG689" s="394"/>
      <c r="AH689" s="429" t="str">
        <f>IF(OR(ISBLANK($B689),ISBLANK($AG689)),"",IFERROR(IF($AG689&lt;=DATE('ESTADO CONTABLE'!$B$2,11,5),VLOOKUP($B689,COSTOS!$A$2:$B1014,2,FALSE)-150,VLOOKUP($B689,COSTOS!$A$2:$B1014,2,FALSE)),"No encontrado o error"))</f>
        <v/>
      </c>
      <c r="AI689" s="395"/>
      <c r="AJ689" s="394"/>
      <c r="AK689" s="429" t="str">
        <f>IF(OR(ISBLANK($B689),ISBLANK($AJ689)),"",IFERROR(IF($AJ689&lt;=DATE('ESTADO CONTABLE'!$B$2,12,5),VLOOKUP($B689,COSTOS!$A$2:$B1014,2,FALSE)-150,VLOOKUP($B689,COSTOS!$A$2:$B1014,2,FALSE)),"No encontrado o error"))</f>
        <v/>
      </c>
      <c r="AL689" s="395"/>
      <c r="AM689" s="254"/>
      <c r="AN689" s="255"/>
      <c r="AO689" s="256"/>
    </row>
    <row r="690" ht="22.5" customHeight="1">
      <c r="A690" s="431" t="str">
        <f>'BASE DE DATOSS'!A764</f>
        <v/>
      </c>
      <c r="B690" s="432" t="str">
        <f>'BASE DE DATOSS'!C764</f>
        <v/>
      </c>
      <c r="C690" s="263"/>
      <c r="D690" s="249"/>
      <c r="E690" s="250"/>
      <c r="F690" s="251"/>
      <c r="G690" s="262"/>
      <c r="H690" s="257"/>
      <c r="I690" s="249"/>
      <c r="J690" s="193" t="str">
        <f>IF(OR(ISBLANK($B690),ISBLANK($I690)),"",IFERROR(IF($I690&lt;=DATE('ESTADO CONTABLE'!$B$2,3,5),VLOOKUP($B690,COSTOS!$A$2:$B1014,2,FALSE)-150,VLOOKUP($B690,COSTOS!$A$2:$B1014,2,FALSE)),"No encontrado o error"))</f>
        <v/>
      </c>
      <c r="K690" s="264"/>
      <c r="L690" s="249"/>
      <c r="M690" s="189"/>
      <c r="N690" s="264"/>
      <c r="O690" s="249"/>
      <c r="P690" s="250"/>
      <c r="Q690" s="264"/>
      <c r="R690" s="249"/>
      <c r="S690" s="250"/>
      <c r="T690" s="264"/>
      <c r="U690" s="249"/>
      <c r="V690" s="250"/>
      <c r="W690" s="264"/>
      <c r="X690" s="394"/>
      <c r="Y690" s="429"/>
      <c r="Z690" s="395"/>
      <c r="AA690" s="394"/>
      <c r="AB690" s="118" t="str">
        <f>IF(OR(ISBLANK($B690),ISBLANK($AA690)),"",IFERROR(IF($AA690&lt;=DATE('ESTADO CONTABLE'!$B$2,9,5),VLOOKUP($B690,COSTOS!$A$2:$B1014,2,FALSE)-150,VLOOKUP($B690,COSTOS!$A$2:$B1014,2,FALSE)),"No encontrado o error"))</f>
        <v/>
      </c>
      <c r="AC690" s="395"/>
      <c r="AD690" s="394"/>
      <c r="AE690" s="429" t="str">
        <f>IF(OR(ISBLANK($B690),ISBLANK($AD690)),"",IFERROR(IF($AD690&lt;=DATE('ESTADO CONTABLE'!$B$2,10,5),VLOOKUP($B690,COSTOS!$A$2:$B1014,2,FALSE)-150,VLOOKUP($B690,COSTOS!$A$2:$B1014,2,FALSE)),"No encontrado o error"))</f>
        <v/>
      </c>
      <c r="AF690" s="395"/>
      <c r="AG690" s="394"/>
      <c r="AH690" s="429" t="str">
        <f>IF(OR(ISBLANK($B690),ISBLANK($AG690)),"",IFERROR(IF($AG690&lt;=DATE('ESTADO CONTABLE'!$B$2,11,5),VLOOKUP($B690,COSTOS!$A$2:$B1014,2,FALSE)-150,VLOOKUP($B690,COSTOS!$A$2:$B1014,2,FALSE)),"No encontrado o error"))</f>
        <v/>
      </c>
      <c r="AI690" s="395"/>
      <c r="AJ690" s="394"/>
      <c r="AK690" s="429" t="str">
        <f>IF(OR(ISBLANK($B690),ISBLANK($AJ690)),"",IFERROR(IF($AJ690&lt;=DATE('ESTADO CONTABLE'!$B$2,12,5),VLOOKUP($B690,COSTOS!$A$2:$B1014,2,FALSE)-150,VLOOKUP($B690,COSTOS!$A$2:$B1014,2,FALSE)),"No encontrado o error"))</f>
        <v/>
      </c>
      <c r="AL690" s="395"/>
      <c r="AM690" s="254"/>
      <c r="AN690" s="255"/>
      <c r="AO690" s="256"/>
    </row>
    <row r="691" ht="22.5" customHeight="1">
      <c r="A691" s="431" t="str">
        <f>'BASE DE DATOSS'!A765</f>
        <v/>
      </c>
      <c r="B691" s="432" t="str">
        <f>'BASE DE DATOSS'!C765</f>
        <v/>
      </c>
      <c r="C691" s="263"/>
      <c r="D691" s="249"/>
      <c r="E691" s="250"/>
      <c r="F691" s="251"/>
      <c r="G691" s="262"/>
      <c r="H691" s="257"/>
      <c r="I691" s="249"/>
      <c r="J691" s="193" t="str">
        <f>IF(OR(ISBLANK($B691),ISBLANK($I691)),"",IFERROR(IF($I691&lt;=DATE('ESTADO CONTABLE'!$B$2,3,5),VLOOKUP($B691,COSTOS!$A$2:$B1014,2,FALSE)-150,VLOOKUP($B691,COSTOS!$A$2:$B1014,2,FALSE)),"No encontrado o error"))</f>
        <v/>
      </c>
      <c r="K691" s="264"/>
      <c r="L691" s="249"/>
      <c r="M691" s="189"/>
      <c r="N691" s="264"/>
      <c r="O691" s="249"/>
      <c r="P691" s="250"/>
      <c r="Q691" s="264"/>
      <c r="R691" s="249"/>
      <c r="S691" s="250"/>
      <c r="T691" s="264"/>
      <c r="U691" s="249"/>
      <c r="V691" s="250"/>
      <c r="W691" s="264"/>
      <c r="X691" s="394"/>
      <c r="Y691" s="429"/>
      <c r="Z691" s="395"/>
      <c r="AA691" s="394"/>
      <c r="AB691" s="118" t="str">
        <f>IF(OR(ISBLANK($B691),ISBLANK($AA691)),"",IFERROR(IF($AA691&lt;=DATE('ESTADO CONTABLE'!$B$2,9,5),VLOOKUP($B691,COSTOS!$A$2:$B1014,2,FALSE)-150,VLOOKUP($B691,COSTOS!$A$2:$B1014,2,FALSE)),"No encontrado o error"))</f>
        <v/>
      </c>
      <c r="AC691" s="395"/>
      <c r="AD691" s="394"/>
      <c r="AE691" s="429" t="str">
        <f>IF(OR(ISBLANK($B691),ISBLANK($AD691)),"",IFERROR(IF($AD691&lt;=DATE('ESTADO CONTABLE'!$B$2,10,5),VLOOKUP($B691,COSTOS!$A$2:$B1014,2,FALSE)-150,VLOOKUP($B691,COSTOS!$A$2:$B1014,2,FALSE)),"No encontrado o error"))</f>
        <v/>
      </c>
      <c r="AF691" s="395"/>
      <c r="AG691" s="394"/>
      <c r="AH691" s="429" t="str">
        <f>IF(OR(ISBLANK($B691),ISBLANK($AG691)),"",IFERROR(IF($AG691&lt;=DATE('ESTADO CONTABLE'!$B$2,11,5),VLOOKUP($B691,COSTOS!$A$2:$B1014,2,FALSE)-150,VLOOKUP($B691,COSTOS!$A$2:$B1014,2,FALSE)),"No encontrado o error"))</f>
        <v/>
      </c>
      <c r="AI691" s="395"/>
      <c r="AJ691" s="394"/>
      <c r="AK691" s="429" t="str">
        <f>IF(OR(ISBLANK($B691),ISBLANK($AJ691)),"",IFERROR(IF($AJ691&lt;=DATE('ESTADO CONTABLE'!$B$2,12,5),VLOOKUP($B691,COSTOS!$A$2:$B1014,2,FALSE)-150,VLOOKUP($B691,COSTOS!$A$2:$B1014,2,FALSE)),"No encontrado o error"))</f>
        <v/>
      </c>
      <c r="AL691" s="395"/>
      <c r="AM691" s="254"/>
      <c r="AN691" s="255"/>
      <c r="AO691" s="256"/>
    </row>
    <row r="692" ht="22.5" customHeight="1">
      <c r="A692" s="431" t="str">
        <f>'BASE DE DATOSS'!A766</f>
        <v/>
      </c>
      <c r="B692" s="432" t="str">
        <f>'BASE DE DATOSS'!C766</f>
        <v/>
      </c>
      <c r="C692" s="263"/>
      <c r="D692" s="249"/>
      <c r="E692" s="250"/>
      <c r="F692" s="251"/>
      <c r="G692" s="262"/>
      <c r="H692" s="257"/>
      <c r="I692" s="249"/>
      <c r="J692" s="193" t="str">
        <f>IF(OR(ISBLANK($B692),ISBLANK($I692)),"",IFERROR(IF($I692&lt;=DATE('ESTADO CONTABLE'!$B$2,3,5),VLOOKUP($B692,COSTOS!$A$2:$B1014,2,FALSE)-150,VLOOKUP($B692,COSTOS!$A$2:$B1014,2,FALSE)),"No encontrado o error"))</f>
        <v/>
      </c>
      <c r="K692" s="264"/>
      <c r="L692" s="249"/>
      <c r="M692" s="189"/>
      <c r="N692" s="264"/>
      <c r="O692" s="249"/>
      <c r="P692" s="250"/>
      <c r="Q692" s="264"/>
      <c r="R692" s="249"/>
      <c r="S692" s="250"/>
      <c r="T692" s="264"/>
      <c r="U692" s="249"/>
      <c r="V692" s="250"/>
      <c r="W692" s="264"/>
      <c r="X692" s="394"/>
      <c r="Y692" s="429"/>
      <c r="Z692" s="395"/>
      <c r="AA692" s="394"/>
      <c r="AB692" s="118" t="str">
        <f>IF(OR(ISBLANK($B692),ISBLANK($AA692)),"",IFERROR(IF($AA692&lt;=DATE('ESTADO CONTABLE'!$B$2,9,5),VLOOKUP($B692,COSTOS!$A$2:$B1014,2,FALSE)-150,VLOOKUP($B692,COSTOS!$A$2:$B1014,2,FALSE)),"No encontrado o error"))</f>
        <v/>
      </c>
      <c r="AC692" s="395"/>
      <c r="AD692" s="394"/>
      <c r="AE692" s="429" t="str">
        <f>IF(OR(ISBLANK($B692),ISBLANK($AD692)),"",IFERROR(IF($AD692&lt;=DATE('ESTADO CONTABLE'!$B$2,10,5),VLOOKUP($B692,COSTOS!$A$2:$B1014,2,FALSE)-150,VLOOKUP($B692,COSTOS!$A$2:$B1014,2,FALSE)),"No encontrado o error"))</f>
        <v/>
      </c>
      <c r="AF692" s="395"/>
      <c r="AG692" s="394"/>
      <c r="AH692" s="429" t="str">
        <f>IF(OR(ISBLANK($B692),ISBLANK($AG692)),"",IFERROR(IF($AG692&lt;=DATE('ESTADO CONTABLE'!$B$2,11,5),VLOOKUP($B692,COSTOS!$A$2:$B1014,2,FALSE)-150,VLOOKUP($B692,COSTOS!$A$2:$B1014,2,FALSE)),"No encontrado o error"))</f>
        <v/>
      </c>
      <c r="AI692" s="395"/>
      <c r="AJ692" s="394"/>
      <c r="AK692" s="429" t="str">
        <f>IF(OR(ISBLANK($B692),ISBLANK($AJ692)),"",IFERROR(IF($AJ692&lt;=DATE('ESTADO CONTABLE'!$B$2,12,5),VLOOKUP($B692,COSTOS!$A$2:$B1014,2,FALSE)-150,VLOOKUP($B692,COSTOS!$A$2:$B1014,2,FALSE)),"No encontrado o error"))</f>
        <v/>
      </c>
      <c r="AL692" s="395"/>
      <c r="AM692" s="254"/>
      <c r="AN692" s="255"/>
      <c r="AO692" s="256"/>
    </row>
    <row r="693" ht="22.5" customHeight="1">
      <c r="A693" s="431" t="str">
        <f>'BASE DE DATOSS'!A767</f>
        <v/>
      </c>
      <c r="B693" s="432" t="str">
        <f>'BASE DE DATOSS'!C767</f>
        <v/>
      </c>
      <c r="C693" s="263"/>
      <c r="D693" s="249"/>
      <c r="E693" s="250"/>
      <c r="F693" s="251"/>
      <c r="G693" s="262"/>
      <c r="H693" s="257"/>
      <c r="I693" s="249"/>
      <c r="J693" s="193" t="str">
        <f>IF(OR(ISBLANK($B693),ISBLANK($I693)),"",IFERROR(IF($I693&lt;=DATE('ESTADO CONTABLE'!$B$2,3,5),VLOOKUP($B693,COSTOS!$A$2:$B1014,2,FALSE)-150,VLOOKUP($B693,COSTOS!$A$2:$B1014,2,FALSE)),"No encontrado o error"))</f>
        <v/>
      </c>
      <c r="K693" s="264"/>
      <c r="L693" s="249"/>
      <c r="M693" s="189"/>
      <c r="N693" s="264"/>
      <c r="O693" s="249"/>
      <c r="P693" s="250"/>
      <c r="Q693" s="264"/>
      <c r="R693" s="249"/>
      <c r="S693" s="250"/>
      <c r="T693" s="264"/>
      <c r="U693" s="249"/>
      <c r="V693" s="250"/>
      <c r="W693" s="264"/>
      <c r="X693" s="394"/>
      <c r="Y693" s="429"/>
      <c r="Z693" s="395"/>
      <c r="AA693" s="394"/>
      <c r="AB693" s="118" t="str">
        <f>IF(OR(ISBLANK($B693),ISBLANK($AA693)),"",IFERROR(IF($AA693&lt;=DATE('ESTADO CONTABLE'!$B$2,9,5),VLOOKUP($B693,COSTOS!$A$2:$B1014,2,FALSE)-150,VLOOKUP($B693,COSTOS!$A$2:$B1014,2,FALSE)),"No encontrado o error"))</f>
        <v/>
      </c>
      <c r="AC693" s="395"/>
      <c r="AD693" s="394"/>
      <c r="AE693" s="429" t="str">
        <f>IF(OR(ISBLANK($B693),ISBLANK($AD693)),"",IFERROR(IF($AD693&lt;=DATE('ESTADO CONTABLE'!$B$2,10,5),VLOOKUP($B693,COSTOS!$A$2:$B1014,2,FALSE)-150,VLOOKUP($B693,COSTOS!$A$2:$B1014,2,FALSE)),"No encontrado o error"))</f>
        <v/>
      </c>
      <c r="AF693" s="395"/>
      <c r="AG693" s="394"/>
      <c r="AH693" s="429" t="str">
        <f>IF(OR(ISBLANK($B693),ISBLANK($AG693)),"",IFERROR(IF($AG693&lt;=DATE('ESTADO CONTABLE'!$B$2,11,5),VLOOKUP($B693,COSTOS!$A$2:$B1014,2,FALSE)-150,VLOOKUP($B693,COSTOS!$A$2:$B1014,2,FALSE)),"No encontrado o error"))</f>
        <v/>
      </c>
      <c r="AI693" s="395"/>
      <c r="AJ693" s="394"/>
      <c r="AK693" s="429" t="str">
        <f>IF(OR(ISBLANK($B693),ISBLANK($AJ693)),"",IFERROR(IF($AJ693&lt;=DATE('ESTADO CONTABLE'!$B$2,12,5),VLOOKUP($B693,COSTOS!$A$2:$B1014,2,FALSE)-150,VLOOKUP($B693,COSTOS!$A$2:$B1014,2,FALSE)),"No encontrado o error"))</f>
        <v/>
      </c>
      <c r="AL693" s="395"/>
      <c r="AM693" s="254"/>
      <c r="AN693" s="255"/>
      <c r="AO693" s="256"/>
    </row>
    <row r="694" ht="22.5" customHeight="1">
      <c r="A694" s="431" t="str">
        <f>'BASE DE DATOSS'!A768</f>
        <v/>
      </c>
      <c r="B694" s="432" t="str">
        <f>'BASE DE DATOSS'!C768</f>
        <v/>
      </c>
      <c r="C694" s="263"/>
      <c r="D694" s="249"/>
      <c r="E694" s="250"/>
      <c r="F694" s="251"/>
      <c r="G694" s="262"/>
      <c r="H694" s="257"/>
      <c r="I694" s="249"/>
      <c r="J694" s="193" t="str">
        <f>IF(OR(ISBLANK($B694),ISBLANK($I694)),"",IFERROR(IF($I694&lt;=DATE('ESTADO CONTABLE'!$B$2,3,5),VLOOKUP($B694,COSTOS!$A$2:$B1014,2,FALSE)-150,VLOOKUP($B694,COSTOS!$A$2:$B1014,2,FALSE)),"No encontrado o error"))</f>
        <v/>
      </c>
      <c r="K694" s="264"/>
      <c r="L694" s="249"/>
      <c r="M694" s="189"/>
      <c r="N694" s="264"/>
      <c r="O694" s="249"/>
      <c r="P694" s="250"/>
      <c r="Q694" s="264"/>
      <c r="R694" s="249"/>
      <c r="S694" s="250"/>
      <c r="T694" s="264"/>
      <c r="U694" s="249"/>
      <c r="V694" s="250"/>
      <c r="W694" s="264"/>
      <c r="X694" s="394"/>
      <c r="Y694" s="429"/>
      <c r="Z694" s="395"/>
      <c r="AA694" s="394"/>
      <c r="AB694" s="118" t="str">
        <f>IF(OR(ISBLANK($B694),ISBLANK($AA694)),"",IFERROR(IF($AA694&lt;=DATE('ESTADO CONTABLE'!$B$2,9,5),VLOOKUP($B694,COSTOS!$A$2:$B1014,2,FALSE)-150,VLOOKUP($B694,COSTOS!$A$2:$B1014,2,FALSE)),"No encontrado o error"))</f>
        <v/>
      </c>
      <c r="AC694" s="395"/>
      <c r="AD694" s="394"/>
      <c r="AE694" s="429" t="str">
        <f>IF(OR(ISBLANK($B694),ISBLANK($AD694)),"",IFERROR(IF($AD694&lt;=DATE('ESTADO CONTABLE'!$B$2,10,5),VLOOKUP($B694,COSTOS!$A$2:$B1014,2,FALSE)-150,VLOOKUP($B694,COSTOS!$A$2:$B1014,2,FALSE)),"No encontrado o error"))</f>
        <v/>
      </c>
      <c r="AF694" s="395"/>
      <c r="AG694" s="394"/>
      <c r="AH694" s="429" t="str">
        <f>IF(OR(ISBLANK($B694),ISBLANK($AG694)),"",IFERROR(IF($AG694&lt;=DATE('ESTADO CONTABLE'!$B$2,11,5),VLOOKUP($B694,COSTOS!$A$2:$B1014,2,FALSE)-150,VLOOKUP($B694,COSTOS!$A$2:$B1014,2,FALSE)),"No encontrado o error"))</f>
        <v/>
      </c>
      <c r="AI694" s="395"/>
      <c r="AJ694" s="394"/>
      <c r="AK694" s="429" t="str">
        <f>IF(OR(ISBLANK($B694),ISBLANK($AJ694)),"",IFERROR(IF($AJ694&lt;=DATE('ESTADO CONTABLE'!$B$2,12,5),VLOOKUP($B694,COSTOS!$A$2:$B1014,2,FALSE)-150,VLOOKUP($B694,COSTOS!$A$2:$B1014,2,FALSE)),"No encontrado o error"))</f>
        <v/>
      </c>
      <c r="AL694" s="395"/>
      <c r="AM694" s="254"/>
      <c r="AN694" s="255"/>
      <c r="AO694" s="256"/>
    </row>
    <row r="695" ht="22.5" customHeight="1">
      <c r="A695" s="431" t="str">
        <f>'BASE DE DATOSS'!A769</f>
        <v/>
      </c>
      <c r="B695" s="432" t="str">
        <f>'BASE DE DATOSS'!C769</f>
        <v/>
      </c>
      <c r="C695" s="263"/>
      <c r="D695" s="249"/>
      <c r="E695" s="250"/>
      <c r="F695" s="251"/>
      <c r="G695" s="262"/>
      <c r="H695" s="257"/>
      <c r="I695" s="249"/>
      <c r="J695" s="193" t="str">
        <f>IF(OR(ISBLANK($B695),ISBLANK($I695)),"",IFERROR(IF($I695&lt;=DATE('ESTADO CONTABLE'!$B$2,3,5),VLOOKUP($B695,COSTOS!$A$2:$B1014,2,FALSE)-150,VLOOKUP($B695,COSTOS!$A$2:$B1014,2,FALSE)),"No encontrado o error"))</f>
        <v/>
      </c>
      <c r="K695" s="264"/>
      <c r="L695" s="249"/>
      <c r="M695" s="189"/>
      <c r="N695" s="264"/>
      <c r="O695" s="249"/>
      <c r="P695" s="250"/>
      <c r="Q695" s="264"/>
      <c r="R695" s="249"/>
      <c r="S695" s="250"/>
      <c r="T695" s="264"/>
      <c r="U695" s="249"/>
      <c r="V695" s="250"/>
      <c r="W695" s="264"/>
      <c r="X695" s="394"/>
      <c r="Y695" s="429"/>
      <c r="Z695" s="395"/>
      <c r="AA695" s="394"/>
      <c r="AB695" s="118" t="str">
        <f>IF(OR(ISBLANK($B695),ISBLANK($AA695)),"",IFERROR(IF($AA695&lt;=DATE('ESTADO CONTABLE'!$B$2,9,5),VLOOKUP($B695,COSTOS!$A$2:$B1014,2,FALSE)-150,VLOOKUP($B695,COSTOS!$A$2:$B1014,2,FALSE)),"No encontrado o error"))</f>
        <v/>
      </c>
      <c r="AC695" s="395"/>
      <c r="AD695" s="394"/>
      <c r="AE695" s="429" t="str">
        <f>IF(OR(ISBLANK($B695),ISBLANK($AD695)),"",IFERROR(IF($AD695&lt;=DATE('ESTADO CONTABLE'!$B$2,10,5),VLOOKUP($B695,COSTOS!$A$2:$B1014,2,FALSE)-150,VLOOKUP($B695,COSTOS!$A$2:$B1014,2,FALSE)),"No encontrado o error"))</f>
        <v/>
      </c>
      <c r="AF695" s="395"/>
      <c r="AG695" s="394"/>
      <c r="AH695" s="429" t="str">
        <f>IF(OR(ISBLANK($B695),ISBLANK($AG695)),"",IFERROR(IF($AG695&lt;=DATE('ESTADO CONTABLE'!$B$2,11,5),VLOOKUP($B695,COSTOS!$A$2:$B1014,2,FALSE)-150,VLOOKUP($B695,COSTOS!$A$2:$B1014,2,FALSE)),"No encontrado o error"))</f>
        <v/>
      </c>
      <c r="AI695" s="395"/>
      <c r="AJ695" s="394"/>
      <c r="AK695" s="429" t="str">
        <f>IF(OR(ISBLANK($B695),ISBLANK($AJ695)),"",IFERROR(IF($AJ695&lt;=DATE('ESTADO CONTABLE'!$B$2,12,5),VLOOKUP($B695,COSTOS!$A$2:$B1014,2,FALSE)-150,VLOOKUP($B695,COSTOS!$A$2:$B1014,2,FALSE)),"No encontrado o error"))</f>
        <v/>
      </c>
      <c r="AL695" s="395"/>
      <c r="AM695" s="254"/>
      <c r="AN695" s="255"/>
      <c r="AO695" s="256"/>
    </row>
    <row r="696" ht="22.5" customHeight="1">
      <c r="A696" s="431" t="str">
        <f>'BASE DE DATOSS'!A770</f>
        <v/>
      </c>
      <c r="B696" s="432" t="str">
        <f>'BASE DE DATOSS'!C770</f>
        <v/>
      </c>
      <c r="C696" s="263"/>
      <c r="D696" s="249"/>
      <c r="E696" s="250"/>
      <c r="F696" s="251"/>
      <c r="G696" s="262"/>
      <c r="H696" s="257"/>
      <c r="I696" s="249"/>
      <c r="J696" s="193" t="str">
        <f>IF(OR(ISBLANK($B696),ISBLANK($I696)),"",IFERROR(IF($I696&lt;=DATE('ESTADO CONTABLE'!$B$2,3,5),VLOOKUP($B696,COSTOS!$A$2:$B1014,2,FALSE)-150,VLOOKUP($B696,COSTOS!$A$2:$B1014,2,FALSE)),"No encontrado o error"))</f>
        <v/>
      </c>
      <c r="K696" s="264"/>
      <c r="L696" s="249"/>
      <c r="M696" s="189"/>
      <c r="N696" s="264"/>
      <c r="O696" s="249"/>
      <c r="P696" s="250"/>
      <c r="Q696" s="264"/>
      <c r="R696" s="249"/>
      <c r="S696" s="250"/>
      <c r="T696" s="264"/>
      <c r="U696" s="249"/>
      <c r="V696" s="250"/>
      <c r="W696" s="264"/>
      <c r="X696" s="394"/>
      <c r="Y696" s="429"/>
      <c r="Z696" s="395"/>
      <c r="AA696" s="394"/>
      <c r="AB696" s="118" t="str">
        <f>IF(OR(ISBLANK($B696),ISBLANK($AA696)),"",IFERROR(IF($AA696&lt;=DATE('ESTADO CONTABLE'!$B$2,9,5),VLOOKUP($B696,COSTOS!$A$2:$B1014,2,FALSE)-150,VLOOKUP($B696,COSTOS!$A$2:$B1014,2,FALSE)),"No encontrado o error"))</f>
        <v/>
      </c>
      <c r="AC696" s="395"/>
      <c r="AD696" s="394"/>
      <c r="AE696" s="429" t="str">
        <f>IF(OR(ISBLANK($B696),ISBLANK($AD696)),"",IFERROR(IF($AD696&lt;=DATE('ESTADO CONTABLE'!$B$2,10,5),VLOOKUP($B696,COSTOS!$A$2:$B1014,2,FALSE)-150,VLOOKUP($B696,COSTOS!$A$2:$B1014,2,FALSE)),"No encontrado o error"))</f>
        <v/>
      </c>
      <c r="AF696" s="395"/>
      <c r="AG696" s="394"/>
      <c r="AH696" s="429" t="str">
        <f>IF(OR(ISBLANK($B696),ISBLANK($AG696)),"",IFERROR(IF($AG696&lt;=DATE('ESTADO CONTABLE'!$B$2,11,5),VLOOKUP($B696,COSTOS!$A$2:$B1014,2,FALSE)-150,VLOOKUP($B696,COSTOS!$A$2:$B1014,2,FALSE)),"No encontrado o error"))</f>
        <v/>
      </c>
      <c r="AI696" s="395"/>
      <c r="AJ696" s="394"/>
      <c r="AK696" s="429" t="str">
        <f>IF(OR(ISBLANK($B696),ISBLANK($AJ696)),"",IFERROR(IF($AJ696&lt;=DATE('ESTADO CONTABLE'!$B$2,12,5),VLOOKUP($B696,COSTOS!$A$2:$B1014,2,FALSE)-150,VLOOKUP($B696,COSTOS!$A$2:$B1014,2,FALSE)),"No encontrado o error"))</f>
        <v/>
      </c>
      <c r="AL696" s="395"/>
      <c r="AM696" s="254"/>
      <c r="AN696" s="255"/>
      <c r="AO696" s="256"/>
    </row>
    <row r="697" ht="22.5" customHeight="1">
      <c r="A697" s="431" t="str">
        <f>'BASE DE DATOSS'!A771</f>
        <v/>
      </c>
      <c r="B697" s="432" t="str">
        <f>'BASE DE DATOSS'!C771</f>
        <v/>
      </c>
      <c r="C697" s="263"/>
      <c r="D697" s="249"/>
      <c r="E697" s="250"/>
      <c r="F697" s="251"/>
      <c r="G697" s="262"/>
      <c r="H697" s="257"/>
      <c r="I697" s="249"/>
      <c r="J697" s="193" t="str">
        <f>IF(OR(ISBLANK($B697),ISBLANK($I697)),"",IFERROR(IF($I697&lt;=DATE('ESTADO CONTABLE'!$B$2,3,5),VLOOKUP($B697,COSTOS!$A$2:$B1014,2,FALSE)-150,VLOOKUP($B697,COSTOS!$A$2:$B1014,2,FALSE)),"No encontrado o error"))</f>
        <v/>
      </c>
      <c r="K697" s="264"/>
      <c r="L697" s="249"/>
      <c r="M697" s="189"/>
      <c r="N697" s="264"/>
      <c r="O697" s="249"/>
      <c r="P697" s="250"/>
      <c r="Q697" s="264"/>
      <c r="R697" s="249"/>
      <c r="S697" s="250"/>
      <c r="T697" s="264"/>
      <c r="U697" s="249"/>
      <c r="V697" s="250"/>
      <c r="W697" s="264"/>
      <c r="X697" s="394"/>
      <c r="Y697" s="429"/>
      <c r="Z697" s="395"/>
      <c r="AA697" s="394"/>
      <c r="AB697" s="118" t="str">
        <f>IF(OR(ISBLANK($B697),ISBLANK($AA697)),"",IFERROR(IF($AA697&lt;=DATE('ESTADO CONTABLE'!$B$2,9,5),VLOOKUP($B697,COSTOS!$A$2:$B1014,2,FALSE)-150,VLOOKUP($B697,COSTOS!$A$2:$B1014,2,FALSE)),"No encontrado o error"))</f>
        <v/>
      </c>
      <c r="AC697" s="395"/>
      <c r="AD697" s="394"/>
      <c r="AE697" s="429" t="str">
        <f>IF(OR(ISBLANK($B697),ISBLANK($AD697)),"",IFERROR(IF($AD697&lt;=DATE('ESTADO CONTABLE'!$B$2,10,5),VLOOKUP($B697,COSTOS!$A$2:$B1014,2,FALSE)-150,VLOOKUP($B697,COSTOS!$A$2:$B1014,2,FALSE)),"No encontrado o error"))</f>
        <v/>
      </c>
      <c r="AF697" s="395"/>
      <c r="AG697" s="394"/>
      <c r="AH697" s="429" t="str">
        <f>IF(OR(ISBLANK($B697),ISBLANK($AG697)),"",IFERROR(IF($AG697&lt;=DATE('ESTADO CONTABLE'!$B$2,11,5),VLOOKUP($B697,COSTOS!$A$2:$B1014,2,FALSE)-150,VLOOKUP($B697,COSTOS!$A$2:$B1014,2,FALSE)),"No encontrado o error"))</f>
        <v/>
      </c>
      <c r="AI697" s="395"/>
      <c r="AJ697" s="394"/>
      <c r="AK697" s="429" t="str">
        <f>IF(OR(ISBLANK($B697),ISBLANK($AJ697)),"",IFERROR(IF($AJ697&lt;=DATE('ESTADO CONTABLE'!$B$2,12,5),VLOOKUP($B697,COSTOS!$A$2:$B1014,2,FALSE)-150,VLOOKUP($B697,COSTOS!$A$2:$B1014,2,FALSE)),"No encontrado o error"))</f>
        <v/>
      </c>
      <c r="AL697" s="395"/>
      <c r="AM697" s="254"/>
      <c r="AN697" s="255"/>
      <c r="AO697" s="256"/>
    </row>
    <row r="698" ht="22.5" customHeight="1">
      <c r="A698" s="431" t="str">
        <f>'BASE DE DATOSS'!A772</f>
        <v/>
      </c>
      <c r="B698" s="432" t="str">
        <f>'BASE DE DATOSS'!C772</f>
        <v/>
      </c>
      <c r="C698" s="263"/>
      <c r="D698" s="249"/>
      <c r="E698" s="250"/>
      <c r="F698" s="251"/>
      <c r="G698" s="262"/>
      <c r="H698" s="257"/>
      <c r="I698" s="249"/>
      <c r="J698" s="193" t="str">
        <f>IF(OR(ISBLANK($B698),ISBLANK($I698)),"",IFERROR(IF($I698&lt;=DATE('ESTADO CONTABLE'!$B$2,3,5),VLOOKUP($B698,COSTOS!$A$2:$B1014,2,FALSE)-150,VLOOKUP($B698,COSTOS!$A$2:$B1014,2,FALSE)),"No encontrado o error"))</f>
        <v/>
      </c>
      <c r="K698" s="264"/>
      <c r="L698" s="249"/>
      <c r="M698" s="189"/>
      <c r="N698" s="264"/>
      <c r="O698" s="249"/>
      <c r="P698" s="250"/>
      <c r="Q698" s="264"/>
      <c r="R698" s="249"/>
      <c r="S698" s="250"/>
      <c r="T698" s="264"/>
      <c r="U698" s="249"/>
      <c r="V698" s="250"/>
      <c r="W698" s="264"/>
      <c r="X698" s="394"/>
      <c r="Y698" s="429"/>
      <c r="Z698" s="395"/>
      <c r="AA698" s="394"/>
      <c r="AB698" s="118" t="str">
        <f>IF(OR(ISBLANK($B698),ISBLANK($AA698)),"",IFERROR(IF($AA698&lt;=DATE('ESTADO CONTABLE'!$B$2,9,5),VLOOKUP($B698,COSTOS!$A$2:$B1014,2,FALSE)-150,VLOOKUP($B698,COSTOS!$A$2:$B1014,2,FALSE)),"No encontrado o error"))</f>
        <v/>
      </c>
      <c r="AC698" s="395"/>
      <c r="AD698" s="394"/>
      <c r="AE698" s="429" t="str">
        <f>IF(OR(ISBLANK($B698),ISBLANK($AD698)),"",IFERROR(IF($AD698&lt;=DATE('ESTADO CONTABLE'!$B$2,10,5),VLOOKUP($B698,COSTOS!$A$2:$B1014,2,FALSE)-150,VLOOKUP($B698,COSTOS!$A$2:$B1014,2,FALSE)),"No encontrado o error"))</f>
        <v/>
      </c>
      <c r="AF698" s="395"/>
      <c r="AG698" s="394"/>
      <c r="AH698" s="429" t="str">
        <f>IF(OR(ISBLANK($B698),ISBLANK($AG698)),"",IFERROR(IF($AG698&lt;=DATE('ESTADO CONTABLE'!$B$2,11,5),VLOOKUP($B698,COSTOS!$A$2:$B1014,2,FALSE)-150,VLOOKUP($B698,COSTOS!$A$2:$B1014,2,FALSE)),"No encontrado o error"))</f>
        <v/>
      </c>
      <c r="AI698" s="395"/>
      <c r="AJ698" s="394"/>
      <c r="AK698" s="429" t="str">
        <f>IF(OR(ISBLANK($B698),ISBLANK($AJ698)),"",IFERROR(IF($AJ698&lt;=DATE('ESTADO CONTABLE'!$B$2,12,5),VLOOKUP($B698,COSTOS!$A$2:$B1014,2,FALSE)-150,VLOOKUP($B698,COSTOS!$A$2:$B1014,2,FALSE)),"No encontrado o error"))</f>
        <v/>
      </c>
      <c r="AL698" s="395"/>
      <c r="AM698" s="254"/>
      <c r="AN698" s="255"/>
      <c r="AO698" s="256"/>
    </row>
    <row r="699" ht="22.5" customHeight="1">
      <c r="A699" s="431" t="str">
        <f>'BASE DE DATOSS'!A773</f>
        <v/>
      </c>
      <c r="B699" s="432" t="str">
        <f>'BASE DE DATOSS'!C773</f>
        <v/>
      </c>
      <c r="C699" s="263"/>
      <c r="D699" s="249"/>
      <c r="E699" s="250"/>
      <c r="F699" s="251"/>
      <c r="G699" s="262"/>
      <c r="H699" s="257"/>
      <c r="I699" s="249"/>
      <c r="J699" s="193" t="str">
        <f>IF(OR(ISBLANK($B699),ISBLANK($I699)),"",IFERROR(IF($I699&lt;=DATE('ESTADO CONTABLE'!$B$2,3,5),VLOOKUP($B699,COSTOS!$A$2:$B1014,2,FALSE)-150,VLOOKUP($B699,COSTOS!$A$2:$B1014,2,FALSE)),"No encontrado o error"))</f>
        <v/>
      </c>
      <c r="K699" s="264"/>
      <c r="L699" s="249"/>
      <c r="M699" s="189"/>
      <c r="N699" s="264"/>
      <c r="O699" s="249"/>
      <c r="P699" s="250"/>
      <c r="Q699" s="264"/>
      <c r="R699" s="249"/>
      <c r="S699" s="250"/>
      <c r="T699" s="264"/>
      <c r="U699" s="249"/>
      <c r="V699" s="250"/>
      <c r="W699" s="264"/>
      <c r="X699" s="394"/>
      <c r="Y699" s="429"/>
      <c r="Z699" s="395"/>
      <c r="AA699" s="394"/>
      <c r="AB699" s="118" t="str">
        <f>IF(OR(ISBLANK($B699),ISBLANK($AA699)),"",IFERROR(IF($AA699&lt;=DATE('ESTADO CONTABLE'!$B$2,9,5),VLOOKUP($B699,COSTOS!$A$2:$B1014,2,FALSE)-150,VLOOKUP($B699,COSTOS!$A$2:$B1014,2,FALSE)),"No encontrado o error"))</f>
        <v/>
      </c>
      <c r="AC699" s="395"/>
      <c r="AD699" s="394"/>
      <c r="AE699" s="429" t="str">
        <f>IF(OR(ISBLANK($B699),ISBLANK($AD699)),"",IFERROR(IF($AD699&lt;=DATE('ESTADO CONTABLE'!$B$2,10,5),VLOOKUP($B699,COSTOS!$A$2:$B1014,2,FALSE)-150,VLOOKUP($B699,COSTOS!$A$2:$B1014,2,FALSE)),"No encontrado o error"))</f>
        <v/>
      </c>
      <c r="AF699" s="395"/>
      <c r="AG699" s="394"/>
      <c r="AH699" s="429" t="str">
        <f>IF(OR(ISBLANK($B699),ISBLANK($AG699)),"",IFERROR(IF($AG699&lt;=DATE('ESTADO CONTABLE'!$B$2,11,5),VLOOKUP($B699,COSTOS!$A$2:$B1014,2,FALSE)-150,VLOOKUP($B699,COSTOS!$A$2:$B1014,2,FALSE)),"No encontrado o error"))</f>
        <v/>
      </c>
      <c r="AI699" s="395"/>
      <c r="AJ699" s="394"/>
      <c r="AK699" s="429" t="str">
        <f>IF(OR(ISBLANK($B699),ISBLANK($AJ699)),"",IFERROR(IF($AJ699&lt;=DATE('ESTADO CONTABLE'!$B$2,12,5),VLOOKUP($B699,COSTOS!$A$2:$B1014,2,FALSE)-150,VLOOKUP($B699,COSTOS!$A$2:$B1014,2,FALSE)),"No encontrado o error"))</f>
        <v/>
      </c>
      <c r="AL699" s="395"/>
      <c r="AM699" s="254"/>
      <c r="AN699" s="255"/>
      <c r="AO699" s="256"/>
    </row>
    <row r="700" ht="22.5" customHeight="1">
      <c r="A700" s="431" t="str">
        <f>'BASE DE DATOSS'!A774</f>
        <v/>
      </c>
      <c r="B700" s="432" t="str">
        <f>'BASE DE DATOSS'!C774</f>
        <v/>
      </c>
      <c r="C700" s="263"/>
      <c r="D700" s="249"/>
      <c r="E700" s="250"/>
      <c r="F700" s="251"/>
      <c r="G700" s="262"/>
      <c r="H700" s="257"/>
      <c r="I700" s="249"/>
      <c r="J700" s="193" t="str">
        <f>IF(OR(ISBLANK($B700),ISBLANK($I700)),"",IFERROR(IF($I700&lt;=DATE('ESTADO CONTABLE'!$B$2,3,5),VLOOKUP($B700,COSTOS!$A$2:$B1014,2,FALSE)-150,VLOOKUP($B700,COSTOS!$A$2:$B1014,2,FALSE)),"No encontrado o error"))</f>
        <v/>
      </c>
      <c r="K700" s="264"/>
      <c r="L700" s="249"/>
      <c r="M700" s="189"/>
      <c r="N700" s="264"/>
      <c r="O700" s="249"/>
      <c r="P700" s="250"/>
      <c r="Q700" s="264"/>
      <c r="R700" s="249"/>
      <c r="S700" s="250"/>
      <c r="T700" s="264"/>
      <c r="U700" s="249"/>
      <c r="V700" s="250"/>
      <c r="W700" s="264"/>
      <c r="X700" s="394"/>
      <c r="Y700" s="429"/>
      <c r="Z700" s="395"/>
      <c r="AA700" s="394"/>
      <c r="AB700" s="118" t="str">
        <f>IF(OR(ISBLANK($B700),ISBLANK($AA700)),"",IFERROR(IF($AA700&lt;=DATE('ESTADO CONTABLE'!$B$2,9,5),VLOOKUP($B700,COSTOS!$A$2:$B1014,2,FALSE)-150,VLOOKUP($B700,COSTOS!$A$2:$B1014,2,FALSE)),"No encontrado o error"))</f>
        <v/>
      </c>
      <c r="AC700" s="395"/>
      <c r="AD700" s="394"/>
      <c r="AE700" s="429" t="str">
        <f>IF(OR(ISBLANK($B700),ISBLANK($AD700)),"",IFERROR(IF($AD700&lt;=DATE('ESTADO CONTABLE'!$B$2,10,5),VLOOKUP($B700,COSTOS!$A$2:$B1014,2,FALSE)-150,VLOOKUP($B700,COSTOS!$A$2:$B1014,2,FALSE)),"No encontrado o error"))</f>
        <v/>
      </c>
      <c r="AF700" s="395"/>
      <c r="AG700" s="394"/>
      <c r="AH700" s="429" t="str">
        <f>IF(OR(ISBLANK($B700),ISBLANK($AG700)),"",IFERROR(IF($AG700&lt;=DATE('ESTADO CONTABLE'!$B$2,11,5),VLOOKUP($B700,COSTOS!$A$2:$B1014,2,FALSE)-150,VLOOKUP($B700,COSTOS!$A$2:$B1014,2,FALSE)),"No encontrado o error"))</f>
        <v/>
      </c>
      <c r="AI700" s="395"/>
      <c r="AJ700" s="394"/>
      <c r="AK700" s="429" t="str">
        <f>IF(OR(ISBLANK($B700),ISBLANK($AJ700)),"",IFERROR(IF($AJ700&lt;=DATE('ESTADO CONTABLE'!$B$2,12,5),VLOOKUP($B700,COSTOS!$A$2:$B1014,2,FALSE)-150,VLOOKUP($B700,COSTOS!$A$2:$B1014,2,FALSE)),"No encontrado o error"))</f>
        <v/>
      </c>
      <c r="AL700" s="395"/>
      <c r="AM700" s="254"/>
      <c r="AN700" s="255"/>
      <c r="AO700" s="256"/>
    </row>
    <row r="701" ht="22.5" customHeight="1">
      <c r="A701" s="431" t="str">
        <f>'BASE DE DATOSS'!A775</f>
        <v/>
      </c>
      <c r="B701" s="432" t="str">
        <f>'BASE DE DATOSS'!C775</f>
        <v/>
      </c>
      <c r="C701" s="263"/>
      <c r="D701" s="249"/>
      <c r="E701" s="250"/>
      <c r="F701" s="251"/>
      <c r="G701" s="262"/>
      <c r="H701" s="257"/>
      <c r="I701" s="249"/>
      <c r="J701" s="193" t="str">
        <f>IF(OR(ISBLANK($B701),ISBLANK($I701)),"",IFERROR(IF($I701&lt;=DATE('ESTADO CONTABLE'!$B$2,3,5),VLOOKUP($B701,COSTOS!$A$2:$B1014,2,FALSE)-150,VLOOKUP($B701,COSTOS!$A$2:$B1014,2,FALSE)),"No encontrado o error"))</f>
        <v/>
      </c>
      <c r="K701" s="264"/>
      <c r="L701" s="249"/>
      <c r="M701" s="189"/>
      <c r="N701" s="264"/>
      <c r="O701" s="249"/>
      <c r="P701" s="250"/>
      <c r="Q701" s="264"/>
      <c r="R701" s="249"/>
      <c r="S701" s="250"/>
      <c r="T701" s="264"/>
      <c r="U701" s="249"/>
      <c r="V701" s="250"/>
      <c r="W701" s="264"/>
      <c r="X701" s="394"/>
      <c r="Y701" s="429"/>
      <c r="Z701" s="395"/>
      <c r="AA701" s="394"/>
      <c r="AB701" s="118" t="str">
        <f>IF(OR(ISBLANK($B701),ISBLANK($AA701)),"",IFERROR(IF($AA701&lt;=DATE('ESTADO CONTABLE'!$B$2,9,5),VLOOKUP($B701,COSTOS!$A$2:$B1014,2,FALSE)-150,VLOOKUP($B701,COSTOS!$A$2:$B1014,2,FALSE)),"No encontrado o error"))</f>
        <v/>
      </c>
      <c r="AC701" s="395"/>
      <c r="AD701" s="394"/>
      <c r="AE701" s="429" t="str">
        <f>IF(OR(ISBLANK($B701),ISBLANK($AD701)),"",IFERROR(IF($AD701&lt;=DATE('ESTADO CONTABLE'!$B$2,10,5),VLOOKUP($B701,COSTOS!$A$2:$B1014,2,FALSE)-150,VLOOKUP($B701,COSTOS!$A$2:$B1014,2,FALSE)),"No encontrado o error"))</f>
        <v/>
      </c>
      <c r="AF701" s="395"/>
      <c r="AG701" s="394"/>
      <c r="AH701" s="429" t="str">
        <f>IF(OR(ISBLANK($B701),ISBLANK($AG701)),"",IFERROR(IF($AG701&lt;=DATE('ESTADO CONTABLE'!$B$2,11,5),VLOOKUP($B701,COSTOS!$A$2:$B1014,2,FALSE)-150,VLOOKUP($B701,COSTOS!$A$2:$B1014,2,FALSE)),"No encontrado o error"))</f>
        <v/>
      </c>
      <c r="AI701" s="395"/>
      <c r="AJ701" s="394"/>
      <c r="AK701" s="429" t="str">
        <f>IF(OR(ISBLANK($B701),ISBLANK($AJ701)),"",IFERROR(IF($AJ701&lt;=DATE('ESTADO CONTABLE'!$B$2,12,5),VLOOKUP($B701,COSTOS!$A$2:$B1014,2,FALSE)-150,VLOOKUP($B701,COSTOS!$A$2:$B1014,2,FALSE)),"No encontrado o error"))</f>
        <v/>
      </c>
      <c r="AL701" s="395"/>
      <c r="AM701" s="254"/>
      <c r="AN701" s="255"/>
      <c r="AO701" s="256"/>
    </row>
    <row r="702" ht="22.5" customHeight="1">
      <c r="A702" s="431" t="str">
        <f>'BASE DE DATOSS'!A776</f>
        <v/>
      </c>
      <c r="B702" s="432" t="str">
        <f>'BASE DE DATOSS'!C776</f>
        <v/>
      </c>
      <c r="C702" s="263"/>
      <c r="D702" s="249"/>
      <c r="E702" s="250"/>
      <c r="F702" s="251"/>
      <c r="G702" s="262"/>
      <c r="H702" s="257"/>
      <c r="I702" s="249"/>
      <c r="J702" s="193" t="str">
        <f>IF(OR(ISBLANK($B702),ISBLANK($I702)),"",IFERROR(IF($I702&lt;=DATE('ESTADO CONTABLE'!$B$2,3,5),VLOOKUP($B702,COSTOS!$A$2:$B1014,2,FALSE)-150,VLOOKUP($B702,COSTOS!$A$2:$B1014,2,FALSE)),"No encontrado o error"))</f>
        <v/>
      </c>
      <c r="K702" s="264"/>
      <c r="L702" s="249"/>
      <c r="M702" s="189"/>
      <c r="N702" s="264"/>
      <c r="O702" s="249"/>
      <c r="P702" s="250"/>
      <c r="Q702" s="264"/>
      <c r="R702" s="249"/>
      <c r="S702" s="250"/>
      <c r="T702" s="264"/>
      <c r="U702" s="249"/>
      <c r="V702" s="250"/>
      <c r="W702" s="264"/>
      <c r="X702" s="394"/>
      <c r="Y702" s="429"/>
      <c r="Z702" s="395"/>
      <c r="AA702" s="394"/>
      <c r="AB702" s="118" t="str">
        <f>IF(OR(ISBLANK($B702),ISBLANK($AA702)),"",IFERROR(IF($AA702&lt;=DATE('ESTADO CONTABLE'!$B$2,9,5),VLOOKUP($B702,COSTOS!$A$2:$B1014,2,FALSE)-150,VLOOKUP($B702,COSTOS!$A$2:$B1014,2,FALSE)),"No encontrado o error"))</f>
        <v/>
      </c>
      <c r="AC702" s="395"/>
      <c r="AD702" s="394"/>
      <c r="AE702" s="429" t="str">
        <f>IF(OR(ISBLANK($B702),ISBLANK($AD702)),"",IFERROR(IF($AD702&lt;=DATE('ESTADO CONTABLE'!$B$2,10,5),VLOOKUP($B702,COSTOS!$A$2:$B1014,2,FALSE)-150,VLOOKUP($B702,COSTOS!$A$2:$B1014,2,FALSE)),"No encontrado o error"))</f>
        <v/>
      </c>
      <c r="AF702" s="395"/>
      <c r="AG702" s="394"/>
      <c r="AH702" s="429" t="str">
        <f>IF(OR(ISBLANK($B702),ISBLANK($AG702)),"",IFERROR(IF($AG702&lt;=DATE('ESTADO CONTABLE'!$B$2,11,5),VLOOKUP($B702,COSTOS!$A$2:$B1014,2,FALSE)-150,VLOOKUP($B702,COSTOS!$A$2:$B1014,2,FALSE)),"No encontrado o error"))</f>
        <v/>
      </c>
      <c r="AI702" s="395"/>
      <c r="AJ702" s="394"/>
      <c r="AK702" s="429" t="str">
        <f>IF(OR(ISBLANK($B702),ISBLANK($AJ702)),"",IFERROR(IF($AJ702&lt;=DATE('ESTADO CONTABLE'!$B$2,12,5),VLOOKUP($B702,COSTOS!$A$2:$B1014,2,FALSE)-150,VLOOKUP($B702,COSTOS!$A$2:$B1014,2,FALSE)),"No encontrado o error"))</f>
        <v/>
      </c>
      <c r="AL702" s="395"/>
      <c r="AM702" s="254"/>
      <c r="AN702" s="255"/>
      <c r="AO702" s="256"/>
    </row>
    <row r="703" ht="22.5" customHeight="1">
      <c r="A703" s="431" t="str">
        <f>'BASE DE DATOSS'!A777</f>
        <v/>
      </c>
      <c r="B703" s="432" t="str">
        <f>'BASE DE DATOSS'!C777</f>
        <v/>
      </c>
      <c r="C703" s="263"/>
      <c r="D703" s="249"/>
      <c r="E703" s="250"/>
      <c r="F703" s="251"/>
      <c r="G703" s="262"/>
      <c r="H703" s="257"/>
      <c r="I703" s="249"/>
      <c r="J703" s="193" t="str">
        <f>IF(OR(ISBLANK($B703),ISBLANK($I703)),"",IFERROR(IF($I703&lt;=DATE('ESTADO CONTABLE'!$B$2,3,5),VLOOKUP($B703,COSTOS!$A$2:$B1014,2,FALSE)-150,VLOOKUP($B703,COSTOS!$A$2:$B1014,2,FALSE)),"No encontrado o error"))</f>
        <v/>
      </c>
      <c r="K703" s="264"/>
      <c r="L703" s="249"/>
      <c r="M703" s="189"/>
      <c r="N703" s="264"/>
      <c r="O703" s="249"/>
      <c r="P703" s="250"/>
      <c r="Q703" s="264"/>
      <c r="R703" s="249"/>
      <c r="S703" s="250"/>
      <c r="T703" s="264"/>
      <c r="U703" s="249"/>
      <c r="V703" s="250"/>
      <c r="W703" s="264"/>
      <c r="X703" s="394"/>
      <c r="Y703" s="429"/>
      <c r="Z703" s="395"/>
      <c r="AA703" s="394"/>
      <c r="AB703" s="118" t="str">
        <f>IF(OR(ISBLANK($B703),ISBLANK($AA703)),"",IFERROR(IF($AA703&lt;=DATE('ESTADO CONTABLE'!$B$2,9,5),VLOOKUP($B703,COSTOS!$A$2:$B1014,2,FALSE)-150,VLOOKUP($B703,COSTOS!$A$2:$B1014,2,FALSE)),"No encontrado o error"))</f>
        <v/>
      </c>
      <c r="AC703" s="395"/>
      <c r="AD703" s="394"/>
      <c r="AE703" s="429" t="str">
        <f>IF(OR(ISBLANK($B703),ISBLANK($AD703)),"",IFERROR(IF($AD703&lt;=DATE('ESTADO CONTABLE'!$B$2,10,5),VLOOKUP($B703,COSTOS!$A$2:$B1014,2,FALSE)-150,VLOOKUP($B703,COSTOS!$A$2:$B1014,2,FALSE)),"No encontrado o error"))</f>
        <v/>
      </c>
      <c r="AF703" s="395"/>
      <c r="AG703" s="394"/>
      <c r="AH703" s="429" t="str">
        <f>IF(OR(ISBLANK($B703),ISBLANK($AG703)),"",IFERROR(IF($AG703&lt;=DATE('ESTADO CONTABLE'!$B$2,11,5),VLOOKUP($B703,COSTOS!$A$2:$B1014,2,FALSE)-150,VLOOKUP($B703,COSTOS!$A$2:$B1014,2,FALSE)),"No encontrado o error"))</f>
        <v/>
      </c>
      <c r="AI703" s="395"/>
      <c r="AJ703" s="394"/>
      <c r="AK703" s="429" t="str">
        <f>IF(OR(ISBLANK($B703),ISBLANK($AJ703)),"",IFERROR(IF($AJ703&lt;=DATE('ESTADO CONTABLE'!$B$2,12,5),VLOOKUP($B703,COSTOS!$A$2:$B1014,2,FALSE)-150,VLOOKUP($B703,COSTOS!$A$2:$B1014,2,FALSE)),"No encontrado o error"))</f>
        <v/>
      </c>
      <c r="AL703" s="395"/>
      <c r="AM703" s="254"/>
      <c r="AN703" s="255"/>
      <c r="AO703" s="256"/>
    </row>
    <row r="704" ht="22.5" customHeight="1">
      <c r="A704" s="431" t="str">
        <f>'BASE DE DATOSS'!A778</f>
        <v/>
      </c>
      <c r="B704" s="432" t="str">
        <f>'BASE DE DATOSS'!C778</f>
        <v/>
      </c>
      <c r="C704" s="263"/>
      <c r="D704" s="249"/>
      <c r="E704" s="250"/>
      <c r="F704" s="251"/>
      <c r="G704" s="262"/>
      <c r="H704" s="257"/>
      <c r="I704" s="249"/>
      <c r="J704" s="193" t="str">
        <f>IF(OR(ISBLANK($B704),ISBLANK($I704)),"",IFERROR(IF($I704&lt;=DATE('ESTADO CONTABLE'!$B$2,3,5),VLOOKUP($B704,COSTOS!$A$2:$B1014,2,FALSE)-150,VLOOKUP($B704,COSTOS!$A$2:$B1014,2,FALSE)),"No encontrado o error"))</f>
        <v/>
      </c>
      <c r="K704" s="264"/>
      <c r="L704" s="249"/>
      <c r="M704" s="189"/>
      <c r="N704" s="264"/>
      <c r="O704" s="249"/>
      <c r="P704" s="250"/>
      <c r="Q704" s="264"/>
      <c r="R704" s="249"/>
      <c r="S704" s="250"/>
      <c r="T704" s="264"/>
      <c r="U704" s="249"/>
      <c r="V704" s="250"/>
      <c r="W704" s="264"/>
      <c r="X704" s="394"/>
      <c r="Y704" s="429"/>
      <c r="Z704" s="395"/>
      <c r="AA704" s="394"/>
      <c r="AB704" s="118" t="str">
        <f>IF(OR(ISBLANK($B704),ISBLANK($AA704)),"",IFERROR(IF($AA704&lt;=DATE('ESTADO CONTABLE'!$B$2,9,5),VLOOKUP($B704,COSTOS!$A$2:$B1014,2,FALSE)-150,VLOOKUP($B704,COSTOS!$A$2:$B1014,2,FALSE)),"No encontrado o error"))</f>
        <v/>
      </c>
      <c r="AC704" s="395"/>
      <c r="AD704" s="394"/>
      <c r="AE704" s="429" t="str">
        <f>IF(OR(ISBLANK($B704),ISBLANK($AD704)),"",IFERROR(IF($AD704&lt;=DATE('ESTADO CONTABLE'!$B$2,10,5),VLOOKUP($B704,COSTOS!$A$2:$B1014,2,FALSE)-150,VLOOKUP($B704,COSTOS!$A$2:$B1014,2,FALSE)),"No encontrado o error"))</f>
        <v/>
      </c>
      <c r="AF704" s="395"/>
      <c r="AG704" s="394"/>
      <c r="AH704" s="429" t="str">
        <f>IF(OR(ISBLANK($B704),ISBLANK($AG704)),"",IFERROR(IF($AG704&lt;=DATE('ESTADO CONTABLE'!$B$2,11,5),VLOOKUP($B704,COSTOS!$A$2:$B1014,2,FALSE)-150,VLOOKUP($B704,COSTOS!$A$2:$B1014,2,FALSE)),"No encontrado o error"))</f>
        <v/>
      </c>
      <c r="AI704" s="395"/>
      <c r="AJ704" s="394"/>
      <c r="AK704" s="429" t="str">
        <f>IF(OR(ISBLANK($B704),ISBLANK($AJ704)),"",IFERROR(IF($AJ704&lt;=DATE('ESTADO CONTABLE'!$B$2,12,5),VLOOKUP($B704,COSTOS!$A$2:$B1014,2,FALSE)-150,VLOOKUP($B704,COSTOS!$A$2:$B1014,2,FALSE)),"No encontrado o error"))</f>
        <v/>
      </c>
      <c r="AL704" s="395"/>
      <c r="AM704" s="254"/>
      <c r="AN704" s="255"/>
      <c r="AO704" s="256"/>
    </row>
    <row r="705" ht="22.5" customHeight="1">
      <c r="A705" s="431" t="str">
        <f>'BASE DE DATOSS'!A779</f>
        <v/>
      </c>
      <c r="B705" s="432" t="str">
        <f>'BASE DE DATOSS'!C779</f>
        <v/>
      </c>
      <c r="C705" s="263"/>
      <c r="D705" s="249"/>
      <c r="E705" s="250"/>
      <c r="F705" s="251"/>
      <c r="G705" s="262"/>
      <c r="H705" s="257"/>
      <c r="I705" s="249"/>
      <c r="J705" s="193" t="str">
        <f>IF(OR(ISBLANK($B705),ISBLANK($I705)),"",IFERROR(IF($I705&lt;=DATE('ESTADO CONTABLE'!$B$2,3,5),VLOOKUP($B705,COSTOS!$A$2:$B1014,2,FALSE)-150,VLOOKUP($B705,COSTOS!$A$2:$B1014,2,FALSE)),"No encontrado o error"))</f>
        <v/>
      </c>
      <c r="K705" s="264"/>
      <c r="L705" s="249"/>
      <c r="M705" s="189"/>
      <c r="N705" s="264"/>
      <c r="O705" s="249"/>
      <c r="P705" s="250"/>
      <c r="Q705" s="264"/>
      <c r="R705" s="249"/>
      <c r="S705" s="250"/>
      <c r="T705" s="264"/>
      <c r="U705" s="249"/>
      <c r="V705" s="250"/>
      <c r="W705" s="264"/>
      <c r="X705" s="394"/>
      <c r="Y705" s="429"/>
      <c r="Z705" s="395"/>
      <c r="AA705" s="394"/>
      <c r="AB705" s="118" t="str">
        <f>IF(OR(ISBLANK($B705),ISBLANK($AA705)),"",IFERROR(IF($AA705&lt;=DATE('ESTADO CONTABLE'!$B$2,9,5),VLOOKUP($B705,COSTOS!$A$2:$B1014,2,FALSE)-150,VLOOKUP($B705,COSTOS!$A$2:$B1014,2,FALSE)),"No encontrado o error"))</f>
        <v/>
      </c>
      <c r="AC705" s="395"/>
      <c r="AD705" s="394"/>
      <c r="AE705" s="429" t="str">
        <f>IF(OR(ISBLANK($B705),ISBLANK($AD705)),"",IFERROR(IF($AD705&lt;=DATE('ESTADO CONTABLE'!$B$2,10,5),VLOOKUP($B705,COSTOS!$A$2:$B1014,2,FALSE)-150,VLOOKUP($B705,COSTOS!$A$2:$B1014,2,FALSE)),"No encontrado o error"))</f>
        <v/>
      </c>
      <c r="AF705" s="395"/>
      <c r="AG705" s="394"/>
      <c r="AH705" s="429" t="str">
        <f>IF(OR(ISBLANK($B705),ISBLANK($AG705)),"",IFERROR(IF($AG705&lt;=DATE('ESTADO CONTABLE'!$B$2,11,5),VLOOKUP($B705,COSTOS!$A$2:$B1014,2,FALSE)-150,VLOOKUP($B705,COSTOS!$A$2:$B1014,2,FALSE)),"No encontrado o error"))</f>
        <v/>
      </c>
      <c r="AI705" s="395"/>
      <c r="AJ705" s="394"/>
      <c r="AK705" s="429" t="str">
        <f>IF(OR(ISBLANK($B705),ISBLANK($AJ705)),"",IFERROR(IF($AJ705&lt;=DATE('ESTADO CONTABLE'!$B$2,12,5),VLOOKUP($B705,COSTOS!$A$2:$B1014,2,FALSE)-150,VLOOKUP($B705,COSTOS!$A$2:$B1014,2,FALSE)),"No encontrado o error"))</f>
        <v/>
      </c>
      <c r="AL705" s="395"/>
      <c r="AM705" s="254"/>
      <c r="AN705" s="255"/>
      <c r="AO705" s="256"/>
    </row>
    <row r="706" ht="22.5" customHeight="1">
      <c r="A706" s="431" t="str">
        <f>'BASE DE DATOSS'!A780</f>
        <v/>
      </c>
      <c r="B706" s="432" t="str">
        <f>'BASE DE DATOSS'!C780</f>
        <v/>
      </c>
      <c r="C706" s="263"/>
      <c r="D706" s="249"/>
      <c r="E706" s="250"/>
      <c r="F706" s="251"/>
      <c r="G706" s="262"/>
      <c r="H706" s="257"/>
      <c r="I706" s="249"/>
      <c r="J706" s="193" t="str">
        <f>IF(OR(ISBLANK($B706),ISBLANK($I706)),"",IFERROR(IF($I706&lt;=DATE('ESTADO CONTABLE'!$B$2,3,5),VLOOKUP($B706,COSTOS!$A$2:$B1014,2,FALSE)-150,VLOOKUP($B706,COSTOS!$A$2:$B1014,2,FALSE)),"No encontrado o error"))</f>
        <v/>
      </c>
      <c r="K706" s="264"/>
      <c r="L706" s="249"/>
      <c r="M706" s="189"/>
      <c r="N706" s="264"/>
      <c r="O706" s="249"/>
      <c r="P706" s="250"/>
      <c r="Q706" s="264"/>
      <c r="R706" s="249"/>
      <c r="S706" s="250"/>
      <c r="T706" s="264"/>
      <c r="U706" s="249"/>
      <c r="V706" s="250"/>
      <c r="W706" s="264"/>
      <c r="X706" s="394"/>
      <c r="Y706" s="429"/>
      <c r="Z706" s="395"/>
      <c r="AA706" s="394"/>
      <c r="AB706" s="118" t="str">
        <f>IF(OR(ISBLANK($B706),ISBLANK($AA706)),"",IFERROR(IF($AA706&lt;=DATE('ESTADO CONTABLE'!$B$2,9,5),VLOOKUP($B706,COSTOS!$A$2:$B1014,2,FALSE)-150,VLOOKUP($B706,COSTOS!$A$2:$B1014,2,FALSE)),"No encontrado o error"))</f>
        <v/>
      </c>
      <c r="AC706" s="395"/>
      <c r="AD706" s="394"/>
      <c r="AE706" s="429" t="str">
        <f>IF(OR(ISBLANK($B706),ISBLANK($AD706)),"",IFERROR(IF($AD706&lt;=DATE('ESTADO CONTABLE'!$B$2,10,5),VLOOKUP($B706,COSTOS!$A$2:$B1014,2,FALSE)-150,VLOOKUP($B706,COSTOS!$A$2:$B1014,2,FALSE)),"No encontrado o error"))</f>
        <v/>
      </c>
      <c r="AF706" s="395"/>
      <c r="AG706" s="394"/>
      <c r="AH706" s="429" t="str">
        <f>IF(OR(ISBLANK($B706),ISBLANK($AG706)),"",IFERROR(IF($AG706&lt;=DATE('ESTADO CONTABLE'!$B$2,11,5),VLOOKUP($B706,COSTOS!$A$2:$B1014,2,FALSE)-150,VLOOKUP($B706,COSTOS!$A$2:$B1014,2,FALSE)),"No encontrado o error"))</f>
        <v/>
      </c>
      <c r="AI706" s="395"/>
      <c r="AJ706" s="394"/>
      <c r="AK706" s="429" t="str">
        <f>IF(OR(ISBLANK($B706),ISBLANK($AJ706)),"",IFERROR(IF($AJ706&lt;=DATE('ESTADO CONTABLE'!$B$2,12,5),VLOOKUP($B706,COSTOS!$A$2:$B1014,2,FALSE)-150,VLOOKUP($B706,COSTOS!$A$2:$B1014,2,FALSE)),"No encontrado o error"))</f>
        <v/>
      </c>
      <c r="AL706" s="395"/>
      <c r="AM706" s="254"/>
      <c r="AN706" s="255"/>
      <c r="AO706" s="256"/>
    </row>
    <row r="707" ht="22.5" customHeight="1">
      <c r="A707" s="431" t="str">
        <f>'BASE DE DATOSS'!A781</f>
        <v/>
      </c>
      <c r="B707" s="432" t="str">
        <f>'BASE DE DATOSS'!C781</f>
        <v/>
      </c>
      <c r="C707" s="263"/>
      <c r="D707" s="249"/>
      <c r="E707" s="250"/>
      <c r="F707" s="251"/>
      <c r="G707" s="262"/>
      <c r="H707" s="257"/>
      <c r="I707" s="249"/>
      <c r="J707" s="193" t="str">
        <f>IF(OR(ISBLANK($B707),ISBLANK($I707)),"",IFERROR(IF($I707&lt;=DATE('ESTADO CONTABLE'!$B$2,3,5),VLOOKUP($B707,COSTOS!$A$2:$B1014,2,FALSE)-150,VLOOKUP($B707,COSTOS!$A$2:$B1014,2,FALSE)),"No encontrado o error"))</f>
        <v/>
      </c>
      <c r="K707" s="264"/>
      <c r="L707" s="249"/>
      <c r="M707" s="189"/>
      <c r="N707" s="264"/>
      <c r="O707" s="249"/>
      <c r="P707" s="250"/>
      <c r="Q707" s="264"/>
      <c r="R707" s="249"/>
      <c r="S707" s="250"/>
      <c r="T707" s="264"/>
      <c r="U707" s="249"/>
      <c r="V707" s="250"/>
      <c r="W707" s="264"/>
      <c r="X707" s="394"/>
      <c r="Y707" s="429"/>
      <c r="Z707" s="395"/>
      <c r="AA707" s="394"/>
      <c r="AB707" s="118" t="str">
        <f>IF(OR(ISBLANK($B707),ISBLANK($AA707)),"",IFERROR(IF($AA707&lt;=DATE('ESTADO CONTABLE'!$B$2,9,5),VLOOKUP($B707,COSTOS!$A$2:$B1014,2,FALSE)-150,VLOOKUP($B707,COSTOS!$A$2:$B1014,2,FALSE)),"No encontrado o error"))</f>
        <v/>
      </c>
      <c r="AC707" s="395"/>
      <c r="AD707" s="394"/>
      <c r="AE707" s="429" t="str">
        <f>IF(OR(ISBLANK($B707),ISBLANK($AD707)),"",IFERROR(IF($AD707&lt;=DATE('ESTADO CONTABLE'!$B$2,10,5),VLOOKUP($B707,COSTOS!$A$2:$B1014,2,FALSE)-150,VLOOKUP($B707,COSTOS!$A$2:$B1014,2,FALSE)),"No encontrado o error"))</f>
        <v/>
      </c>
      <c r="AF707" s="395"/>
      <c r="AG707" s="394"/>
      <c r="AH707" s="429" t="str">
        <f>IF(OR(ISBLANK($B707),ISBLANK($AG707)),"",IFERROR(IF($AG707&lt;=DATE('ESTADO CONTABLE'!$B$2,11,5),VLOOKUP($B707,COSTOS!$A$2:$B1014,2,FALSE)-150,VLOOKUP($B707,COSTOS!$A$2:$B1014,2,FALSE)),"No encontrado o error"))</f>
        <v/>
      </c>
      <c r="AI707" s="395"/>
      <c r="AJ707" s="394"/>
      <c r="AK707" s="429" t="str">
        <f>IF(OR(ISBLANK($B707),ISBLANK($AJ707)),"",IFERROR(IF($AJ707&lt;=DATE('ESTADO CONTABLE'!$B$2,12,5),VLOOKUP($B707,COSTOS!$A$2:$B1014,2,FALSE)-150,VLOOKUP($B707,COSTOS!$A$2:$B1014,2,FALSE)),"No encontrado o error"))</f>
        <v/>
      </c>
      <c r="AL707" s="395"/>
      <c r="AM707" s="254"/>
      <c r="AN707" s="255"/>
      <c r="AO707" s="256"/>
    </row>
    <row r="708" ht="22.5" customHeight="1">
      <c r="A708" s="431" t="str">
        <f>'BASE DE DATOSS'!A782</f>
        <v/>
      </c>
      <c r="B708" s="432" t="str">
        <f>'BASE DE DATOSS'!C782</f>
        <v/>
      </c>
      <c r="C708" s="263"/>
      <c r="D708" s="249"/>
      <c r="E708" s="250"/>
      <c r="F708" s="251"/>
      <c r="G708" s="262"/>
      <c r="H708" s="257"/>
      <c r="I708" s="249"/>
      <c r="J708" s="193" t="str">
        <f>IF(OR(ISBLANK($B708),ISBLANK($I708)),"",IFERROR(IF($I708&lt;=DATE('ESTADO CONTABLE'!$B$2,3,5),VLOOKUP($B708,COSTOS!$A$2:$B1014,2,FALSE)-150,VLOOKUP($B708,COSTOS!$A$2:$B1014,2,FALSE)),"No encontrado o error"))</f>
        <v/>
      </c>
      <c r="K708" s="264"/>
      <c r="L708" s="249"/>
      <c r="M708" s="189"/>
      <c r="N708" s="264"/>
      <c r="O708" s="249"/>
      <c r="P708" s="250"/>
      <c r="Q708" s="264"/>
      <c r="R708" s="249"/>
      <c r="S708" s="250"/>
      <c r="T708" s="264"/>
      <c r="U708" s="249"/>
      <c r="V708" s="250"/>
      <c r="W708" s="264"/>
      <c r="X708" s="394"/>
      <c r="Y708" s="429"/>
      <c r="Z708" s="395"/>
      <c r="AA708" s="394"/>
      <c r="AB708" s="118" t="str">
        <f>IF(OR(ISBLANK($B708),ISBLANK($AA708)),"",IFERROR(IF($AA708&lt;=DATE('ESTADO CONTABLE'!$B$2,9,5),VLOOKUP($B708,COSTOS!$A$2:$B1014,2,FALSE)-150,VLOOKUP($B708,COSTOS!$A$2:$B1014,2,FALSE)),"No encontrado o error"))</f>
        <v/>
      </c>
      <c r="AC708" s="395"/>
      <c r="AD708" s="394"/>
      <c r="AE708" s="429" t="str">
        <f>IF(OR(ISBLANK($B708),ISBLANK($AD708)),"",IFERROR(IF($AD708&lt;=DATE('ESTADO CONTABLE'!$B$2,10,5),VLOOKUP($B708,COSTOS!$A$2:$B1014,2,FALSE)-150,VLOOKUP($B708,COSTOS!$A$2:$B1014,2,FALSE)),"No encontrado o error"))</f>
        <v/>
      </c>
      <c r="AF708" s="395"/>
      <c r="AG708" s="394"/>
      <c r="AH708" s="429" t="str">
        <f>IF(OR(ISBLANK($B708),ISBLANK($AG708)),"",IFERROR(IF($AG708&lt;=DATE('ESTADO CONTABLE'!$B$2,11,5),VLOOKUP($B708,COSTOS!$A$2:$B1014,2,FALSE)-150,VLOOKUP($B708,COSTOS!$A$2:$B1014,2,FALSE)),"No encontrado o error"))</f>
        <v/>
      </c>
      <c r="AI708" s="395"/>
      <c r="AJ708" s="394"/>
      <c r="AK708" s="429" t="str">
        <f>IF(OR(ISBLANK($B708),ISBLANK($AJ708)),"",IFERROR(IF($AJ708&lt;=DATE('ESTADO CONTABLE'!$B$2,12,5),VLOOKUP($B708,COSTOS!$A$2:$B1014,2,FALSE)-150,VLOOKUP($B708,COSTOS!$A$2:$B1014,2,FALSE)),"No encontrado o error"))</f>
        <v/>
      </c>
      <c r="AL708" s="395"/>
      <c r="AM708" s="254"/>
      <c r="AN708" s="255"/>
      <c r="AO708" s="256"/>
    </row>
    <row r="709" ht="22.5" customHeight="1">
      <c r="A709" s="431" t="str">
        <f>'BASE DE DATOSS'!A783</f>
        <v/>
      </c>
      <c r="B709" s="432" t="str">
        <f>'BASE DE DATOSS'!C783</f>
        <v/>
      </c>
      <c r="C709" s="263"/>
      <c r="D709" s="249"/>
      <c r="E709" s="250"/>
      <c r="F709" s="251"/>
      <c r="G709" s="262"/>
      <c r="H709" s="257"/>
      <c r="I709" s="249"/>
      <c r="J709" s="193" t="str">
        <f>IF(OR(ISBLANK($B709),ISBLANK($I709)),"",IFERROR(IF($I709&lt;=DATE('ESTADO CONTABLE'!$B$2,3,5),VLOOKUP($B709,COSTOS!$A$2:$B1014,2,FALSE)-150,VLOOKUP($B709,COSTOS!$A$2:$B1014,2,FALSE)),"No encontrado o error"))</f>
        <v/>
      </c>
      <c r="K709" s="264"/>
      <c r="L709" s="249"/>
      <c r="M709" s="189"/>
      <c r="N709" s="264"/>
      <c r="O709" s="249"/>
      <c r="P709" s="250"/>
      <c r="Q709" s="264"/>
      <c r="R709" s="249"/>
      <c r="S709" s="250"/>
      <c r="T709" s="264"/>
      <c r="U709" s="249"/>
      <c r="V709" s="250"/>
      <c r="W709" s="264"/>
      <c r="X709" s="394"/>
      <c r="Y709" s="429"/>
      <c r="Z709" s="395"/>
      <c r="AA709" s="394"/>
      <c r="AB709" s="118" t="str">
        <f>IF(OR(ISBLANK($B709),ISBLANK($AA709)),"",IFERROR(IF($AA709&lt;=DATE('ESTADO CONTABLE'!$B$2,9,5),VLOOKUP($B709,COSTOS!$A$2:$B1014,2,FALSE)-150,VLOOKUP($B709,COSTOS!$A$2:$B1014,2,FALSE)),"No encontrado o error"))</f>
        <v/>
      </c>
      <c r="AC709" s="395"/>
      <c r="AD709" s="394"/>
      <c r="AE709" s="429" t="str">
        <f>IF(OR(ISBLANK($B709),ISBLANK($AD709)),"",IFERROR(IF($AD709&lt;=DATE('ESTADO CONTABLE'!$B$2,10,5),VLOOKUP($B709,COSTOS!$A$2:$B1014,2,FALSE)-150,VLOOKUP($B709,COSTOS!$A$2:$B1014,2,FALSE)),"No encontrado o error"))</f>
        <v/>
      </c>
      <c r="AF709" s="395"/>
      <c r="AG709" s="394"/>
      <c r="AH709" s="429" t="str">
        <f>IF(OR(ISBLANK($B709),ISBLANK($AG709)),"",IFERROR(IF($AG709&lt;=DATE('ESTADO CONTABLE'!$B$2,11,5),VLOOKUP($B709,COSTOS!$A$2:$B1014,2,FALSE)-150,VLOOKUP($B709,COSTOS!$A$2:$B1014,2,FALSE)),"No encontrado o error"))</f>
        <v/>
      </c>
      <c r="AI709" s="395"/>
      <c r="AJ709" s="394"/>
      <c r="AK709" s="429" t="str">
        <f>IF(OR(ISBLANK($B709),ISBLANK($AJ709)),"",IFERROR(IF($AJ709&lt;=DATE('ESTADO CONTABLE'!$B$2,12,5),VLOOKUP($B709,COSTOS!$A$2:$B1014,2,FALSE)-150,VLOOKUP($B709,COSTOS!$A$2:$B1014,2,FALSE)),"No encontrado o error"))</f>
        <v/>
      </c>
      <c r="AL709" s="395"/>
      <c r="AM709" s="254"/>
      <c r="AN709" s="255"/>
      <c r="AO709" s="256"/>
    </row>
    <row r="710" ht="22.5" customHeight="1">
      <c r="A710" s="431" t="str">
        <f>'BASE DE DATOSS'!A784</f>
        <v/>
      </c>
      <c r="B710" s="432" t="str">
        <f>'BASE DE DATOSS'!C784</f>
        <v/>
      </c>
      <c r="C710" s="263"/>
      <c r="D710" s="249"/>
      <c r="E710" s="250"/>
      <c r="F710" s="251"/>
      <c r="G710" s="262"/>
      <c r="H710" s="257"/>
      <c r="I710" s="249"/>
      <c r="J710" s="193" t="str">
        <f>IF(OR(ISBLANK($B710),ISBLANK($I710)),"",IFERROR(IF($I710&lt;=DATE('ESTADO CONTABLE'!$B$2,3,5),VLOOKUP($B710,COSTOS!$A$2:$B1014,2,FALSE)-150,VLOOKUP($B710,COSTOS!$A$2:$B1014,2,FALSE)),"No encontrado o error"))</f>
        <v/>
      </c>
      <c r="K710" s="264"/>
      <c r="L710" s="249"/>
      <c r="M710" s="189"/>
      <c r="N710" s="264"/>
      <c r="O710" s="249"/>
      <c r="P710" s="250"/>
      <c r="Q710" s="264"/>
      <c r="R710" s="249"/>
      <c r="S710" s="250"/>
      <c r="T710" s="264"/>
      <c r="U710" s="249"/>
      <c r="V710" s="250"/>
      <c r="W710" s="264"/>
      <c r="X710" s="394"/>
      <c r="Y710" s="429"/>
      <c r="Z710" s="395"/>
      <c r="AA710" s="394"/>
      <c r="AB710" s="118" t="str">
        <f>IF(OR(ISBLANK($B710),ISBLANK($AA710)),"",IFERROR(IF($AA710&lt;=DATE('ESTADO CONTABLE'!$B$2,9,5),VLOOKUP($B710,COSTOS!$A$2:$B1014,2,FALSE)-150,VLOOKUP($B710,COSTOS!$A$2:$B1014,2,FALSE)),"No encontrado o error"))</f>
        <v/>
      </c>
      <c r="AC710" s="395"/>
      <c r="AD710" s="394"/>
      <c r="AE710" s="429" t="str">
        <f>IF(OR(ISBLANK($B710),ISBLANK($AD710)),"",IFERROR(IF($AD710&lt;=DATE('ESTADO CONTABLE'!$B$2,10,5),VLOOKUP($B710,COSTOS!$A$2:$B1014,2,FALSE)-150,VLOOKUP($B710,COSTOS!$A$2:$B1014,2,FALSE)),"No encontrado o error"))</f>
        <v/>
      </c>
      <c r="AF710" s="395"/>
      <c r="AG710" s="394"/>
      <c r="AH710" s="429" t="str">
        <f>IF(OR(ISBLANK($B710),ISBLANK($AG710)),"",IFERROR(IF($AG710&lt;=DATE('ESTADO CONTABLE'!$B$2,11,5),VLOOKUP($B710,COSTOS!$A$2:$B1014,2,FALSE)-150,VLOOKUP($B710,COSTOS!$A$2:$B1014,2,FALSE)),"No encontrado o error"))</f>
        <v/>
      </c>
      <c r="AI710" s="395"/>
      <c r="AJ710" s="394"/>
      <c r="AK710" s="429" t="str">
        <f>IF(OR(ISBLANK($B710),ISBLANK($AJ710)),"",IFERROR(IF($AJ710&lt;=DATE('ESTADO CONTABLE'!$B$2,12,5),VLOOKUP($B710,COSTOS!$A$2:$B1014,2,FALSE)-150,VLOOKUP($B710,COSTOS!$A$2:$B1014,2,FALSE)),"No encontrado o error"))</f>
        <v/>
      </c>
      <c r="AL710" s="395"/>
      <c r="AM710" s="254"/>
      <c r="AN710" s="255"/>
      <c r="AO710" s="256"/>
    </row>
    <row r="711" ht="22.5" customHeight="1">
      <c r="A711" s="431" t="str">
        <f>'BASE DE DATOSS'!A785</f>
        <v/>
      </c>
      <c r="B711" s="432" t="str">
        <f>'BASE DE DATOSS'!C785</f>
        <v/>
      </c>
      <c r="C711" s="263"/>
      <c r="D711" s="249"/>
      <c r="E711" s="250"/>
      <c r="F711" s="251"/>
      <c r="G711" s="262"/>
      <c r="H711" s="257"/>
      <c r="I711" s="249"/>
      <c r="J711" s="193" t="str">
        <f>IF(OR(ISBLANK($B711),ISBLANK($I711)),"",IFERROR(IF($I711&lt;=DATE('ESTADO CONTABLE'!$B$2,3,5),VLOOKUP($B711,COSTOS!$A$2:$B1014,2,FALSE)-150,VLOOKUP($B711,COSTOS!$A$2:$B1014,2,FALSE)),"No encontrado o error"))</f>
        <v/>
      </c>
      <c r="K711" s="264"/>
      <c r="L711" s="249"/>
      <c r="M711" s="189"/>
      <c r="N711" s="264"/>
      <c r="O711" s="249"/>
      <c r="P711" s="250"/>
      <c r="Q711" s="264"/>
      <c r="R711" s="249"/>
      <c r="S711" s="250"/>
      <c r="T711" s="264"/>
      <c r="U711" s="249"/>
      <c r="V711" s="250"/>
      <c r="W711" s="264"/>
      <c r="X711" s="394"/>
      <c r="Y711" s="429"/>
      <c r="Z711" s="395"/>
      <c r="AA711" s="394"/>
      <c r="AB711" s="118" t="str">
        <f>IF(OR(ISBLANK($B711),ISBLANK($AA711)),"",IFERROR(IF($AA711&lt;=DATE('ESTADO CONTABLE'!$B$2,9,5),VLOOKUP($B711,COSTOS!$A$2:$B1014,2,FALSE)-150,VLOOKUP($B711,COSTOS!$A$2:$B1014,2,FALSE)),"No encontrado o error"))</f>
        <v/>
      </c>
      <c r="AC711" s="395"/>
      <c r="AD711" s="394"/>
      <c r="AE711" s="429" t="str">
        <f>IF(OR(ISBLANK($B711),ISBLANK($AD711)),"",IFERROR(IF($AD711&lt;=DATE('ESTADO CONTABLE'!$B$2,10,5),VLOOKUP($B711,COSTOS!$A$2:$B1014,2,FALSE)-150,VLOOKUP($B711,COSTOS!$A$2:$B1014,2,FALSE)),"No encontrado o error"))</f>
        <v/>
      </c>
      <c r="AF711" s="395"/>
      <c r="AG711" s="394"/>
      <c r="AH711" s="429" t="str">
        <f>IF(OR(ISBLANK($B711),ISBLANK($AG711)),"",IFERROR(IF($AG711&lt;=DATE('ESTADO CONTABLE'!$B$2,11,5),VLOOKUP($B711,COSTOS!$A$2:$B1014,2,FALSE)-150,VLOOKUP($B711,COSTOS!$A$2:$B1014,2,FALSE)),"No encontrado o error"))</f>
        <v/>
      </c>
      <c r="AI711" s="395"/>
      <c r="AJ711" s="394"/>
      <c r="AK711" s="429" t="str">
        <f>IF(OR(ISBLANK($B711),ISBLANK($AJ711)),"",IFERROR(IF($AJ711&lt;=DATE('ESTADO CONTABLE'!$B$2,12,5),VLOOKUP($B711,COSTOS!$A$2:$B1014,2,FALSE)-150,VLOOKUP($B711,COSTOS!$A$2:$B1014,2,FALSE)),"No encontrado o error"))</f>
        <v/>
      </c>
      <c r="AL711" s="395"/>
      <c r="AM711" s="254"/>
      <c r="AN711" s="255"/>
      <c r="AO711" s="256"/>
    </row>
    <row r="712" ht="22.5" customHeight="1">
      <c r="A712" s="431" t="str">
        <f>'BASE DE DATOSS'!A786</f>
        <v/>
      </c>
      <c r="B712" s="432" t="str">
        <f>'BASE DE DATOSS'!C786</f>
        <v/>
      </c>
      <c r="C712" s="263"/>
      <c r="D712" s="249"/>
      <c r="E712" s="250"/>
      <c r="F712" s="251"/>
      <c r="G712" s="262"/>
      <c r="H712" s="257"/>
      <c r="I712" s="249"/>
      <c r="J712" s="193" t="str">
        <f>IF(OR(ISBLANK($B712),ISBLANK($I712)),"",IFERROR(IF($I712&lt;=DATE('ESTADO CONTABLE'!$B$2,3,5),VLOOKUP($B712,COSTOS!$A$2:$B1014,2,FALSE)-150,VLOOKUP($B712,COSTOS!$A$2:$B1014,2,FALSE)),"No encontrado o error"))</f>
        <v/>
      </c>
      <c r="K712" s="264"/>
      <c r="L712" s="249"/>
      <c r="M712" s="189"/>
      <c r="N712" s="264"/>
      <c r="O712" s="249"/>
      <c r="P712" s="250"/>
      <c r="Q712" s="264"/>
      <c r="R712" s="249"/>
      <c r="S712" s="250"/>
      <c r="T712" s="264"/>
      <c r="U712" s="249"/>
      <c r="V712" s="250"/>
      <c r="W712" s="264"/>
      <c r="X712" s="394"/>
      <c r="Y712" s="429"/>
      <c r="Z712" s="395"/>
      <c r="AA712" s="394"/>
      <c r="AB712" s="118" t="str">
        <f>IF(OR(ISBLANK($B712),ISBLANK($AA712)),"",IFERROR(IF($AA712&lt;=DATE('ESTADO CONTABLE'!$B$2,9,5),VLOOKUP($B712,COSTOS!$A$2:$B1014,2,FALSE)-150,VLOOKUP($B712,COSTOS!$A$2:$B1014,2,FALSE)),"No encontrado o error"))</f>
        <v/>
      </c>
      <c r="AC712" s="395"/>
      <c r="AD712" s="394"/>
      <c r="AE712" s="429" t="str">
        <f>IF(OR(ISBLANK($B712),ISBLANK($AD712)),"",IFERROR(IF($AD712&lt;=DATE('ESTADO CONTABLE'!$B$2,10,5),VLOOKUP($B712,COSTOS!$A$2:$B1014,2,FALSE)-150,VLOOKUP($B712,COSTOS!$A$2:$B1014,2,FALSE)),"No encontrado o error"))</f>
        <v/>
      </c>
      <c r="AF712" s="395"/>
      <c r="AG712" s="394"/>
      <c r="AH712" s="429" t="str">
        <f>IF(OR(ISBLANK($B712),ISBLANK($AG712)),"",IFERROR(IF($AG712&lt;=DATE('ESTADO CONTABLE'!$B$2,11,5),VLOOKUP($B712,COSTOS!$A$2:$B1014,2,FALSE)-150,VLOOKUP($B712,COSTOS!$A$2:$B1014,2,FALSE)),"No encontrado o error"))</f>
        <v/>
      </c>
      <c r="AI712" s="395"/>
      <c r="AJ712" s="394"/>
      <c r="AK712" s="429" t="str">
        <f>IF(OR(ISBLANK($B712),ISBLANK($AJ712)),"",IFERROR(IF($AJ712&lt;=DATE('ESTADO CONTABLE'!$B$2,12,5),VLOOKUP($B712,COSTOS!$A$2:$B1014,2,FALSE)-150,VLOOKUP($B712,COSTOS!$A$2:$B1014,2,FALSE)),"No encontrado o error"))</f>
        <v/>
      </c>
      <c r="AL712" s="395"/>
      <c r="AM712" s="254"/>
      <c r="AN712" s="255"/>
      <c r="AO712" s="256"/>
    </row>
    <row r="713" ht="22.5" customHeight="1">
      <c r="A713" s="431" t="str">
        <f>'BASE DE DATOSS'!A787</f>
        <v/>
      </c>
      <c r="B713" s="432" t="str">
        <f>'BASE DE DATOSS'!C787</f>
        <v/>
      </c>
      <c r="C713" s="263"/>
      <c r="D713" s="249"/>
      <c r="E713" s="250"/>
      <c r="F713" s="251"/>
      <c r="G713" s="262"/>
      <c r="H713" s="257"/>
      <c r="I713" s="249"/>
      <c r="J713" s="193" t="str">
        <f>IF(OR(ISBLANK($B713),ISBLANK($I713)),"",IFERROR(IF($I713&lt;=DATE('ESTADO CONTABLE'!$B$2,3,5),VLOOKUP($B713,COSTOS!$A$2:$B1014,2,FALSE)-150,VLOOKUP($B713,COSTOS!$A$2:$B1014,2,FALSE)),"No encontrado o error"))</f>
        <v/>
      </c>
      <c r="K713" s="264"/>
      <c r="L713" s="249"/>
      <c r="M713" s="189"/>
      <c r="N713" s="264"/>
      <c r="O713" s="249"/>
      <c r="P713" s="250"/>
      <c r="Q713" s="264"/>
      <c r="R713" s="249"/>
      <c r="S713" s="250"/>
      <c r="T713" s="264"/>
      <c r="U713" s="249"/>
      <c r="V713" s="250"/>
      <c r="W713" s="264"/>
      <c r="X713" s="394"/>
      <c r="Y713" s="429"/>
      <c r="Z713" s="395"/>
      <c r="AA713" s="394"/>
      <c r="AB713" s="118" t="str">
        <f>IF(OR(ISBLANK($B713),ISBLANK($AA713)),"",IFERROR(IF($AA713&lt;=DATE('ESTADO CONTABLE'!$B$2,9,5),VLOOKUP($B713,COSTOS!$A$2:$B1014,2,FALSE)-150,VLOOKUP($B713,COSTOS!$A$2:$B1014,2,FALSE)),"No encontrado o error"))</f>
        <v/>
      </c>
      <c r="AC713" s="395"/>
      <c r="AD713" s="394"/>
      <c r="AE713" s="429" t="str">
        <f>IF(OR(ISBLANK($B713),ISBLANK($AD713)),"",IFERROR(IF($AD713&lt;=DATE('ESTADO CONTABLE'!$B$2,10,5),VLOOKUP($B713,COSTOS!$A$2:$B1014,2,FALSE)-150,VLOOKUP($B713,COSTOS!$A$2:$B1014,2,FALSE)),"No encontrado o error"))</f>
        <v/>
      </c>
      <c r="AF713" s="395"/>
      <c r="AG713" s="394"/>
      <c r="AH713" s="429" t="str">
        <f>IF(OR(ISBLANK($B713),ISBLANK($AG713)),"",IFERROR(IF($AG713&lt;=DATE('ESTADO CONTABLE'!$B$2,11,5),VLOOKUP($B713,COSTOS!$A$2:$B1014,2,FALSE)-150,VLOOKUP($B713,COSTOS!$A$2:$B1014,2,FALSE)),"No encontrado o error"))</f>
        <v/>
      </c>
      <c r="AI713" s="395"/>
      <c r="AJ713" s="394"/>
      <c r="AK713" s="429" t="str">
        <f>IF(OR(ISBLANK($B713),ISBLANK($AJ713)),"",IFERROR(IF($AJ713&lt;=DATE('ESTADO CONTABLE'!$B$2,12,5),VLOOKUP($B713,COSTOS!$A$2:$B1014,2,FALSE)-150,VLOOKUP($B713,COSTOS!$A$2:$B1014,2,FALSE)),"No encontrado o error"))</f>
        <v/>
      </c>
      <c r="AL713" s="395"/>
      <c r="AM713" s="254"/>
      <c r="AN713" s="255"/>
      <c r="AO713" s="256"/>
    </row>
    <row r="714" ht="22.5" customHeight="1">
      <c r="A714" s="431" t="str">
        <f>'BASE DE DATOSS'!A788</f>
        <v/>
      </c>
      <c r="B714" s="432" t="str">
        <f>'BASE DE DATOSS'!C788</f>
        <v/>
      </c>
      <c r="C714" s="263"/>
      <c r="D714" s="249"/>
      <c r="E714" s="250"/>
      <c r="F714" s="251"/>
      <c r="G714" s="262"/>
      <c r="H714" s="257"/>
      <c r="I714" s="249"/>
      <c r="J714" s="193" t="str">
        <f>IF(OR(ISBLANK($B714),ISBLANK($I714)),"",IFERROR(IF($I714&lt;=DATE('ESTADO CONTABLE'!$B$2,3,5),VLOOKUP($B714,COSTOS!$A$2:$B1014,2,FALSE)-150,VLOOKUP($B714,COSTOS!$A$2:$B1014,2,FALSE)),"No encontrado o error"))</f>
        <v/>
      </c>
      <c r="K714" s="264"/>
      <c r="L714" s="249"/>
      <c r="M714" s="189"/>
      <c r="N714" s="264"/>
      <c r="O714" s="249"/>
      <c r="P714" s="250"/>
      <c r="Q714" s="264"/>
      <c r="R714" s="249"/>
      <c r="S714" s="250"/>
      <c r="T714" s="264"/>
      <c r="U714" s="249"/>
      <c r="V714" s="250"/>
      <c r="W714" s="264"/>
      <c r="X714" s="394"/>
      <c r="Y714" s="429"/>
      <c r="Z714" s="395"/>
      <c r="AA714" s="394"/>
      <c r="AB714" s="118" t="str">
        <f>IF(OR(ISBLANK($B714),ISBLANK($AA714)),"",IFERROR(IF($AA714&lt;=DATE('ESTADO CONTABLE'!$B$2,9,5),VLOOKUP($B714,COSTOS!$A$2:$B1014,2,FALSE)-150,VLOOKUP($B714,COSTOS!$A$2:$B1014,2,FALSE)),"No encontrado o error"))</f>
        <v/>
      </c>
      <c r="AC714" s="395"/>
      <c r="AD714" s="394"/>
      <c r="AE714" s="429" t="str">
        <f>IF(OR(ISBLANK($B714),ISBLANK($AD714)),"",IFERROR(IF($AD714&lt;=DATE('ESTADO CONTABLE'!$B$2,10,5),VLOOKUP($B714,COSTOS!$A$2:$B1014,2,FALSE)-150,VLOOKUP($B714,COSTOS!$A$2:$B1014,2,FALSE)),"No encontrado o error"))</f>
        <v/>
      </c>
      <c r="AF714" s="395"/>
      <c r="AG714" s="394"/>
      <c r="AH714" s="429" t="str">
        <f>IF(OR(ISBLANK($B714),ISBLANK($AG714)),"",IFERROR(IF($AG714&lt;=DATE('ESTADO CONTABLE'!$B$2,11,5),VLOOKUP($B714,COSTOS!$A$2:$B1014,2,FALSE)-150,VLOOKUP($B714,COSTOS!$A$2:$B1014,2,FALSE)),"No encontrado o error"))</f>
        <v/>
      </c>
      <c r="AI714" s="395"/>
      <c r="AJ714" s="394"/>
      <c r="AK714" s="429" t="str">
        <f>IF(OR(ISBLANK($B714),ISBLANK($AJ714)),"",IFERROR(IF($AJ714&lt;=DATE('ESTADO CONTABLE'!$B$2,12,5),VLOOKUP($B714,COSTOS!$A$2:$B1014,2,FALSE)-150,VLOOKUP($B714,COSTOS!$A$2:$B1014,2,FALSE)),"No encontrado o error"))</f>
        <v/>
      </c>
      <c r="AL714" s="395"/>
      <c r="AM714" s="254"/>
      <c r="AN714" s="255"/>
      <c r="AO714" s="256"/>
    </row>
    <row r="715" ht="22.5" customHeight="1">
      <c r="A715" s="431" t="str">
        <f>'BASE DE DATOSS'!A789</f>
        <v/>
      </c>
      <c r="B715" s="432" t="str">
        <f>'BASE DE DATOSS'!C789</f>
        <v/>
      </c>
      <c r="C715" s="263"/>
      <c r="D715" s="249"/>
      <c r="E715" s="250"/>
      <c r="F715" s="251"/>
      <c r="G715" s="262"/>
      <c r="H715" s="257"/>
      <c r="I715" s="249"/>
      <c r="J715" s="193" t="str">
        <f>IF(OR(ISBLANK($B715),ISBLANK($I715)),"",IFERROR(IF($I715&lt;=DATE('ESTADO CONTABLE'!$B$2,3,5),VLOOKUP($B715,COSTOS!$A$2:$B1014,2,FALSE)-150,VLOOKUP($B715,COSTOS!$A$2:$B1014,2,FALSE)),"No encontrado o error"))</f>
        <v/>
      </c>
      <c r="K715" s="264"/>
      <c r="L715" s="249"/>
      <c r="M715" s="189"/>
      <c r="N715" s="264"/>
      <c r="O715" s="249"/>
      <c r="P715" s="250"/>
      <c r="Q715" s="264"/>
      <c r="R715" s="249"/>
      <c r="S715" s="250"/>
      <c r="T715" s="264"/>
      <c r="U715" s="249"/>
      <c r="V715" s="250"/>
      <c r="W715" s="264"/>
      <c r="X715" s="394"/>
      <c r="Y715" s="429"/>
      <c r="Z715" s="395"/>
      <c r="AA715" s="394"/>
      <c r="AB715" s="118" t="str">
        <f>IF(OR(ISBLANK($B715),ISBLANK($AA715)),"",IFERROR(IF($AA715&lt;=DATE('ESTADO CONTABLE'!$B$2,9,5),VLOOKUP($B715,COSTOS!$A$2:$B1014,2,FALSE)-150,VLOOKUP($B715,COSTOS!$A$2:$B1014,2,FALSE)),"No encontrado o error"))</f>
        <v/>
      </c>
      <c r="AC715" s="395"/>
      <c r="AD715" s="394"/>
      <c r="AE715" s="429" t="str">
        <f>IF(OR(ISBLANK($B715),ISBLANK($AD715)),"",IFERROR(IF($AD715&lt;=DATE('ESTADO CONTABLE'!$B$2,10,5),VLOOKUP($B715,COSTOS!$A$2:$B1014,2,FALSE)-150,VLOOKUP($B715,COSTOS!$A$2:$B1014,2,FALSE)),"No encontrado o error"))</f>
        <v/>
      </c>
      <c r="AF715" s="395"/>
      <c r="AG715" s="394"/>
      <c r="AH715" s="429" t="str">
        <f>IF(OR(ISBLANK($B715),ISBLANK($AG715)),"",IFERROR(IF($AG715&lt;=DATE('ESTADO CONTABLE'!$B$2,11,5),VLOOKUP($B715,COSTOS!$A$2:$B1014,2,FALSE)-150,VLOOKUP($B715,COSTOS!$A$2:$B1014,2,FALSE)),"No encontrado o error"))</f>
        <v/>
      </c>
      <c r="AI715" s="395"/>
      <c r="AJ715" s="394"/>
      <c r="AK715" s="429" t="str">
        <f>IF(OR(ISBLANK($B715),ISBLANK($AJ715)),"",IFERROR(IF($AJ715&lt;=DATE('ESTADO CONTABLE'!$B$2,12,5),VLOOKUP($B715,COSTOS!$A$2:$B1014,2,FALSE)-150,VLOOKUP($B715,COSTOS!$A$2:$B1014,2,FALSE)),"No encontrado o error"))</f>
        <v/>
      </c>
      <c r="AL715" s="395"/>
      <c r="AM715" s="254"/>
      <c r="AN715" s="255"/>
      <c r="AO715" s="256"/>
    </row>
    <row r="716" ht="22.5" customHeight="1">
      <c r="A716" s="431" t="str">
        <f>'BASE DE DATOSS'!A790</f>
        <v/>
      </c>
      <c r="B716" s="432" t="str">
        <f>'BASE DE DATOSS'!C790</f>
        <v/>
      </c>
      <c r="C716" s="263"/>
      <c r="D716" s="249"/>
      <c r="E716" s="250"/>
      <c r="F716" s="251"/>
      <c r="G716" s="262"/>
      <c r="H716" s="257"/>
      <c r="I716" s="249"/>
      <c r="J716" s="193" t="str">
        <f>IF(OR(ISBLANK($B716),ISBLANK($I716)),"",IFERROR(IF($I716&lt;=DATE('ESTADO CONTABLE'!$B$2,3,5),VLOOKUP($B716,COSTOS!$A$2:$B1014,2,FALSE)-150,VLOOKUP($B716,COSTOS!$A$2:$B1014,2,FALSE)),"No encontrado o error"))</f>
        <v/>
      </c>
      <c r="K716" s="264"/>
      <c r="L716" s="249"/>
      <c r="M716" s="189"/>
      <c r="N716" s="264"/>
      <c r="O716" s="249"/>
      <c r="P716" s="250"/>
      <c r="Q716" s="264"/>
      <c r="R716" s="249"/>
      <c r="S716" s="250"/>
      <c r="T716" s="264"/>
      <c r="U716" s="249"/>
      <c r="V716" s="250"/>
      <c r="W716" s="264"/>
      <c r="X716" s="394"/>
      <c r="Y716" s="429"/>
      <c r="Z716" s="395"/>
      <c r="AA716" s="394"/>
      <c r="AB716" s="118" t="str">
        <f>IF(OR(ISBLANK($B716),ISBLANK($AA716)),"",IFERROR(IF($AA716&lt;=DATE('ESTADO CONTABLE'!$B$2,9,5),VLOOKUP($B716,COSTOS!$A$2:$B1014,2,FALSE)-150,VLOOKUP($B716,COSTOS!$A$2:$B1014,2,FALSE)),"No encontrado o error"))</f>
        <v/>
      </c>
      <c r="AC716" s="395"/>
      <c r="AD716" s="394"/>
      <c r="AE716" s="429" t="str">
        <f>IF(OR(ISBLANK($B716),ISBLANK($AD716)),"",IFERROR(IF($AD716&lt;=DATE('ESTADO CONTABLE'!$B$2,10,5),VLOOKUP($B716,COSTOS!$A$2:$B1014,2,FALSE)-150,VLOOKUP($B716,COSTOS!$A$2:$B1014,2,FALSE)),"No encontrado o error"))</f>
        <v/>
      </c>
      <c r="AF716" s="395"/>
      <c r="AG716" s="394"/>
      <c r="AH716" s="429" t="str">
        <f>IF(OR(ISBLANK($B716),ISBLANK($AG716)),"",IFERROR(IF($AG716&lt;=DATE('ESTADO CONTABLE'!$B$2,11,5),VLOOKUP($B716,COSTOS!$A$2:$B1014,2,FALSE)-150,VLOOKUP($B716,COSTOS!$A$2:$B1014,2,FALSE)),"No encontrado o error"))</f>
        <v/>
      </c>
      <c r="AI716" s="395"/>
      <c r="AJ716" s="394"/>
      <c r="AK716" s="429" t="str">
        <f>IF(OR(ISBLANK($B716),ISBLANK($AJ716)),"",IFERROR(IF($AJ716&lt;=DATE('ESTADO CONTABLE'!$B$2,12,5),VLOOKUP($B716,COSTOS!$A$2:$B1014,2,FALSE)-150,VLOOKUP($B716,COSTOS!$A$2:$B1014,2,FALSE)),"No encontrado o error"))</f>
        <v/>
      </c>
      <c r="AL716" s="395"/>
      <c r="AM716" s="254"/>
      <c r="AN716" s="255"/>
      <c r="AO716" s="256"/>
    </row>
    <row r="717" ht="22.5" customHeight="1">
      <c r="A717" s="431" t="str">
        <f>'BASE DE DATOSS'!A791</f>
        <v/>
      </c>
      <c r="B717" s="432" t="str">
        <f>'BASE DE DATOSS'!C791</f>
        <v/>
      </c>
      <c r="C717" s="263"/>
      <c r="D717" s="249"/>
      <c r="E717" s="250"/>
      <c r="F717" s="251"/>
      <c r="G717" s="262"/>
      <c r="H717" s="257"/>
      <c r="I717" s="249"/>
      <c r="J717" s="193" t="str">
        <f>IF(OR(ISBLANK($B717),ISBLANK($I717)),"",IFERROR(IF($I717&lt;=DATE('ESTADO CONTABLE'!$B$2,3,5),VLOOKUP($B717,COSTOS!$A$2:$B1014,2,FALSE)-150,VLOOKUP($B717,COSTOS!$A$2:$B1014,2,FALSE)),"No encontrado o error"))</f>
        <v/>
      </c>
      <c r="K717" s="264"/>
      <c r="L717" s="249"/>
      <c r="M717" s="189"/>
      <c r="N717" s="264"/>
      <c r="O717" s="249"/>
      <c r="P717" s="250"/>
      <c r="Q717" s="264"/>
      <c r="R717" s="249"/>
      <c r="S717" s="250"/>
      <c r="T717" s="264"/>
      <c r="U717" s="249"/>
      <c r="V717" s="250"/>
      <c r="W717" s="264"/>
      <c r="X717" s="394"/>
      <c r="Y717" s="429"/>
      <c r="Z717" s="395"/>
      <c r="AA717" s="394"/>
      <c r="AB717" s="118" t="str">
        <f>IF(OR(ISBLANK($B717),ISBLANK($AA717)),"",IFERROR(IF($AA717&lt;=DATE('ESTADO CONTABLE'!$B$2,9,5),VLOOKUP($B717,COSTOS!$A$2:$B1014,2,FALSE)-150,VLOOKUP($B717,COSTOS!$A$2:$B1014,2,FALSE)),"No encontrado o error"))</f>
        <v/>
      </c>
      <c r="AC717" s="395"/>
      <c r="AD717" s="394"/>
      <c r="AE717" s="429" t="str">
        <f>IF(OR(ISBLANK($B717),ISBLANK($AD717)),"",IFERROR(IF($AD717&lt;=DATE('ESTADO CONTABLE'!$B$2,10,5),VLOOKUP($B717,COSTOS!$A$2:$B1014,2,FALSE)-150,VLOOKUP($B717,COSTOS!$A$2:$B1014,2,FALSE)),"No encontrado o error"))</f>
        <v/>
      </c>
      <c r="AF717" s="395"/>
      <c r="AG717" s="394"/>
      <c r="AH717" s="429" t="str">
        <f>IF(OR(ISBLANK($B717),ISBLANK($AG717)),"",IFERROR(IF($AG717&lt;=DATE('ESTADO CONTABLE'!$B$2,11,5),VLOOKUP($B717,COSTOS!$A$2:$B1014,2,FALSE)-150,VLOOKUP($B717,COSTOS!$A$2:$B1014,2,FALSE)),"No encontrado o error"))</f>
        <v/>
      </c>
      <c r="AI717" s="395"/>
      <c r="AJ717" s="394"/>
      <c r="AK717" s="429" t="str">
        <f>IF(OR(ISBLANK($B717),ISBLANK($AJ717)),"",IFERROR(IF($AJ717&lt;=DATE('ESTADO CONTABLE'!$B$2,12,5),VLOOKUP($B717,COSTOS!$A$2:$B1014,2,FALSE)-150,VLOOKUP($B717,COSTOS!$A$2:$B1014,2,FALSE)),"No encontrado o error"))</f>
        <v/>
      </c>
      <c r="AL717" s="395"/>
      <c r="AM717" s="254"/>
      <c r="AN717" s="255"/>
      <c r="AO717" s="256"/>
    </row>
    <row r="718" ht="22.5" customHeight="1">
      <c r="A718" s="431" t="str">
        <f>'BASE DE DATOSS'!A792</f>
        <v/>
      </c>
      <c r="B718" s="432" t="str">
        <f>'BASE DE DATOSS'!C792</f>
        <v/>
      </c>
      <c r="C718" s="263"/>
      <c r="D718" s="249"/>
      <c r="E718" s="250"/>
      <c r="F718" s="251"/>
      <c r="G718" s="262"/>
      <c r="H718" s="257"/>
      <c r="I718" s="249"/>
      <c r="J718" s="193" t="str">
        <f>IF(OR(ISBLANK($B718),ISBLANK($I718)),"",IFERROR(IF($I718&lt;=DATE('ESTADO CONTABLE'!$B$2,3,5),VLOOKUP($B718,COSTOS!$A$2:$B1014,2,FALSE)-150,VLOOKUP($B718,COSTOS!$A$2:$B1014,2,FALSE)),"No encontrado o error"))</f>
        <v/>
      </c>
      <c r="K718" s="264"/>
      <c r="L718" s="249"/>
      <c r="M718" s="189"/>
      <c r="N718" s="264"/>
      <c r="O718" s="249"/>
      <c r="P718" s="250"/>
      <c r="Q718" s="264"/>
      <c r="R718" s="249"/>
      <c r="S718" s="250"/>
      <c r="T718" s="264"/>
      <c r="U718" s="249"/>
      <c r="V718" s="250"/>
      <c r="W718" s="264"/>
      <c r="X718" s="394"/>
      <c r="Y718" s="429"/>
      <c r="Z718" s="395"/>
      <c r="AA718" s="394"/>
      <c r="AB718" s="118" t="str">
        <f>IF(OR(ISBLANK($B718),ISBLANK($AA718)),"",IFERROR(IF($AA718&lt;=DATE('ESTADO CONTABLE'!$B$2,9,5),VLOOKUP($B718,COSTOS!$A$2:$B1014,2,FALSE)-150,VLOOKUP($B718,COSTOS!$A$2:$B1014,2,FALSE)),"No encontrado o error"))</f>
        <v/>
      </c>
      <c r="AC718" s="395"/>
      <c r="AD718" s="394"/>
      <c r="AE718" s="429" t="str">
        <f>IF(OR(ISBLANK($B718),ISBLANK($AD718)),"",IFERROR(IF($AD718&lt;=DATE('ESTADO CONTABLE'!$B$2,10,5),VLOOKUP($B718,COSTOS!$A$2:$B1014,2,FALSE)-150,VLOOKUP($B718,COSTOS!$A$2:$B1014,2,FALSE)),"No encontrado o error"))</f>
        <v/>
      </c>
      <c r="AF718" s="395"/>
      <c r="AG718" s="394"/>
      <c r="AH718" s="429" t="str">
        <f>IF(OR(ISBLANK($B718),ISBLANK($AG718)),"",IFERROR(IF($AG718&lt;=DATE('ESTADO CONTABLE'!$B$2,11,5),VLOOKUP($B718,COSTOS!$A$2:$B1014,2,FALSE)-150,VLOOKUP($B718,COSTOS!$A$2:$B1014,2,FALSE)),"No encontrado o error"))</f>
        <v/>
      </c>
      <c r="AI718" s="395"/>
      <c r="AJ718" s="394"/>
      <c r="AK718" s="429" t="str">
        <f>IF(OR(ISBLANK($B718),ISBLANK($AJ718)),"",IFERROR(IF($AJ718&lt;=DATE('ESTADO CONTABLE'!$B$2,12,5),VLOOKUP($B718,COSTOS!$A$2:$B1014,2,FALSE)-150,VLOOKUP($B718,COSTOS!$A$2:$B1014,2,FALSE)),"No encontrado o error"))</f>
        <v/>
      </c>
      <c r="AL718" s="395"/>
      <c r="AM718" s="254"/>
      <c r="AN718" s="255"/>
      <c r="AO718" s="256"/>
    </row>
    <row r="719" ht="22.5" customHeight="1">
      <c r="A719" s="431" t="str">
        <f>'BASE DE DATOSS'!A793</f>
        <v/>
      </c>
      <c r="B719" s="432" t="str">
        <f>'BASE DE DATOSS'!C793</f>
        <v/>
      </c>
      <c r="C719" s="263"/>
      <c r="D719" s="249"/>
      <c r="E719" s="250"/>
      <c r="F719" s="251"/>
      <c r="G719" s="262"/>
      <c r="H719" s="257"/>
      <c r="I719" s="249"/>
      <c r="J719" s="193" t="str">
        <f>IF(OR(ISBLANK($B719),ISBLANK($I719)),"",IFERROR(IF($I719&lt;=DATE('ESTADO CONTABLE'!$B$2,3,5),VLOOKUP($B719,COSTOS!$A$2:$B1014,2,FALSE)-150,VLOOKUP($B719,COSTOS!$A$2:$B1014,2,FALSE)),"No encontrado o error"))</f>
        <v/>
      </c>
      <c r="K719" s="264"/>
      <c r="L719" s="249"/>
      <c r="M719" s="189"/>
      <c r="N719" s="264"/>
      <c r="O719" s="249"/>
      <c r="P719" s="250"/>
      <c r="Q719" s="264"/>
      <c r="R719" s="249"/>
      <c r="S719" s="250"/>
      <c r="T719" s="264"/>
      <c r="U719" s="249"/>
      <c r="V719" s="250"/>
      <c r="W719" s="264"/>
      <c r="X719" s="394"/>
      <c r="Y719" s="429"/>
      <c r="Z719" s="395"/>
      <c r="AA719" s="394"/>
      <c r="AB719" s="118" t="str">
        <f>IF(OR(ISBLANK($B719),ISBLANK($AA719)),"",IFERROR(IF($AA719&lt;=DATE('ESTADO CONTABLE'!$B$2,9,5),VLOOKUP($B719,COSTOS!$A$2:$B1014,2,FALSE)-150,VLOOKUP($B719,COSTOS!$A$2:$B1014,2,FALSE)),"No encontrado o error"))</f>
        <v/>
      </c>
      <c r="AC719" s="395"/>
      <c r="AD719" s="394"/>
      <c r="AE719" s="429" t="str">
        <f>IF(OR(ISBLANK($B719),ISBLANK($AD719)),"",IFERROR(IF($AD719&lt;=DATE('ESTADO CONTABLE'!$B$2,10,5),VLOOKUP($B719,COSTOS!$A$2:$B1014,2,FALSE)-150,VLOOKUP($B719,COSTOS!$A$2:$B1014,2,FALSE)),"No encontrado o error"))</f>
        <v/>
      </c>
      <c r="AF719" s="395"/>
      <c r="AG719" s="394"/>
      <c r="AH719" s="429" t="str">
        <f>IF(OR(ISBLANK($B719),ISBLANK($AG719)),"",IFERROR(IF($AG719&lt;=DATE('ESTADO CONTABLE'!$B$2,11,5),VLOOKUP($B719,COSTOS!$A$2:$B1014,2,FALSE)-150,VLOOKUP($B719,COSTOS!$A$2:$B1014,2,FALSE)),"No encontrado o error"))</f>
        <v/>
      </c>
      <c r="AI719" s="395"/>
      <c r="AJ719" s="394"/>
      <c r="AK719" s="429" t="str">
        <f>IF(OR(ISBLANK($B719),ISBLANK($AJ719)),"",IFERROR(IF($AJ719&lt;=DATE('ESTADO CONTABLE'!$B$2,12,5),VLOOKUP($B719,COSTOS!$A$2:$B1014,2,FALSE)-150,VLOOKUP($B719,COSTOS!$A$2:$B1014,2,FALSE)),"No encontrado o error"))</f>
        <v/>
      </c>
      <c r="AL719" s="395"/>
      <c r="AM719" s="254"/>
      <c r="AN719" s="255"/>
      <c r="AO719" s="256"/>
    </row>
    <row r="720" ht="22.5" customHeight="1">
      <c r="A720" s="431" t="str">
        <f>'BASE DE DATOSS'!A794</f>
        <v/>
      </c>
      <c r="B720" s="432" t="str">
        <f>'BASE DE DATOSS'!C794</f>
        <v/>
      </c>
      <c r="C720" s="263"/>
      <c r="D720" s="249"/>
      <c r="E720" s="250"/>
      <c r="F720" s="251"/>
      <c r="G720" s="262"/>
      <c r="H720" s="257"/>
      <c r="I720" s="249"/>
      <c r="J720" s="193" t="str">
        <f>IF(OR(ISBLANK($B720),ISBLANK($I720)),"",IFERROR(IF($I720&lt;=DATE('ESTADO CONTABLE'!$B$2,3,5),VLOOKUP($B720,COSTOS!$A$2:$B1014,2,FALSE)-150,VLOOKUP($B720,COSTOS!$A$2:$B1014,2,FALSE)),"No encontrado o error"))</f>
        <v/>
      </c>
      <c r="K720" s="264"/>
      <c r="L720" s="249"/>
      <c r="M720" s="189"/>
      <c r="N720" s="264"/>
      <c r="O720" s="249"/>
      <c r="P720" s="250"/>
      <c r="Q720" s="264"/>
      <c r="R720" s="249"/>
      <c r="S720" s="250"/>
      <c r="T720" s="264"/>
      <c r="U720" s="249"/>
      <c r="V720" s="250"/>
      <c r="W720" s="264"/>
      <c r="X720" s="394"/>
      <c r="Y720" s="429"/>
      <c r="Z720" s="395"/>
      <c r="AA720" s="394"/>
      <c r="AB720" s="118" t="str">
        <f>IF(OR(ISBLANK($B720),ISBLANK($AA720)),"",IFERROR(IF($AA720&lt;=DATE('ESTADO CONTABLE'!$B$2,9,5),VLOOKUP($B720,COSTOS!$A$2:$B1014,2,FALSE)-150,VLOOKUP($B720,COSTOS!$A$2:$B1014,2,FALSE)),"No encontrado o error"))</f>
        <v/>
      </c>
      <c r="AC720" s="395"/>
      <c r="AD720" s="394"/>
      <c r="AE720" s="429" t="str">
        <f>IF(OR(ISBLANK($B720),ISBLANK($AD720)),"",IFERROR(IF($AD720&lt;=DATE('ESTADO CONTABLE'!$B$2,10,5),VLOOKUP($B720,COSTOS!$A$2:$B1014,2,FALSE)-150,VLOOKUP($B720,COSTOS!$A$2:$B1014,2,FALSE)),"No encontrado o error"))</f>
        <v/>
      </c>
      <c r="AF720" s="395"/>
      <c r="AG720" s="394"/>
      <c r="AH720" s="429" t="str">
        <f>IF(OR(ISBLANK($B720),ISBLANK($AG720)),"",IFERROR(IF($AG720&lt;=DATE('ESTADO CONTABLE'!$B$2,11,5),VLOOKUP($B720,COSTOS!$A$2:$B1014,2,FALSE)-150,VLOOKUP($B720,COSTOS!$A$2:$B1014,2,FALSE)),"No encontrado o error"))</f>
        <v/>
      </c>
      <c r="AI720" s="395"/>
      <c r="AJ720" s="394"/>
      <c r="AK720" s="429" t="str">
        <f>IF(OR(ISBLANK($B720),ISBLANK($AJ720)),"",IFERROR(IF($AJ720&lt;=DATE('ESTADO CONTABLE'!$B$2,12,5),VLOOKUP($B720,COSTOS!$A$2:$B1014,2,FALSE)-150,VLOOKUP($B720,COSTOS!$A$2:$B1014,2,FALSE)),"No encontrado o error"))</f>
        <v/>
      </c>
      <c r="AL720" s="395"/>
      <c r="AM720" s="254"/>
      <c r="AN720" s="255"/>
      <c r="AO720" s="256"/>
    </row>
    <row r="721" ht="22.5" customHeight="1">
      <c r="A721" s="431" t="str">
        <f>'BASE DE DATOSS'!A795</f>
        <v/>
      </c>
      <c r="B721" s="432" t="str">
        <f>'BASE DE DATOSS'!C795</f>
        <v/>
      </c>
      <c r="C721" s="263"/>
      <c r="D721" s="249"/>
      <c r="E721" s="250"/>
      <c r="F721" s="251"/>
      <c r="G721" s="262"/>
      <c r="H721" s="257"/>
      <c r="I721" s="249"/>
      <c r="J721" s="193" t="str">
        <f>IF(OR(ISBLANK($B721),ISBLANK($I721)),"",IFERROR(IF($I721&lt;=DATE('ESTADO CONTABLE'!$B$2,3,5),VLOOKUP($B721,COSTOS!$A$2:$B1014,2,FALSE)-150,VLOOKUP($B721,COSTOS!$A$2:$B1014,2,FALSE)),"No encontrado o error"))</f>
        <v/>
      </c>
      <c r="K721" s="264"/>
      <c r="L721" s="249"/>
      <c r="M721" s="189"/>
      <c r="N721" s="264"/>
      <c r="O721" s="249"/>
      <c r="P721" s="250"/>
      <c r="Q721" s="264"/>
      <c r="R721" s="249"/>
      <c r="S721" s="250"/>
      <c r="T721" s="264"/>
      <c r="U721" s="249"/>
      <c r="V721" s="250"/>
      <c r="W721" s="264"/>
      <c r="X721" s="394"/>
      <c r="Y721" s="429"/>
      <c r="Z721" s="395"/>
      <c r="AA721" s="394"/>
      <c r="AB721" s="118" t="str">
        <f>IF(OR(ISBLANK($B721),ISBLANK($AA721)),"",IFERROR(IF($AA721&lt;=DATE('ESTADO CONTABLE'!$B$2,9,5),VLOOKUP($B721,COSTOS!$A$2:$B1014,2,FALSE)-150,VLOOKUP($B721,COSTOS!$A$2:$B1014,2,FALSE)),"No encontrado o error"))</f>
        <v/>
      </c>
      <c r="AC721" s="395"/>
      <c r="AD721" s="394"/>
      <c r="AE721" s="429" t="str">
        <f>IF(OR(ISBLANK($B721),ISBLANK($AD721)),"",IFERROR(IF($AD721&lt;=DATE('ESTADO CONTABLE'!$B$2,10,5),VLOOKUP($B721,COSTOS!$A$2:$B1014,2,FALSE)-150,VLOOKUP($B721,COSTOS!$A$2:$B1014,2,FALSE)),"No encontrado o error"))</f>
        <v/>
      </c>
      <c r="AF721" s="395"/>
      <c r="AG721" s="394"/>
      <c r="AH721" s="429" t="str">
        <f>IF(OR(ISBLANK($B721),ISBLANK($AG721)),"",IFERROR(IF($AG721&lt;=DATE('ESTADO CONTABLE'!$B$2,11,5),VLOOKUP($B721,COSTOS!$A$2:$B1014,2,FALSE)-150,VLOOKUP($B721,COSTOS!$A$2:$B1014,2,FALSE)),"No encontrado o error"))</f>
        <v/>
      </c>
      <c r="AI721" s="395"/>
      <c r="AJ721" s="394"/>
      <c r="AK721" s="429" t="str">
        <f>IF(OR(ISBLANK($B721),ISBLANK($AJ721)),"",IFERROR(IF($AJ721&lt;=DATE('ESTADO CONTABLE'!$B$2,12,5),VLOOKUP($B721,COSTOS!$A$2:$B1014,2,FALSE)-150,VLOOKUP($B721,COSTOS!$A$2:$B1014,2,FALSE)),"No encontrado o error"))</f>
        <v/>
      </c>
      <c r="AL721" s="395"/>
      <c r="AM721" s="254"/>
      <c r="AN721" s="255"/>
      <c r="AO721" s="256"/>
    </row>
    <row r="722" ht="22.5" customHeight="1">
      <c r="A722" s="431" t="str">
        <f>'BASE DE DATOSS'!A796</f>
        <v/>
      </c>
      <c r="B722" s="432" t="str">
        <f>'BASE DE DATOSS'!C796</f>
        <v/>
      </c>
      <c r="C722" s="263"/>
      <c r="D722" s="249"/>
      <c r="E722" s="250"/>
      <c r="F722" s="251"/>
      <c r="G722" s="262"/>
      <c r="H722" s="257"/>
      <c r="I722" s="249"/>
      <c r="J722" s="193" t="str">
        <f>IF(OR(ISBLANK($B722),ISBLANK($I722)),"",IFERROR(IF($I722&lt;=DATE('ESTADO CONTABLE'!$B$2,3,5),VLOOKUP($B722,COSTOS!$A$2:$B1014,2,FALSE)-150,VLOOKUP($B722,COSTOS!$A$2:$B1014,2,FALSE)),"No encontrado o error"))</f>
        <v/>
      </c>
      <c r="K722" s="264"/>
      <c r="L722" s="249"/>
      <c r="M722" s="189"/>
      <c r="N722" s="264"/>
      <c r="O722" s="249"/>
      <c r="P722" s="250"/>
      <c r="Q722" s="264"/>
      <c r="R722" s="249"/>
      <c r="S722" s="250"/>
      <c r="T722" s="264"/>
      <c r="U722" s="249"/>
      <c r="V722" s="250"/>
      <c r="W722" s="264"/>
      <c r="X722" s="394"/>
      <c r="Y722" s="429"/>
      <c r="Z722" s="395"/>
      <c r="AA722" s="394"/>
      <c r="AB722" s="118" t="str">
        <f>IF(OR(ISBLANK($B722),ISBLANK($AA722)),"",IFERROR(IF($AA722&lt;=DATE('ESTADO CONTABLE'!$B$2,9,5),VLOOKUP($B722,COSTOS!$A$2:$B1014,2,FALSE)-150,VLOOKUP($B722,COSTOS!$A$2:$B1014,2,FALSE)),"No encontrado o error"))</f>
        <v/>
      </c>
      <c r="AC722" s="395"/>
      <c r="AD722" s="394"/>
      <c r="AE722" s="429" t="str">
        <f>IF(OR(ISBLANK($B722),ISBLANK($AD722)),"",IFERROR(IF($AD722&lt;=DATE('ESTADO CONTABLE'!$B$2,10,5),VLOOKUP($B722,COSTOS!$A$2:$B1014,2,FALSE)-150,VLOOKUP($B722,COSTOS!$A$2:$B1014,2,FALSE)),"No encontrado o error"))</f>
        <v/>
      </c>
      <c r="AF722" s="395"/>
      <c r="AG722" s="394"/>
      <c r="AH722" s="429" t="str">
        <f>IF(OR(ISBLANK($B722),ISBLANK($AG722)),"",IFERROR(IF($AG722&lt;=DATE('ESTADO CONTABLE'!$B$2,11,5),VLOOKUP($B722,COSTOS!$A$2:$B1014,2,FALSE)-150,VLOOKUP($B722,COSTOS!$A$2:$B1014,2,FALSE)),"No encontrado o error"))</f>
        <v/>
      </c>
      <c r="AI722" s="395"/>
      <c r="AJ722" s="394"/>
      <c r="AK722" s="429" t="str">
        <f>IF(OR(ISBLANK($B722),ISBLANK($AJ722)),"",IFERROR(IF($AJ722&lt;=DATE('ESTADO CONTABLE'!$B$2,12,5),VLOOKUP($B722,COSTOS!$A$2:$B1014,2,FALSE)-150,VLOOKUP($B722,COSTOS!$A$2:$B1014,2,FALSE)),"No encontrado o error"))</f>
        <v/>
      </c>
      <c r="AL722" s="395"/>
      <c r="AM722" s="254"/>
      <c r="AN722" s="255"/>
      <c r="AO722" s="256"/>
    </row>
    <row r="723" ht="22.5" customHeight="1">
      <c r="A723" s="431" t="str">
        <f>'BASE DE DATOSS'!A797</f>
        <v/>
      </c>
      <c r="B723" s="432" t="str">
        <f>'BASE DE DATOSS'!C797</f>
        <v/>
      </c>
      <c r="C723" s="263"/>
      <c r="D723" s="249"/>
      <c r="E723" s="250"/>
      <c r="F723" s="251"/>
      <c r="G723" s="262"/>
      <c r="H723" s="257"/>
      <c r="I723" s="249"/>
      <c r="J723" s="193" t="str">
        <f>IF(OR(ISBLANK($B723),ISBLANK($I723)),"",IFERROR(IF($I723&lt;=DATE('ESTADO CONTABLE'!$B$2,3,5),VLOOKUP($B723,COSTOS!$A$2:$B1014,2,FALSE)-150,VLOOKUP($B723,COSTOS!$A$2:$B1014,2,FALSE)),"No encontrado o error"))</f>
        <v/>
      </c>
      <c r="K723" s="264"/>
      <c r="L723" s="249"/>
      <c r="M723" s="189"/>
      <c r="N723" s="264"/>
      <c r="O723" s="249"/>
      <c r="P723" s="250"/>
      <c r="Q723" s="264"/>
      <c r="R723" s="249"/>
      <c r="S723" s="250"/>
      <c r="T723" s="264"/>
      <c r="U723" s="249"/>
      <c r="V723" s="250"/>
      <c r="W723" s="264"/>
      <c r="X723" s="394"/>
      <c r="Y723" s="429"/>
      <c r="Z723" s="395"/>
      <c r="AA723" s="394"/>
      <c r="AB723" s="118" t="str">
        <f>IF(OR(ISBLANK($B723),ISBLANK($AA723)),"",IFERROR(IF($AA723&lt;=DATE('ESTADO CONTABLE'!$B$2,9,5),VLOOKUP($B723,COSTOS!$A$2:$B1014,2,FALSE)-150,VLOOKUP($B723,COSTOS!$A$2:$B1014,2,FALSE)),"No encontrado o error"))</f>
        <v/>
      </c>
      <c r="AC723" s="395"/>
      <c r="AD723" s="394"/>
      <c r="AE723" s="429" t="str">
        <f>IF(OR(ISBLANK($B723),ISBLANK($AD723)),"",IFERROR(IF($AD723&lt;=DATE('ESTADO CONTABLE'!$B$2,10,5),VLOOKUP($B723,COSTOS!$A$2:$B1014,2,FALSE)-150,VLOOKUP($B723,COSTOS!$A$2:$B1014,2,FALSE)),"No encontrado o error"))</f>
        <v/>
      </c>
      <c r="AF723" s="395"/>
      <c r="AG723" s="394"/>
      <c r="AH723" s="429" t="str">
        <f>IF(OR(ISBLANK($B723),ISBLANK($AG723)),"",IFERROR(IF($AG723&lt;=DATE('ESTADO CONTABLE'!$B$2,11,5),VLOOKUP($B723,COSTOS!$A$2:$B1014,2,FALSE)-150,VLOOKUP($B723,COSTOS!$A$2:$B1014,2,FALSE)),"No encontrado o error"))</f>
        <v/>
      </c>
      <c r="AI723" s="395"/>
      <c r="AJ723" s="394"/>
      <c r="AK723" s="429" t="str">
        <f>IF(OR(ISBLANK($B723),ISBLANK($AJ723)),"",IFERROR(IF($AJ723&lt;=DATE('ESTADO CONTABLE'!$B$2,12,5),VLOOKUP($B723,COSTOS!$A$2:$B1014,2,FALSE)-150,VLOOKUP($B723,COSTOS!$A$2:$B1014,2,FALSE)),"No encontrado o error"))</f>
        <v/>
      </c>
      <c r="AL723" s="395"/>
      <c r="AM723" s="254"/>
      <c r="AN723" s="255"/>
      <c r="AO723" s="256"/>
    </row>
    <row r="724" ht="22.5" customHeight="1">
      <c r="A724" s="431" t="str">
        <f>'BASE DE DATOSS'!A798</f>
        <v/>
      </c>
      <c r="B724" s="432" t="str">
        <f>'BASE DE DATOSS'!C798</f>
        <v/>
      </c>
      <c r="C724" s="263"/>
      <c r="D724" s="249"/>
      <c r="E724" s="250"/>
      <c r="F724" s="251"/>
      <c r="G724" s="262"/>
      <c r="H724" s="257"/>
      <c r="I724" s="249"/>
      <c r="J724" s="193" t="str">
        <f>IF(OR(ISBLANK($B724),ISBLANK($I724)),"",IFERROR(IF($I724&lt;=DATE('ESTADO CONTABLE'!$B$2,3,5),VLOOKUP($B724,COSTOS!$A$2:$B1014,2,FALSE)-150,VLOOKUP($B724,COSTOS!$A$2:$B1014,2,FALSE)),"No encontrado o error"))</f>
        <v/>
      </c>
      <c r="K724" s="264"/>
      <c r="L724" s="249"/>
      <c r="M724" s="189"/>
      <c r="N724" s="264"/>
      <c r="O724" s="249"/>
      <c r="P724" s="250"/>
      <c r="Q724" s="264"/>
      <c r="R724" s="249"/>
      <c r="S724" s="250"/>
      <c r="T724" s="264"/>
      <c r="U724" s="249"/>
      <c r="V724" s="250"/>
      <c r="W724" s="264"/>
      <c r="X724" s="394"/>
      <c r="Y724" s="429"/>
      <c r="Z724" s="395"/>
      <c r="AA724" s="394"/>
      <c r="AB724" s="118" t="str">
        <f>IF(OR(ISBLANK($B724),ISBLANK($AA724)),"",IFERROR(IF($AA724&lt;=DATE('ESTADO CONTABLE'!$B$2,9,5),VLOOKUP($B724,COSTOS!$A$2:$B1014,2,FALSE)-150,VLOOKUP($B724,COSTOS!$A$2:$B1014,2,FALSE)),"No encontrado o error"))</f>
        <v/>
      </c>
      <c r="AC724" s="395"/>
      <c r="AD724" s="394"/>
      <c r="AE724" s="429" t="str">
        <f>IF(OR(ISBLANK($B724),ISBLANK($AD724)),"",IFERROR(IF($AD724&lt;=DATE('ESTADO CONTABLE'!$B$2,10,5),VLOOKUP($B724,COSTOS!$A$2:$B1014,2,FALSE)-150,VLOOKUP($B724,COSTOS!$A$2:$B1014,2,FALSE)),"No encontrado o error"))</f>
        <v/>
      </c>
      <c r="AF724" s="395"/>
      <c r="AG724" s="394"/>
      <c r="AH724" s="429" t="str">
        <f>IF(OR(ISBLANK($B724),ISBLANK($AG724)),"",IFERROR(IF($AG724&lt;=DATE('ESTADO CONTABLE'!$B$2,11,5),VLOOKUP($B724,COSTOS!$A$2:$B1014,2,FALSE)-150,VLOOKUP($B724,COSTOS!$A$2:$B1014,2,FALSE)),"No encontrado o error"))</f>
        <v/>
      </c>
      <c r="AI724" s="395"/>
      <c r="AJ724" s="394"/>
      <c r="AK724" s="429" t="str">
        <f>IF(OR(ISBLANK($B724),ISBLANK($AJ724)),"",IFERROR(IF($AJ724&lt;=DATE('ESTADO CONTABLE'!$B$2,12,5),VLOOKUP($B724,COSTOS!$A$2:$B1014,2,FALSE)-150,VLOOKUP($B724,COSTOS!$A$2:$B1014,2,FALSE)),"No encontrado o error"))</f>
        <v/>
      </c>
      <c r="AL724" s="395"/>
      <c r="AM724" s="254"/>
      <c r="AN724" s="255"/>
      <c r="AO724" s="256"/>
    </row>
    <row r="725" ht="22.5" customHeight="1">
      <c r="A725" s="431" t="str">
        <f>'BASE DE DATOSS'!A799</f>
        <v/>
      </c>
      <c r="B725" s="432" t="str">
        <f>'BASE DE DATOSS'!C799</f>
        <v/>
      </c>
      <c r="C725" s="263"/>
      <c r="D725" s="249"/>
      <c r="E725" s="250"/>
      <c r="F725" s="251"/>
      <c r="G725" s="262"/>
      <c r="H725" s="257"/>
      <c r="I725" s="249"/>
      <c r="J725" s="193" t="str">
        <f>IF(OR(ISBLANK($B725),ISBLANK($I725)),"",IFERROR(IF($I725&lt;=DATE('ESTADO CONTABLE'!$B$2,3,5),VLOOKUP($B725,COSTOS!$A$2:$B1014,2,FALSE)-150,VLOOKUP($B725,COSTOS!$A$2:$B1014,2,FALSE)),"No encontrado o error"))</f>
        <v/>
      </c>
      <c r="K725" s="264"/>
      <c r="L725" s="249"/>
      <c r="M725" s="189"/>
      <c r="N725" s="264"/>
      <c r="O725" s="249"/>
      <c r="P725" s="250"/>
      <c r="Q725" s="264"/>
      <c r="R725" s="249"/>
      <c r="S725" s="250"/>
      <c r="T725" s="264"/>
      <c r="U725" s="249"/>
      <c r="V725" s="250"/>
      <c r="W725" s="264"/>
      <c r="X725" s="394"/>
      <c r="Y725" s="429"/>
      <c r="Z725" s="395"/>
      <c r="AA725" s="394"/>
      <c r="AB725" s="118" t="str">
        <f>IF(OR(ISBLANK($B725),ISBLANK($AA725)),"",IFERROR(IF($AA725&lt;=DATE('ESTADO CONTABLE'!$B$2,9,5),VLOOKUP($B725,COSTOS!$A$2:$B1014,2,FALSE)-150,VLOOKUP($B725,COSTOS!$A$2:$B1014,2,FALSE)),"No encontrado o error"))</f>
        <v/>
      </c>
      <c r="AC725" s="395"/>
      <c r="AD725" s="394"/>
      <c r="AE725" s="429" t="str">
        <f>IF(OR(ISBLANK($B725),ISBLANK($AD725)),"",IFERROR(IF($AD725&lt;=DATE('ESTADO CONTABLE'!$B$2,10,5),VLOOKUP($B725,COSTOS!$A$2:$B1014,2,FALSE)-150,VLOOKUP($B725,COSTOS!$A$2:$B1014,2,FALSE)),"No encontrado o error"))</f>
        <v/>
      </c>
      <c r="AF725" s="395"/>
      <c r="AG725" s="394"/>
      <c r="AH725" s="429" t="str">
        <f>IF(OR(ISBLANK($B725),ISBLANK($AG725)),"",IFERROR(IF($AG725&lt;=DATE('ESTADO CONTABLE'!$B$2,11,5),VLOOKUP($B725,COSTOS!$A$2:$B1014,2,FALSE)-150,VLOOKUP($B725,COSTOS!$A$2:$B1014,2,FALSE)),"No encontrado o error"))</f>
        <v/>
      </c>
      <c r="AI725" s="395"/>
      <c r="AJ725" s="394"/>
      <c r="AK725" s="429" t="str">
        <f>IF(OR(ISBLANK($B725),ISBLANK($AJ725)),"",IFERROR(IF($AJ725&lt;=DATE('ESTADO CONTABLE'!$B$2,12,5),VLOOKUP($B725,COSTOS!$A$2:$B1014,2,FALSE)-150,VLOOKUP($B725,COSTOS!$A$2:$B1014,2,FALSE)),"No encontrado o error"))</f>
        <v/>
      </c>
      <c r="AL725" s="395"/>
      <c r="AM725" s="254"/>
      <c r="AN725" s="255"/>
      <c r="AO725" s="256"/>
    </row>
    <row r="726" ht="22.5" customHeight="1">
      <c r="A726" s="431" t="str">
        <f>'BASE DE DATOSS'!A800</f>
        <v/>
      </c>
      <c r="B726" s="432" t="str">
        <f>'BASE DE DATOSS'!C800</f>
        <v/>
      </c>
      <c r="C726" s="263"/>
      <c r="D726" s="249"/>
      <c r="E726" s="250"/>
      <c r="F726" s="251"/>
      <c r="G726" s="262"/>
      <c r="H726" s="257"/>
      <c r="I726" s="249"/>
      <c r="J726" s="193" t="str">
        <f>IF(OR(ISBLANK($B726),ISBLANK($I726)),"",IFERROR(IF($I726&lt;=DATE('ESTADO CONTABLE'!$B$2,3,5),VLOOKUP($B726,COSTOS!$A$2:$B1014,2,FALSE)-150,VLOOKUP($B726,COSTOS!$A$2:$B1014,2,FALSE)),"No encontrado o error"))</f>
        <v/>
      </c>
      <c r="K726" s="264"/>
      <c r="L726" s="249"/>
      <c r="M726" s="189"/>
      <c r="N726" s="264"/>
      <c r="O726" s="249"/>
      <c r="P726" s="250"/>
      <c r="Q726" s="264"/>
      <c r="R726" s="249"/>
      <c r="S726" s="250"/>
      <c r="T726" s="264"/>
      <c r="U726" s="249"/>
      <c r="V726" s="250"/>
      <c r="W726" s="264"/>
      <c r="X726" s="394"/>
      <c r="Y726" s="429"/>
      <c r="Z726" s="395"/>
      <c r="AA726" s="394"/>
      <c r="AB726" s="118" t="str">
        <f>IF(OR(ISBLANK($B726),ISBLANK($AA726)),"",IFERROR(IF($AA726&lt;=DATE('ESTADO CONTABLE'!$B$2,9,5),VLOOKUP($B726,COSTOS!$A$2:$B1014,2,FALSE)-150,VLOOKUP($B726,COSTOS!$A$2:$B1014,2,FALSE)),"No encontrado o error"))</f>
        <v/>
      </c>
      <c r="AC726" s="395"/>
      <c r="AD726" s="394"/>
      <c r="AE726" s="429" t="str">
        <f>IF(OR(ISBLANK($B726),ISBLANK($AD726)),"",IFERROR(IF($AD726&lt;=DATE('ESTADO CONTABLE'!$B$2,10,5),VLOOKUP($B726,COSTOS!$A$2:$B1014,2,FALSE)-150,VLOOKUP($B726,COSTOS!$A$2:$B1014,2,FALSE)),"No encontrado o error"))</f>
        <v/>
      </c>
      <c r="AF726" s="395"/>
      <c r="AG726" s="394"/>
      <c r="AH726" s="429" t="str">
        <f>IF(OR(ISBLANK($B726),ISBLANK($AG726)),"",IFERROR(IF($AG726&lt;=DATE('ESTADO CONTABLE'!$B$2,11,5),VLOOKUP($B726,COSTOS!$A$2:$B1014,2,FALSE)-150,VLOOKUP($B726,COSTOS!$A$2:$B1014,2,FALSE)),"No encontrado o error"))</f>
        <v/>
      </c>
      <c r="AI726" s="395"/>
      <c r="AJ726" s="394"/>
      <c r="AK726" s="429" t="str">
        <f>IF(OR(ISBLANK($B726),ISBLANK($AJ726)),"",IFERROR(IF($AJ726&lt;=DATE('ESTADO CONTABLE'!$B$2,12,5),VLOOKUP($B726,COSTOS!$A$2:$B1014,2,FALSE)-150,VLOOKUP($B726,COSTOS!$A$2:$B1014,2,FALSE)),"No encontrado o error"))</f>
        <v/>
      </c>
      <c r="AL726" s="395"/>
      <c r="AM726" s="254"/>
      <c r="AN726" s="255"/>
      <c r="AO726" s="256"/>
    </row>
    <row r="727" ht="22.5" customHeight="1">
      <c r="A727" s="431" t="str">
        <f>'BASE DE DATOSS'!A801</f>
        <v/>
      </c>
      <c r="B727" s="432" t="str">
        <f>'BASE DE DATOSS'!C801</f>
        <v/>
      </c>
      <c r="C727" s="263"/>
      <c r="D727" s="249"/>
      <c r="E727" s="250"/>
      <c r="F727" s="251"/>
      <c r="G727" s="262"/>
      <c r="H727" s="257"/>
      <c r="I727" s="249"/>
      <c r="J727" s="193" t="str">
        <f>IF(OR(ISBLANK($B727),ISBLANK($I727)),"",IFERROR(IF($I727&lt;=DATE('ESTADO CONTABLE'!$B$2,3,5),VLOOKUP($B727,COSTOS!$A$2:$B1014,2,FALSE)-150,VLOOKUP($B727,COSTOS!$A$2:$B1014,2,FALSE)),"No encontrado o error"))</f>
        <v/>
      </c>
      <c r="K727" s="264"/>
      <c r="L727" s="249"/>
      <c r="M727" s="189"/>
      <c r="N727" s="264"/>
      <c r="O727" s="249"/>
      <c r="P727" s="250"/>
      <c r="Q727" s="264"/>
      <c r="R727" s="249"/>
      <c r="S727" s="250"/>
      <c r="T727" s="264"/>
      <c r="U727" s="249"/>
      <c r="V727" s="250"/>
      <c r="W727" s="264"/>
      <c r="X727" s="394"/>
      <c r="Y727" s="429"/>
      <c r="Z727" s="395"/>
      <c r="AA727" s="394"/>
      <c r="AB727" s="118" t="str">
        <f>IF(OR(ISBLANK($B727),ISBLANK($AA727)),"",IFERROR(IF($AA727&lt;=DATE('ESTADO CONTABLE'!$B$2,9,5),VLOOKUP($B727,COSTOS!$A$2:$B1014,2,FALSE)-150,VLOOKUP($B727,COSTOS!$A$2:$B1014,2,FALSE)),"No encontrado o error"))</f>
        <v/>
      </c>
      <c r="AC727" s="395"/>
      <c r="AD727" s="394"/>
      <c r="AE727" s="429" t="str">
        <f>IF(OR(ISBLANK($B727),ISBLANK($AD727)),"",IFERROR(IF($AD727&lt;=DATE('ESTADO CONTABLE'!$B$2,10,5),VLOOKUP($B727,COSTOS!$A$2:$B1014,2,FALSE)-150,VLOOKUP($B727,COSTOS!$A$2:$B1014,2,FALSE)),"No encontrado o error"))</f>
        <v/>
      </c>
      <c r="AF727" s="395"/>
      <c r="AG727" s="394"/>
      <c r="AH727" s="429" t="str">
        <f>IF(OR(ISBLANK($B727),ISBLANK($AG727)),"",IFERROR(IF($AG727&lt;=DATE('ESTADO CONTABLE'!$B$2,11,5),VLOOKUP($B727,COSTOS!$A$2:$B1014,2,FALSE)-150,VLOOKUP($B727,COSTOS!$A$2:$B1014,2,FALSE)),"No encontrado o error"))</f>
        <v/>
      </c>
      <c r="AI727" s="395"/>
      <c r="AJ727" s="394"/>
      <c r="AK727" s="429" t="str">
        <f>IF(OR(ISBLANK($B727),ISBLANK($AJ727)),"",IFERROR(IF($AJ727&lt;=DATE('ESTADO CONTABLE'!$B$2,12,5),VLOOKUP($B727,COSTOS!$A$2:$B1014,2,FALSE)-150,VLOOKUP($B727,COSTOS!$A$2:$B1014,2,FALSE)),"No encontrado o error"))</f>
        <v/>
      </c>
      <c r="AL727" s="395"/>
      <c r="AM727" s="254"/>
      <c r="AN727" s="255"/>
      <c r="AO727" s="256"/>
    </row>
    <row r="728" ht="22.5" customHeight="1">
      <c r="A728" s="431" t="str">
        <f>'BASE DE DATOSS'!A802</f>
        <v/>
      </c>
      <c r="B728" s="432" t="str">
        <f>'BASE DE DATOSS'!C802</f>
        <v/>
      </c>
      <c r="C728" s="263"/>
      <c r="D728" s="249"/>
      <c r="E728" s="250"/>
      <c r="F728" s="251"/>
      <c r="G728" s="262"/>
      <c r="H728" s="257"/>
      <c r="I728" s="249"/>
      <c r="J728" s="193" t="str">
        <f>IF(OR(ISBLANK($B728),ISBLANK($I728)),"",IFERROR(IF($I728&lt;=DATE('ESTADO CONTABLE'!$B$2,3,5),VLOOKUP($B728,COSTOS!$A$2:$B1014,2,FALSE)-150,VLOOKUP($B728,COSTOS!$A$2:$B1014,2,FALSE)),"No encontrado o error"))</f>
        <v/>
      </c>
      <c r="K728" s="264"/>
      <c r="L728" s="249"/>
      <c r="M728" s="189"/>
      <c r="N728" s="264"/>
      <c r="O728" s="249"/>
      <c r="P728" s="250"/>
      <c r="Q728" s="264"/>
      <c r="R728" s="249"/>
      <c r="S728" s="250"/>
      <c r="T728" s="264"/>
      <c r="U728" s="249"/>
      <c r="V728" s="250"/>
      <c r="W728" s="264"/>
      <c r="X728" s="394"/>
      <c r="Y728" s="429"/>
      <c r="Z728" s="395"/>
      <c r="AA728" s="394"/>
      <c r="AB728" s="118" t="str">
        <f>IF(OR(ISBLANK($B728),ISBLANK($AA728)),"",IFERROR(IF($AA728&lt;=DATE('ESTADO CONTABLE'!$B$2,9,5),VLOOKUP($B728,COSTOS!$A$2:$B1014,2,FALSE)-150,VLOOKUP($B728,COSTOS!$A$2:$B1014,2,FALSE)),"No encontrado o error"))</f>
        <v/>
      </c>
      <c r="AC728" s="395"/>
      <c r="AD728" s="394"/>
      <c r="AE728" s="429" t="str">
        <f>IF(OR(ISBLANK($B728),ISBLANK($AD728)),"",IFERROR(IF($AD728&lt;=DATE('ESTADO CONTABLE'!$B$2,10,5),VLOOKUP($B728,COSTOS!$A$2:$B1014,2,FALSE)-150,VLOOKUP($B728,COSTOS!$A$2:$B1014,2,FALSE)),"No encontrado o error"))</f>
        <v/>
      </c>
      <c r="AF728" s="395"/>
      <c r="AG728" s="394"/>
      <c r="AH728" s="429" t="str">
        <f>IF(OR(ISBLANK($B728),ISBLANK($AG728)),"",IFERROR(IF($AG728&lt;=DATE('ESTADO CONTABLE'!$B$2,11,5),VLOOKUP($B728,COSTOS!$A$2:$B1014,2,FALSE)-150,VLOOKUP($B728,COSTOS!$A$2:$B1014,2,FALSE)),"No encontrado o error"))</f>
        <v/>
      </c>
      <c r="AI728" s="395"/>
      <c r="AJ728" s="394"/>
      <c r="AK728" s="429" t="str">
        <f>IF(OR(ISBLANK($B728),ISBLANK($AJ728)),"",IFERROR(IF($AJ728&lt;=DATE('ESTADO CONTABLE'!$B$2,12,5),VLOOKUP($B728,COSTOS!$A$2:$B1014,2,FALSE)-150,VLOOKUP($B728,COSTOS!$A$2:$B1014,2,FALSE)),"No encontrado o error"))</f>
        <v/>
      </c>
      <c r="AL728" s="395"/>
      <c r="AM728" s="254"/>
      <c r="AN728" s="255"/>
      <c r="AO728" s="256"/>
    </row>
    <row r="729" ht="22.5" customHeight="1">
      <c r="A729" s="431" t="str">
        <f>'BASE DE DATOSS'!A803</f>
        <v/>
      </c>
      <c r="B729" s="432" t="str">
        <f>'BASE DE DATOSS'!C803</f>
        <v/>
      </c>
      <c r="C729" s="263"/>
      <c r="D729" s="249"/>
      <c r="E729" s="250"/>
      <c r="F729" s="251"/>
      <c r="G729" s="262"/>
      <c r="H729" s="257"/>
      <c r="I729" s="249"/>
      <c r="J729" s="193" t="str">
        <f>IF(OR(ISBLANK($B729),ISBLANK($I729)),"",IFERROR(IF($I729&lt;=DATE('ESTADO CONTABLE'!$B$2,3,5),VLOOKUP($B729,COSTOS!$A$2:$B1014,2,FALSE)-150,VLOOKUP($B729,COSTOS!$A$2:$B1014,2,FALSE)),"No encontrado o error"))</f>
        <v/>
      </c>
      <c r="K729" s="264"/>
      <c r="L729" s="249"/>
      <c r="M729" s="189"/>
      <c r="N729" s="264"/>
      <c r="O729" s="249"/>
      <c r="P729" s="250"/>
      <c r="Q729" s="264"/>
      <c r="R729" s="249"/>
      <c r="S729" s="250"/>
      <c r="T729" s="264"/>
      <c r="U729" s="249"/>
      <c r="V729" s="250"/>
      <c r="W729" s="264"/>
      <c r="X729" s="394"/>
      <c r="Y729" s="429"/>
      <c r="Z729" s="395"/>
      <c r="AA729" s="394"/>
      <c r="AB729" s="118" t="str">
        <f>IF(OR(ISBLANK($B729),ISBLANK($AA729)),"",IFERROR(IF($AA729&lt;=DATE('ESTADO CONTABLE'!$B$2,9,5),VLOOKUP($B729,COSTOS!$A$2:$B1014,2,FALSE)-150,VLOOKUP($B729,COSTOS!$A$2:$B1014,2,FALSE)),"No encontrado o error"))</f>
        <v/>
      </c>
      <c r="AC729" s="395"/>
      <c r="AD729" s="394"/>
      <c r="AE729" s="429" t="str">
        <f>IF(OR(ISBLANK($B729),ISBLANK($AD729)),"",IFERROR(IF($AD729&lt;=DATE('ESTADO CONTABLE'!$B$2,10,5),VLOOKUP($B729,COSTOS!$A$2:$B1014,2,FALSE)-150,VLOOKUP($B729,COSTOS!$A$2:$B1014,2,FALSE)),"No encontrado o error"))</f>
        <v/>
      </c>
      <c r="AF729" s="395"/>
      <c r="AG729" s="394"/>
      <c r="AH729" s="429" t="str">
        <f>IF(OR(ISBLANK($B729),ISBLANK($AG729)),"",IFERROR(IF($AG729&lt;=DATE('ESTADO CONTABLE'!$B$2,11,5),VLOOKUP($B729,COSTOS!$A$2:$B1014,2,FALSE)-150,VLOOKUP($B729,COSTOS!$A$2:$B1014,2,FALSE)),"No encontrado o error"))</f>
        <v/>
      </c>
      <c r="AI729" s="395"/>
      <c r="AJ729" s="394"/>
      <c r="AK729" s="429" t="str">
        <f>IF(OR(ISBLANK($B729),ISBLANK($AJ729)),"",IFERROR(IF($AJ729&lt;=DATE('ESTADO CONTABLE'!$B$2,12,5),VLOOKUP($B729,COSTOS!$A$2:$B1014,2,FALSE)-150,VLOOKUP($B729,COSTOS!$A$2:$B1014,2,FALSE)),"No encontrado o error"))</f>
        <v/>
      </c>
      <c r="AL729" s="395"/>
      <c r="AM729" s="254"/>
      <c r="AN729" s="255"/>
      <c r="AO729" s="256"/>
    </row>
    <row r="730" ht="22.5" customHeight="1">
      <c r="A730" s="431" t="str">
        <f>'BASE DE DATOSS'!A804</f>
        <v/>
      </c>
      <c r="B730" s="432" t="str">
        <f>'BASE DE DATOSS'!C804</f>
        <v/>
      </c>
      <c r="C730" s="263"/>
      <c r="D730" s="249"/>
      <c r="E730" s="250"/>
      <c r="F730" s="251"/>
      <c r="G730" s="262"/>
      <c r="H730" s="257"/>
      <c r="I730" s="249"/>
      <c r="J730" s="193" t="str">
        <f>IF(OR(ISBLANK($B730),ISBLANK($I730)),"",IFERROR(IF($I730&lt;=DATE('ESTADO CONTABLE'!$B$2,3,5),VLOOKUP($B730,COSTOS!$A$2:$B1014,2,FALSE)-150,VLOOKUP($B730,COSTOS!$A$2:$B1014,2,FALSE)),"No encontrado o error"))</f>
        <v/>
      </c>
      <c r="K730" s="264"/>
      <c r="L730" s="249"/>
      <c r="M730" s="189"/>
      <c r="N730" s="264"/>
      <c r="O730" s="249"/>
      <c r="P730" s="250"/>
      <c r="Q730" s="264"/>
      <c r="R730" s="249"/>
      <c r="S730" s="250"/>
      <c r="T730" s="264"/>
      <c r="U730" s="249"/>
      <c r="V730" s="250"/>
      <c r="W730" s="264"/>
      <c r="X730" s="394"/>
      <c r="Y730" s="429"/>
      <c r="Z730" s="395"/>
      <c r="AA730" s="394"/>
      <c r="AB730" s="118" t="str">
        <f>IF(OR(ISBLANK($B730),ISBLANK($AA730)),"",IFERROR(IF($AA730&lt;=DATE('ESTADO CONTABLE'!$B$2,9,5),VLOOKUP($B730,COSTOS!$A$2:$B1014,2,FALSE)-150,VLOOKUP($B730,COSTOS!$A$2:$B1014,2,FALSE)),"No encontrado o error"))</f>
        <v/>
      </c>
      <c r="AC730" s="395"/>
      <c r="AD730" s="394"/>
      <c r="AE730" s="429" t="str">
        <f>IF(OR(ISBLANK($B730),ISBLANK($AD730)),"",IFERROR(IF($AD730&lt;=DATE('ESTADO CONTABLE'!$B$2,10,5),VLOOKUP($B730,COSTOS!$A$2:$B1014,2,FALSE)-150,VLOOKUP($B730,COSTOS!$A$2:$B1014,2,FALSE)),"No encontrado o error"))</f>
        <v/>
      </c>
      <c r="AF730" s="395"/>
      <c r="AG730" s="394"/>
      <c r="AH730" s="429" t="str">
        <f>IF(OR(ISBLANK($B730),ISBLANK($AG730)),"",IFERROR(IF($AG730&lt;=DATE('ESTADO CONTABLE'!$B$2,11,5),VLOOKUP($B730,COSTOS!$A$2:$B1014,2,FALSE)-150,VLOOKUP($B730,COSTOS!$A$2:$B1014,2,FALSE)),"No encontrado o error"))</f>
        <v/>
      </c>
      <c r="AI730" s="395"/>
      <c r="AJ730" s="394"/>
      <c r="AK730" s="429" t="str">
        <f>IF(OR(ISBLANK($B730),ISBLANK($AJ730)),"",IFERROR(IF($AJ730&lt;=DATE('ESTADO CONTABLE'!$B$2,12,5),VLOOKUP($B730,COSTOS!$A$2:$B1014,2,FALSE)-150,VLOOKUP($B730,COSTOS!$A$2:$B1014,2,FALSE)),"No encontrado o error"))</f>
        <v/>
      </c>
      <c r="AL730" s="395"/>
      <c r="AM730" s="254"/>
      <c r="AN730" s="255"/>
      <c r="AO730" s="256"/>
    </row>
    <row r="731" ht="22.5" customHeight="1">
      <c r="A731" s="431" t="str">
        <f>'BASE DE DATOSS'!A805</f>
        <v/>
      </c>
      <c r="B731" s="432" t="str">
        <f>'BASE DE DATOSS'!C805</f>
        <v/>
      </c>
      <c r="C731" s="263"/>
      <c r="D731" s="249"/>
      <c r="E731" s="250"/>
      <c r="F731" s="251"/>
      <c r="G731" s="262"/>
      <c r="H731" s="257"/>
      <c r="I731" s="249"/>
      <c r="J731" s="193" t="str">
        <f>IF(OR(ISBLANK($B731),ISBLANK($I731)),"",IFERROR(IF($I731&lt;=DATE('ESTADO CONTABLE'!$B$2,3,5),VLOOKUP($B731,COSTOS!$A$2:$B1014,2,FALSE)-150,VLOOKUP($B731,COSTOS!$A$2:$B1014,2,FALSE)),"No encontrado o error"))</f>
        <v/>
      </c>
      <c r="K731" s="264"/>
      <c r="L731" s="249"/>
      <c r="M731" s="189"/>
      <c r="N731" s="264"/>
      <c r="O731" s="249"/>
      <c r="P731" s="250"/>
      <c r="Q731" s="264"/>
      <c r="R731" s="249"/>
      <c r="S731" s="250"/>
      <c r="T731" s="264"/>
      <c r="U731" s="249"/>
      <c r="V731" s="250"/>
      <c r="W731" s="264"/>
      <c r="X731" s="394"/>
      <c r="Y731" s="429"/>
      <c r="Z731" s="395"/>
      <c r="AA731" s="394"/>
      <c r="AB731" s="118" t="str">
        <f>IF(OR(ISBLANK($B731),ISBLANK($AA731)),"",IFERROR(IF($AA731&lt;=DATE('ESTADO CONTABLE'!$B$2,9,5),VLOOKUP($B731,COSTOS!$A$2:$B1014,2,FALSE)-150,VLOOKUP($B731,COSTOS!$A$2:$B1014,2,FALSE)),"No encontrado o error"))</f>
        <v/>
      </c>
      <c r="AC731" s="395"/>
      <c r="AD731" s="394"/>
      <c r="AE731" s="429" t="str">
        <f>IF(OR(ISBLANK($B731),ISBLANK($AD731)),"",IFERROR(IF($AD731&lt;=DATE('ESTADO CONTABLE'!$B$2,10,5),VLOOKUP($B731,COSTOS!$A$2:$B1014,2,FALSE)-150,VLOOKUP($B731,COSTOS!$A$2:$B1014,2,FALSE)),"No encontrado o error"))</f>
        <v/>
      </c>
      <c r="AF731" s="395"/>
      <c r="AG731" s="394"/>
      <c r="AH731" s="429" t="str">
        <f>IF(OR(ISBLANK($B731),ISBLANK($AG731)),"",IFERROR(IF($AG731&lt;=DATE('ESTADO CONTABLE'!$B$2,11,5),VLOOKUP($B731,COSTOS!$A$2:$B1014,2,FALSE)-150,VLOOKUP($B731,COSTOS!$A$2:$B1014,2,FALSE)),"No encontrado o error"))</f>
        <v/>
      </c>
      <c r="AI731" s="395"/>
      <c r="AJ731" s="394"/>
      <c r="AK731" s="429" t="str">
        <f>IF(OR(ISBLANK($B731),ISBLANK($AJ731)),"",IFERROR(IF($AJ731&lt;=DATE('ESTADO CONTABLE'!$B$2,12,5),VLOOKUP($B731,COSTOS!$A$2:$B1014,2,FALSE)-150,VLOOKUP($B731,COSTOS!$A$2:$B1014,2,FALSE)),"No encontrado o error"))</f>
        <v/>
      </c>
      <c r="AL731" s="395"/>
      <c r="AM731" s="254"/>
      <c r="AN731" s="255"/>
      <c r="AO731" s="256"/>
    </row>
    <row r="732" ht="22.5" customHeight="1">
      <c r="A732" s="431" t="str">
        <f>'BASE DE DATOSS'!A806</f>
        <v/>
      </c>
      <c r="B732" s="432" t="str">
        <f>'BASE DE DATOSS'!C806</f>
        <v/>
      </c>
      <c r="C732" s="263"/>
      <c r="D732" s="249"/>
      <c r="E732" s="250"/>
      <c r="F732" s="251"/>
      <c r="G732" s="262"/>
      <c r="H732" s="257"/>
      <c r="I732" s="249"/>
      <c r="J732" s="193" t="str">
        <f>IF(OR(ISBLANK($B732),ISBLANK($I732)),"",IFERROR(IF($I732&lt;=DATE('ESTADO CONTABLE'!$B$2,3,5),VLOOKUP($B732,COSTOS!$A$2:$B1014,2,FALSE)-150,VLOOKUP($B732,COSTOS!$A$2:$B1014,2,FALSE)),"No encontrado o error"))</f>
        <v/>
      </c>
      <c r="K732" s="264"/>
      <c r="L732" s="249"/>
      <c r="M732" s="189"/>
      <c r="N732" s="264"/>
      <c r="O732" s="249"/>
      <c r="P732" s="250"/>
      <c r="Q732" s="264"/>
      <c r="R732" s="249"/>
      <c r="S732" s="250"/>
      <c r="T732" s="264"/>
      <c r="U732" s="249"/>
      <c r="V732" s="250"/>
      <c r="W732" s="264"/>
      <c r="X732" s="394"/>
      <c r="Y732" s="429"/>
      <c r="Z732" s="395"/>
      <c r="AA732" s="394"/>
      <c r="AB732" s="118" t="str">
        <f>IF(OR(ISBLANK($B732),ISBLANK($AA732)),"",IFERROR(IF($AA732&lt;=DATE('ESTADO CONTABLE'!$B$2,9,5),VLOOKUP($B732,COSTOS!$A$2:$B1014,2,FALSE)-150,VLOOKUP($B732,COSTOS!$A$2:$B1014,2,FALSE)),"No encontrado o error"))</f>
        <v/>
      </c>
      <c r="AC732" s="395"/>
      <c r="AD732" s="394"/>
      <c r="AE732" s="429" t="str">
        <f>IF(OR(ISBLANK($B732),ISBLANK($AD732)),"",IFERROR(IF($AD732&lt;=DATE('ESTADO CONTABLE'!$B$2,10,5),VLOOKUP($B732,COSTOS!$A$2:$B1014,2,FALSE)-150,VLOOKUP($B732,COSTOS!$A$2:$B1014,2,FALSE)),"No encontrado o error"))</f>
        <v/>
      </c>
      <c r="AF732" s="395"/>
      <c r="AG732" s="394"/>
      <c r="AH732" s="429" t="str">
        <f>IF(OR(ISBLANK($B732),ISBLANK($AG732)),"",IFERROR(IF($AG732&lt;=DATE('ESTADO CONTABLE'!$B$2,11,5),VLOOKUP($B732,COSTOS!$A$2:$B1014,2,FALSE)-150,VLOOKUP($B732,COSTOS!$A$2:$B1014,2,FALSE)),"No encontrado o error"))</f>
        <v/>
      </c>
      <c r="AI732" s="395"/>
      <c r="AJ732" s="394"/>
      <c r="AK732" s="429" t="str">
        <f>IF(OR(ISBLANK($B732),ISBLANK($AJ732)),"",IFERROR(IF($AJ732&lt;=DATE('ESTADO CONTABLE'!$B$2,12,5),VLOOKUP($B732,COSTOS!$A$2:$B1014,2,FALSE)-150,VLOOKUP($B732,COSTOS!$A$2:$B1014,2,FALSE)),"No encontrado o error"))</f>
        <v/>
      </c>
      <c r="AL732" s="395"/>
      <c r="AM732" s="254"/>
      <c r="AN732" s="255"/>
      <c r="AO732" s="256"/>
    </row>
    <row r="733" ht="22.5" customHeight="1">
      <c r="A733" s="431" t="str">
        <f>'BASE DE DATOSS'!A807</f>
        <v/>
      </c>
      <c r="B733" s="432" t="str">
        <f>'BASE DE DATOSS'!C807</f>
        <v/>
      </c>
      <c r="C733" s="263"/>
      <c r="D733" s="249"/>
      <c r="E733" s="250"/>
      <c r="F733" s="251"/>
      <c r="G733" s="262"/>
      <c r="H733" s="257"/>
      <c r="I733" s="249"/>
      <c r="J733" s="193" t="str">
        <f>IF(OR(ISBLANK($B733),ISBLANK($I733)),"",IFERROR(IF($I733&lt;=DATE('ESTADO CONTABLE'!$B$2,3,5),VLOOKUP($B733,COSTOS!$A$2:$B1014,2,FALSE)-150,VLOOKUP($B733,COSTOS!$A$2:$B1014,2,FALSE)),"No encontrado o error"))</f>
        <v/>
      </c>
      <c r="K733" s="264"/>
      <c r="L733" s="249"/>
      <c r="M733" s="189"/>
      <c r="N733" s="264"/>
      <c r="O733" s="249"/>
      <c r="P733" s="250"/>
      <c r="Q733" s="264"/>
      <c r="R733" s="249"/>
      <c r="S733" s="250"/>
      <c r="T733" s="264"/>
      <c r="U733" s="249"/>
      <c r="V733" s="250"/>
      <c r="W733" s="264"/>
      <c r="X733" s="394"/>
      <c r="Y733" s="429"/>
      <c r="Z733" s="395"/>
      <c r="AA733" s="394"/>
      <c r="AB733" s="118" t="str">
        <f>IF(OR(ISBLANK($B733),ISBLANK($AA733)),"",IFERROR(IF($AA733&lt;=DATE('ESTADO CONTABLE'!$B$2,9,5),VLOOKUP($B733,COSTOS!$A$2:$B1014,2,FALSE)-150,VLOOKUP($B733,COSTOS!$A$2:$B1014,2,FALSE)),"No encontrado o error"))</f>
        <v/>
      </c>
      <c r="AC733" s="395"/>
      <c r="AD733" s="394"/>
      <c r="AE733" s="429" t="str">
        <f>IF(OR(ISBLANK($B733),ISBLANK($AD733)),"",IFERROR(IF($AD733&lt;=DATE('ESTADO CONTABLE'!$B$2,10,5),VLOOKUP($B733,COSTOS!$A$2:$B1014,2,FALSE)-150,VLOOKUP($B733,COSTOS!$A$2:$B1014,2,FALSE)),"No encontrado o error"))</f>
        <v/>
      </c>
      <c r="AF733" s="395"/>
      <c r="AG733" s="394"/>
      <c r="AH733" s="429" t="str">
        <f>IF(OR(ISBLANK($B733),ISBLANK($AG733)),"",IFERROR(IF($AG733&lt;=DATE('ESTADO CONTABLE'!$B$2,11,5),VLOOKUP($B733,COSTOS!$A$2:$B1014,2,FALSE)-150,VLOOKUP($B733,COSTOS!$A$2:$B1014,2,FALSE)),"No encontrado o error"))</f>
        <v/>
      </c>
      <c r="AI733" s="395"/>
      <c r="AJ733" s="394"/>
      <c r="AK733" s="429" t="str">
        <f>IF(OR(ISBLANK($B733),ISBLANK($AJ733)),"",IFERROR(IF($AJ733&lt;=DATE('ESTADO CONTABLE'!$B$2,12,5),VLOOKUP($B733,COSTOS!$A$2:$B1014,2,FALSE)-150,VLOOKUP($B733,COSTOS!$A$2:$B1014,2,FALSE)),"No encontrado o error"))</f>
        <v/>
      </c>
      <c r="AL733" s="395"/>
      <c r="AM733" s="254"/>
      <c r="AN733" s="255"/>
      <c r="AO733" s="256"/>
    </row>
    <row r="734" ht="22.5" customHeight="1">
      <c r="A734" s="431" t="str">
        <f>'BASE DE DATOSS'!A808</f>
        <v/>
      </c>
      <c r="B734" s="432" t="str">
        <f>'BASE DE DATOSS'!C808</f>
        <v/>
      </c>
      <c r="C734" s="263"/>
      <c r="D734" s="249"/>
      <c r="E734" s="250"/>
      <c r="F734" s="251"/>
      <c r="G734" s="262"/>
      <c r="H734" s="257"/>
      <c r="I734" s="249"/>
      <c r="J734" s="193" t="str">
        <f>IF(OR(ISBLANK($B734),ISBLANK($I734)),"",IFERROR(IF($I734&lt;=DATE('ESTADO CONTABLE'!$B$2,3,5),VLOOKUP($B734,COSTOS!$A$2:$B1014,2,FALSE)-150,VLOOKUP($B734,COSTOS!$A$2:$B1014,2,FALSE)),"No encontrado o error"))</f>
        <v/>
      </c>
      <c r="K734" s="264"/>
      <c r="L734" s="249"/>
      <c r="M734" s="189"/>
      <c r="N734" s="264"/>
      <c r="O734" s="249"/>
      <c r="P734" s="250"/>
      <c r="Q734" s="264"/>
      <c r="R734" s="249"/>
      <c r="S734" s="250"/>
      <c r="T734" s="264"/>
      <c r="U734" s="249"/>
      <c r="V734" s="250"/>
      <c r="W734" s="264"/>
      <c r="X734" s="394"/>
      <c r="Y734" s="429"/>
      <c r="Z734" s="395"/>
      <c r="AA734" s="394"/>
      <c r="AB734" s="118" t="str">
        <f>IF(OR(ISBLANK($B734),ISBLANK($AA734)),"",IFERROR(IF($AA734&lt;=DATE('ESTADO CONTABLE'!$B$2,9,5),VLOOKUP($B734,COSTOS!$A$2:$B1014,2,FALSE)-150,VLOOKUP($B734,COSTOS!$A$2:$B1014,2,FALSE)),"No encontrado o error"))</f>
        <v/>
      </c>
      <c r="AC734" s="395"/>
      <c r="AD734" s="394"/>
      <c r="AE734" s="429" t="str">
        <f>IF(OR(ISBLANK($B734),ISBLANK($AD734)),"",IFERROR(IF($AD734&lt;=DATE('ESTADO CONTABLE'!$B$2,10,5),VLOOKUP($B734,COSTOS!$A$2:$B1014,2,FALSE)-150,VLOOKUP($B734,COSTOS!$A$2:$B1014,2,FALSE)),"No encontrado o error"))</f>
        <v/>
      </c>
      <c r="AF734" s="395"/>
      <c r="AG734" s="394"/>
      <c r="AH734" s="429" t="str">
        <f>IF(OR(ISBLANK($B734),ISBLANK($AG734)),"",IFERROR(IF($AG734&lt;=DATE('ESTADO CONTABLE'!$B$2,11,5),VLOOKUP($B734,COSTOS!$A$2:$B1014,2,FALSE)-150,VLOOKUP($B734,COSTOS!$A$2:$B1014,2,FALSE)),"No encontrado o error"))</f>
        <v/>
      </c>
      <c r="AI734" s="395"/>
      <c r="AJ734" s="394"/>
      <c r="AK734" s="429" t="str">
        <f>IF(OR(ISBLANK($B734),ISBLANK($AJ734)),"",IFERROR(IF($AJ734&lt;=DATE('ESTADO CONTABLE'!$B$2,12,5),VLOOKUP($B734,COSTOS!$A$2:$B1014,2,FALSE)-150,VLOOKUP($B734,COSTOS!$A$2:$B1014,2,FALSE)),"No encontrado o error"))</f>
        <v/>
      </c>
      <c r="AL734" s="395"/>
      <c r="AM734" s="254"/>
      <c r="AN734" s="255"/>
      <c r="AO734" s="256"/>
    </row>
    <row r="735" ht="22.5" customHeight="1">
      <c r="A735" s="431" t="str">
        <f>'BASE DE DATOSS'!A809</f>
        <v/>
      </c>
      <c r="B735" s="432" t="str">
        <f>'BASE DE DATOSS'!C809</f>
        <v/>
      </c>
      <c r="C735" s="263"/>
      <c r="D735" s="249"/>
      <c r="E735" s="250"/>
      <c r="F735" s="251"/>
      <c r="G735" s="262"/>
      <c r="H735" s="257"/>
      <c r="I735" s="249"/>
      <c r="J735" s="193" t="str">
        <f>IF(OR(ISBLANK($B735),ISBLANK($I735)),"",IFERROR(IF($I735&lt;=DATE('ESTADO CONTABLE'!$B$2,3,5),VLOOKUP($B735,COSTOS!$A$2:$B1014,2,FALSE)-150,VLOOKUP($B735,COSTOS!$A$2:$B1014,2,FALSE)),"No encontrado o error"))</f>
        <v/>
      </c>
      <c r="K735" s="264"/>
      <c r="L735" s="249"/>
      <c r="M735" s="189"/>
      <c r="N735" s="264"/>
      <c r="O735" s="249"/>
      <c r="P735" s="250"/>
      <c r="Q735" s="264"/>
      <c r="R735" s="249"/>
      <c r="S735" s="250"/>
      <c r="T735" s="264"/>
      <c r="U735" s="249"/>
      <c r="V735" s="250"/>
      <c r="W735" s="264"/>
      <c r="X735" s="394"/>
      <c r="Y735" s="429"/>
      <c r="Z735" s="395"/>
      <c r="AA735" s="394"/>
      <c r="AB735" s="118" t="str">
        <f>IF(OR(ISBLANK($B735),ISBLANK($AA735)),"",IFERROR(IF($AA735&lt;=DATE('ESTADO CONTABLE'!$B$2,9,5),VLOOKUP($B735,COSTOS!$A$2:$B1014,2,FALSE)-150,VLOOKUP($B735,COSTOS!$A$2:$B1014,2,FALSE)),"No encontrado o error"))</f>
        <v/>
      </c>
      <c r="AC735" s="395"/>
      <c r="AD735" s="394"/>
      <c r="AE735" s="429" t="str">
        <f>IF(OR(ISBLANK($B735),ISBLANK($AD735)),"",IFERROR(IF($AD735&lt;=DATE('ESTADO CONTABLE'!$B$2,10,5),VLOOKUP($B735,COSTOS!$A$2:$B1014,2,FALSE)-150,VLOOKUP($B735,COSTOS!$A$2:$B1014,2,FALSE)),"No encontrado o error"))</f>
        <v/>
      </c>
      <c r="AF735" s="395"/>
      <c r="AG735" s="394"/>
      <c r="AH735" s="429" t="str">
        <f>IF(OR(ISBLANK($B735),ISBLANK($AG735)),"",IFERROR(IF($AG735&lt;=DATE('ESTADO CONTABLE'!$B$2,11,5),VLOOKUP($B735,COSTOS!$A$2:$B1014,2,FALSE)-150,VLOOKUP($B735,COSTOS!$A$2:$B1014,2,FALSE)),"No encontrado o error"))</f>
        <v/>
      </c>
      <c r="AI735" s="395"/>
      <c r="AJ735" s="394"/>
      <c r="AK735" s="429" t="str">
        <f>IF(OR(ISBLANK($B735),ISBLANK($AJ735)),"",IFERROR(IF($AJ735&lt;=DATE('ESTADO CONTABLE'!$B$2,12,5),VLOOKUP($B735,COSTOS!$A$2:$B1014,2,FALSE)-150,VLOOKUP($B735,COSTOS!$A$2:$B1014,2,FALSE)),"No encontrado o error"))</f>
        <v/>
      </c>
      <c r="AL735" s="395"/>
      <c r="AM735" s="254"/>
      <c r="AN735" s="255"/>
      <c r="AO735" s="256"/>
    </row>
    <row r="736" ht="22.5" customHeight="1">
      <c r="A736" s="431" t="str">
        <f>'BASE DE DATOSS'!A810</f>
        <v/>
      </c>
      <c r="B736" s="432" t="str">
        <f>'BASE DE DATOSS'!C810</f>
        <v/>
      </c>
      <c r="C736" s="263"/>
      <c r="D736" s="249"/>
      <c r="E736" s="250"/>
      <c r="F736" s="251"/>
      <c r="G736" s="262"/>
      <c r="H736" s="257"/>
      <c r="I736" s="249"/>
      <c r="J736" s="193" t="str">
        <f>IF(OR(ISBLANK($B736),ISBLANK($I736)),"",IFERROR(IF($I736&lt;=DATE('ESTADO CONTABLE'!$B$2,3,5),VLOOKUP($B736,COSTOS!$A$2:$B1014,2,FALSE)-150,VLOOKUP($B736,COSTOS!$A$2:$B1014,2,FALSE)),"No encontrado o error"))</f>
        <v/>
      </c>
      <c r="K736" s="264"/>
      <c r="L736" s="249"/>
      <c r="M736" s="189"/>
      <c r="N736" s="264"/>
      <c r="O736" s="249"/>
      <c r="P736" s="250"/>
      <c r="Q736" s="264"/>
      <c r="R736" s="249"/>
      <c r="S736" s="250"/>
      <c r="T736" s="264"/>
      <c r="U736" s="249"/>
      <c r="V736" s="250"/>
      <c r="W736" s="264"/>
      <c r="X736" s="394"/>
      <c r="Y736" s="429"/>
      <c r="Z736" s="395"/>
      <c r="AA736" s="394"/>
      <c r="AB736" s="118" t="str">
        <f>IF(OR(ISBLANK($B736),ISBLANK($AA736)),"",IFERROR(IF($AA736&lt;=DATE('ESTADO CONTABLE'!$B$2,9,5),VLOOKUP($B736,COSTOS!$A$2:$B1014,2,FALSE)-150,VLOOKUP($B736,COSTOS!$A$2:$B1014,2,FALSE)),"No encontrado o error"))</f>
        <v/>
      </c>
      <c r="AC736" s="395"/>
      <c r="AD736" s="394"/>
      <c r="AE736" s="429" t="str">
        <f>IF(OR(ISBLANK($B736),ISBLANK($AD736)),"",IFERROR(IF($AD736&lt;=DATE('ESTADO CONTABLE'!$B$2,10,5),VLOOKUP($B736,COSTOS!$A$2:$B1014,2,FALSE)-150,VLOOKUP($B736,COSTOS!$A$2:$B1014,2,FALSE)),"No encontrado o error"))</f>
        <v/>
      </c>
      <c r="AF736" s="395"/>
      <c r="AG736" s="394"/>
      <c r="AH736" s="429" t="str">
        <f>IF(OR(ISBLANK($B736),ISBLANK($AG736)),"",IFERROR(IF($AG736&lt;=DATE('ESTADO CONTABLE'!$B$2,11,5),VLOOKUP($B736,COSTOS!$A$2:$B1014,2,FALSE)-150,VLOOKUP($B736,COSTOS!$A$2:$B1014,2,FALSE)),"No encontrado o error"))</f>
        <v/>
      </c>
      <c r="AI736" s="395"/>
      <c r="AJ736" s="394"/>
      <c r="AK736" s="429" t="str">
        <f>IF(OR(ISBLANK($B736),ISBLANK($AJ736)),"",IFERROR(IF($AJ736&lt;=DATE('ESTADO CONTABLE'!$B$2,12,5),VLOOKUP($B736,COSTOS!$A$2:$B1014,2,FALSE)-150,VLOOKUP($B736,COSTOS!$A$2:$B1014,2,FALSE)),"No encontrado o error"))</f>
        <v/>
      </c>
      <c r="AL736" s="395"/>
      <c r="AM736" s="254"/>
      <c r="AN736" s="255"/>
      <c r="AO736" s="256"/>
    </row>
    <row r="737" ht="22.5" customHeight="1">
      <c r="A737" s="431" t="str">
        <f>'BASE DE DATOSS'!A811</f>
        <v/>
      </c>
      <c r="B737" s="432" t="str">
        <f>'BASE DE DATOSS'!C811</f>
        <v/>
      </c>
      <c r="C737" s="263"/>
      <c r="D737" s="249"/>
      <c r="E737" s="250"/>
      <c r="F737" s="251"/>
      <c r="G737" s="262"/>
      <c r="H737" s="257"/>
      <c r="I737" s="249"/>
      <c r="J737" s="193" t="str">
        <f>IF(OR(ISBLANK($B737),ISBLANK($I737)),"",IFERROR(IF($I737&lt;=DATE('ESTADO CONTABLE'!$B$2,3,5),VLOOKUP($B737,COSTOS!$A$2:$B1014,2,FALSE)-150,VLOOKUP($B737,COSTOS!$A$2:$B1014,2,FALSE)),"No encontrado o error"))</f>
        <v/>
      </c>
      <c r="K737" s="264"/>
      <c r="L737" s="249"/>
      <c r="M737" s="189"/>
      <c r="N737" s="264"/>
      <c r="O737" s="249"/>
      <c r="P737" s="250"/>
      <c r="Q737" s="264"/>
      <c r="R737" s="249"/>
      <c r="S737" s="250"/>
      <c r="T737" s="264"/>
      <c r="U737" s="249"/>
      <c r="V737" s="250"/>
      <c r="W737" s="264"/>
      <c r="X737" s="394"/>
      <c r="Y737" s="429"/>
      <c r="Z737" s="395"/>
      <c r="AA737" s="394"/>
      <c r="AB737" s="118" t="str">
        <f>IF(OR(ISBLANK($B737),ISBLANK($AA737)),"",IFERROR(IF($AA737&lt;=DATE('ESTADO CONTABLE'!$B$2,9,5),VLOOKUP($B737,COSTOS!$A$2:$B1014,2,FALSE)-150,VLOOKUP($B737,COSTOS!$A$2:$B1014,2,FALSE)),"No encontrado o error"))</f>
        <v/>
      </c>
      <c r="AC737" s="395"/>
      <c r="AD737" s="394"/>
      <c r="AE737" s="429" t="str">
        <f>IF(OR(ISBLANK($B737),ISBLANK($AD737)),"",IFERROR(IF($AD737&lt;=DATE('ESTADO CONTABLE'!$B$2,10,5),VLOOKUP($B737,COSTOS!$A$2:$B1014,2,FALSE)-150,VLOOKUP($B737,COSTOS!$A$2:$B1014,2,FALSE)),"No encontrado o error"))</f>
        <v/>
      </c>
      <c r="AF737" s="395"/>
      <c r="AG737" s="394"/>
      <c r="AH737" s="429" t="str">
        <f>IF(OR(ISBLANK($B737),ISBLANK($AG737)),"",IFERROR(IF($AG737&lt;=DATE('ESTADO CONTABLE'!$B$2,11,5),VLOOKUP($B737,COSTOS!$A$2:$B1014,2,FALSE)-150,VLOOKUP($B737,COSTOS!$A$2:$B1014,2,FALSE)),"No encontrado o error"))</f>
        <v/>
      </c>
      <c r="AI737" s="395"/>
      <c r="AJ737" s="394"/>
      <c r="AK737" s="429" t="str">
        <f>IF(OR(ISBLANK($B737),ISBLANK($AJ737)),"",IFERROR(IF($AJ737&lt;=DATE('ESTADO CONTABLE'!$B$2,12,5),VLOOKUP($B737,COSTOS!$A$2:$B1014,2,FALSE)-150,VLOOKUP($B737,COSTOS!$A$2:$B1014,2,FALSE)),"No encontrado o error"))</f>
        <v/>
      </c>
      <c r="AL737" s="395"/>
      <c r="AM737" s="254"/>
      <c r="AN737" s="255"/>
      <c r="AO737" s="256"/>
    </row>
    <row r="738" ht="22.5" customHeight="1">
      <c r="A738" s="431" t="str">
        <f>'BASE DE DATOSS'!A812</f>
        <v/>
      </c>
      <c r="B738" s="432" t="str">
        <f>'BASE DE DATOSS'!C812</f>
        <v/>
      </c>
      <c r="C738" s="263"/>
      <c r="D738" s="249"/>
      <c r="E738" s="250"/>
      <c r="F738" s="251"/>
      <c r="G738" s="262"/>
      <c r="H738" s="257"/>
      <c r="I738" s="249"/>
      <c r="J738" s="193" t="str">
        <f>IF(OR(ISBLANK($B738),ISBLANK($I738)),"",IFERROR(IF($I738&lt;=DATE('ESTADO CONTABLE'!$B$2,3,5),VLOOKUP($B738,COSTOS!$A$2:$B1014,2,FALSE)-150,VLOOKUP($B738,COSTOS!$A$2:$B1014,2,FALSE)),"No encontrado o error"))</f>
        <v/>
      </c>
      <c r="K738" s="264"/>
      <c r="L738" s="249"/>
      <c r="M738" s="189"/>
      <c r="N738" s="264"/>
      <c r="O738" s="249"/>
      <c r="P738" s="250"/>
      <c r="Q738" s="264"/>
      <c r="R738" s="249"/>
      <c r="S738" s="250"/>
      <c r="T738" s="264"/>
      <c r="U738" s="249"/>
      <c r="V738" s="250"/>
      <c r="W738" s="264"/>
      <c r="X738" s="394"/>
      <c r="Y738" s="429"/>
      <c r="Z738" s="395"/>
      <c r="AA738" s="394"/>
      <c r="AB738" s="118" t="str">
        <f>IF(OR(ISBLANK($B738),ISBLANK($AA738)),"",IFERROR(IF($AA738&lt;=DATE('ESTADO CONTABLE'!$B$2,9,5),VLOOKUP($B738,COSTOS!$A$2:$B1014,2,FALSE)-150,VLOOKUP($B738,COSTOS!$A$2:$B1014,2,FALSE)),"No encontrado o error"))</f>
        <v/>
      </c>
      <c r="AC738" s="395"/>
      <c r="AD738" s="394"/>
      <c r="AE738" s="429" t="str">
        <f>IF(OR(ISBLANK($B738),ISBLANK($AD738)),"",IFERROR(IF($AD738&lt;=DATE('ESTADO CONTABLE'!$B$2,10,5),VLOOKUP($B738,COSTOS!$A$2:$B1014,2,FALSE)-150,VLOOKUP($B738,COSTOS!$A$2:$B1014,2,FALSE)),"No encontrado o error"))</f>
        <v/>
      </c>
      <c r="AF738" s="395"/>
      <c r="AG738" s="394"/>
      <c r="AH738" s="429" t="str">
        <f>IF(OR(ISBLANK($B738),ISBLANK($AG738)),"",IFERROR(IF($AG738&lt;=DATE('ESTADO CONTABLE'!$B$2,11,5),VLOOKUP($B738,COSTOS!$A$2:$B1014,2,FALSE)-150,VLOOKUP($B738,COSTOS!$A$2:$B1014,2,FALSE)),"No encontrado o error"))</f>
        <v/>
      </c>
      <c r="AI738" s="395"/>
      <c r="AJ738" s="394"/>
      <c r="AK738" s="429" t="str">
        <f>IF(OR(ISBLANK($B738),ISBLANK($AJ738)),"",IFERROR(IF($AJ738&lt;=DATE('ESTADO CONTABLE'!$B$2,12,5),VLOOKUP($B738,COSTOS!$A$2:$B1014,2,FALSE)-150,VLOOKUP($B738,COSTOS!$A$2:$B1014,2,FALSE)),"No encontrado o error"))</f>
        <v/>
      </c>
      <c r="AL738" s="395"/>
      <c r="AM738" s="254"/>
      <c r="AN738" s="255"/>
      <c r="AO738" s="256"/>
    </row>
    <row r="739" ht="22.5" customHeight="1">
      <c r="A739" s="431" t="str">
        <f>'BASE DE DATOSS'!A813</f>
        <v/>
      </c>
      <c r="B739" s="432" t="str">
        <f>'BASE DE DATOSS'!C813</f>
        <v/>
      </c>
      <c r="C739" s="263"/>
      <c r="D739" s="249"/>
      <c r="E739" s="250"/>
      <c r="F739" s="251"/>
      <c r="G739" s="262"/>
      <c r="H739" s="257"/>
      <c r="I739" s="249"/>
      <c r="J739" s="193" t="str">
        <f>IF(OR(ISBLANK($B739),ISBLANK($I739)),"",IFERROR(IF($I739&lt;=DATE('ESTADO CONTABLE'!$B$2,3,5),VLOOKUP($B739,COSTOS!$A$2:$B1014,2,FALSE)-150,VLOOKUP($B739,COSTOS!$A$2:$B1014,2,FALSE)),"No encontrado o error"))</f>
        <v/>
      </c>
      <c r="K739" s="264"/>
      <c r="L739" s="249"/>
      <c r="M739" s="189"/>
      <c r="N739" s="264"/>
      <c r="O739" s="249"/>
      <c r="P739" s="250"/>
      <c r="Q739" s="264"/>
      <c r="R739" s="249"/>
      <c r="S739" s="250"/>
      <c r="T739" s="264"/>
      <c r="U739" s="249"/>
      <c r="V739" s="250"/>
      <c r="W739" s="264"/>
      <c r="X739" s="394"/>
      <c r="Y739" s="429"/>
      <c r="Z739" s="395"/>
      <c r="AA739" s="394"/>
      <c r="AB739" s="118" t="str">
        <f>IF(OR(ISBLANK($B739),ISBLANK($AA739)),"",IFERROR(IF($AA739&lt;=DATE('ESTADO CONTABLE'!$B$2,9,5),VLOOKUP($B739,COSTOS!$A$2:$B1014,2,FALSE)-150,VLOOKUP($B739,COSTOS!$A$2:$B1014,2,FALSE)),"No encontrado o error"))</f>
        <v/>
      </c>
      <c r="AC739" s="395"/>
      <c r="AD739" s="394"/>
      <c r="AE739" s="429" t="str">
        <f>IF(OR(ISBLANK($B739),ISBLANK($AD739)),"",IFERROR(IF($AD739&lt;=DATE('ESTADO CONTABLE'!$B$2,10,5),VLOOKUP($B739,COSTOS!$A$2:$B1014,2,FALSE)-150,VLOOKUP($B739,COSTOS!$A$2:$B1014,2,FALSE)),"No encontrado o error"))</f>
        <v/>
      </c>
      <c r="AF739" s="395"/>
      <c r="AG739" s="394"/>
      <c r="AH739" s="429" t="str">
        <f>IF(OR(ISBLANK($B739),ISBLANK($AG739)),"",IFERROR(IF($AG739&lt;=DATE('ESTADO CONTABLE'!$B$2,11,5),VLOOKUP($B739,COSTOS!$A$2:$B1014,2,FALSE)-150,VLOOKUP($B739,COSTOS!$A$2:$B1014,2,FALSE)),"No encontrado o error"))</f>
        <v/>
      </c>
      <c r="AI739" s="395"/>
      <c r="AJ739" s="394"/>
      <c r="AK739" s="429" t="str">
        <f>IF(OR(ISBLANK($B739),ISBLANK($AJ739)),"",IFERROR(IF($AJ739&lt;=DATE('ESTADO CONTABLE'!$B$2,12,5),VLOOKUP($B739,COSTOS!$A$2:$B1014,2,FALSE)-150,VLOOKUP($B739,COSTOS!$A$2:$B1014,2,FALSE)),"No encontrado o error"))</f>
        <v/>
      </c>
      <c r="AL739" s="395"/>
      <c r="AM739" s="254"/>
      <c r="AN739" s="255"/>
      <c r="AO739" s="256"/>
    </row>
    <row r="740" ht="22.5" customHeight="1">
      <c r="A740" s="431" t="str">
        <f>'BASE DE DATOSS'!A814</f>
        <v/>
      </c>
      <c r="B740" s="432" t="str">
        <f>'BASE DE DATOSS'!C814</f>
        <v/>
      </c>
      <c r="C740" s="263"/>
      <c r="D740" s="249"/>
      <c r="E740" s="250"/>
      <c r="F740" s="251"/>
      <c r="G740" s="262"/>
      <c r="H740" s="257"/>
      <c r="I740" s="249"/>
      <c r="J740" s="193" t="str">
        <f>IF(OR(ISBLANK($B740),ISBLANK($I740)),"",IFERROR(IF($I740&lt;=DATE('ESTADO CONTABLE'!$B$2,3,5),VLOOKUP($B740,COSTOS!$A$2:$B1014,2,FALSE)-150,VLOOKUP($B740,COSTOS!$A$2:$B1014,2,FALSE)),"No encontrado o error"))</f>
        <v/>
      </c>
      <c r="K740" s="264"/>
      <c r="L740" s="249"/>
      <c r="M740" s="189"/>
      <c r="N740" s="264"/>
      <c r="O740" s="249"/>
      <c r="P740" s="250"/>
      <c r="Q740" s="264"/>
      <c r="R740" s="249"/>
      <c r="S740" s="250"/>
      <c r="T740" s="264"/>
      <c r="U740" s="249"/>
      <c r="V740" s="250"/>
      <c r="W740" s="264"/>
      <c r="X740" s="394"/>
      <c r="Y740" s="429"/>
      <c r="Z740" s="395"/>
      <c r="AA740" s="394"/>
      <c r="AB740" s="118" t="str">
        <f>IF(OR(ISBLANK($B740),ISBLANK($AA740)),"",IFERROR(IF($AA740&lt;=DATE('ESTADO CONTABLE'!$B$2,9,5),VLOOKUP($B740,COSTOS!$A$2:$B1014,2,FALSE)-150,VLOOKUP($B740,COSTOS!$A$2:$B1014,2,FALSE)),"No encontrado o error"))</f>
        <v/>
      </c>
      <c r="AC740" s="395"/>
      <c r="AD740" s="394"/>
      <c r="AE740" s="429" t="str">
        <f>IF(OR(ISBLANK($B740),ISBLANK($AD740)),"",IFERROR(IF($AD740&lt;=DATE('ESTADO CONTABLE'!$B$2,10,5),VLOOKUP($B740,COSTOS!$A$2:$B1014,2,FALSE)-150,VLOOKUP($B740,COSTOS!$A$2:$B1014,2,FALSE)),"No encontrado o error"))</f>
        <v/>
      </c>
      <c r="AF740" s="395"/>
      <c r="AG740" s="394"/>
      <c r="AH740" s="429" t="str">
        <f>IF(OR(ISBLANK($B740),ISBLANK($AG740)),"",IFERROR(IF($AG740&lt;=DATE('ESTADO CONTABLE'!$B$2,11,5),VLOOKUP($B740,COSTOS!$A$2:$B1014,2,FALSE)-150,VLOOKUP($B740,COSTOS!$A$2:$B1014,2,FALSE)),"No encontrado o error"))</f>
        <v/>
      </c>
      <c r="AI740" s="395"/>
      <c r="AJ740" s="394"/>
      <c r="AK740" s="429" t="str">
        <f>IF(OR(ISBLANK($B740),ISBLANK($AJ740)),"",IFERROR(IF($AJ740&lt;=DATE('ESTADO CONTABLE'!$B$2,12,5),VLOOKUP($B740,COSTOS!$A$2:$B1014,2,FALSE)-150,VLOOKUP($B740,COSTOS!$A$2:$B1014,2,FALSE)),"No encontrado o error"))</f>
        <v/>
      </c>
      <c r="AL740" s="395"/>
      <c r="AM740" s="254"/>
      <c r="AN740" s="255"/>
      <c r="AO740" s="256"/>
    </row>
    <row r="741" ht="22.5" customHeight="1">
      <c r="A741" s="431" t="str">
        <f>'BASE DE DATOSS'!A815</f>
        <v/>
      </c>
      <c r="B741" s="432" t="str">
        <f>'BASE DE DATOSS'!C815</f>
        <v/>
      </c>
      <c r="C741" s="263"/>
      <c r="D741" s="249"/>
      <c r="E741" s="250"/>
      <c r="F741" s="251"/>
      <c r="G741" s="262"/>
      <c r="H741" s="257"/>
      <c r="I741" s="249"/>
      <c r="J741" s="193" t="str">
        <f>IF(OR(ISBLANK($B741),ISBLANK($I741)),"",IFERROR(IF($I741&lt;=DATE('ESTADO CONTABLE'!$B$2,3,5),VLOOKUP($B741,COSTOS!$A$2:$B1014,2,FALSE)-150,VLOOKUP($B741,COSTOS!$A$2:$B1014,2,FALSE)),"No encontrado o error"))</f>
        <v/>
      </c>
      <c r="K741" s="264"/>
      <c r="L741" s="249"/>
      <c r="M741" s="189"/>
      <c r="N741" s="264"/>
      <c r="O741" s="249"/>
      <c r="P741" s="250"/>
      <c r="Q741" s="264"/>
      <c r="R741" s="249"/>
      <c r="S741" s="250"/>
      <c r="T741" s="264"/>
      <c r="U741" s="249"/>
      <c r="V741" s="250"/>
      <c r="W741" s="264"/>
      <c r="X741" s="394"/>
      <c r="Y741" s="429"/>
      <c r="Z741" s="395"/>
      <c r="AA741" s="394"/>
      <c r="AB741" s="118" t="str">
        <f>IF(OR(ISBLANK($B741),ISBLANK($AA741)),"",IFERROR(IF($AA741&lt;=DATE('ESTADO CONTABLE'!$B$2,9,5),VLOOKUP($B741,COSTOS!$A$2:$B1014,2,FALSE)-150,VLOOKUP($B741,COSTOS!$A$2:$B1014,2,FALSE)),"No encontrado o error"))</f>
        <v/>
      </c>
      <c r="AC741" s="395"/>
      <c r="AD741" s="394"/>
      <c r="AE741" s="429" t="str">
        <f>IF(OR(ISBLANK($B741),ISBLANK($AD741)),"",IFERROR(IF($AD741&lt;=DATE('ESTADO CONTABLE'!$B$2,10,5),VLOOKUP($B741,COSTOS!$A$2:$B1014,2,FALSE)-150,VLOOKUP($B741,COSTOS!$A$2:$B1014,2,FALSE)),"No encontrado o error"))</f>
        <v/>
      </c>
      <c r="AF741" s="395"/>
      <c r="AG741" s="394"/>
      <c r="AH741" s="429" t="str">
        <f>IF(OR(ISBLANK($B741),ISBLANK($AG741)),"",IFERROR(IF($AG741&lt;=DATE('ESTADO CONTABLE'!$B$2,11,5),VLOOKUP($B741,COSTOS!$A$2:$B1014,2,FALSE)-150,VLOOKUP($B741,COSTOS!$A$2:$B1014,2,FALSE)),"No encontrado o error"))</f>
        <v/>
      </c>
      <c r="AI741" s="395"/>
      <c r="AJ741" s="394"/>
      <c r="AK741" s="429" t="str">
        <f>IF(OR(ISBLANK($B741),ISBLANK($AJ741)),"",IFERROR(IF($AJ741&lt;=DATE('ESTADO CONTABLE'!$B$2,12,5),VLOOKUP($B741,COSTOS!$A$2:$B1014,2,FALSE)-150,VLOOKUP($B741,COSTOS!$A$2:$B1014,2,FALSE)),"No encontrado o error"))</f>
        <v/>
      </c>
      <c r="AL741" s="395"/>
      <c r="AM741" s="254"/>
      <c r="AN741" s="255"/>
      <c r="AO741" s="256"/>
    </row>
    <row r="742" ht="22.5" customHeight="1">
      <c r="A742" s="431" t="str">
        <f>'BASE DE DATOSS'!A816</f>
        <v/>
      </c>
      <c r="B742" s="432" t="str">
        <f>'BASE DE DATOSS'!C816</f>
        <v/>
      </c>
      <c r="C742" s="263"/>
      <c r="D742" s="249"/>
      <c r="E742" s="250"/>
      <c r="F742" s="251"/>
      <c r="G742" s="262"/>
      <c r="H742" s="257"/>
      <c r="I742" s="249"/>
      <c r="J742" s="193" t="str">
        <f>IF(OR(ISBLANK($B742),ISBLANK($I742)),"",IFERROR(IF($I742&lt;=DATE('ESTADO CONTABLE'!$B$2,3,5),VLOOKUP($B742,COSTOS!$A$2:$B1014,2,FALSE)-150,VLOOKUP($B742,COSTOS!$A$2:$B1014,2,FALSE)),"No encontrado o error"))</f>
        <v/>
      </c>
      <c r="K742" s="264"/>
      <c r="L742" s="249"/>
      <c r="M742" s="189"/>
      <c r="N742" s="264"/>
      <c r="O742" s="249"/>
      <c r="P742" s="250"/>
      <c r="Q742" s="264"/>
      <c r="R742" s="249"/>
      <c r="S742" s="250"/>
      <c r="T742" s="264"/>
      <c r="U742" s="249"/>
      <c r="V742" s="250"/>
      <c r="W742" s="264"/>
      <c r="X742" s="394"/>
      <c r="Y742" s="429"/>
      <c r="Z742" s="395"/>
      <c r="AA742" s="394"/>
      <c r="AB742" s="118" t="str">
        <f>IF(OR(ISBLANK($B742),ISBLANK($AA742)),"",IFERROR(IF($AA742&lt;=DATE('ESTADO CONTABLE'!$B$2,9,5),VLOOKUP($B742,COSTOS!$A$2:$B1014,2,FALSE)-150,VLOOKUP($B742,COSTOS!$A$2:$B1014,2,FALSE)),"No encontrado o error"))</f>
        <v/>
      </c>
      <c r="AC742" s="395"/>
      <c r="AD742" s="394"/>
      <c r="AE742" s="429" t="str">
        <f>IF(OR(ISBLANK($B742),ISBLANK($AD742)),"",IFERROR(IF($AD742&lt;=DATE('ESTADO CONTABLE'!$B$2,10,5),VLOOKUP($B742,COSTOS!$A$2:$B1014,2,FALSE)-150,VLOOKUP($B742,COSTOS!$A$2:$B1014,2,FALSE)),"No encontrado o error"))</f>
        <v/>
      </c>
      <c r="AF742" s="395"/>
      <c r="AG742" s="394"/>
      <c r="AH742" s="429" t="str">
        <f>IF(OR(ISBLANK($B742),ISBLANK($AG742)),"",IFERROR(IF($AG742&lt;=DATE('ESTADO CONTABLE'!$B$2,11,5),VLOOKUP($B742,COSTOS!$A$2:$B1014,2,FALSE)-150,VLOOKUP($B742,COSTOS!$A$2:$B1014,2,FALSE)),"No encontrado o error"))</f>
        <v/>
      </c>
      <c r="AI742" s="395"/>
      <c r="AJ742" s="394"/>
      <c r="AK742" s="429" t="str">
        <f>IF(OR(ISBLANK($B742),ISBLANK($AJ742)),"",IFERROR(IF($AJ742&lt;=DATE('ESTADO CONTABLE'!$B$2,12,5),VLOOKUP($B742,COSTOS!$A$2:$B1014,2,FALSE)-150,VLOOKUP($B742,COSTOS!$A$2:$B1014,2,FALSE)),"No encontrado o error"))</f>
        <v/>
      </c>
      <c r="AL742" s="395"/>
      <c r="AM742" s="254"/>
      <c r="AN742" s="255"/>
      <c r="AO742" s="256"/>
    </row>
    <row r="743" ht="22.5" customHeight="1">
      <c r="A743" s="431" t="str">
        <f>'BASE DE DATOSS'!A817</f>
        <v/>
      </c>
      <c r="B743" s="432" t="str">
        <f>'BASE DE DATOSS'!C817</f>
        <v/>
      </c>
      <c r="C743" s="263"/>
      <c r="D743" s="249"/>
      <c r="E743" s="250"/>
      <c r="F743" s="251"/>
      <c r="G743" s="262"/>
      <c r="H743" s="257"/>
      <c r="I743" s="249"/>
      <c r="J743" s="193" t="str">
        <f>IF(OR(ISBLANK($B743),ISBLANK($I743)),"",IFERROR(IF($I743&lt;=DATE('ESTADO CONTABLE'!$B$2,3,5),VLOOKUP($B743,COSTOS!$A$2:$B1014,2,FALSE)-150,VLOOKUP($B743,COSTOS!$A$2:$B1014,2,FALSE)),"No encontrado o error"))</f>
        <v/>
      </c>
      <c r="K743" s="264"/>
      <c r="L743" s="249"/>
      <c r="M743" s="189"/>
      <c r="N743" s="264"/>
      <c r="O743" s="249"/>
      <c r="P743" s="250"/>
      <c r="Q743" s="264"/>
      <c r="R743" s="249"/>
      <c r="S743" s="250"/>
      <c r="T743" s="264"/>
      <c r="U743" s="249"/>
      <c r="V743" s="250"/>
      <c r="W743" s="264"/>
      <c r="X743" s="394"/>
      <c r="Y743" s="429"/>
      <c r="Z743" s="395"/>
      <c r="AA743" s="394"/>
      <c r="AB743" s="118" t="str">
        <f>IF(OR(ISBLANK($B743),ISBLANK($AA743)),"",IFERROR(IF($AA743&lt;=DATE('ESTADO CONTABLE'!$B$2,9,5),VLOOKUP($B743,COSTOS!$A$2:$B1014,2,FALSE)-150,VLOOKUP($B743,COSTOS!$A$2:$B1014,2,FALSE)),"No encontrado o error"))</f>
        <v/>
      </c>
      <c r="AC743" s="395"/>
      <c r="AD743" s="394"/>
      <c r="AE743" s="429" t="str">
        <f>IF(OR(ISBLANK($B743),ISBLANK($AD743)),"",IFERROR(IF($AD743&lt;=DATE('ESTADO CONTABLE'!$B$2,10,5),VLOOKUP($B743,COSTOS!$A$2:$B1014,2,FALSE)-150,VLOOKUP($B743,COSTOS!$A$2:$B1014,2,FALSE)),"No encontrado o error"))</f>
        <v/>
      </c>
      <c r="AF743" s="395"/>
      <c r="AG743" s="394"/>
      <c r="AH743" s="429" t="str">
        <f>IF(OR(ISBLANK($B743),ISBLANK($AG743)),"",IFERROR(IF($AG743&lt;=DATE('ESTADO CONTABLE'!$B$2,11,5),VLOOKUP($B743,COSTOS!$A$2:$B1014,2,FALSE)-150,VLOOKUP($B743,COSTOS!$A$2:$B1014,2,FALSE)),"No encontrado o error"))</f>
        <v/>
      </c>
      <c r="AI743" s="395"/>
      <c r="AJ743" s="394"/>
      <c r="AK743" s="429" t="str">
        <f>IF(OR(ISBLANK($B743),ISBLANK($AJ743)),"",IFERROR(IF($AJ743&lt;=DATE('ESTADO CONTABLE'!$B$2,12,5),VLOOKUP($B743,COSTOS!$A$2:$B1014,2,FALSE)-150,VLOOKUP($B743,COSTOS!$A$2:$B1014,2,FALSE)),"No encontrado o error"))</f>
        <v/>
      </c>
      <c r="AL743" s="395"/>
      <c r="AM743" s="254"/>
      <c r="AN743" s="255"/>
      <c r="AO743" s="256"/>
    </row>
    <row r="744" ht="22.5" customHeight="1">
      <c r="A744" s="431" t="str">
        <f>'BASE DE DATOSS'!A818</f>
        <v/>
      </c>
      <c r="B744" s="432" t="str">
        <f>'BASE DE DATOSS'!C818</f>
        <v/>
      </c>
      <c r="C744" s="263"/>
      <c r="D744" s="249"/>
      <c r="E744" s="250"/>
      <c r="F744" s="251"/>
      <c r="G744" s="262"/>
      <c r="H744" s="257"/>
      <c r="I744" s="249"/>
      <c r="J744" s="193" t="str">
        <f>IF(OR(ISBLANK($B744),ISBLANK($I744)),"",IFERROR(IF($I744&lt;=DATE('ESTADO CONTABLE'!$B$2,3,5),VLOOKUP($B744,COSTOS!$A$2:$B1014,2,FALSE)-150,VLOOKUP($B744,COSTOS!$A$2:$B1014,2,FALSE)),"No encontrado o error"))</f>
        <v/>
      </c>
      <c r="K744" s="264"/>
      <c r="L744" s="249"/>
      <c r="M744" s="189"/>
      <c r="N744" s="264"/>
      <c r="O744" s="249"/>
      <c r="P744" s="250"/>
      <c r="Q744" s="264"/>
      <c r="R744" s="249"/>
      <c r="S744" s="250"/>
      <c r="T744" s="264"/>
      <c r="U744" s="249"/>
      <c r="V744" s="250"/>
      <c r="W744" s="264"/>
      <c r="X744" s="394"/>
      <c r="Y744" s="429"/>
      <c r="Z744" s="395"/>
      <c r="AA744" s="394"/>
      <c r="AB744" s="118" t="str">
        <f>IF(OR(ISBLANK($B744),ISBLANK($AA744)),"",IFERROR(IF($AA744&lt;=DATE('ESTADO CONTABLE'!$B$2,9,5),VLOOKUP($B744,COSTOS!$A$2:$B1014,2,FALSE)-150,VLOOKUP($B744,COSTOS!$A$2:$B1014,2,FALSE)),"No encontrado o error"))</f>
        <v/>
      </c>
      <c r="AC744" s="395"/>
      <c r="AD744" s="394"/>
      <c r="AE744" s="429" t="str">
        <f>IF(OR(ISBLANK($B744),ISBLANK($AD744)),"",IFERROR(IF($AD744&lt;=DATE('ESTADO CONTABLE'!$B$2,10,5),VLOOKUP($B744,COSTOS!$A$2:$B1014,2,FALSE)-150,VLOOKUP($B744,COSTOS!$A$2:$B1014,2,FALSE)),"No encontrado o error"))</f>
        <v/>
      </c>
      <c r="AF744" s="395"/>
      <c r="AG744" s="394"/>
      <c r="AH744" s="429" t="str">
        <f>IF(OR(ISBLANK($B744),ISBLANK($AG744)),"",IFERROR(IF($AG744&lt;=DATE('ESTADO CONTABLE'!$B$2,11,5),VLOOKUP($B744,COSTOS!$A$2:$B1014,2,FALSE)-150,VLOOKUP($B744,COSTOS!$A$2:$B1014,2,FALSE)),"No encontrado o error"))</f>
        <v/>
      </c>
      <c r="AI744" s="395"/>
      <c r="AJ744" s="394"/>
      <c r="AK744" s="429" t="str">
        <f>IF(OR(ISBLANK($B744),ISBLANK($AJ744)),"",IFERROR(IF($AJ744&lt;=DATE('ESTADO CONTABLE'!$B$2,12,5),VLOOKUP($B744,COSTOS!$A$2:$B1014,2,FALSE)-150,VLOOKUP($B744,COSTOS!$A$2:$B1014,2,FALSE)),"No encontrado o error"))</f>
        <v/>
      </c>
      <c r="AL744" s="395"/>
      <c r="AM744" s="254"/>
      <c r="AN744" s="255"/>
      <c r="AO744" s="256"/>
    </row>
    <row r="745" ht="22.5" customHeight="1">
      <c r="A745" s="431" t="str">
        <f>'BASE DE DATOSS'!A819</f>
        <v/>
      </c>
      <c r="B745" s="432" t="str">
        <f>'BASE DE DATOSS'!C819</f>
        <v/>
      </c>
      <c r="C745" s="263"/>
      <c r="D745" s="249"/>
      <c r="E745" s="250"/>
      <c r="F745" s="251"/>
      <c r="G745" s="262"/>
      <c r="H745" s="257"/>
      <c r="I745" s="249"/>
      <c r="J745" s="193" t="str">
        <f>IF(OR(ISBLANK($B745),ISBLANK($I745)),"",IFERROR(IF($I745&lt;=DATE('ESTADO CONTABLE'!$B$2,3,5),VLOOKUP($B745,COSTOS!$A$2:$B1014,2,FALSE)-150,VLOOKUP($B745,COSTOS!$A$2:$B1014,2,FALSE)),"No encontrado o error"))</f>
        <v/>
      </c>
      <c r="K745" s="264"/>
      <c r="L745" s="249"/>
      <c r="M745" s="189"/>
      <c r="N745" s="264"/>
      <c r="O745" s="249"/>
      <c r="P745" s="250"/>
      <c r="Q745" s="264"/>
      <c r="R745" s="249"/>
      <c r="S745" s="250"/>
      <c r="T745" s="264"/>
      <c r="U745" s="249"/>
      <c r="V745" s="250"/>
      <c r="W745" s="264"/>
      <c r="X745" s="394"/>
      <c r="Y745" s="429"/>
      <c r="Z745" s="395"/>
      <c r="AA745" s="394"/>
      <c r="AB745" s="118" t="str">
        <f>IF(OR(ISBLANK($B745),ISBLANK($AA745)),"",IFERROR(IF($AA745&lt;=DATE('ESTADO CONTABLE'!$B$2,9,5),VLOOKUP($B745,COSTOS!$A$2:$B1014,2,FALSE)-150,VLOOKUP($B745,COSTOS!$A$2:$B1014,2,FALSE)),"No encontrado o error"))</f>
        <v/>
      </c>
      <c r="AC745" s="395"/>
      <c r="AD745" s="394"/>
      <c r="AE745" s="429" t="str">
        <f>IF(OR(ISBLANK($B745),ISBLANK($AD745)),"",IFERROR(IF($AD745&lt;=DATE('ESTADO CONTABLE'!$B$2,10,5),VLOOKUP($B745,COSTOS!$A$2:$B1014,2,FALSE)-150,VLOOKUP($B745,COSTOS!$A$2:$B1014,2,FALSE)),"No encontrado o error"))</f>
        <v/>
      </c>
      <c r="AF745" s="395"/>
      <c r="AG745" s="394"/>
      <c r="AH745" s="429" t="str">
        <f>IF(OR(ISBLANK($B745),ISBLANK($AG745)),"",IFERROR(IF($AG745&lt;=DATE('ESTADO CONTABLE'!$B$2,11,5),VLOOKUP($B745,COSTOS!$A$2:$B1014,2,FALSE)-150,VLOOKUP($B745,COSTOS!$A$2:$B1014,2,FALSE)),"No encontrado o error"))</f>
        <v/>
      </c>
      <c r="AI745" s="395"/>
      <c r="AJ745" s="394"/>
      <c r="AK745" s="429" t="str">
        <f>IF(OR(ISBLANK($B745),ISBLANK($AJ745)),"",IFERROR(IF($AJ745&lt;=DATE('ESTADO CONTABLE'!$B$2,12,5),VLOOKUP($B745,COSTOS!$A$2:$B1014,2,FALSE)-150,VLOOKUP($B745,COSTOS!$A$2:$B1014,2,FALSE)),"No encontrado o error"))</f>
        <v/>
      </c>
      <c r="AL745" s="395"/>
      <c r="AM745" s="254"/>
      <c r="AN745" s="255"/>
      <c r="AO745" s="256"/>
    </row>
    <row r="746" ht="22.5" customHeight="1">
      <c r="A746" s="431" t="str">
        <f>'BASE DE DATOSS'!A820</f>
        <v/>
      </c>
      <c r="B746" s="432" t="str">
        <f>'BASE DE DATOSS'!C820</f>
        <v/>
      </c>
      <c r="C746" s="263"/>
      <c r="D746" s="249"/>
      <c r="E746" s="250"/>
      <c r="F746" s="251"/>
      <c r="G746" s="262"/>
      <c r="H746" s="257"/>
      <c r="I746" s="249"/>
      <c r="J746" s="193" t="str">
        <f>IF(OR(ISBLANK($B746),ISBLANK($I746)),"",IFERROR(IF($I746&lt;=DATE('ESTADO CONTABLE'!$B$2,3,5),VLOOKUP($B746,COSTOS!$A$2:$B1014,2,FALSE)-150,VLOOKUP($B746,COSTOS!$A$2:$B1014,2,FALSE)),"No encontrado o error"))</f>
        <v/>
      </c>
      <c r="K746" s="264"/>
      <c r="L746" s="249"/>
      <c r="M746" s="189"/>
      <c r="N746" s="264"/>
      <c r="O746" s="249"/>
      <c r="P746" s="250"/>
      <c r="Q746" s="264"/>
      <c r="R746" s="249"/>
      <c r="S746" s="250"/>
      <c r="T746" s="264"/>
      <c r="U746" s="249"/>
      <c r="V746" s="250"/>
      <c r="W746" s="264"/>
      <c r="X746" s="394"/>
      <c r="Y746" s="429"/>
      <c r="Z746" s="395"/>
      <c r="AA746" s="394"/>
      <c r="AB746" s="118" t="str">
        <f>IF(OR(ISBLANK($B746),ISBLANK($AA746)),"",IFERROR(IF($AA746&lt;=DATE('ESTADO CONTABLE'!$B$2,9,5),VLOOKUP($B746,COSTOS!$A$2:$B1014,2,FALSE)-150,VLOOKUP($B746,COSTOS!$A$2:$B1014,2,FALSE)),"No encontrado o error"))</f>
        <v/>
      </c>
      <c r="AC746" s="395"/>
      <c r="AD746" s="394"/>
      <c r="AE746" s="429" t="str">
        <f>IF(OR(ISBLANK($B746),ISBLANK($AD746)),"",IFERROR(IF($AD746&lt;=DATE('ESTADO CONTABLE'!$B$2,10,5),VLOOKUP($B746,COSTOS!$A$2:$B1014,2,FALSE)-150,VLOOKUP($B746,COSTOS!$A$2:$B1014,2,FALSE)),"No encontrado o error"))</f>
        <v/>
      </c>
      <c r="AF746" s="395"/>
      <c r="AG746" s="394"/>
      <c r="AH746" s="429" t="str">
        <f>IF(OR(ISBLANK($B746),ISBLANK($AG746)),"",IFERROR(IF($AG746&lt;=DATE('ESTADO CONTABLE'!$B$2,11,5),VLOOKUP($B746,COSTOS!$A$2:$B1014,2,FALSE)-150,VLOOKUP($B746,COSTOS!$A$2:$B1014,2,FALSE)),"No encontrado o error"))</f>
        <v/>
      </c>
      <c r="AI746" s="395"/>
      <c r="AJ746" s="394"/>
      <c r="AK746" s="429" t="str">
        <f>IF(OR(ISBLANK($B746),ISBLANK($AJ746)),"",IFERROR(IF($AJ746&lt;=DATE('ESTADO CONTABLE'!$B$2,12,5),VLOOKUP($B746,COSTOS!$A$2:$B1014,2,FALSE)-150,VLOOKUP($B746,COSTOS!$A$2:$B1014,2,FALSE)),"No encontrado o error"))</f>
        <v/>
      </c>
      <c r="AL746" s="395"/>
      <c r="AM746" s="254"/>
      <c r="AN746" s="255"/>
      <c r="AO746" s="256"/>
    </row>
    <row r="747" ht="22.5" customHeight="1">
      <c r="A747" s="431" t="str">
        <f>'BASE DE DATOSS'!A821</f>
        <v/>
      </c>
      <c r="B747" s="432" t="str">
        <f>'BASE DE DATOSS'!C821</f>
        <v/>
      </c>
      <c r="C747" s="263"/>
      <c r="D747" s="249"/>
      <c r="E747" s="250"/>
      <c r="F747" s="251"/>
      <c r="G747" s="262"/>
      <c r="H747" s="257"/>
      <c r="I747" s="249"/>
      <c r="J747" s="193" t="str">
        <f>IF(OR(ISBLANK($B747),ISBLANK($I747)),"",IFERROR(IF($I747&lt;=DATE('ESTADO CONTABLE'!$B$2,3,5),VLOOKUP($B747,COSTOS!$A$2:$B1014,2,FALSE)-150,VLOOKUP($B747,COSTOS!$A$2:$B1014,2,FALSE)),"No encontrado o error"))</f>
        <v/>
      </c>
      <c r="K747" s="264"/>
      <c r="L747" s="249"/>
      <c r="M747" s="189"/>
      <c r="N747" s="264"/>
      <c r="O747" s="249"/>
      <c r="P747" s="250"/>
      <c r="Q747" s="264"/>
      <c r="R747" s="249"/>
      <c r="S747" s="250"/>
      <c r="T747" s="264"/>
      <c r="U747" s="249"/>
      <c r="V747" s="250"/>
      <c r="W747" s="264"/>
      <c r="X747" s="394"/>
      <c r="Y747" s="429"/>
      <c r="Z747" s="395"/>
      <c r="AA747" s="394"/>
      <c r="AB747" s="118" t="str">
        <f>IF(OR(ISBLANK($B747),ISBLANK($AA747)),"",IFERROR(IF($AA747&lt;=DATE('ESTADO CONTABLE'!$B$2,9,5),VLOOKUP($B747,COSTOS!$A$2:$B1014,2,FALSE)-150,VLOOKUP($B747,COSTOS!$A$2:$B1014,2,FALSE)),"No encontrado o error"))</f>
        <v/>
      </c>
      <c r="AC747" s="395"/>
      <c r="AD747" s="394"/>
      <c r="AE747" s="429" t="str">
        <f>IF(OR(ISBLANK($B747),ISBLANK($AD747)),"",IFERROR(IF($AD747&lt;=DATE('ESTADO CONTABLE'!$B$2,10,5),VLOOKUP($B747,COSTOS!$A$2:$B1014,2,FALSE)-150,VLOOKUP($B747,COSTOS!$A$2:$B1014,2,FALSE)),"No encontrado o error"))</f>
        <v/>
      </c>
      <c r="AF747" s="395"/>
      <c r="AG747" s="394"/>
      <c r="AH747" s="429" t="str">
        <f>IF(OR(ISBLANK($B747),ISBLANK($AG747)),"",IFERROR(IF($AG747&lt;=DATE('ESTADO CONTABLE'!$B$2,11,5),VLOOKUP($B747,COSTOS!$A$2:$B1014,2,FALSE)-150,VLOOKUP($B747,COSTOS!$A$2:$B1014,2,FALSE)),"No encontrado o error"))</f>
        <v/>
      </c>
      <c r="AI747" s="395"/>
      <c r="AJ747" s="394"/>
      <c r="AK747" s="429" t="str">
        <f>IF(OR(ISBLANK($B747),ISBLANK($AJ747)),"",IFERROR(IF($AJ747&lt;=DATE('ESTADO CONTABLE'!$B$2,12,5),VLOOKUP($B747,COSTOS!$A$2:$B1014,2,FALSE)-150,VLOOKUP($B747,COSTOS!$A$2:$B1014,2,FALSE)),"No encontrado o error"))</f>
        <v/>
      </c>
      <c r="AL747" s="395"/>
      <c r="AM747" s="254"/>
      <c r="AN747" s="255"/>
      <c r="AO747" s="256"/>
    </row>
    <row r="748" ht="22.5" customHeight="1">
      <c r="A748" s="431" t="str">
        <f>'BASE DE DATOSS'!A822</f>
        <v/>
      </c>
      <c r="B748" s="432" t="str">
        <f>'BASE DE DATOSS'!C822</f>
        <v/>
      </c>
      <c r="C748" s="263"/>
      <c r="D748" s="249"/>
      <c r="E748" s="250"/>
      <c r="F748" s="251"/>
      <c r="G748" s="262"/>
      <c r="H748" s="257"/>
      <c r="I748" s="249"/>
      <c r="J748" s="193" t="str">
        <f>IF(OR(ISBLANK($B748),ISBLANK($I748)),"",IFERROR(IF($I748&lt;=DATE('ESTADO CONTABLE'!$B$2,3,5),VLOOKUP($B748,COSTOS!$A$2:$B1014,2,FALSE)-150,VLOOKUP($B748,COSTOS!$A$2:$B1014,2,FALSE)),"No encontrado o error"))</f>
        <v/>
      </c>
      <c r="K748" s="264"/>
      <c r="L748" s="249"/>
      <c r="M748" s="189"/>
      <c r="N748" s="264"/>
      <c r="O748" s="249"/>
      <c r="P748" s="250"/>
      <c r="Q748" s="264"/>
      <c r="R748" s="249"/>
      <c r="S748" s="250"/>
      <c r="T748" s="264"/>
      <c r="U748" s="249"/>
      <c r="V748" s="250"/>
      <c r="W748" s="264"/>
      <c r="X748" s="394"/>
      <c r="Y748" s="429"/>
      <c r="Z748" s="395"/>
      <c r="AA748" s="394"/>
      <c r="AB748" s="118" t="str">
        <f>IF(OR(ISBLANK($B748),ISBLANK($AA748)),"",IFERROR(IF($AA748&lt;=DATE('ESTADO CONTABLE'!$B$2,9,5),VLOOKUP($B748,COSTOS!$A$2:$B1014,2,FALSE)-150,VLOOKUP($B748,COSTOS!$A$2:$B1014,2,FALSE)),"No encontrado o error"))</f>
        <v/>
      </c>
      <c r="AC748" s="395"/>
      <c r="AD748" s="394"/>
      <c r="AE748" s="429" t="str">
        <f>IF(OR(ISBLANK($B748),ISBLANK($AD748)),"",IFERROR(IF($AD748&lt;=DATE('ESTADO CONTABLE'!$B$2,10,5),VLOOKUP($B748,COSTOS!$A$2:$B1014,2,FALSE)-150,VLOOKUP($B748,COSTOS!$A$2:$B1014,2,FALSE)),"No encontrado o error"))</f>
        <v/>
      </c>
      <c r="AF748" s="395"/>
      <c r="AG748" s="394"/>
      <c r="AH748" s="429" t="str">
        <f>IF(OR(ISBLANK($B748),ISBLANK($AG748)),"",IFERROR(IF($AG748&lt;=DATE('ESTADO CONTABLE'!$B$2,11,5),VLOOKUP($B748,COSTOS!$A$2:$B1014,2,FALSE)-150,VLOOKUP($B748,COSTOS!$A$2:$B1014,2,FALSE)),"No encontrado o error"))</f>
        <v/>
      </c>
      <c r="AI748" s="395"/>
      <c r="AJ748" s="394"/>
      <c r="AK748" s="429" t="str">
        <f>IF(OR(ISBLANK($B748),ISBLANK($AJ748)),"",IFERROR(IF($AJ748&lt;=DATE('ESTADO CONTABLE'!$B$2,12,5),VLOOKUP($B748,COSTOS!$A$2:$B1014,2,FALSE)-150,VLOOKUP($B748,COSTOS!$A$2:$B1014,2,FALSE)),"No encontrado o error"))</f>
        <v/>
      </c>
      <c r="AL748" s="395"/>
      <c r="AM748" s="254"/>
      <c r="AN748" s="255"/>
      <c r="AO748" s="256"/>
    </row>
    <row r="749" ht="22.5" customHeight="1">
      <c r="A749" s="431" t="str">
        <f>'BASE DE DATOSS'!A823</f>
        <v/>
      </c>
      <c r="B749" s="432" t="str">
        <f>'BASE DE DATOSS'!C823</f>
        <v/>
      </c>
      <c r="C749" s="263"/>
      <c r="D749" s="249"/>
      <c r="E749" s="250"/>
      <c r="F749" s="251"/>
      <c r="G749" s="262"/>
      <c r="H749" s="257"/>
      <c r="I749" s="249"/>
      <c r="J749" s="193" t="str">
        <f>IF(OR(ISBLANK($B749),ISBLANK($I749)),"",IFERROR(IF($I749&lt;=DATE('ESTADO CONTABLE'!$B$2,3,5),VLOOKUP($B749,COSTOS!$A$2:$B1014,2,FALSE)-150,VLOOKUP($B749,COSTOS!$A$2:$B1014,2,FALSE)),"No encontrado o error"))</f>
        <v/>
      </c>
      <c r="K749" s="264"/>
      <c r="L749" s="249"/>
      <c r="M749" s="189"/>
      <c r="N749" s="264"/>
      <c r="O749" s="249"/>
      <c r="P749" s="250"/>
      <c r="Q749" s="264"/>
      <c r="R749" s="249"/>
      <c r="S749" s="250"/>
      <c r="T749" s="264"/>
      <c r="U749" s="249"/>
      <c r="V749" s="250"/>
      <c r="W749" s="264"/>
      <c r="X749" s="394"/>
      <c r="Y749" s="429"/>
      <c r="Z749" s="395"/>
      <c r="AA749" s="394"/>
      <c r="AB749" s="118" t="str">
        <f>IF(OR(ISBLANK($B749),ISBLANK($AA749)),"",IFERROR(IF($AA749&lt;=DATE('ESTADO CONTABLE'!$B$2,9,5),VLOOKUP($B749,COSTOS!$A$2:$B1014,2,FALSE)-150,VLOOKUP($B749,COSTOS!$A$2:$B1014,2,FALSE)),"No encontrado o error"))</f>
        <v/>
      </c>
      <c r="AC749" s="395"/>
      <c r="AD749" s="394"/>
      <c r="AE749" s="429" t="str">
        <f>IF(OR(ISBLANK($B749),ISBLANK($AD749)),"",IFERROR(IF($AD749&lt;=DATE('ESTADO CONTABLE'!$B$2,10,5),VLOOKUP($B749,COSTOS!$A$2:$B1014,2,FALSE)-150,VLOOKUP($B749,COSTOS!$A$2:$B1014,2,FALSE)),"No encontrado o error"))</f>
        <v/>
      </c>
      <c r="AF749" s="395"/>
      <c r="AG749" s="394"/>
      <c r="AH749" s="429" t="str">
        <f>IF(OR(ISBLANK($B749),ISBLANK($AG749)),"",IFERROR(IF($AG749&lt;=DATE('ESTADO CONTABLE'!$B$2,11,5),VLOOKUP($B749,COSTOS!$A$2:$B1014,2,FALSE)-150,VLOOKUP($B749,COSTOS!$A$2:$B1014,2,FALSE)),"No encontrado o error"))</f>
        <v/>
      </c>
      <c r="AI749" s="395"/>
      <c r="AJ749" s="394"/>
      <c r="AK749" s="429" t="str">
        <f>IF(OR(ISBLANK($B749),ISBLANK($AJ749)),"",IFERROR(IF($AJ749&lt;=DATE('ESTADO CONTABLE'!$B$2,12,5),VLOOKUP($B749,COSTOS!$A$2:$B1014,2,FALSE)-150,VLOOKUP($B749,COSTOS!$A$2:$B1014,2,FALSE)),"No encontrado o error"))</f>
        <v/>
      </c>
      <c r="AL749" s="395"/>
      <c r="AM749" s="254"/>
      <c r="AN749" s="255"/>
      <c r="AO749" s="256"/>
    </row>
    <row r="750" ht="22.5" customHeight="1">
      <c r="A750" s="431" t="str">
        <f>'BASE DE DATOSS'!A824</f>
        <v/>
      </c>
      <c r="B750" s="432" t="str">
        <f>'BASE DE DATOSS'!C824</f>
        <v/>
      </c>
      <c r="C750" s="263"/>
      <c r="D750" s="249"/>
      <c r="E750" s="250"/>
      <c r="F750" s="251"/>
      <c r="G750" s="262"/>
      <c r="H750" s="257"/>
      <c r="I750" s="249"/>
      <c r="J750" s="193" t="str">
        <f>IF(OR(ISBLANK($B750),ISBLANK($I750)),"",IFERROR(IF($I750&lt;=DATE('ESTADO CONTABLE'!$B$2,3,5),VLOOKUP($B750,COSTOS!$A$2:$B1014,2,FALSE)-150,VLOOKUP($B750,COSTOS!$A$2:$B1014,2,FALSE)),"No encontrado o error"))</f>
        <v/>
      </c>
      <c r="K750" s="264"/>
      <c r="L750" s="249"/>
      <c r="M750" s="189"/>
      <c r="N750" s="264"/>
      <c r="O750" s="249"/>
      <c r="P750" s="250"/>
      <c r="Q750" s="264"/>
      <c r="R750" s="249"/>
      <c r="S750" s="250"/>
      <c r="T750" s="264"/>
      <c r="U750" s="249"/>
      <c r="V750" s="250"/>
      <c r="W750" s="264"/>
      <c r="X750" s="394"/>
      <c r="Y750" s="429"/>
      <c r="Z750" s="395"/>
      <c r="AA750" s="394"/>
      <c r="AB750" s="118" t="str">
        <f>IF(OR(ISBLANK($B750),ISBLANK($AA750)),"",IFERROR(IF($AA750&lt;=DATE('ESTADO CONTABLE'!$B$2,9,5),VLOOKUP($B750,COSTOS!$A$2:$B1014,2,FALSE)-150,VLOOKUP($B750,COSTOS!$A$2:$B1014,2,FALSE)),"No encontrado o error"))</f>
        <v/>
      </c>
      <c r="AC750" s="395"/>
      <c r="AD750" s="394"/>
      <c r="AE750" s="429" t="str">
        <f>IF(OR(ISBLANK($B750),ISBLANK($AD750)),"",IFERROR(IF($AD750&lt;=DATE('ESTADO CONTABLE'!$B$2,10,5),VLOOKUP($B750,COSTOS!$A$2:$B1014,2,FALSE)-150,VLOOKUP($B750,COSTOS!$A$2:$B1014,2,FALSE)),"No encontrado o error"))</f>
        <v/>
      </c>
      <c r="AF750" s="395"/>
      <c r="AG750" s="394"/>
      <c r="AH750" s="429" t="str">
        <f>IF(OR(ISBLANK($B750),ISBLANK($AG750)),"",IFERROR(IF($AG750&lt;=DATE('ESTADO CONTABLE'!$B$2,11,5),VLOOKUP($B750,COSTOS!$A$2:$B1014,2,FALSE)-150,VLOOKUP($B750,COSTOS!$A$2:$B1014,2,FALSE)),"No encontrado o error"))</f>
        <v/>
      </c>
      <c r="AI750" s="395"/>
      <c r="AJ750" s="394"/>
      <c r="AK750" s="429" t="str">
        <f>IF(OR(ISBLANK($B750),ISBLANK($AJ750)),"",IFERROR(IF($AJ750&lt;=DATE('ESTADO CONTABLE'!$B$2,12,5),VLOOKUP($B750,COSTOS!$A$2:$B1014,2,FALSE)-150,VLOOKUP($B750,COSTOS!$A$2:$B1014,2,FALSE)),"No encontrado o error"))</f>
        <v/>
      </c>
      <c r="AL750" s="395"/>
      <c r="AM750" s="254"/>
      <c r="AN750" s="255"/>
      <c r="AO750" s="256"/>
    </row>
    <row r="751" ht="22.5" customHeight="1">
      <c r="A751" s="431" t="str">
        <f>'BASE DE DATOSS'!A825</f>
        <v/>
      </c>
      <c r="B751" s="432" t="str">
        <f>'BASE DE DATOSS'!C825</f>
        <v/>
      </c>
      <c r="C751" s="263"/>
      <c r="D751" s="249"/>
      <c r="E751" s="250"/>
      <c r="F751" s="251"/>
      <c r="G751" s="262"/>
      <c r="H751" s="257"/>
      <c r="I751" s="249"/>
      <c r="J751" s="193" t="str">
        <f>IF(OR(ISBLANK($B751),ISBLANK($I751)),"",IFERROR(IF($I751&lt;=DATE('ESTADO CONTABLE'!$B$2,3,5),VLOOKUP($B751,COSTOS!$A$2:$B1014,2,FALSE)-150,VLOOKUP($B751,COSTOS!$A$2:$B1014,2,FALSE)),"No encontrado o error"))</f>
        <v/>
      </c>
      <c r="K751" s="264"/>
      <c r="L751" s="249"/>
      <c r="M751" s="189"/>
      <c r="N751" s="264"/>
      <c r="O751" s="249"/>
      <c r="P751" s="250"/>
      <c r="Q751" s="264"/>
      <c r="R751" s="249"/>
      <c r="S751" s="250"/>
      <c r="T751" s="264"/>
      <c r="U751" s="249"/>
      <c r="V751" s="250"/>
      <c r="W751" s="264"/>
      <c r="X751" s="394"/>
      <c r="Y751" s="429"/>
      <c r="Z751" s="395"/>
      <c r="AA751" s="394"/>
      <c r="AB751" s="118" t="str">
        <f>IF(OR(ISBLANK($B751),ISBLANK($AA751)),"",IFERROR(IF($AA751&lt;=DATE('ESTADO CONTABLE'!$B$2,9,5),VLOOKUP($B751,COSTOS!$A$2:$B1014,2,FALSE)-150,VLOOKUP($B751,COSTOS!$A$2:$B1014,2,FALSE)),"No encontrado o error"))</f>
        <v/>
      </c>
      <c r="AC751" s="395"/>
      <c r="AD751" s="394"/>
      <c r="AE751" s="429" t="str">
        <f>IF(OR(ISBLANK($B751),ISBLANK($AD751)),"",IFERROR(IF($AD751&lt;=DATE('ESTADO CONTABLE'!$B$2,10,5),VLOOKUP($B751,COSTOS!$A$2:$B1014,2,FALSE)-150,VLOOKUP($B751,COSTOS!$A$2:$B1014,2,FALSE)),"No encontrado o error"))</f>
        <v/>
      </c>
      <c r="AF751" s="395"/>
      <c r="AG751" s="394"/>
      <c r="AH751" s="429" t="str">
        <f>IF(OR(ISBLANK($B751),ISBLANK($AG751)),"",IFERROR(IF($AG751&lt;=DATE('ESTADO CONTABLE'!$B$2,11,5),VLOOKUP($B751,COSTOS!$A$2:$B1014,2,FALSE)-150,VLOOKUP($B751,COSTOS!$A$2:$B1014,2,FALSE)),"No encontrado o error"))</f>
        <v/>
      </c>
      <c r="AI751" s="395"/>
      <c r="AJ751" s="394"/>
      <c r="AK751" s="429" t="str">
        <f>IF(OR(ISBLANK($B751),ISBLANK($AJ751)),"",IFERROR(IF($AJ751&lt;=DATE('ESTADO CONTABLE'!$B$2,12,5),VLOOKUP($B751,COSTOS!$A$2:$B1014,2,FALSE)-150,VLOOKUP($B751,COSTOS!$A$2:$B1014,2,FALSE)),"No encontrado o error"))</f>
        <v/>
      </c>
      <c r="AL751" s="395"/>
      <c r="AM751" s="254"/>
      <c r="AN751" s="255"/>
      <c r="AO751" s="256"/>
    </row>
    <row r="752" ht="22.5" customHeight="1">
      <c r="A752" s="431" t="str">
        <f>'BASE DE DATOSS'!A826</f>
        <v/>
      </c>
      <c r="B752" s="432" t="str">
        <f>'BASE DE DATOSS'!C826</f>
        <v/>
      </c>
      <c r="C752" s="263"/>
      <c r="D752" s="249"/>
      <c r="E752" s="250"/>
      <c r="F752" s="251"/>
      <c r="G752" s="262"/>
      <c r="H752" s="257"/>
      <c r="I752" s="249"/>
      <c r="J752" s="193" t="str">
        <f>IF(OR(ISBLANK($B752),ISBLANK($I752)),"",IFERROR(IF($I752&lt;=DATE('ESTADO CONTABLE'!$B$2,3,5),VLOOKUP($B752,COSTOS!$A$2:$B1014,2,FALSE)-150,VLOOKUP($B752,COSTOS!$A$2:$B1014,2,FALSE)),"No encontrado o error"))</f>
        <v/>
      </c>
      <c r="K752" s="264"/>
      <c r="L752" s="249"/>
      <c r="M752" s="189"/>
      <c r="N752" s="264"/>
      <c r="O752" s="249"/>
      <c r="P752" s="250"/>
      <c r="Q752" s="264"/>
      <c r="R752" s="249"/>
      <c r="S752" s="250"/>
      <c r="T752" s="264"/>
      <c r="U752" s="249"/>
      <c r="V752" s="250"/>
      <c r="W752" s="264"/>
      <c r="X752" s="394"/>
      <c r="Y752" s="429"/>
      <c r="Z752" s="395"/>
      <c r="AA752" s="394"/>
      <c r="AB752" s="118" t="str">
        <f>IF(OR(ISBLANK($B752),ISBLANK($AA752)),"",IFERROR(IF($AA752&lt;=DATE('ESTADO CONTABLE'!$B$2,9,5),VLOOKUP($B752,COSTOS!$A$2:$B1014,2,FALSE)-150,VLOOKUP($B752,COSTOS!$A$2:$B1014,2,FALSE)),"No encontrado o error"))</f>
        <v/>
      </c>
      <c r="AC752" s="395"/>
      <c r="AD752" s="394"/>
      <c r="AE752" s="429" t="str">
        <f>IF(OR(ISBLANK($B752),ISBLANK($AD752)),"",IFERROR(IF($AD752&lt;=DATE('ESTADO CONTABLE'!$B$2,10,5),VLOOKUP($B752,COSTOS!$A$2:$B1014,2,FALSE)-150,VLOOKUP($B752,COSTOS!$A$2:$B1014,2,FALSE)),"No encontrado o error"))</f>
        <v/>
      </c>
      <c r="AF752" s="395"/>
      <c r="AG752" s="394"/>
      <c r="AH752" s="429" t="str">
        <f>IF(OR(ISBLANK($B752),ISBLANK($AG752)),"",IFERROR(IF($AG752&lt;=DATE('ESTADO CONTABLE'!$B$2,11,5),VLOOKUP($B752,COSTOS!$A$2:$B1014,2,FALSE)-150,VLOOKUP($B752,COSTOS!$A$2:$B1014,2,FALSE)),"No encontrado o error"))</f>
        <v/>
      </c>
      <c r="AI752" s="395"/>
      <c r="AJ752" s="394"/>
      <c r="AK752" s="429" t="str">
        <f>IF(OR(ISBLANK($B752),ISBLANK($AJ752)),"",IFERROR(IF($AJ752&lt;=DATE('ESTADO CONTABLE'!$B$2,12,5),VLOOKUP($B752,COSTOS!$A$2:$B1014,2,FALSE)-150,VLOOKUP($B752,COSTOS!$A$2:$B1014,2,FALSE)),"No encontrado o error"))</f>
        <v/>
      </c>
      <c r="AL752" s="395"/>
      <c r="AM752" s="254"/>
      <c r="AN752" s="255"/>
      <c r="AO752" s="256"/>
    </row>
    <row r="753" ht="22.5" customHeight="1">
      <c r="A753" s="431" t="str">
        <f>'BASE DE DATOSS'!A827</f>
        <v/>
      </c>
      <c r="B753" s="432" t="str">
        <f>'BASE DE DATOSS'!C827</f>
        <v/>
      </c>
      <c r="C753" s="263"/>
      <c r="D753" s="249"/>
      <c r="E753" s="250"/>
      <c r="F753" s="251"/>
      <c r="G753" s="262"/>
      <c r="H753" s="257"/>
      <c r="I753" s="249"/>
      <c r="J753" s="193" t="str">
        <f>IF(OR(ISBLANK($B753),ISBLANK($I753)),"",IFERROR(IF($I753&lt;=DATE('ESTADO CONTABLE'!$B$2,3,5),VLOOKUP($B753,COSTOS!$A$2:$B1014,2,FALSE)-150,VLOOKUP($B753,COSTOS!$A$2:$B1014,2,FALSE)),"No encontrado o error"))</f>
        <v/>
      </c>
      <c r="K753" s="264"/>
      <c r="L753" s="249"/>
      <c r="M753" s="189"/>
      <c r="N753" s="264"/>
      <c r="O753" s="249"/>
      <c r="P753" s="250"/>
      <c r="Q753" s="264"/>
      <c r="R753" s="249"/>
      <c r="S753" s="250"/>
      <c r="T753" s="264"/>
      <c r="U753" s="249"/>
      <c r="V753" s="250"/>
      <c r="W753" s="264"/>
      <c r="X753" s="394"/>
      <c r="Y753" s="429"/>
      <c r="Z753" s="395"/>
      <c r="AA753" s="394"/>
      <c r="AB753" s="118" t="str">
        <f>IF(OR(ISBLANK($B753),ISBLANK($AA753)),"",IFERROR(IF($AA753&lt;=DATE('ESTADO CONTABLE'!$B$2,9,5),VLOOKUP($B753,COSTOS!$A$2:$B1014,2,FALSE)-150,VLOOKUP($B753,COSTOS!$A$2:$B1014,2,FALSE)),"No encontrado o error"))</f>
        <v/>
      </c>
      <c r="AC753" s="395"/>
      <c r="AD753" s="394"/>
      <c r="AE753" s="429" t="str">
        <f>IF(OR(ISBLANK($B753),ISBLANK($AD753)),"",IFERROR(IF($AD753&lt;=DATE('ESTADO CONTABLE'!$B$2,10,5),VLOOKUP($B753,COSTOS!$A$2:$B1014,2,FALSE)-150,VLOOKUP($B753,COSTOS!$A$2:$B1014,2,FALSE)),"No encontrado o error"))</f>
        <v/>
      </c>
      <c r="AF753" s="395"/>
      <c r="AG753" s="394"/>
      <c r="AH753" s="429" t="str">
        <f>IF(OR(ISBLANK($B753),ISBLANK($AG753)),"",IFERROR(IF($AG753&lt;=DATE('ESTADO CONTABLE'!$B$2,11,5),VLOOKUP($B753,COSTOS!$A$2:$B1014,2,FALSE)-150,VLOOKUP($B753,COSTOS!$A$2:$B1014,2,FALSE)),"No encontrado o error"))</f>
        <v/>
      </c>
      <c r="AI753" s="395"/>
      <c r="AJ753" s="394"/>
      <c r="AK753" s="429" t="str">
        <f>IF(OR(ISBLANK($B753),ISBLANK($AJ753)),"",IFERROR(IF($AJ753&lt;=DATE('ESTADO CONTABLE'!$B$2,12,5),VLOOKUP($B753,COSTOS!$A$2:$B1014,2,FALSE)-150,VLOOKUP($B753,COSTOS!$A$2:$B1014,2,FALSE)),"No encontrado o error"))</f>
        <v/>
      </c>
      <c r="AL753" s="395"/>
      <c r="AM753" s="254"/>
      <c r="AN753" s="255"/>
      <c r="AO753" s="256"/>
    </row>
    <row r="754" ht="22.5" customHeight="1">
      <c r="A754" s="431" t="str">
        <f>'BASE DE DATOSS'!A828</f>
        <v/>
      </c>
      <c r="B754" s="432" t="str">
        <f>'BASE DE DATOSS'!C828</f>
        <v/>
      </c>
      <c r="C754" s="263"/>
      <c r="D754" s="249"/>
      <c r="E754" s="250"/>
      <c r="F754" s="251"/>
      <c r="G754" s="262"/>
      <c r="H754" s="257"/>
      <c r="I754" s="249"/>
      <c r="J754" s="193" t="str">
        <f>IF(OR(ISBLANK($B754),ISBLANK($I754)),"",IFERROR(IF($I754&lt;=DATE('ESTADO CONTABLE'!$B$2,3,5),VLOOKUP($B754,COSTOS!$A$2:$B1014,2,FALSE)-150,VLOOKUP($B754,COSTOS!$A$2:$B1014,2,FALSE)),"No encontrado o error"))</f>
        <v/>
      </c>
      <c r="K754" s="264"/>
      <c r="L754" s="249"/>
      <c r="M754" s="189"/>
      <c r="N754" s="264"/>
      <c r="O754" s="249"/>
      <c r="P754" s="250"/>
      <c r="Q754" s="264"/>
      <c r="R754" s="249"/>
      <c r="S754" s="250"/>
      <c r="T754" s="264"/>
      <c r="U754" s="249"/>
      <c r="V754" s="250"/>
      <c r="W754" s="264"/>
      <c r="X754" s="394"/>
      <c r="Y754" s="429"/>
      <c r="Z754" s="395"/>
      <c r="AA754" s="394"/>
      <c r="AB754" s="118" t="str">
        <f>IF(OR(ISBLANK($B754),ISBLANK($AA754)),"",IFERROR(IF($AA754&lt;=DATE('ESTADO CONTABLE'!$B$2,9,5),VLOOKUP($B754,COSTOS!$A$2:$B1014,2,FALSE)-150,VLOOKUP($B754,COSTOS!$A$2:$B1014,2,FALSE)),"No encontrado o error"))</f>
        <v/>
      </c>
      <c r="AC754" s="395"/>
      <c r="AD754" s="394"/>
      <c r="AE754" s="429" t="str">
        <f>IF(OR(ISBLANK($B754),ISBLANK($AD754)),"",IFERROR(IF($AD754&lt;=DATE('ESTADO CONTABLE'!$B$2,10,5),VLOOKUP($B754,COSTOS!$A$2:$B1014,2,FALSE)-150,VLOOKUP($B754,COSTOS!$A$2:$B1014,2,FALSE)),"No encontrado o error"))</f>
        <v/>
      </c>
      <c r="AF754" s="395"/>
      <c r="AG754" s="394"/>
      <c r="AH754" s="429" t="str">
        <f>IF(OR(ISBLANK($B754),ISBLANK($AG754)),"",IFERROR(IF($AG754&lt;=DATE('ESTADO CONTABLE'!$B$2,11,5),VLOOKUP($B754,COSTOS!$A$2:$B1014,2,FALSE)-150,VLOOKUP($B754,COSTOS!$A$2:$B1014,2,FALSE)),"No encontrado o error"))</f>
        <v/>
      </c>
      <c r="AI754" s="395"/>
      <c r="AJ754" s="394"/>
      <c r="AK754" s="429" t="str">
        <f>IF(OR(ISBLANK($B754),ISBLANK($AJ754)),"",IFERROR(IF($AJ754&lt;=DATE('ESTADO CONTABLE'!$B$2,12,5),VLOOKUP($B754,COSTOS!$A$2:$B1014,2,FALSE)-150,VLOOKUP($B754,COSTOS!$A$2:$B1014,2,FALSE)),"No encontrado o error"))</f>
        <v/>
      </c>
      <c r="AL754" s="395"/>
      <c r="AM754" s="254"/>
      <c r="AN754" s="255"/>
      <c r="AO754" s="256"/>
    </row>
    <row r="755" ht="22.5" customHeight="1">
      <c r="A755" s="431" t="str">
        <f>'BASE DE DATOSS'!A829</f>
        <v/>
      </c>
      <c r="B755" s="432" t="str">
        <f>'BASE DE DATOSS'!C829</f>
        <v/>
      </c>
      <c r="C755" s="263"/>
      <c r="D755" s="249"/>
      <c r="E755" s="250"/>
      <c r="F755" s="251"/>
      <c r="G755" s="262"/>
      <c r="H755" s="257"/>
      <c r="I755" s="249"/>
      <c r="J755" s="193" t="str">
        <f>IF(OR(ISBLANK($B755),ISBLANK($I755)),"",IFERROR(IF($I755&lt;=DATE('ESTADO CONTABLE'!$B$2,3,5),VLOOKUP($B755,COSTOS!$A$2:$B1014,2,FALSE)-150,VLOOKUP($B755,COSTOS!$A$2:$B1014,2,FALSE)),"No encontrado o error"))</f>
        <v/>
      </c>
      <c r="K755" s="264"/>
      <c r="L755" s="249"/>
      <c r="M755" s="189"/>
      <c r="N755" s="264"/>
      <c r="O755" s="249"/>
      <c r="P755" s="250"/>
      <c r="Q755" s="264"/>
      <c r="R755" s="249"/>
      <c r="S755" s="250"/>
      <c r="T755" s="264"/>
      <c r="U755" s="249"/>
      <c r="V755" s="250"/>
      <c r="W755" s="264"/>
      <c r="X755" s="394"/>
      <c r="Y755" s="429"/>
      <c r="Z755" s="395"/>
      <c r="AA755" s="394"/>
      <c r="AB755" s="118" t="str">
        <f>IF(OR(ISBLANK($B755),ISBLANK($AA755)),"",IFERROR(IF($AA755&lt;=DATE('ESTADO CONTABLE'!$B$2,9,5),VLOOKUP($B755,COSTOS!$A$2:$B1014,2,FALSE)-150,VLOOKUP($B755,COSTOS!$A$2:$B1014,2,FALSE)),"No encontrado o error"))</f>
        <v/>
      </c>
      <c r="AC755" s="395"/>
      <c r="AD755" s="394"/>
      <c r="AE755" s="429" t="str">
        <f>IF(OR(ISBLANK($B755),ISBLANK($AD755)),"",IFERROR(IF($AD755&lt;=DATE('ESTADO CONTABLE'!$B$2,10,5),VLOOKUP($B755,COSTOS!$A$2:$B1014,2,FALSE)-150,VLOOKUP($B755,COSTOS!$A$2:$B1014,2,FALSE)),"No encontrado o error"))</f>
        <v/>
      </c>
      <c r="AF755" s="395"/>
      <c r="AG755" s="394"/>
      <c r="AH755" s="429" t="str">
        <f>IF(OR(ISBLANK($B755),ISBLANK($AG755)),"",IFERROR(IF($AG755&lt;=DATE('ESTADO CONTABLE'!$B$2,11,5),VLOOKUP($B755,COSTOS!$A$2:$B1014,2,FALSE)-150,VLOOKUP($B755,COSTOS!$A$2:$B1014,2,FALSE)),"No encontrado o error"))</f>
        <v/>
      </c>
      <c r="AI755" s="395"/>
      <c r="AJ755" s="394"/>
      <c r="AK755" s="429" t="str">
        <f>IF(OR(ISBLANK($B755),ISBLANK($AJ755)),"",IFERROR(IF($AJ755&lt;=DATE('ESTADO CONTABLE'!$B$2,12,5),VLOOKUP($B755,COSTOS!$A$2:$B1014,2,FALSE)-150,VLOOKUP($B755,COSTOS!$A$2:$B1014,2,FALSE)),"No encontrado o error"))</f>
        <v/>
      </c>
      <c r="AL755" s="395"/>
      <c r="AM755" s="254"/>
      <c r="AN755" s="255"/>
      <c r="AO755" s="256"/>
    </row>
    <row r="756" ht="22.5" customHeight="1">
      <c r="A756" s="431" t="str">
        <f>'BASE DE DATOSS'!A830</f>
        <v/>
      </c>
      <c r="B756" s="432" t="str">
        <f>'BASE DE DATOSS'!C830</f>
        <v/>
      </c>
      <c r="C756" s="263"/>
      <c r="D756" s="249"/>
      <c r="E756" s="250"/>
      <c r="F756" s="251"/>
      <c r="G756" s="262"/>
      <c r="H756" s="257"/>
      <c r="I756" s="249"/>
      <c r="J756" s="193" t="str">
        <f>IF(OR(ISBLANK($B756),ISBLANK($I756)),"",IFERROR(IF($I756&lt;=DATE('ESTADO CONTABLE'!$B$2,3,5),VLOOKUP($B756,COSTOS!$A$2:$B1014,2,FALSE)-150,VLOOKUP($B756,COSTOS!$A$2:$B1014,2,FALSE)),"No encontrado o error"))</f>
        <v/>
      </c>
      <c r="K756" s="264"/>
      <c r="L756" s="249"/>
      <c r="M756" s="189"/>
      <c r="N756" s="264"/>
      <c r="O756" s="249"/>
      <c r="P756" s="250"/>
      <c r="Q756" s="264"/>
      <c r="R756" s="249"/>
      <c r="S756" s="250"/>
      <c r="T756" s="264"/>
      <c r="U756" s="249"/>
      <c r="V756" s="250"/>
      <c r="W756" s="264"/>
      <c r="X756" s="394"/>
      <c r="Y756" s="429"/>
      <c r="Z756" s="395"/>
      <c r="AA756" s="394"/>
      <c r="AB756" s="118" t="str">
        <f>IF(OR(ISBLANK($B756),ISBLANK($AA756)),"",IFERROR(IF($AA756&lt;=DATE('ESTADO CONTABLE'!$B$2,9,5),VLOOKUP($B756,COSTOS!$A$2:$B1014,2,FALSE)-150,VLOOKUP($B756,COSTOS!$A$2:$B1014,2,FALSE)),"No encontrado o error"))</f>
        <v/>
      </c>
      <c r="AC756" s="395"/>
      <c r="AD756" s="394"/>
      <c r="AE756" s="429" t="str">
        <f>IF(OR(ISBLANK($B756),ISBLANK($AD756)),"",IFERROR(IF($AD756&lt;=DATE('ESTADO CONTABLE'!$B$2,10,5),VLOOKUP($B756,COSTOS!$A$2:$B1014,2,FALSE)-150,VLOOKUP($B756,COSTOS!$A$2:$B1014,2,FALSE)),"No encontrado o error"))</f>
        <v/>
      </c>
      <c r="AF756" s="395"/>
      <c r="AG756" s="394"/>
      <c r="AH756" s="429" t="str">
        <f>IF(OR(ISBLANK($B756),ISBLANK($AG756)),"",IFERROR(IF($AG756&lt;=DATE('ESTADO CONTABLE'!$B$2,11,5),VLOOKUP($B756,COSTOS!$A$2:$B1014,2,FALSE)-150,VLOOKUP($B756,COSTOS!$A$2:$B1014,2,FALSE)),"No encontrado o error"))</f>
        <v/>
      </c>
      <c r="AI756" s="395"/>
      <c r="AJ756" s="394"/>
      <c r="AK756" s="429" t="str">
        <f>IF(OR(ISBLANK($B756),ISBLANK($AJ756)),"",IFERROR(IF($AJ756&lt;=DATE('ESTADO CONTABLE'!$B$2,12,5),VLOOKUP($B756,COSTOS!$A$2:$B1014,2,FALSE)-150,VLOOKUP($B756,COSTOS!$A$2:$B1014,2,FALSE)),"No encontrado o error"))</f>
        <v/>
      </c>
      <c r="AL756" s="395"/>
      <c r="AM756" s="254"/>
      <c r="AN756" s="255"/>
      <c r="AO756" s="256"/>
    </row>
    <row r="757" ht="22.5" customHeight="1">
      <c r="A757" s="431" t="str">
        <f>'BASE DE DATOSS'!A831</f>
        <v/>
      </c>
      <c r="B757" s="432" t="str">
        <f>'BASE DE DATOSS'!C831</f>
        <v/>
      </c>
      <c r="C757" s="263"/>
      <c r="D757" s="249"/>
      <c r="E757" s="250"/>
      <c r="F757" s="251"/>
      <c r="G757" s="262"/>
      <c r="H757" s="257"/>
      <c r="I757" s="249"/>
      <c r="J757" s="193" t="str">
        <f>IF(OR(ISBLANK($B757),ISBLANK($I757)),"",IFERROR(IF($I757&lt;=DATE('ESTADO CONTABLE'!$B$2,3,5),VLOOKUP($B757,COSTOS!$A$2:$B1014,2,FALSE)-150,VLOOKUP($B757,COSTOS!$A$2:$B1014,2,FALSE)),"No encontrado o error"))</f>
        <v/>
      </c>
      <c r="K757" s="264"/>
      <c r="L757" s="249"/>
      <c r="M757" s="189"/>
      <c r="N757" s="264"/>
      <c r="O757" s="249"/>
      <c r="P757" s="250"/>
      <c r="Q757" s="264"/>
      <c r="R757" s="249"/>
      <c r="S757" s="250"/>
      <c r="T757" s="264"/>
      <c r="U757" s="249"/>
      <c r="V757" s="250"/>
      <c r="W757" s="264"/>
      <c r="X757" s="394"/>
      <c r="Y757" s="429"/>
      <c r="Z757" s="395"/>
      <c r="AA757" s="394"/>
      <c r="AB757" s="118" t="str">
        <f>IF(OR(ISBLANK($B757),ISBLANK($AA757)),"",IFERROR(IF($AA757&lt;=DATE('ESTADO CONTABLE'!$B$2,9,5),VLOOKUP($B757,COSTOS!$A$2:$B1014,2,FALSE)-150,VLOOKUP($B757,COSTOS!$A$2:$B1014,2,FALSE)),"No encontrado o error"))</f>
        <v/>
      </c>
      <c r="AC757" s="395"/>
      <c r="AD757" s="394"/>
      <c r="AE757" s="429" t="str">
        <f>IF(OR(ISBLANK($B757),ISBLANK($AD757)),"",IFERROR(IF($AD757&lt;=DATE('ESTADO CONTABLE'!$B$2,10,5),VLOOKUP($B757,COSTOS!$A$2:$B1014,2,FALSE)-150,VLOOKUP($B757,COSTOS!$A$2:$B1014,2,FALSE)),"No encontrado o error"))</f>
        <v/>
      </c>
      <c r="AF757" s="395"/>
      <c r="AG757" s="394"/>
      <c r="AH757" s="429" t="str">
        <f>IF(OR(ISBLANK($B757),ISBLANK($AG757)),"",IFERROR(IF($AG757&lt;=DATE('ESTADO CONTABLE'!$B$2,11,5),VLOOKUP($B757,COSTOS!$A$2:$B1014,2,FALSE)-150,VLOOKUP($B757,COSTOS!$A$2:$B1014,2,FALSE)),"No encontrado o error"))</f>
        <v/>
      </c>
      <c r="AI757" s="395"/>
      <c r="AJ757" s="394"/>
      <c r="AK757" s="429" t="str">
        <f>IF(OR(ISBLANK($B757),ISBLANK($AJ757)),"",IFERROR(IF($AJ757&lt;=DATE('ESTADO CONTABLE'!$B$2,12,5),VLOOKUP($B757,COSTOS!$A$2:$B1014,2,FALSE)-150,VLOOKUP($B757,COSTOS!$A$2:$B1014,2,FALSE)),"No encontrado o error"))</f>
        <v/>
      </c>
      <c r="AL757" s="395"/>
      <c r="AM757" s="254"/>
      <c r="AN757" s="255"/>
      <c r="AO757" s="256"/>
    </row>
    <row r="758" ht="22.5" customHeight="1">
      <c r="A758" s="431" t="str">
        <f>'BASE DE DATOSS'!A832</f>
        <v/>
      </c>
      <c r="B758" s="432" t="str">
        <f>'BASE DE DATOSS'!C832</f>
        <v/>
      </c>
      <c r="C758" s="263"/>
      <c r="D758" s="249"/>
      <c r="E758" s="250"/>
      <c r="F758" s="251"/>
      <c r="G758" s="262"/>
      <c r="H758" s="257"/>
      <c r="I758" s="249"/>
      <c r="J758" s="193" t="str">
        <f>IF(OR(ISBLANK($B758),ISBLANK($I758)),"",IFERROR(IF($I758&lt;=DATE('ESTADO CONTABLE'!$B$2,3,5),VLOOKUP($B758,COSTOS!$A$2:$B1014,2,FALSE)-150,VLOOKUP($B758,COSTOS!$A$2:$B1014,2,FALSE)),"No encontrado o error"))</f>
        <v/>
      </c>
      <c r="K758" s="264"/>
      <c r="L758" s="249"/>
      <c r="M758" s="189"/>
      <c r="N758" s="264"/>
      <c r="O758" s="249"/>
      <c r="P758" s="250"/>
      <c r="Q758" s="264"/>
      <c r="R758" s="249"/>
      <c r="S758" s="250"/>
      <c r="T758" s="264"/>
      <c r="U758" s="249"/>
      <c r="V758" s="250"/>
      <c r="W758" s="264"/>
      <c r="X758" s="394"/>
      <c r="Y758" s="429"/>
      <c r="Z758" s="395"/>
      <c r="AA758" s="394"/>
      <c r="AB758" s="118" t="str">
        <f>IF(OR(ISBLANK($B758),ISBLANK($AA758)),"",IFERROR(IF($AA758&lt;=DATE('ESTADO CONTABLE'!$B$2,9,5),VLOOKUP($B758,COSTOS!$A$2:$B1014,2,FALSE)-150,VLOOKUP($B758,COSTOS!$A$2:$B1014,2,FALSE)),"No encontrado o error"))</f>
        <v/>
      </c>
      <c r="AC758" s="395"/>
      <c r="AD758" s="394"/>
      <c r="AE758" s="429" t="str">
        <f>IF(OR(ISBLANK($B758),ISBLANK($AD758)),"",IFERROR(IF($AD758&lt;=DATE('ESTADO CONTABLE'!$B$2,10,5),VLOOKUP($B758,COSTOS!$A$2:$B1014,2,FALSE)-150,VLOOKUP($B758,COSTOS!$A$2:$B1014,2,FALSE)),"No encontrado o error"))</f>
        <v/>
      </c>
      <c r="AF758" s="395"/>
      <c r="AG758" s="394"/>
      <c r="AH758" s="429" t="str">
        <f>IF(OR(ISBLANK($B758),ISBLANK($AG758)),"",IFERROR(IF($AG758&lt;=DATE('ESTADO CONTABLE'!$B$2,11,5),VLOOKUP($B758,COSTOS!$A$2:$B1014,2,FALSE)-150,VLOOKUP($B758,COSTOS!$A$2:$B1014,2,FALSE)),"No encontrado o error"))</f>
        <v/>
      </c>
      <c r="AI758" s="395"/>
      <c r="AJ758" s="394"/>
      <c r="AK758" s="429" t="str">
        <f>IF(OR(ISBLANK($B758),ISBLANK($AJ758)),"",IFERROR(IF($AJ758&lt;=DATE('ESTADO CONTABLE'!$B$2,12,5),VLOOKUP($B758,COSTOS!$A$2:$B1014,2,FALSE)-150,VLOOKUP($B758,COSTOS!$A$2:$B1014,2,FALSE)),"No encontrado o error"))</f>
        <v/>
      </c>
      <c r="AL758" s="395"/>
      <c r="AM758" s="254"/>
      <c r="AN758" s="255"/>
      <c r="AO758" s="256"/>
    </row>
    <row r="759" ht="22.5" customHeight="1">
      <c r="A759" s="431" t="str">
        <f>'BASE DE DATOSS'!A833</f>
        <v/>
      </c>
      <c r="B759" s="432" t="str">
        <f>'BASE DE DATOSS'!C833</f>
        <v/>
      </c>
      <c r="C759" s="263"/>
      <c r="D759" s="249"/>
      <c r="E759" s="250"/>
      <c r="F759" s="251"/>
      <c r="G759" s="262"/>
      <c r="H759" s="257"/>
      <c r="I759" s="249"/>
      <c r="J759" s="193" t="str">
        <f>IF(OR(ISBLANK($B759),ISBLANK($I759)),"",IFERROR(IF($I759&lt;=DATE('ESTADO CONTABLE'!$B$2,3,5),VLOOKUP($B759,COSTOS!$A$2:$B1014,2,FALSE)-150,VLOOKUP($B759,COSTOS!$A$2:$B1014,2,FALSE)),"No encontrado o error"))</f>
        <v/>
      </c>
      <c r="K759" s="264"/>
      <c r="L759" s="249"/>
      <c r="M759" s="189"/>
      <c r="N759" s="264"/>
      <c r="O759" s="249"/>
      <c r="P759" s="250"/>
      <c r="Q759" s="264"/>
      <c r="R759" s="249"/>
      <c r="S759" s="250"/>
      <c r="T759" s="264"/>
      <c r="U759" s="249"/>
      <c r="V759" s="250"/>
      <c r="W759" s="264"/>
      <c r="X759" s="394"/>
      <c r="Y759" s="429"/>
      <c r="Z759" s="395"/>
      <c r="AA759" s="394"/>
      <c r="AB759" s="118" t="str">
        <f>IF(OR(ISBLANK($B759),ISBLANK($AA759)),"",IFERROR(IF($AA759&lt;=DATE('ESTADO CONTABLE'!$B$2,9,5),VLOOKUP($B759,COSTOS!$A$2:$B1014,2,FALSE)-150,VLOOKUP($B759,COSTOS!$A$2:$B1014,2,FALSE)),"No encontrado o error"))</f>
        <v/>
      </c>
      <c r="AC759" s="395"/>
      <c r="AD759" s="394"/>
      <c r="AE759" s="429" t="str">
        <f>IF(OR(ISBLANK($B759),ISBLANK($AD759)),"",IFERROR(IF($AD759&lt;=DATE('ESTADO CONTABLE'!$B$2,10,5),VLOOKUP($B759,COSTOS!$A$2:$B1014,2,FALSE)-150,VLOOKUP($B759,COSTOS!$A$2:$B1014,2,FALSE)),"No encontrado o error"))</f>
        <v/>
      </c>
      <c r="AF759" s="395"/>
      <c r="AG759" s="394"/>
      <c r="AH759" s="429" t="str">
        <f>IF(OR(ISBLANK($B759),ISBLANK($AG759)),"",IFERROR(IF($AG759&lt;=DATE('ESTADO CONTABLE'!$B$2,11,5),VLOOKUP($B759,COSTOS!$A$2:$B1014,2,FALSE)-150,VLOOKUP($B759,COSTOS!$A$2:$B1014,2,FALSE)),"No encontrado o error"))</f>
        <v/>
      </c>
      <c r="AI759" s="395"/>
      <c r="AJ759" s="394"/>
      <c r="AK759" s="429" t="str">
        <f>IF(OR(ISBLANK($B759),ISBLANK($AJ759)),"",IFERROR(IF($AJ759&lt;=DATE('ESTADO CONTABLE'!$B$2,12,5),VLOOKUP($B759,COSTOS!$A$2:$B1014,2,FALSE)-150,VLOOKUP($B759,COSTOS!$A$2:$B1014,2,FALSE)),"No encontrado o error"))</f>
        <v/>
      </c>
      <c r="AL759" s="395"/>
      <c r="AM759" s="254"/>
      <c r="AN759" s="255"/>
      <c r="AO759" s="256"/>
    </row>
    <row r="760" ht="22.5" customHeight="1">
      <c r="A760" s="431" t="str">
        <f>'BASE DE DATOSS'!A834</f>
        <v/>
      </c>
      <c r="B760" s="432" t="str">
        <f>'BASE DE DATOSS'!C834</f>
        <v/>
      </c>
      <c r="C760" s="263"/>
      <c r="D760" s="249"/>
      <c r="E760" s="250"/>
      <c r="F760" s="251"/>
      <c r="G760" s="262"/>
      <c r="H760" s="257"/>
      <c r="I760" s="249"/>
      <c r="J760" s="193" t="str">
        <f>IF(OR(ISBLANK($B760),ISBLANK($I760)),"",IFERROR(IF($I760&lt;=DATE('ESTADO CONTABLE'!$B$2,3,5),VLOOKUP($B760,COSTOS!$A$2:$B1014,2,FALSE)-150,VLOOKUP($B760,COSTOS!$A$2:$B1014,2,FALSE)),"No encontrado o error"))</f>
        <v/>
      </c>
      <c r="K760" s="264"/>
      <c r="L760" s="249"/>
      <c r="M760" s="189"/>
      <c r="N760" s="264"/>
      <c r="O760" s="249"/>
      <c r="P760" s="250"/>
      <c r="Q760" s="264"/>
      <c r="R760" s="249"/>
      <c r="S760" s="250"/>
      <c r="T760" s="264"/>
      <c r="U760" s="249"/>
      <c r="V760" s="250"/>
      <c r="W760" s="264"/>
      <c r="X760" s="394"/>
      <c r="Y760" s="429"/>
      <c r="Z760" s="395"/>
      <c r="AA760" s="394"/>
      <c r="AB760" s="118" t="str">
        <f>IF(OR(ISBLANK($B760),ISBLANK($AA760)),"",IFERROR(IF($AA760&lt;=DATE('ESTADO CONTABLE'!$B$2,9,5),VLOOKUP($B760,COSTOS!$A$2:$B1014,2,FALSE)-150,VLOOKUP($B760,COSTOS!$A$2:$B1014,2,FALSE)),"No encontrado o error"))</f>
        <v/>
      </c>
      <c r="AC760" s="395"/>
      <c r="AD760" s="394"/>
      <c r="AE760" s="429" t="str">
        <f>IF(OR(ISBLANK($B760),ISBLANK($AD760)),"",IFERROR(IF($AD760&lt;=DATE('ESTADO CONTABLE'!$B$2,10,5),VLOOKUP($B760,COSTOS!$A$2:$B1014,2,FALSE)-150,VLOOKUP($B760,COSTOS!$A$2:$B1014,2,FALSE)),"No encontrado o error"))</f>
        <v/>
      </c>
      <c r="AF760" s="395"/>
      <c r="AG760" s="394"/>
      <c r="AH760" s="429" t="str">
        <f>IF(OR(ISBLANK($B760),ISBLANK($AG760)),"",IFERROR(IF($AG760&lt;=DATE('ESTADO CONTABLE'!$B$2,11,5),VLOOKUP($B760,COSTOS!$A$2:$B1014,2,FALSE)-150,VLOOKUP($B760,COSTOS!$A$2:$B1014,2,FALSE)),"No encontrado o error"))</f>
        <v/>
      </c>
      <c r="AI760" s="395"/>
      <c r="AJ760" s="394"/>
      <c r="AK760" s="429" t="str">
        <f>IF(OR(ISBLANK($B760),ISBLANK($AJ760)),"",IFERROR(IF($AJ760&lt;=DATE('ESTADO CONTABLE'!$B$2,12,5),VLOOKUP($B760,COSTOS!$A$2:$B1014,2,FALSE)-150,VLOOKUP($B760,COSTOS!$A$2:$B1014,2,FALSE)),"No encontrado o error"))</f>
        <v/>
      </c>
      <c r="AL760" s="395"/>
      <c r="AM760" s="254"/>
      <c r="AN760" s="255"/>
      <c r="AO760" s="256"/>
    </row>
    <row r="761" ht="22.5" customHeight="1">
      <c r="A761" s="431" t="str">
        <f>'BASE DE DATOSS'!A835</f>
        <v/>
      </c>
      <c r="B761" s="432" t="str">
        <f>'BASE DE DATOSS'!C835</f>
        <v/>
      </c>
      <c r="C761" s="263"/>
      <c r="D761" s="249"/>
      <c r="E761" s="250"/>
      <c r="F761" s="251"/>
      <c r="G761" s="262"/>
      <c r="H761" s="257"/>
      <c r="I761" s="249"/>
      <c r="J761" s="193" t="str">
        <f>IF(OR(ISBLANK($B761),ISBLANK($I761)),"",IFERROR(IF($I761&lt;=DATE('ESTADO CONTABLE'!$B$2,3,5),VLOOKUP($B761,COSTOS!$A$2:$B1014,2,FALSE)-150,VLOOKUP($B761,COSTOS!$A$2:$B1014,2,FALSE)),"No encontrado o error"))</f>
        <v/>
      </c>
      <c r="K761" s="264"/>
      <c r="L761" s="249"/>
      <c r="M761" s="189"/>
      <c r="N761" s="264"/>
      <c r="O761" s="249"/>
      <c r="P761" s="250"/>
      <c r="Q761" s="264"/>
      <c r="R761" s="249"/>
      <c r="S761" s="250"/>
      <c r="T761" s="264"/>
      <c r="U761" s="249"/>
      <c r="V761" s="250"/>
      <c r="W761" s="264"/>
      <c r="X761" s="394"/>
      <c r="Y761" s="429"/>
      <c r="Z761" s="395"/>
      <c r="AA761" s="394"/>
      <c r="AB761" s="118" t="str">
        <f>IF(OR(ISBLANK($B761),ISBLANK($AA761)),"",IFERROR(IF($AA761&lt;=DATE('ESTADO CONTABLE'!$B$2,9,5),VLOOKUP($B761,COSTOS!$A$2:$B1014,2,FALSE)-150,VLOOKUP($B761,COSTOS!$A$2:$B1014,2,FALSE)),"No encontrado o error"))</f>
        <v/>
      </c>
      <c r="AC761" s="395"/>
      <c r="AD761" s="394"/>
      <c r="AE761" s="429" t="str">
        <f>IF(OR(ISBLANK($B761),ISBLANK($AD761)),"",IFERROR(IF($AD761&lt;=DATE('ESTADO CONTABLE'!$B$2,10,5),VLOOKUP($B761,COSTOS!$A$2:$B1014,2,FALSE)-150,VLOOKUP($B761,COSTOS!$A$2:$B1014,2,FALSE)),"No encontrado o error"))</f>
        <v/>
      </c>
      <c r="AF761" s="395"/>
      <c r="AG761" s="394"/>
      <c r="AH761" s="429" t="str">
        <f>IF(OR(ISBLANK($B761),ISBLANK($AG761)),"",IFERROR(IF($AG761&lt;=DATE('ESTADO CONTABLE'!$B$2,11,5),VLOOKUP($B761,COSTOS!$A$2:$B1014,2,FALSE)-150,VLOOKUP($B761,COSTOS!$A$2:$B1014,2,FALSE)),"No encontrado o error"))</f>
        <v/>
      </c>
      <c r="AI761" s="395"/>
      <c r="AJ761" s="394"/>
      <c r="AK761" s="429" t="str">
        <f>IF(OR(ISBLANK($B761),ISBLANK($AJ761)),"",IFERROR(IF($AJ761&lt;=DATE('ESTADO CONTABLE'!$B$2,12,5),VLOOKUP($B761,COSTOS!$A$2:$B1014,2,FALSE)-150,VLOOKUP($B761,COSTOS!$A$2:$B1014,2,FALSE)),"No encontrado o error"))</f>
        <v/>
      </c>
      <c r="AL761" s="395"/>
      <c r="AM761" s="254"/>
      <c r="AN761" s="255"/>
      <c r="AO761" s="256"/>
    </row>
    <row r="762" ht="22.5" customHeight="1">
      <c r="A762" s="431" t="str">
        <f>'BASE DE DATOSS'!A836</f>
        <v/>
      </c>
      <c r="B762" s="432" t="str">
        <f>'BASE DE DATOSS'!C836</f>
        <v/>
      </c>
      <c r="C762" s="263"/>
      <c r="D762" s="249"/>
      <c r="E762" s="250"/>
      <c r="F762" s="251"/>
      <c r="G762" s="262"/>
      <c r="H762" s="257"/>
      <c r="I762" s="249"/>
      <c r="J762" s="193" t="str">
        <f>IF(OR(ISBLANK($B762),ISBLANK($I762)),"",IFERROR(IF($I762&lt;=DATE('ESTADO CONTABLE'!$B$2,3,5),VLOOKUP($B762,COSTOS!$A$2:$B1014,2,FALSE)-150,VLOOKUP($B762,COSTOS!$A$2:$B1014,2,FALSE)),"No encontrado o error"))</f>
        <v/>
      </c>
      <c r="K762" s="264"/>
      <c r="L762" s="249"/>
      <c r="M762" s="189"/>
      <c r="N762" s="264"/>
      <c r="O762" s="249"/>
      <c r="P762" s="250"/>
      <c r="Q762" s="264"/>
      <c r="R762" s="249"/>
      <c r="S762" s="250"/>
      <c r="T762" s="264"/>
      <c r="U762" s="249"/>
      <c r="V762" s="250"/>
      <c r="W762" s="264"/>
      <c r="X762" s="394"/>
      <c r="Y762" s="429"/>
      <c r="Z762" s="395"/>
      <c r="AA762" s="394"/>
      <c r="AB762" s="118" t="str">
        <f>IF(OR(ISBLANK($B762),ISBLANK($AA762)),"",IFERROR(IF($AA762&lt;=DATE('ESTADO CONTABLE'!$B$2,9,5),VLOOKUP($B762,COSTOS!$A$2:$B1014,2,FALSE)-150,VLOOKUP($B762,COSTOS!$A$2:$B1014,2,FALSE)),"No encontrado o error"))</f>
        <v/>
      </c>
      <c r="AC762" s="395"/>
      <c r="AD762" s="394"/>
      <c r="AE762" s="429" t="str">
        <f>IF(OR(ISBLANK($B762),ISBLANK($AD762)),"",IFERROR(IF($AD762&lt;=DATE('ESTADO CONTABLE'!$B$2,10,5),VLOOKUP($B762,COSTOS!$A$2:$B1014,2,FALSE)-150,VLOOKUP($B762,COSTOS!$A$2:$B1014,2,FALSE)),"No encontrado o error"))</f>
        <v/>
      </c>
      <c r="AF762" s="395"/>
      <c r="AG762" s="394"/>
      <c r="AH762" s="429" t="str">
        <f>IF(OR(ISBLANK($B762),ISBLANK($AG762)),"",IFERROR(IF($AG762&lt;=DATE('ESTADO CONTABLE'!$B$2,11,5),VLOOKUP($B762,COSTOS!$A$2:$B1014,2,FALSE)-150,VLOOKUP($B762,COSTOS!$A$2:$B1014,2,FALSE)),"No encontrado o error"))</f>
        <v/>
      </c>
      <c r="AI762" s="395"/>
      <c r="AJ762" s="394"/>
      <c r="AK762" s="429" t="str">
        <f>IF(OR(ISBLANK($B762),ISBLANK($AJ762)),"",IFERROR(IF($AJ762&lt;=DATE('ESTADO CONTABLE'!$B$2,12,5),VLOOKUP($B762,COSTOS!$A$2:$B1014,2,FALSE)-150,VLOOKUP($B762,COSTOS!$A$2:$B1014,2,FALSE)),"No encontrado o error"))</f>
        <v/>
      </c>
      <c r="AL762" s="395"/>
      <c r="AM762" s="254"/>
      <c r="AN762" s="255"/>
      <c r="AO762" s="256"/>
    </row>
    <row r="763" ht="22.5" customHeight="1">
      <c r="A763" s="431" t="str">
        <f>'BASE DE DATOSS'!A837</f>
        <v/>
      </c>
      <c r="B763" s="432" t="str">
        <f>'BASE DE DATOSS'!C837</f>
        <v/>
      </c>
      <c r="C763" s="263"/>
      <c r="D763" s="249"/>
      <c r="E763" s="250"/>
      <c r="F763" s="251"/>
      <c r="G763" s="262"/>
      <c r="H763" s="257"/>
      <c r="I763" s="249"/>
      <c r="J763" s="193" t="str">
        <f>IF(OR(ISBLANK($B763),ISBLANK($I763)),"",IFERROR(IF($I763&lt;=DATE('ESTADO CONTABLE'!$B$2,3,5),VLOOKUP($B763,COSTOS!$A$2:$B1014,2,FALSE)-150,VLOOKUP($B763,COSTOS!$A$2:$B1014,2,FALSE)),"No encontrado o error"))</f>
        <v/>
      </c>
      <c r="K763" s="264"/>
      <c r="L763" s="249"/>
      <c r="M763" s="189"/>
      <c r="N763" s="264"/>
      <c r="O763" s="249"/>
      <c r="P763" s="250"/>
      <c r="Q763" s="264"/>
      <c r="R763" s="249"/>
      <c r="S763" s="250"/>
      <c r="T763" s="264"/>
      <c r="U763" s="249"/>
      <c r="V763" s="250"/>
      <c r="W763" s="264"/>
      <c r="X763" s="394"/>
      <c r="Y763" s="429"/>
      <c r="Z763" s="395"/>
      <c r="AA763" s="394"/>
      <c r="AB763" s="118" t="str">
        <f>IF(OR(ISBLANK($B763),ISBLANK($AA763)),"",IFERROR(IF($AA763&lt;=DATE('ESTADO CONTABLE'!$B$2,9,5),VLOOKUP($B763,COSTOS!$A$2:$B1014,2,FALSE)-150,VLOOKUP($B763,COSTOS!$A$2:$B1014,2,FALSE)),"No encontrado o error"))</f>
        <v/>
      </c>
      <c r="AC763" s="395"/>
      <c r="AD763" s="394"/>
      <c r="AE763" s="429" t="str">
        <f>IF(OR(ISBLANK($B763),ISBLANK($AD763)),"",IFERROR(IF($AD763&lt;=DATE('ESTADO CONTABLE'!$B$2,10,5),VLOOKUP($B763,COSTOS!$A$2:$B1014,2,FALSE)-150,VLOOKUP($B763,COSTOS!$A$2:$B1014,2,FALSE)),"No encontrado o error"))</f>
        <v/>
      </c>
      <c r="AF763" s="395"/>
      <c r="AG763" s="394"/>
      <c r="AH763" s="429" t="str">
        <f>IF(OR(ISBLANK($B763),ISBLANK($AG763)),"",IFERROR(IF($AG763&lt;=DATE('ESTADO CONTABLE'!$B$2,11,5),VLOOKUP($B763,COSTOS!$A$2:$B1014,2,FALSE)-150,VLOOKUP($B763,COSTOS!$A$2:$B1014,2,FALSE)),"No encontrado o error"))</f>
        <v/>
      </c>
      <c r="AI763" s="395"/>
      <c r="AJ763" s="394"/>
      <c r="AK763" s="429" t="str">
        <f>IF(OR(ISBLANK($B763),ISBLANK($AJ763)),"",IFERROR(IF($AJ763&lt;=DATE('ESTADO CONTABLE'!$B$2,12,5),VLOOKUP($B763,COSTOS!$A$2:$B1014,2,FALSE)-150,VLOOKUP($B763,COSTOS!$A$2:$B1014,2,FALSE)),"No encontrado o error"))</f>
        <v/>
      </c>
      <c r="AL763" s="395"/>
      <c r="AM763" s="254"/>
      <c r="AN763" s="255"/>
      <c r="AO763" s="256"/>
    </row>
    <row r="764" ht="22.5" customHeight="1">
      <c r="A764" s="431" t="str">
        <f>'BASE DE DATOSS'!A838</f>
        <v/>
      </c>
      <c r="B764" s="432" t="str">
        <f>'BASE DE DATOSS'!C838</f>
        <v/>
      </c>
      <c r="C764" s="263"/>
      <c r="D764" s="249"/>
      <c r="E764" s="250"/>
      <c r="F764" s="251"/>
      <c r="G764" s="262"/>
      <c r="H764" s="257"/>
      <c r="I764" s="249"/>
      <c r="J764" s="193" t="str">
        <f>IF(OR(ISBLANK($B764),ISBLANK($I764)),"",IFERROR(IF($I764&lt;=DATE('ESTADO CONTABLE'!$B$2,3,5),VLOOKUP($B764,COSTOS!$A$2:$B1014,2,FALSE)-150,VLOOKUP($B764,COSTOS!$A$2:$B1014,2,FALSE)),"No encontrado o error"))</f>
        <v/>
      </c>
      <c r="K764" s="264"/>
      <c r="L764" s="249"/>
      <c r="M764" s="189"/>
      <c r="N764" s="264"/>
      <c r="O764" s="249"/>
      <c r="P764" s="250"/>
      <c r="Q764" s="264"/>
      <c r="R764" s="249"/>
      <c r="S764" s="250"/>
      <c r="T764" s="264"/>
      <c r="U764" s="249"/>
      <c r="V764" s="250"/>
      <c r="W764" s="264"/>
      <c r="X764" s="394"/>
      <c r="Y764" s="429"/>
      <c r="Z764" s="395"/>
      <c r="AA764" s="394"/>
      <c r="AB764" s="118" t="str">
        <f>IF(OR(ISBLANK($B764),ISBLANK($AA764)),"",IFERROR(IF($AA764&lt;=DATE('ESTADO CONTABLE'!$B$2,9,5),VLOOKUP($B764,COSTOS!$A$2:$B1014,2,FALSE)-150,VLOOKUP($B764,COSTOS!$A$2:$B1014,2,FALSE)),"No encontrado o error"))</f>
        <v/>
      </c>
      <c r="AC764" s="395"/>
      <c r="AD764" s="394"/>
      <c r="AE764" s="429" t="str">
        <f>IF(OR(ISBLANK($B764),ISBLANK($AD764)),"",IFERROR(IF($AD764&lt;=DATE('ESTADO CONTABLE'!$B$2,10,5),VLOOKUP($B764,COSTOS!$A$2:$B1014,2,FALSE)-150,VLOOKUP($B764,COSTOS!$A$2:$B1014,2,FALSE)),"No encontrado o error"))</f>
        <v/>
      </c>
      <c r="AF764" s="395"/>
      <c r="AG764" s="394"/>
      <c r="AH764" s="429" t="str">
        <f>IF(OR(ISBLANK($B764),ISBLANK($AG764)),"",IFERROR(IF($AG764&lt;=DATE('ESTADO CONTABLE'!$B$2,11,5),VLOOKUP($B764,COSTOS!$A$2:$B1014,2,FALSE)-150,VLOOKUP($B764,COSTOS!$A$2:$B1014,2,FALSE)),"No encontrado o error"))</f>
        <v/>
      </c>
      <c r="AI764" s="395"/>
      <c r="AJ764" s="394"/>
      <c r="AK764" s="429" t="str">
        <f>IF(OR(ISBLANK($B764),ISBLANK($AJ764)),"",IFERROR(IF($AJ764&lt;=DATE('ESTADO CONTABLE'!$B$2,12,5),VLOOKUP($B764,COSTOS!$A$2:$B1014,2,FALSE)-150,VLOOKUP($B764,COSTOS!$A$2:$B1014,2,FALSE)),"No encontrado o error"))</f>
        <v/>
      </c>
      <c r="AL764" s="395"/>
      <c r="AM764" s="254"/>
      <c r="AN764" s="255"/>
      <c r="AO764" s="256"/>
    </row>
    <row r="765" ht="22.5" customHeight="1">
      <c r="A765" s="431" t="str">
        <f>'BASE DE DATOSS'!A839</f>
        <v/>
      </c>
      <c r="B765" s="432" t="str">
        <f>'BASE DE DATOSS'!C839</f>
        <v/>
      </c>
      <c r="C765" s="263"/>
      <c r="D765" s="249"/>
      <c r="E765" s="250"/>
      <c r="F765" s="251"/>
      <c r="G765" s="262"/>
      <c r="H765" s="257"/>
      <c r="I765" s="249"/>
      <c r="J765" s="193" t="str">
        <f>IF(OR(ISBLANK($B765),ISBLANK($I765)),"",IFERROR(IF($I765&lt;=DATE('ESTADO CONTABLE'!$B$2,3,5),VLOOKUP($B765,COSTOS!$A$2:$B1014,2,FALSE)-150,VLOOKUP($B765,COSTOS!$A$2:$B1014,2,FALSE)),"No encontrado o error"))</f>
        <v/>
      </c>
      <c r="K765" s="264"/>
      <c r="L765" s="249"/>
      <c r="M765" s="189"/>
      <c r="N765" s="264"/>
      <c r="O765" s="249"/>
      <c r="P765" s="250"/>
      <c r="Q765" s="264"/>
      <c r="R765" s="249"/>
      <c r="S765" s="250"/>
      <c r="T765" s="264"/>
      <c r="U765" s="249"/>
      <c r="V765" s="250"/>
      <c r="W765" s="264"/>
      <c r="X765" s="394"/>
      <c r="Y765" s="429"/>
      <c r="Z765" s="395"/>
      <c r="AA765" s="394"/>
      <c r="AB765" s="118" t="str">
        <f>IF(OR(ISBLANK($B765),ISBLANK($AA765)),"",IFERROR(IF($AA765&lt;=DATE('ESTADO CONTABLE'!$B$2,9,5),VLOOKUP($B765,COSTOS!$A$2:$B1014,2,FALSE)-150,VLOOKUP($B765,COSTOS!$A$2:$B1014,2,FALSE)),"No encontrado o error"))</f>
        <v/>
      </c>
      <c r="AC765" s="395"/>
      <c r="AD765" s="394"/>
      <c r="AE765" s="429" t="str">
        <f>IF(OR(ISBLANK($B765),ISBLANK($AD765)),"",IFERROR(IF($AD765&lt;=DATE('ESTADO CONTABLE'!$B$2,10,5),VLOOKUP($B765,COSTOS!$A$2:$B1014,2,FALSE)-150,VLOOKUP($B765,COSTOS!$A$2:$B1014,2,FALSE)),"No encontrado o error"))</f>
        <v/>
      </c>
      <c r="AF765" s="395"/>
      <c r="AG765" s="394"/>
      <c r="AH765" s="429" t="str">
        <f>IF(OR(ISBLANK($B765),ISBLANK($AG765)),"",IFERROR(IF($AG765&lt;=DATE('ESTADO CONTABLE'!$B$2,11,5),VLOOKUP($B765,COSTOS!$A$2:$B1014,2,FALSE)-150,VLOOKUP($B765,COSTOS!$A$2:$B1014,2,FALSE)),"No encontrado o error"))</f>
        <v/>
      </c>
      <c r="AI765" s="395"/>
      <c r="AJ765" s="394"/>
      <c r="AK765" s="429" t="str">
        <f>IF(OR(ISBLANK($B765),ISBLANK($AJ765)),"",IFERROR(IF($AJ765&lt;=DATE('ESTADO CONTABLE'!$B$2,12,5),VLOOKUP($B765,COSTOS!$A$2:$B1014,2,FALSE)-150,VLOOKUP($B765,COSTOS!$A$2:$B1014,2,FALSE)),"No encontrado o error"))</f>
        <v/>
      </c>
      <c r="AL765" s="395"/>
      <c r="AM765" s="254"/>
      <c r="AN765" s="255"/>
      <c r="AO765" s="256"/>
    </row>
    <row r="766" ht="22.5" customHeight="1">
      <c r="A766" s="431" t="str">
        <f>'BASE DE DATOSS'!A840</f>
        <v/>
      </c>
      <c r="B766" s="432" t="str">
        <f>'BASE DE DATOSS'!C840</f>
        <v/>
      </c>
      <c r="C766" s="263"/>
      <c r="D766" s="249"/>
      <c r="E766" s="250"/>
      <c r="F766" s="251"/>
      <c r="G766" s="262"/>
      <c r="H766" s="257"/>
      <c r="I766" s="249"/>
      <c r="J766" s="193" t="str">
        <f>IF(OR(ISBLANK($B766),ISBLANK($I766)),"",IFERROR(IF($I766&lt;=DATE('ESTADO CONTABLE'!$B$2,3,5),VLOOKUP($B766,COSTOS!$A$2:$B1014,2,FALSE)-150,VLOOKUP($B766,COSTOS!$A$2:$B1014,2,FALSE)),"No encontrado o error"))</f>
        <v/>
      </c>
      <c r="K766" s="264"/>
      <c r="L766" s="249"/>
      <c r="M766" s="189"/>
      <c r="N766" s="264"/>
      <c r="O766" s="249"/>
      <c r="P766" s="250"/>
      <c r="Q766" s="264"/>
      <c r="R766" s="249"/>
      <c r="S766" s="250"/>
      <c r="T766" s="264"/>
      <c r="U766" s="249"/>
      <c r="V766" s="250"/>
      <c r="W766" s="264"/>
      <c r="X766" s="394"/>
      <c r="Y766" s="429"/>
      <c r="Z766" s="395"/>
      <c r="AA766" s="394"/>
      <c r="AB766" s="118" t="str">
        <f>IF(OR(ISBLANK($B766),ISBLANK($AA766)),"",IFERROR(IF($AA766&lt;=DATE('ESTADO CONTABLE'!$B$2,9,5),VLOOKUP($B766,COSTOS!$A$2:$B1014,2,FALSE)-150,VLOOKUP($B766,COSTOS!$A$2:$B1014,2,FALSE)),"No encontrado o error"))</f>
        <v/>
      </c>
      <c r="AC766" s="395"/>
      <c r="AD766" s="394"/>
      <c r="AE766" s="429" t="str">
        <f>IF(OR(ISBLANK($B766),ISBLANK($AD766)),"",IFERROR(IF($AD766&lt;=DATE('ESTADO CONTABLE'!$B$2,10,5),VLOOKUP($B766,COSTOS!$A$2:$B1014,2,FALSE)-150,VLOOKUP($B766,COSTOS!$A$2:$B1014,2,FALSE)),"No encontrado o error"))</f>
        <v/>
      </c>
      <c r="AF766" s="395"/>
      <c r="AG766" s="394"/>
      <c r="AH766" s="429" t="str">
        <f>IF(OR(ISBLANK($B766),ISBLANK($AG766)),"",IFERROR(IF($AG766&lt;=DATE('ESTADO CONTABLE'!$B$2,11,5),VLOOKUP($B766,COSTOS!$A$2:$B1014,2,FALSE)-150,VLOOKUP($B766,COSTOS!$A$2:$B1014,2,FALSE)),"No encontrado o error"))</f>
        <v/>
      </c>
      <c r="AI766" s="395"/>
      <c r="AJ766" s="394"/>
      <c r="AK766" s="429" t="str">
        <f>IF(OR(ISBLANK($B766),ISBLANK($AJ766)),"",IFERROR(IF($AJ766&lt;=DATE('ESTADO CONTABLE'!$B$2,12,5),VLOOKUP($B766,COSTOS!$A$2:$B1014,2,FALSE)-150,VLOOKUP($B766,COSTOS!$A$2:$B1014,2,FALSE)),"No encontrado o error"))</f>
        <v/>
      </c>
      <c r="AL766" s="395"/>
      <c r="AM766" s="254"/>
      <c r="AN766" s="255"/>
      <c r="AO766" s="256"/>
    </row>
    <row r="767" ht="22.5" customHeight="1">
      <c r="A767" s="431" t="str">
        <f>'BASE DE DATOSS'!A841</f>
        <v/>
      </c>
      <c r="B767" s="432" t="str">
        <f>'BASE DE DATOSS'!C841</f>
        <v/>
      </c>
      <c r="C767" s="263"/>
      <c r="D767" s="249"/>
      <c r="E767" s="250"/>
      <c r="F767" s="251"/>
      <c r="G767" s="262"/>
      <c r="H767" s="257"/>
      <c r="I767" s="249"/>
      <c r="J767" s="193" t="str">
        <f>IF(OR(ISBLANK($B767),ISBLANK($I767)),"",IFERROR(IF($I767&lt;=DATE('ESTADO CONTABLE'!$B$2,3,5),VLOOKUP($B767,COSTOS!$A$2:$B1014,2,FALSE)-150,VLOOKUP($B767,COSTOS!$A$2:$B1014,2,FALSE)),"No encontrado o error"))</f>
        <v/>
      </c>
      <c r="K767" s="264"/>
      <c r="L767" s="249"/>
      <c r="M767" s="189"/>
      <c r="N767" s="264"/>
      <c r="O767" s="249"/>
      <c r="P767" s="250"/>
      <c r="Q767" s="264"/>
      <c r="R767" s="249"/>
      <c r="S767" s="250"/>
      <c r="T767" s="264"/>
      <c r="U767" s="249"/>
      <c r="V767" s="250"/>
      <c r="W767" s="264"/>
      <c r="X767" s="394"/>
      <c r="Y767" s="429"/>
      <c r="Z767" s="395"/>
      <c r="AA767" s="394"/>
      <c r="AB767" s="118" t="str">
        <f>IF(OR(ISBLANK($B767),ISBLANK($AA767)),"",IFERROR(IF($AA767&lt;=DATE('ESTADO CONTABLE'!$B$2,9,5),VLOOKUP($B767,COSTOS!$A$2:$B1014,2,FALSE)-150,VLOOKUP($B767,COSTOS!$A$2:$B1014,2,FALSE)),"No encontrado o error"))</f>
        <v/>
      </c>
      <c r="AC767" s="395"/>
      <c r="AD767" s="394"/>
      <c r="AE767" s="429" t="str">
        <f>IF(OR(ISBLANK($B767),ISBLANK($AD767)),"",IFERROR(IF($AD767&lt;=DATE('ESTADO CONTABLE'!$B$2,10,5),VLOOKUP($B767,COSTOS!$A$2:$B1014,2,FALSE)-150,VLOOKUP($B767,COSTOS!$A$2:$B1014,2,FALSE)),"No encontrado o error"))</f>
        <v/>
      </c>
      <c r="AF767" s="395"/>
      <c r="AG767" s="394"/>
      <c r="AH767" s="429" t="str">
        <f>IF(OR(ISBLANK($B767),ISBLANK($AG767)),"",IFERROR(IF($AG767&lt;=DATE('ESTADO CONTABLE'!$B$2,11,5),VLOOKUP($B767,COSTOS!$A$2:$B1014,2,FALSE)-150,VLOOKUP($B767,COSTOS!$A$2:$B1014,2,FALSE)),"No encontrado o error"))</f>
        <v/>
      </c>
      <c r="AI767" s="395"/>
      <c r="AJ767" s="394"/>
      <c r="AK767" s="429" t="str">
        <f>IF(OR(ISBLANK($B767),ISBLANK($AJ767)),"",IFERROR(IF($AJ767&lt;=DATE('ESTADO CONTABLE'!$B$2,12,5),VLOOKUP($B767,COSTOS!$A$2:$B1014,2,FALSE)-150,VLOOKUP($B767,COSTOS!$A$2:$B1014,2,FALSE)),"No encontrado o error"))</f>
        <v/>
      </c>
      <c r="AL767" s="395"/>
      <c r="AM767" s="254"/>
      <c r="AN767" s="255"/>
      <c r="AO767" s="256"/>
    </row>
    <row r="768" ht="22.5" customHeight="1">
      <c r="A768" s="431" t="str">
        <f>'BASE DE DATOSS'!A842</f>
        <v/>
      </c>
      <c r="B768" s="432" t="str">
        <f>'BASE DE DATOSS'!C842</f>
        <v/>
      </c>
      <c r="C768" s="263"/>
      <c r="D768" s="249"/>
      <c r="E768" s="250"/>
      <c r="F768" s="251"/>
      <c r="G768" s="262"/>
      <c r="H768" s="257"/>
      <c r="I768" s="249"/>
      <c r="J768" s="193" t="str">
        <f>IF(OR(ISBLANK($B768),ISBLANK($I768)),"",IFERROR(IF($I768&lt;=DATE('ESTADO CONTABLE'!$B$2,3,5),VLOOKUP($B768,COSTOS!$A$2:$B1014,2,FALSE)-150,VLOOKUP($B768,COSTOS!$A$2:$B1014,2,FALSE)),"No encontrado o error"))</f>
        <v/>
      </c>
      <c r="K768" s="264"/>
      <c r="L768" s="249"/>
      <c r="M768" s="189"/>
      <c r="N768" s="264"/>
      <c r="O768" s="249"/>
      <c r="P768" s="250"/>
      <c r="Q768" s="264"/>
      <c r="R768" s="249"/>
      <c r="S768" s="250"/>
      <c r="T768" s="264"/>
      <c r="U768" s="249"/>
      <c r="V768" s="250"/>
      <c r="W768" s="264"/>
      <c r="X768" s="394"/>
      <c r="Y768" s="429"/>
      <c r="Z768" s="395"/>
      <c r="AA768" s="394"/>
      <c r="AB768" s="118" t="str">
        <f>IF(OR(ISBLANK($B768),ISBLANK($AA768)),"",IFERROR(IF($AA768&lt;=DATE('ESTADO CONTABLE'!$B$2,9,5),VLOOKUP($B768,COSTOS!$A$2:$B1014,2,FALSE)-150,VLOOKUP($B768,COSTOS!$A$2:$B1014,2,FALSE)),"No encontrado o error"))</f>
        <v/>
      </c>
      <c r="AC768" s="395"/>
      <c r="AD768" s="394"/>
      <c r="AE768" s="429" t="str">
        <f>IF(OR(ISBLANK($B768),ISBLANK($AD768)),"",IFERROR(IF($AD768&lt;=DATE('ESTADO CONTABLE'!$B$2,10,5),VLOOKUP($B768,COSTOS!$A$2:$B1014,2,FALSE)-150,VLOOKUP($B768,COSTOS!$A$2:$B1014,2,FALSE)),"No encontrado o error"))</f>
        <v/>
      </c>
      <c r="AF768" s="395"/>
      <c r="AG768" s="394"/>
      <c r="AH768" s="429" t="str">
        <f>IF(OR(ISBLANK($B768),ISBLANK($AG768)),"",IFERROR(IF($AG768&lt;=DATE('ESTADO CONTABLE'!$B$2,11,5),VLOOKUP($B768,COSTOS!$A$2:$B1014,2,FALSE)-150,VLOOKUP($B768,COSTOS!$A$2:$B1014,2,FALSE)),"No encontrado o error"))</f>
        <v/>
      </c>
      <c r="AI768" s="395"/>
      <c r="AJ768" s="394"/>
      <c r="AK768" s="429" t="str">
        <f>IF(OR(ISBLANK($B768),ISBLANK($AJ768)),"",IFERROR(IF($AJ768&lt;=DATE('ESTADO CONTABLE'!$B$2,12,5),VLOOKUP($B768,COSTOS!$A$2:$B1014,2,FALSE)-150,VLOOKUP($B768,COSTOS!$A$2:$B1014,2,FALSE)),"No encontrado o error"))</f>
        <v/>
      </c>
      <c r="AL768" s="395"/>
      <c r="AM768" s="254"/>
      <c r="AN768" s="255"/>
      <c r="AO768" s="256"/>
    </row>
    <row r="769" ht="22.5" customHeight="1">
      <c r="A769" s="431" t="str">
        <f>'BASE DE DATOSS'!A843</f>
        <v/>
      </c>
      <c r="B769" s="432" t="str">
        <f>'BASE DE DATOSS'!C843</f>
        <v/>
      </c>
      <c r="C769" s="263"/>
      <c r="D769" s="249"/>
      <c r="E769" s="250"/>
      <c r="F769" s="251"/>
      <c r="G769" s="262"/>
      <c r="H769" s="257"/>
      <c r="I769" s="249"/>
      <c r="J769" s="193" t="str">
        <f>IF(OR(ISBLANK($B769),ISBLANK($I769)),"",IFERROR(IF($I769&lt;=DATE('ESTADO CONTABLE'!$B$2,3,5),VLOOKUP($B769,COSTOS!$A$2:$B1014,2,FALSE)-150,VLOOKUP($B769,COSTOS!$A$2:$B1014,2,FALSE)),"No encontrado o error"))</f>
        <v/>
      </c>
      <c r="K769" s="264"/>
      <c r="L769" s="249"/>
      <c r="M769" s="189"/>
      <c r="N769" s="264"/>
      <c r="O769" s="249"/>
      <c r="P769" s="250"/>
      <c r="Q769" s="264"/>
      <c r="R769" s="249"/>
      <c r="S769" s="250"/>
      <c r="T769" s="264"/>
      <c r="U769" s="249"/>
      <c r="V769" s="250"/>
      <c r="W769" s="264"/>
      <c r="X769" s="394"/>
      <c r="Y769" s="429"/>
      <c r="Z769" s="395"/>
      <c r="AA769" s="394"/>
      <c r="AB769" s="118" t="str">
        <f>IF(OR(ISBLANK($B769),ISBLANK($AA769)),"",IFERROR(IF($AA769&lt;=DATE('ESTADO CONTABLE'!$B$2,9,5),VLOOKUP($B769,COSTOS!$A$2:$B1014,2,FALSE)-150,VLOOKUP($B769,COSTOS!$A$2:$B1014,2,FALSE)),"No encontrado o error"))</f>
        <v/>
      </c>
      <c r="AC769" s="395"/>
      <c r="AD769" s="394"/>
      <c r="AE769" s="429" t="str">
        <f>IF(OR(ISBLANK($B769),ISBLANK($AD769)),"",IFERROR(IF($AD769&lt;=DATE('ESTADO CONTABLE'!$B$2,10,5),VLOOKUP($B769,COSTOS!$A$2:$B1014,2,FALSE)-150,VLOOKUP($B769,COSTOS!$A$2:$B1014,2,FALSE)),"No encontrado o error"))</f>
        <v/>
      </c>
      <c r="AF769" s="395"/>
      <c r="AG769" s="394"/>
      <c r="AH769" s="429" t="str">
        <f>IF(OR(ISBLANK($B769),ISBLANK($AG769)),"",IFERROR(IF($AG769&lt;=DATE('ESTADO CONTABLE'!$B$2,11,5),VLOOKUP($B769,COSTOS!$A$2:$B1014,2,FALSE)-150,VLOOKUP($B769,COSTOS!$A$2:$B1014,2,FALSE)),"No encontrado o error"))</f>
        <v/>
      </c>
      <c r="AI769" s="395"/>
      <c r="AJ769" s="394"/>
      <c r="AK769" s="429" t="str">
        <f>IF(OR(ISBLANK($B769),ISBLANK($AJ769)),"",IFERROR(IF($AJ769&lt;=DATE('ESTADO CONTABLE'!$B$2,12,5),VLOOKUP($B769,COSTOS!$A$2:$B1014,2,FALSE)-150,VLOOKUP($B769,COSTOS!$A$2:$B1014,2,FALSE)),"No encontrado o error"))</f>
        <v/>
      </c>
      <c r="AL769" s="395"/>
      <c r="AM769" s="254"/>
      <c r="AN769" s="255"/>
      <c r="AO769" s="256"/>
    </row>
    <row r="770" ht="22.5" customHeight="1">
      <c r="A770" s="431" t="str">
        <f>'BASE DE DATOSS'!A844</f>
        <v/>
      </c>
      <c r="B770" s="432" t="str">
        <f>'BASE DE DATOSS'!C844</f>
        <v/>
      </c>
      <c r="C770" s="263"/>
      <c r="D770" s="249"/>
      <c r="E770" s="250"/>
      <c r="F770" s="251"/>
      <c r="G770" s="262"/>
      <c r="H770" s="257"/>
      <c r="I770" s="249"/>
      <c r="J770" s="193" t="str">
        <f>IF(OR(ISBLANK($B770),ISBLANK($I770)),"",IFERROR(IF($I770&lt;=DATE('ESTADO CONTABLE'!$B$2,3,5),VLOOKUP($B770,COSTOS!$A$2:$B1014,2,FALSE)-150,VLOOKUP($B770,COSTOS!$A$2:$B1014,2,FALSE)),"No encontrado o error"))</f>
        <v/>
      </c>
      <c r="K770" s="264"/>
      <c r="L770" s="249"/>
      <c r="M770" s="189"/>
      <c r="N770" s="264"/>
      <c r="O770" s="249"/>
      <c r="P770" s="250"/>
      <c r="Q770" s="264"/>
      <c r="R770" s="249"/>
      <c r="S770" s="250"/>
      <c r="T770" s="264"/>
      <c r="U770" s="249"/>
      <c r="V770" s="250"/>
      <c r="W770" s="264"/>
      <c r="X770" s="394"/>
      <c r="Y770" s="429"/>
      <c r="Z770" s="395"/>
      <c r="AA770" s="394"/>
      <c r="AB770" s="118" t="str">
        <f>IF(OR(ISBLANK($B770),ISBLANK($AA770)),"",IFERROR(IF($AA770&lt;=DATE('ESTADO CONTABLE'!$B$2,9,5),VLOOKUP($B770,COSTOS!$A$2:$B1014,2,FALSE)-150,VLOOKUP($B770,COSTOS!$A$2:$B1014,2,FALSE)),"No encontrado o error"))</f>
        <v/>
      </c>
      <c r="AC770" s="395"/>
      <c r="AD770" s="394"/>
      <c r="AE770" s="429" t="str">
        <f>IF(OR(ISBLANK($B770),ISBLANK($AD770)),"",IFERROR(IF($AD770&lt;=DATE('ESTADO CONTABLE'!$B$2,10,5),VLOOKUP($B770,COSTOS!$A$2:$B1014,2,FALSE)-150,VLOOKUP($B770,COSTOS!$A$2:$B1014,2,FALSE)),"No encontrado o error"))</f>
        <v/>
      </c>
      <c r="AF770" s="395"/>
      <c r="AG770" s="394"/>
      <c r="AH770" s="429" t="str">
        <f>IF(OR(ISBLANK($B770),ISBLANK($AG770)),"",IFERROR(IF($AG770&lt;=DATE('ESTADO CONTABLE'!$B$2,11,5),VLOOKUP($B770,COSTOS!$A$2:$B1014,2,FALSE)-150,VLOOKUP($B770,COSTOS!$A$2:$B1014,2,FALSE)),"No encontrado o error"))</f>
        <v/>
      </c>
      <c r="AI770" s="395"/>
      <c r="AJ770" s="394"/>
      <c r="AK770" s="429" t="str">
        <f>IF(OR(ISBLANK($B770),ISBLANK($AJ770)),"",IFERROR(IF($AJ770&lt;=DATE('ESTADO CONTABLE'!$B$2,12,5),VLOOKUP($B770,COSTOS!$A$2:$B1014,2,FALSE)-150,VLOOKUP($B770,COSTOS!$A$2:$B1014,2,FALSE)),"No encontrado o error"))</f>
        <v/>
      </c>
      <c r="AL770" s="395"/>
      <c r="AM770" s="254"/>
      <c r="AN770" s="255"/>
      <c r="AO770" s="256"/>
    </row>
    <row r="771" ht="22.5" customHeight="1">
      <c r="A771" s="431" t="str">
        <f>'BASE DE DATOSS'!A845</f>
        <v/>
      </c>
      <c r="B771" s="432" t="str">
        <f>'BASE DE DATOSS'!C845</f>
        <v/>
      </c>
      <c r="C771" s="263"/>
      <c r="D771" s="249"/>
      <c r="E771" s="250"/>
      <c r="F771" s="251"/>
      <c r="G771" s="262"/>
      <c r="H771" s="257"/>
      <c r="I771" s="249"/>
      <c r="J771" s="193" t="str">
        <f>IF(OR(ISBLANK($B771),ISBLANK($I771)),"",IFERROR(IF($I771&lt;=DATE('ESTADO CONTABLE'!$B$2,3,5),VLOOKUP($B771,COSTOS!$A$2:$B1014,2,FALSE)-150,VLOOKUP($B771,COSTOS!$A$2:$B1014,2,FALSE)),"No encontrado o error"))</f>
        <v/>
      </c>
      <c r="K771" s="264"/>
      <c r="L771" s="249"/>
      <c r="M771" s="189"/>
      <c r="N771" s="264"/>
      <c r="O771" s="249"/>
      <c r="P771" s="250"/>
      <c r="Q771" s="264"/>
      <c r="R771" s="249"/>
      <c r="S771" s="250"/>
      <c r="T771" s="264"/>
      <c r="U771" s="249"/>
      <c r="V771" s="250"/>
      <c r="W771" s="264"/>
      <c r="X771" s="394"/>
      <c r="Y771" s="429"/>
      <c r="Z771" s="395"/>
      <c r="AA771" s="394"/>
      <c r="AB771" s="118" t="str">
        <f>IF(OR(ISBLANK($B771),ISBLANK($AA771)),"",IFERROR(IF($AA771&lt;=DATE('ESTADO CONTABLE'!$B$2,9,5),VLOOKUP($B771,COSTOS!$A$2:$B1014,2,FALSE)-150,VLOOKUP($B771,COSTOS!$A$2:$B1014,2,FALSE)),"No encontrado o error"))</f>
        <v/>
      </c>
      <c r="AC771" s="395"/>
      <c r="AD771" s="394"/>
      <c r="AE771" s="429" t="str">
        <f>IF(OR(ISBLANK($B771),ISBLANK($AD771)),"",IFERROR(IF($AD771&lt;=DATE('ESTADO CONTABLE'!$B$2,10,5),VLOOKUP($B771,COSTOS!$A$2:$B1014,2,FALSE)-150,VLOOKUP($B771,COSTOS!$A$2:$B1014,2,FALSE)),"No encontrado o error"))</f>
        <v/>
      </c>
      <c r="AF771" s="395"/>
      <c r="AG771" s="394"/>
      <c r="AH771" s="429" t="str">
        <f>IF(OR(ISBLANK($B771),ISBLANK($AG771)),"",IFERROR(IF($AG771&lt;=DATE('ESTADO CONTABLE'!$B$2,11,5),VLOOKUP($B771,COSTOS!$A$2:$B1014,2,FALSE)-150,VLOOKUP($B771,COSTOS!$A$2:$B1014,2,FALSE)),"No encontrado o error"))</f>
        <v/>
      </c>
      <c r="AI771" s="395"/>
      <c r="AJ771" s="394"/>
      <c r="AK771" s="429" t="str">
        <f>IF(OR(ISBLANK($B771),ISBLANK($AJ771)),"",IFERROR(IF($AJ771&lt;=DATE('ESTADO CONTABLE'!$B$2,12,5),VLOOKUP($B771,COSTOS!$A$2:$B1014,2,FALSE)-150,VLOOKUP($B771,COSTOS!$A$2:$B1014,2,FALSE)),"No encontrado o error"))</f>
        <v/>
      </c>
      <c r="AL771" s="395"/>
      <c r="AM771" s="254"/>
      <c r="AN771" s="255"/>
      <c r="AO771" s="256"/>
    </row>
    <row r="772" ht="22.5" customHeight="1">
      <c r="A772" s="431" t="str">
        <f>'BASE DE DATOSS'!A846</f>
        <v/>
      </c>
      <c r="B772" s="432" t="str">
        <f>'BASE DE DATOSS'!C846</f>
        <v/>
      </c>
      <c r="C772" s="263"/>
      <c r="D772" s="249"/>
      <c r="E772" s="250"/>
      <c r="F772" s="251"/>
      <c r="G772" s="262"/>
      <c r="H772" s="257"/>
      <c r="I772" s="249"/>
      <c r="J772" s="193" t="str">
        <f>IF(OR(ISBLANK($B772),ISBLANK($I772)),"",IFERROR(IF($I772&lt;=DATE('ESTADO CONTABLE'!$B$2,3,5),VLOOKUP($B772,COSTOS!$A$2:$B1014,2,FALSE)-150,VLOOKUP($B772,COSTOS!$A$2:$B1014,2,FALSE)),"No encontrado o error"))</f>
        <v/>
      </c>
      <c r="K772" s="264"/>
      <c r="L772" s="249"/>
      <c r="M772" s="189"/>
      <c r="N772" s="264"/>
      <c r="O772" s="249"/>
      <c r="P772" s="250"/>
      <c r="Q772" s="264"/>
      <c r="R772" s="249"/>
      <c r="S772" s="250"/>
      <c r="T772" s="264"/>
      <c r="U772" s="249"/>
      <c r="V772" s="250"/>
      <c r="W772" s="264"/>
      <c r="X772" s="394"/>
      <c r="Y772" s="429"/>
      <c r="Z772" s="395"/>
      <c r="AA772" s="394"/>
      <c r="AB772" s="118" t="str">
        <f>IF(OR(ISBLANK($B772),ISBLANK($AA772)),"",IFERROR(IF($AA772&lt;=DATE('ESTADO CONTABLE'!$B$2,9,5),VLOOKUP($B772,COSTOS!$A$2:$B1014,2,FALSE)-150,VLOOKUP($B772,COSTOS!$A$2:$B1014,2,FALSE)),"No encontrado o error"))</f>
        <v/>
      </c>
      <c r="AC772" s="395"/>
      <c r="AD772" s="394"/>
      <c r="AE772" s="429" t="str">
        <f>IF(OR(ISBLANK($B772),ISBLANK($AD772)),"",IFERROR(IF($AD772&lt;=DATE('ESTADO CONTABLE'!$B$2,10,5),VLOOKUP($B772,COSTOS!$A$2:$B1014,2,FALSE)-150,VLOOKUP($B772,COSTOS!$A$2:$B1014,2,FALSE)),"No encontrado o error"))</f>
        <v/>
      </c>
      <c r="AF772" s="395"/>
      <c r="AG772" s="394"/>
      <c r="AH772" s="429" t="str">
        <f>IF(OR(ISBLANK($B772),ISBLANK($AG772)),"",IFERROR(IF($AG772&lt;=DATE('ESTADO CONTABLE'!$B$2,11,5),VLOOKUP($B772,COSTOS!$A$2:$B1014,2,FALSE)-150,VLOOKUP($B772,COSTOS!$A$2:$B1014,2,FALSE)),"No encontrado o error"))</f>
        <v/>
      </c>
      <c r="AI772" s="395"/>
      <c r="AJ772" s="394"/>
      <c r="AK772" s="429" t="str">
        <f>IF(OR(ISBLANK($B772),ISBLANK($AJ772)),"",IFERROR(IF($AJ772&lt;=DATE('ESTADO CONTABLE'!$B$2,12,5),VLOOKUP($B772,COSTOS!$A$2:$B1014,2,FALSE)-150,VLOOKUP($B772,COSTOS!$A$2:$B1014,2,FALSE)),"No encontrado o error"))</f>
        <v/>
      </c>
      <c r="AL772" s="395"/>
      <c r="AM772" s="254"/>
      <c r="AN772" s="255"/>
      <c r="AO772" s="256"/>
    </row>
    <row r="773" ht="22.5" customHeight="1">
      <c r="A773" s="431" t="str">
        <f>'BASE DE DATOSS'!A847</f>
        <v/>
      </c>
      <c r="B773" s="432" t="str">
        <f>'BASE DE DATOSS'!C847</f>
        <v/>
      </c>
      <c r="C773" s="263"/>
      <c r="D773" s="249"/>
      <c r="E773" s="250"/>
      <c r="F773" s="251"/>
      <c r="G773" s="262"/>
      <c r="H773" s="257"/>
      <c r="I773" s="249"/>
      <c r="J773" s="193" t="str">
        <f>IF(OR(ISBLANK($B773),ISBLANK($I773)),"",IFERROR(IF($I773&lt;=DATE('ESTADO CONTABLE'!$B$2,3,5),VLOOKUP($B773,COSTOS!$A$2:$B1014,2,FALSE)-150,VLOOKUP($B773,COSTOS!$A$2:$B1014,2,FALSE)),"No encontrado o error"))</f>
        <v/>
      </c>
      <c r="K773" s="264"/>
      <c r="L773" s="249"/>
      <c r="M773" s="189"/>
      <c r="N773" s="264"/>
      <c r="O773" s="249"/>
      <c r="P773" s="250"/>
      <c r="Q773" s="264"/>
      <c r="R773" s="249"/>
      <c r="S773" s="250"/>
      <c r="T773" s="264"/>
      <c r="U773" s="249"/>
      <c r="V773" s="250"/>
      <c r="W773" s="264"/>
      <c r="X773" s="394"/>
      <c r="Y773" s="429"/>
      <c r="Z773" s="395"/>
      <c r="AA773" s="394"/>
      <c r="AB773" s="118" t="str">
        <f>IF(OR(ISBLANK($B773),ISBLANK($AA773)),"",IFERROR(IF($AA773&lt;=DATE('ESTADO CONTABLE'!$B$2,9,5),VLOOKUP($B773,COSTOS!$A$2:$B1014,2,FALSE)-150,VLOOKUP($B773,COSTOS!$A$2:$B1014,2,FALSE)),"No encontrado o error"))</f>
        <v/>
      </c>
      <c r="AC773" s="395"/>
      <c r="AD773" s="394"/>
      <c r="AE773" s="429" t="str">
        <f>IF(OR(ISBLANK($B773),ISBLANK($AD773)),"",IFERROR(IF($AD773&lt;=DATE('ESTADO CONTABLE'!$B$2,10,5),VLOOKUP($B773,COSTOS!$A$2:$B1014,2,FALSE)-150,VLOOKUP($B773,COSTOS!$A$2:$B1014,2,FALSE)),"No encontrado o error"))</f>
        <v/>
      </c>
      <c r="AF773" s="395"/>
      <c r="AG773" s="394"/>
      <c r="AH773" s="429" t="str">
        <f>IF(OR(ISBLANK($B773),ISBLANK($AG773)),"",IFERROR(IF($AG773&lt;=DATE('ESTADO CONTABLE'!$B$2,11,5),VLOOKUP($B773,COSTOS!$A$2:$B1014,2,FALSE)-150,VLOOKUP($B773,COSTOS!$A$2:$B1014,2,FALSE)),"No encontrado o error"))</f>
        <v/>
      </c>
      <c r="AI773" s="395"/>
      <c r="AJ773" s="394"/>
      <c r="AK773" s="429" t="str">
        <f>IF(OR(ISBLANK($B773),ISBLANK($AJ773)),"",IFERROR(IF($AJ773&lt;=DATE('ESTADO CONTABLE'!$B$2,12,5),VLOOKUP($B773,COSTOS!$A$2:$B1014,2,FALSE)-150,VLOOKUP($B773,COSTOS!$A$2:$B1014,2,FALSE)),"No encontrado o error"))</f>
        <v/>
      </c>
      <c r="AL773" s="395"/>
      <c r="AM773" s="254"/>
      <c r="AN773" s="255"/>
      <c r="AO773" s="256"/>
    </row>
    <row r="774" ht="22.5" customHeight="1">
      <c r="A774" s="431" t="str">
        <f>'BASE DE DATOSS'!A848</f>
        <v/>
      </c>
      <c r="B774" s="432" t="str">
        <f>'BASE DE DATOSS'!C848</f>
        <v/>
      </c>
      <c r="C774" s="263"/>
      <c r="D774" s="249"/>
      <c r="E774" s="250"/>
      <c r="F774" s="251"/>
      <c r="G774" s="262"/>
      <c r="H774" s="257"/>
      <c r="I774" s="249"/>
      <c r="J774" s="193" t="str">
        <f>IF(OR(ISBLANK($B774),ISBLANK($I774)),"",IFERROR(IF($I774&lt;=DATE('ESTADO CONTABLE'!$B$2,3,5),VLOOKUP($B774,COSTOS!$A$2:$B1014,2,FALSE)-150,VLOOKUP($B774,COSTOS!$A$2:$B1014,2,FALSE)),"No encontrado o error"))</f>
        <v/>
      </c>
      <c r="K774" s="264"/>
      <c r="L774" s="249"/>
      <c r="M774" s="189"/>
      <c r="N774" s="264"/>
      <c r="O774" s="249"/>
      <c r="P774" s="250"/>
      <c r="Q774" s="264"/>
      <c r="R774" s="249"/>
      <c r="S774" s="250"/>
      <c r="T774" s="264"/>
      <c r="U774" s="249"/>
      <c r="V774" s="250"/>
      <c r="W774" s="264"/>
      <c r="X774" s="394"/>
      <c r="Y774" s="429"/>
      <c r="Z774" s="395"/>
      <c r="AA774" s="394"/>
      <c r="AB774" s="118" t="str">
        <f>IF(OR(ISBLANK($B774),ISBLANK($AA774)),"",IFERROR(IF($AA774&lt;=DATE('ESTADO CONTABLE'!$B$2,9,5),VLOOKUP($B774,COSTOS!$A$2:$B1014,2,FALSE)-150,VLOOKUP($B774,COSTOS!$A$2:$B1014,2,FALSE)),"No encontrado o error"))</f>
        <v/>
      </c>
      <c r="AC774" s="395"/>
      <c r="AD774" s="394"/>
      <c r="AE774" s="429" t="str">
        <f>IF(OR(ISBLANK($B774),ISBLANK($AD774)),"",IFERROR(IF($AD774&lt;=DATE('ESTADO CONTABLE'!$B$2,10,5),VLOOKUP($B774,COSTOS!$A$2:$B1014,2,FALSE)-150,VLOOKUP($B774,COSTOS!$A$2:$B1014,2,FALSE)),"No encontrado o error"))</f>
        <v/>
      </c>
      <c r="AF774" s="395"/>
      <c r="AG774" s="394"/>
      <c r="AH774" s="429" t="str">
        <f>IF(OR(ISBLANK($B774),ISBLANK($AG774)),"",IFERROR(IF($AG774&lt;=DATE('ESTADO CONTABLE'!$B$2,11,5),VLOOKUP($B774,COSTOS!$A$2:$B1014,2,FALSE)-150,VLOOKUP($B774,COSTOS!$A$2:$B1014,2,FALSE)),"No encontrado o error"))</f>
        <v/>
      </c>
      <c r="AI774" s="395"/>
      <c r="AJ774" s="394"/>
      <c r="AK774" s="429" t="str">
        <f>IF(OR(ISBLANK($B774),ISBLANK($AJ774)),"",IFERROR(IF($AJ774&lt;=DATE('ESTADO CONTABLE'!$B$2,12,5),VLOOKUP($B774,COSTOS!$A$2:$B1014,2,FALSE)-150,VLOOKUP($B774,COSTOS!$A$2:$B1014,2,FALSE)),"No encontrado o error"))</f>
        <v/>
      </c>
      <c r="AL774" s="395"/>
      <c r="AM774" s="254"/>
      <c r="AN774" s="255"/>
      <c r="AO774" s="256"/>
    </row>
    <row r="775" ht="22.5" customHeight="1">
      <c r="A775" s="431" t="str">
        <f>'BASE DE DATOSS'!A849</f>
        <v/>
      </c>
      <c r="B775" s="432" t="str">
        <f>'BASE DE DATOSS'!C849</f>
        <v/>
      </c>
      <c r="C775" s="263"/>
      <c r="D775" s="249"/>
      <c r="E775" s="250"/>
      <c r="F775" s="251"/>
      <c r="G775" s="262"/>
      <c r="H775" s="257"/>
      <c r="I775" s="249"/>
      <c r="J775" s="193" t="str">
        <f>IF(OR(ISBLANK($B775),ISBLANK($I775)),"",IFERROR(IF($I775&lt;=DATE('ESTADO CONTABLE'!$B$2,3,5),VLOOKUP($B775,COSTOS!$A$2:$B1014,2,FALSE)-150,VLOOKUP($B775,COSTOS!$A$2:$B1014,2,FALSE)),"No encontrado o error"))</f>
        <v/>
      </c>
      <c r="K775" s="264"/>
      <c r="L775" s="249"/>
      <c r="M775" s="189"/>
      <c r="N775" s="264"/>
      <c r="O775" s="249"/>
      <c r="P775" s="250"/>
      <c r="Q775" s="264"/>
      <c r="R775" s="249"/>
      <c r="S775" s="250"/>
      <c r="T775" s="264"/>
      <c r="U775" s="249"/>
      <c r="V775" s="250"/>
      <c r="W775" s="264"/>
      <c r="X775" s="394"/>
      <c r="Y775" s="429"/>
      <c r="Z775" s="395"/>
      <c r="AA775" s="394"/>
      <c r="AB775" s="118" t="str">
        <f>IF(OR(ISBLANK($B775),ISBLANK($AA775)),"",IFERROR(IF($AA775&lt;=DATE('ESTADO CONTABLE'!$B$2,9,5),VLOOKUP($B775,COSTOS!$A$2:$B1014,2,FALSE)-150,VLOOKUP($B775,COSTOS!$A$2:$B1014,2,FALSE)),"No encontrado o error"))</f>
        <v/>
      </c>
      <c r="AC775" s="395"/>
      <c r="AD775" s="394"/>
      <c r="AE775" s="429" t="str">
        <f>IF(OR(ISBLANK($B775),ISBLANK($AD775)),"",IFERROR(IF($AD775&lt;=DATE('ESTADO CONTABLE'!$B$2,10,5),VLOOKUP($B775,COSTOS!$A$2:$B1014,2,FALSE)-150,VLOOKUP($B775,COSTOS!$A$2:$B1014,2,FALSE)),"No encontrado o error"))</f>
        <v/>
      </c>
      <c r="AF775" s="395"/>
      <c r="AG775" s="394"/>
      <c r="AH775" s="429" t="str">
        <f>IF(OR(ISBLANK($B775),ISBLANK($AG775)),"",IFERROR(IF($AG775&lt;=DATE('ESTADO CONTABLE'!$B$2,11,5),VLOOKUP($B775,COSTOS!$A$2:$B1014,2,FALSE)-150,VLOOKUP($B775,COSTOS!$A$2:$B1014,2,FALSE)),"No encontrado o error"))</f>
        <v/>
      </c>
      <c r="AI775" s="395"/>
      <c r="AJ775" s="394"/>
      <c r="AK775" s="429" t="str">
        <f>IF(OR(ISBLANK($B775),ISBLANK($AJ775)),"",IFERROR(IF($AJ775&lt;=DATE('ESTADO CONTABLE'!$B$2,12,5),VLOOKUP($B775,COSTOS!$A$2:$B1014,2,FALSE)-150,VLOOKUP($B775,COSTOS!$A$2:$B1014,2,FALSE)),"No encontrado o error"))</f>
        <v/>
      </c>
      <c r="AL775" s="395"/>
      <c r="AM775" s="254"/>
      <c r="AN775" s="255"/>
      <c r="AO775" s="256"/>
    </row>
    <row r="776" ht="22.5" customHeight="1">
      <c r="A776" s="431" t="str">
        <f>'BASE DE DATOSS'!A850</f>
        <v/>
      </c>
      <c r="B776" s="432" t="str">
        <f>'BASE DE DATOSS'!C850</f>
        <v/>
      </c>
      <c r="C776" s="263"/>
      <c r="D776" s="249"/>
      <c r="E776" s="250"/>
      <c r="F776" s="251"/>
      <c r="G776" s="262"/>
      <c r="H776" s="257"/>
      <c r="I776" s="249"/>
      <c r="J776" s="193" t="str">
        <f>IF(OR(ISBLANK($B776),ISBLANK($I776)),"",IFERROR(IF($I776&lt;=DATE('ESTADO CONTABLE'!$B$2,3,5),VLOOKUP($B776,COSTOS!$A$2:$B1014,2,FALSE)-150,VLOOKUP($B776,COSTOS!$A$2:$B1014,2,FALSE)),"No encontrado o error"))</f>
        <v/>
      </c>
      <c r="K776" s="264"/>
      <c r="L776" s="249"/>
      <c r="M776" s="189"/>
      <c r="N776" s="264"/>
      <c r="O776" s="249"/>
      <c r="P776" s="250"/>
      <c r="Q776" s="264"/>
      <c r="R776" s="249"/>
      <c r="S776" s="250"/>
      <c r="T776" s="264"/>
      <c r="U776" s="249"/>
      <c r="V776" s="250"/>
      <c r="W776" s="264"/>
      <c r="X776" s="394"/>
      <c r="Y776" s="429"/>
      <c r="Z776" s="395"/>
      <c r="AA776" s="394"/>
      <c r="AB776" s="118" t="str">
        <f>IF(OR(ISBLANK($B776),ISBLANK($AA776)),"",IFERROR(IF($AA776&lt;=DATE('ESTADO CONTABLE'!$B$2,9,5),VLOOKUP($B776,COSTOS!$A$2:$B1014,2,FALSE)-150,VLOOKUP($B776,COSTOS!$A$2:$B1014,2,FALSE)),"No encontrado o error"))</f>
        <v/>
      </c>
      <c r="AC776" s="395"/>
      <c r="AD776" s="394"/>
      <c r="AE776" s="429" t="str">
        <f>IF(OR(ISBLANK($B776),ISBLANK($AD776)),"",IFERROR(IF($AD776&lt;=DATE('ESTADO CONTABLE'!$B$2,10,5),VLOOKUP($B776,COSTOS!$A$2:$B1014,2,FALSE)-150,VLOOKUP($B776,COSTOS!$A$2:$B1014,2,FALSE)),"No encontrado o error"))</f>
        <v/>
      </c>
      <c r="AF776" s="395"/>
      <c r="AG776" s="394"/>
      <c r="AH776" s="429" t="str">
        <f>IF(OR(ISBLANK($B776),ISBLANK($AG776)),"",IFERROR(IF($AG776&lt;=DATE('ESTADO CONTABLE'!$B$2,11,5),VLOOKUP($B776,COSTOS!$A$2:$B1014,2,FALSE)-150,VLOOKUP($B776,COSTOS!$A$2:$B1014,2,FALSE)),"No encontrado o error"))</f>
        <v/>
      </c>
      <c r="AI776" s="395"/>
      <c r="AJ776" s="394"/>
      <c r="AK776" s="429" t="str">
        <f>IF(OR(ISBLANK($B776),ISBLANK($AJ776)),"",IFERROR(IF($AJ776&lt;=DATE('ESTADO CONTABLE'!$B$2,12,5),VLOOKUP($B776,COSTOS!$A$2:$B1014,2,FALSE)-150,VLOOKUP($B776,COSTOS!$A$2:$B1014,2,FALSE)),"No encontrado o error"))</f>
        <v/>
      </c>
      <c r="AL776" s="395"/>
      <c r="AM776" s="254"/>
      <c r="AN776" s="255"/>
      <c r="AO776" s="256"/>
    </row>
    <row r="777" ht="22.5" customHeight="1">
      <c r="A777" s="431" t="str">
        <f>'BASE DE DATOSS'!A851</f>
        <v/>
      </c>
      <c r="B777" s="432" t="str">
        <f>'BASE DE DATOSS'!C851</f>
        <v/>
      </c>
      <c r="C777" s="263"/>
      <c r="D777" s="249"/>
      <c r="E777" s="250"/>
      <c r="F777" s="251"/>
      <c r="G777" s="262"/>
      <c r="H777" s="257"/>
      <c r="I777" s="249"/>
      <c r="J777" s="193" t="str">
        <f>IF(OR(ISBLANK($B777),ISBLANK($I777)),"",IFERROR(IF($I777&lt;=DATE('ESTADO CONTABLE'!$B$2,3,5),VLOOKUP($B777,COSTOS!$A$2:$B1014,2,FALSE)-150,VLOOKUP($B777,COSTOS!$A$2:$B1014,2,FALSE)),"No encontrado o error"))</f>
        <v/>
      </c>
      <c r="K777" s="264"/>
      <c r="L777" s="249"/>
      <c r="M777" s="189"/>
      <c r="N777" s="264"/>
      <c r="O777" s="249"/>
      <c r="P777" s="250"/>
      <c r="Q777" s="264"/>
      <c r="R777" s="249"/>
      <c r="S777" s="250"/>
      <c r="T777" s="264"/>
      <c r="U777" s="249"/>
      <c r="V777" s="250"/>
      <c r="W777" s="264"/>
      <c r="X777" s="394"/>
      <c r="Y777" s="429"/>
      <c r="Z777" s="395"/>
      <c r="AA777" s="394"/>
      <c r="AB777" s="118" t="str">
        <f>IF(OR(ISBLANK($B777),ISBLANK($AA777)),"",IFERROR(IF($AA777&lt;=DATE('ESTADO CONTABLE'!$B$2,9,5),VLOOKUP($B777,COSTOS!$A$2:$B1014,2,FALSE)-150,VLOOKUP($B777,COSTOS!$A$2:$B1014,2,FALSE)),"No encontrado o error"))</f>
        <v/>
      </c>
      <c r="AC777" s="395"/>
      <c r="AD777" s="394"/>
      <c r="AE777" s="429" t="str">
        <f>IF(OR(ISBLANK($B777),ISBLANK($AD777)),"",IFERROR(IF($AD777&lt;=DATE('ESTADO CONTABLE'!$B$2,10,5),VLOOKUP($B777,COSTOS!$A$2:$B1014,2,FALSE)-150,VLOOKUP($B777,COSTOS!$A$2:$B1014,2,FALSE)),"No encontrado o error"))</f>
        <v/>
      </c>
      <c r="AF777" s="395"/>
      <c r="AG777" s="394"/>
      <c r="AH777" s="429" t="str">
        <f>IF(OR(ISBLANK($B777),ISBLANK($AG777)),"",IFERROR(IF($AG777&lt;=DATE('ESTADO CONTABLE'!$B$2,11,5),VLOOKUP($B777,COSTOS!$A$2:$B1014,2,FALSE)-150,VLOOKUP($B777,COSTOS!$A$2:$B1014,2,FALSE)),"No encontrado o error"))</f>
        <v/>
      </c>
      <c r="AI777" s="395"/>
      <c r="AJ777" s="394"/>
      <c r="AK777" s="429" t="str">
        <f>IF(OR(ISBLANK($B777),ISBLANK($AJ777)),"",IFERROR(IF($AJ777&lt;=DATE('ESTADO CONTABLE'!$B$2,12,5),VLOOKUP($B777,COSTOS!$A$2:$B1014,2,FALSE)-150,VLOOKUP($B777,COSTOS!$A$2:$B1014,2,FALSE)),"No encontrado o error"))</f>
        <v/>
      </c>
      <c r="AL777" s="395"/>
      <c r="AM777" s="254"/>
      <c r="AN777" s="255"/>
      <c r="AO777" s="256"/>
    </row>
    <row r="778" ht="22.5" customHeight="1">
      <c r="A778" s="431" t="str">
        <f>'BASE DE DATOSS'!A852</f>
        <v/>
      </c>
      <c r="B778" s="432" t="str">
        <f>'BASE DE DATOSS'!C852</f>
        <v/>
      </c>
      <c r="C778" s="263"/>
      <c r="D778" s="249"/>
      <c r="E778" s="250"/>
      <c r="F778" s="251"/>
      <c r="G778" s="262"/>
      <c r="H778" s="257"/>
      <c r="I778" s="249"/>
      <c r="J778" s="193" t="str">
        <f>IF(OR(ISBLANK($B778),ISBLANK($I778)),"",IFERROR(IF($I778&lt;=DATE('ESTADO CONTABLE'!$B$2,3,5),VLOOKUP($B778,COSTOS!$A$2:$B1014,2,FALSE)-150,VLOOKUP($B778,COSTOS!$A$2:$B1014,2,FALSE)),"No encontrado o error"))</f>
        <v/>
      </c>
      <c r="K778" s="264"/>
      <c r="L778" s="249"/>
      <c r="M778" s="189"/>
      <c r="N778" s="264"/>
      <c r="O778" s="249"/>
      <c r="P778" s="250"/>
      <c r="Q778" s="264"/>
      <c r="R778" s="249"/>
      <c r="S778" s="250"/>
      <c r="T778" s="264"/>
      <c r="U778" s="249"/>
      <c r="V778" s="250"/>
      <c r="W778" s="264"/>
      <c r="X778" s="394"/>
      <c r="Y778" s="429"/>
      <c r="Z778" s="395"/>
      <c r="AA778" s="394"/>
      <c r="AB778" s="118" t="str">
        <f>IF(OR(ISBLANK($B778),ISBLANK($AA778)),"",IFERROR(IF($AA778&lt;=DATE('ESTADO CONTABLE'!$B$2,9,5),VLOOKUP($B778,COSTOS!$A$2:$B1014,2,FALSE)-150,VLOOKUP($B778,COSTOS!$A$2:$B1014,2,FALSE)),"No encontrado o error"))</f>
        <v/>
      </c>
      <c r="AC778" s="395"/>
      <c r="AD778" s="394"/>
      <c r="AE778" s="429" t="str">
        <f>IF(OR(ISBLANK($B778),ISBLANK($AD778)),"",IFERROR(IF($AD778&lt;=DATE('ESTADO CONTABLE'!$B$2,10,5),VLOOKUP($B778,COSTOS!$A$2:$B1014,2,FALSE)-150,VLOOKUP($B778,COSTOS!$A$2:$B1014,2,FALSE)),"No encontrado o error"))</f>
        <v/>
      </c>
      <c r="AF778" s="395"/>
      <c r="AG778" s="394"/>
      <c r="AH778" s="429" t="str">
        <f>IF(OR(ISBLANK($B778),ISBLANK($AG778)),"",IFERROR(IF($AG778&lt;=DATE('ESTADO CONTABLE'!$B$2,11,5),VLOOKUP($B778,COSTOS!$A$2:$B1014,2,FALSE)-150,VLOOKUP($B778,COSTOS!$A$2:$B1014,2,FALSE)),"No encontrado o error"))</f>
        <v/>
      </c>
      <c r="AI778" s="395"/>
      <c r="AJ778" s="394"/>
      <c r="AK778" s="429" t="str">
        <f>IF(OR(ISBLANK($B778),ISBLANK($AJ778)),"",IFERROR(IF($AJ778&lt;=DATE('ESTADO CONTABLE'!$B$2,12,5),VLOOKUP($B778,COSTOS!$A$2:$B1014,2,FALSE)-150,VLOOKUP($B778,COSTOS!$A$2:$B1014,2,FALSE)),"No encontrado o error"))</f>
        <v/>
      </c>
      <c r="AL778" s="395"/>
      <c r="AM778" s="254"/>
      <c r="AN778" s="255"/>
      <c r="AO778" s="256"/>
    </row>
    <row r="779" ht="22.5" customHeight="1">
      <c r="A779" s="431" t="str">
        <f>'BASE DE DATOSS'!A853</f>
        <v/>
      </c>
      <c r="B779" s="432" t="str">
        <f>'BASE DE DATOSS'!C853</f>
        <v/>
      </c>
      <c r="C779" s="263"/>
      <c r="D779" s="249"/>
      <c r="E779" s="250"/>
      <c r="F779" s="251"/>
      <c r="G779" s="262"/>
      <c r="H779" s="257"/>
      <c r="I779" s="249"/>
      <c r="J779" s="193" t="str">
        <f>IF(OR(ISBLANK($B779),ISBLANK($I779)),"",IFERROR(IF($I779&lt;=DATE('ESTADO CONTABLE'!$B$2,3,5),VLOOKUP($B779,COSTOS!$A$2:$B1014,2,FALSE)-150,VLOOKUP($B779,COSTOS!$A$2:$B1014,2,FALSE)),"No encontrado o error"))</f>
        <v/>
      </c>
      <c r="K779" s="264"/>
      <c r="L779" s="249"/>
      <c r="M779" s="189"/>
      <c r="N779" s="264"/>
      <c r="O779" s="249"/>
      <c r="P779" s="250"/>
      <c r="Q779" s="264"/>
      <c r="R779" s="249"/>
      <c r="S779" s="250"/>
      <c r="T779" s="264"/>
      <c r="U779" s="249"/>
      <c r="V779" s="250"/>
      <c r="W779" s="264"/>
      <c r="X779" s="394"/>
      <c r="Y779" s="429"/>
      <c r="Z779" s="395"/>
      <c r="AA779" s="394"/>
      <c r="AB779" s="118" t="str">
        <f>IF(OR(ISBLANK($B779),ISBLANK($AA779)),"",IFERROR(IF($AA779&lt;=DATE('ESTADO CONTABLE'!$B$2,9,5),VLOOKUP($B779,COSTOS!$A$2:$B1014,2,FALSE)-150,VLOOKUP($B779,COSTOS!$A$2:$B1014,2,FALSE)),"No encontrado o error"))</f>
        <v/>
      </c>
      <c r="AC779" s="395"/>
      <c r="AD779" s="394"/>
      <c r="AE779" s="429" t="str">
        <f>IF(OR(ISBLANK($B779),ISBLANK($AD779)),"",IFERROR(IF($AD779&lt;=DATE('ESTADO CONTABLE'!$B$2,10,5),VLOOKUP($B779,COSTOS!$A$2:$B1014,2,FALSE)-150,VLOOKUP($B779,COSTOS!$A$2:$B1014,2,FALSE)),"No encontrado o error"))</f>
        <v/>
      </c>
      <c r="AF779" s="395"/>
      <c r="AG779" s="394"/>
      <c r="AH779" s="429" t="str">
        <f>IF(OR(ISBLANK($B779),ISBLANK($AG779)),"",IFERROR(IF($AG779&lt;=DATE('ESTADO CONTABLE'!$B$2,11,5),VLOOKUP($B779,COSTOS!$A$2:$B1014,2,FALSE)-150,VLOOKUP($B779,COSTOS!$A$2:$B1014,2,FALSE)),"No encontrado o error"))</f>
        <v/>
      </c>
      <c r="AI779" s="395"/>
      <c r="AJ779" s="394"/>
      <c r="AK779" s="429" t="str">
        <f>IF(OR(ISBLANK($B779),ISBLANK($AJ779)),"",IFERROR(IF($AJ779&lt;=DATE('ESTADO CONTABLE'!$B$2,12,5),VLOOKUP($B779,COSTOS!$A$2:$B1014,2,FALSE)-150,VLOOKUP($B779,COSTOS!$A$2:$B1014,2,FALSE)),"No encontrado o error"))</f>
        <v/>
      </c>
      <c r="AL779" s="395"/>
      <c r="AM779" s="254"/>
      <c r="AN779" s="255"/>
      <c r="AO779" s="256"/>
    </row>
    <row r="780" ht="22.5" customHeight="1">
      <c r="A780" s="431" t="str">
        <f>'BASE DE DATOSS'!A854</f>
        <v/>
      </c>
      <c r="B780" s="432" t="str">
        <f>'BASE DE DATOSS'!C854</f>
        <v/>
      </c>
      <c r="C780" s="263"/>
      <c r="D780" s="249"/>
      <c r="E780" s="250"/>
      <c r="F780" s="251"/>
      <c r="G780" s="262"/>
      <c r="H780" s="257"/>
      <c r="I780" s="249"/>
      <c r="J780" s="193" t="str">
        <f>IF(OR(ISBLANK($B780),ISBLANK($I780)),"",IFERROR(IF($I780&lt;=DATE('ESTADO CONTABLE'!$B$2,3,5),VLOOKUP($B780,COSTOS!$A$2:$B1014,2,FALSE)-150,VLOOKUP($B780,COSTOS!$A$2:$B1014,2,FALSE)),"No encontrado o error"))</f>
        <v/>
      </c>
      <c r="K780" s="264"/>
      <c r="L780" s="249"/>
      <c r="M780" s="189"/>
      <c r="N780" s="264"/>
      <c r="O780" s="249"/>
      <c r="P780" s="250"/>
      <c r="Q780" s="264"/>
      <c r="R780" s="249"/>
      <c r="S780" s="250"/>
      <c r="T780" s="264"/>
      <c r="U780" s="249"/>
      <c r="V780" s="250"/>
      <c r="W780" s="264"/>
      <c r="X780" s="394"/>
      <c r="Y780" s="429"/>
      <c r="Z780" s="395"/>
      <c r="AA780" s="394"/>
      <c r="AB780" s="118" t="str">
        <f>IF(OR(ISBLANK($B780),ISBLANK($AA780)),"",IFERROR(IF($AA780&lt;=DATE('ESTADO CONTABLE'!$B$2,9,5),VLOOKUP($B780,COSTOS!$A$2:$B1014,2,FALSE)-150,VLOOKUP($B780,COSTOS!$A$2:$B1014,2,FALSE)),"No encontrado o error"))</f>
        <v/>
      </c>
      <c r="AC780" s="395"/>
      <c r="AD780" s="394"/>
      <c r="AE780" s="429" t="str">
        <f>IF(OR(ISBLANK($B780),ISBLANK($AD780)),"",IFERROR(IF($AD780&lt;=DATE('ESTADO CONTABLE'!$B$2,10,5),VLOOKUP($B780,COSTOS!$A$2:$B1014,2,FALSE)-150,VLOOKUP($B780,COSTOS!$A$2:$B1014,2,FALSE)),"No encontrado o error"))</f>
        <v/>
      </c>
      <c r="AF780" s="395"/>
      <c r="AG780" s="394"/>
      <c r="AH780" s="429" t="str">
        <f>IF(OR(ISBLANK($B780),ISBLANK($AG780)),"",IFERROR(IF($AG780&lt;=DATE('ESTADO CONTABLE'!$B$2,11,5),VLOOKUP($B780,COSTOS!$A$2:$B1014,2,FALSE)-150,VLOOKUP($B780,COSTOS!$A$2:$B1014,2,FALSE)),"No encontrado o error"))</f>
        <v/>
      </c>
      <c r="AI780" s="395"/>
      <c r="AJ780" s="394"/>
      <c r="AK780" s="429" t="str">
        <f>IF(OR(ISBLANK($B780),ISBLANK($AJ780)),"",IFERROR(IF($AJ780&lt;=DATE('ESTADO CONTABLE'!$B$2,12,5),VLOOKUP($B780,COSTOS!$A$2:$B1014,2,FALSE)-150,VLOOKUP($B780,COSTOS!$A$2:$B1014,2,FALSE)),"No encontrado o error"))</f>
        <v/>
      </c>
      <c r="AL780" s="395"/>
      <c r="AM780" s="254"/>
      <c r="AN780" s="255"/>
      <c r="AO780" s="256"/>
    </row>
    <row r="781" ht="22.5" customHeight="1">
      <c r="A781" s="431" t="str">
        <f>'BASE DE DATOSS'!A855</f>
        <v/>
      </c>
      <c r="B781" s="432" t="str">
        <f>'BASE DE DATOSS'!C855</f>
        <v/>
      </c>
      <c r="C781" s="263"/>
      <c r="D781" s="249"/>
      <c r="E781" s="250"/>
      <c r="F781" s="251"/>
      <c r="G781" s="262"/>
      <c r="H781" s="257"/>
      <c r="I781" s="249"/>
      <c r="J781" s="193" t="str">
        <f>IF(OR(ISBLANK($B781),ISBLANK($I781)),"",IFERROR(IF($I781&lt;=DATE('ESTADO CONTABLE'!$B$2,3,5),VLOOKUP($B781,COSTOS!$A$2:$B1014,2,FALSE)-150,VLOOKUP($B781,COSTOS!$A$2:$B1014,2,FALSE)),"No encontrado o error"))</f>
        <v/>
      </c>
      <c r="K781" s="264"/>
      <c r="L781" s="249"/>
      <c r="M781" s="189"/>
      <c r="N781" s="264"/>
      <c r="O781" s="249"/>
      <c r="P781" s="250"/>
      <c r="Q781" s="264"/>
      <c r="R781" s="249"/>
      <c r="S781" s="250"/>
      <c r="T781" s="264"/>
      <c r="U781" s="249"/>
      <c r="V781" s="250"/>
      <c r="W781" s="264"/>
      <c r="X781" s="394"/>
      <c r="Y781" s="429"/>
      <c r="Z781" s="395"/>
      <c r="AA781" s="394"/>
      <c r="AB781" s="118" t="str">
        <f>IF(OR(ISBLANK($B781),ISBLANK($AA781)),"",IFERROR(IF($AA781&lt;=DATE('ESTADO CONTABLE'!$B$2,9,5),VLOOKUP($B781,COSTOS!$A$2:$B1014,2,FALSE)-150,VLOOKUP($B781,COSTOS!$A$2:$B1014,2,FALSE)),"No encontrado o error"))</f>
        <v/>
      </c>
      <c r="AC781" s="395"/>
      <c r="AD781" s="394"/>
      <c r="AE781" s="429" t="str">
        <f>IF(OR(ISBLANK($B781),ISBLANK($AD781)),"",IFERROR(IF($AD781&lt;=DATE('ESTADO CONTABLE'!$B$2,10,5),VLOOKUP($B781,COSTOS!$A$2:$B1014,2,FALSE)-150,VLOOKUP($B781,COSTOS!$A$2:$B1014,2,FALSE)),"No encontrado o error"))</f>
        <v/>
      </c>
      <c r="AF781" s="395"/>
      <c r="AG781" s="394"/>
      <c r="AH781" s="429" t="str">
        <f>IF(OR(ISBLANK($B781),ISBLANK($AG781)),"",IFERROR(IF($AG781&lt;=DATE('ESTADO CONTABLE'!$B$2,11,5),VLOOKUP($B781,COSTOS!$A$2:$B1014,2,FALSE)-150,VLOOKUP($B781,COSTOS!$A$2:$B1014,2,FALSE)),"No encontrado o error"))</f>
        <v/>
      </c>
      <c r="AI781" s="395"/>
      <c r="AJ781" s="394"/>
      <c r="AK781" s="429" t="str">
        <f>IF(OR(ISBLANK($B781),ISBLANK($AJ781)),"",IFERROR(IF($AJ781&lt;=DATE('ESTADO CONTABLE'!$B$2,12,5),VLOOKUP($B781,COSTOS!$A$2:$B1014,2,FALSE)-150,VLOOKUP($B781,COSTOS!$A$2:$B1014,2,FALSE)),"No encontrado o error"))</f>
        <v/>
      </c>
      <c r="AL781" s="395"/>
      <c r="AM781" s="254"/>
      <c r="AN781" s="255"/>
      <c r="AO781" s="256"/>
    </row>
    <row r="782" ht="22.5" customHeight="1">
      <c r="A782" s="431" t="str">
        <f>'BASE DE DATOSS'!A856</f>
        <v/>
      </c>
      <c r="B782" s="432" t="str">
        <f>'BASE DE DATOSS'!C856</f>
        <v/>
      </c>
      <c r="C782" s="263"/>
      <c r="D782" s="249"/>
      <c r="E782" s="250"/>
      <c r="F782" s="251"/>
      <c r="G782" s="262"/>
      <c r="H782" s="257"/>
      <c r="I782" s="249"/>
      <c r="J782" s="193" t="str">
        <f>IF(OR(ISBLANK($B782),ISBLANK($I782)),"",IFERROR(IF($I782&lt;=DATE('ESTADO CONTABLE'!$B$2,3,5),VLOOKUP($B782,COSTOS!$A$2:$B1014,2,FALSE)-150,VLOOKUP($B782,COSTOS!$A$2:$B1014,2,FALSE)),"No encontrado o error"))</f>
        <v/>
      </c>
      <c r="K782" s="264"/>
      <c r="L782" s="249"/>
      <c r="M782" s="189"/>
      <c r="N782" s="264"/>
      <c r="O782" s="249"/>
      <c r="P782" s="250"/>
      <c r="Q782" s="264"/>
      <c r="R782" s="249"/>
      <c r="S782" s="250"/>
      <c r="T782" s="264"/>
      <c r="U782" s="249"/>
      <c r="V782" s="250"/>
      <c r="W782" s="264"/>
      <c r="X782" s="394"/>
      <c r="Y782" s="429"/>
      <c r="Z782" s="395"/>
      <c r="AA782" s="394"/>
      <c r="AB782" s="118" t="str">
        <f>IF(OR(ISBLANK($B782),ISBLANK($AA782)),"",IFERROR(IF($AA782&lt;=DATE('ESTADO CONTABLE'!$B$2,9,5),VLOOKUP($B782,COSTOS!$A$2:$B1014,2,FALSE)-150,VLOOKUP($B782,COSTOS!$A$2:$B1014,2,FALSE)),"No encontrado o error"))</f>
        <v/>
      </c>
      <c r="AC782" s="395"/>
      <c r="AD782" s="394"/>
      <c r="AE782" s="429" t="str">
        <f>IF(OR(ISBLANK($B782),ISBLANK($AD782)),"",IFERROR(IF($AD782&lt;=DATE('ESTADO CONTABLE'!$B$2,10,5),VLOOKUP($B782,COSTOS!$A$2:$B1014,2,FALSE)-150,VLOOKUP($B782,COSTOS!$A$2:$B1014,2,FALSE)),"No encontrado o error"))</f>
        <v/>
      </c>
      <c r="AF782" s="395"/>
      <c r="AG782" s="394"/>
      <c r="AH782" s="429" t="str">
        <f>IF(OR(ISBLANK($B782),ISBLANK($AG782)),"",IFERROR(IF($AG782&lt;=DATE('ESTADO CONTABLE'!$B$2,11,5),VLOOKUP($B782,COSTOS!$A$2:$B1014,2,FALSE)-150,VLOOKUP($B782,COSTOS!$A$2:$B1014,2,FALSE)),"No encontrado o error"))</f>
        <v/>
      </c>
      <c r="AI782" s="395"/>
      <c r="AJ782" s="394"/>
      <c r="AK782" s="429" t="str">
        <f>IF(OR(ISBLANK($B782),ISBLANK($AJ782)),"",IFERROR(IF($AJ782&lt;=DATE('ESTADO CONTABLE'!$B$2,12,5),VLOOKUP($B782,COSTOS!$A$2:$B1014,2,FALSE)-150,VLOOKUP($B782,COSTOS!$A$2:$B1014,2,FALSE)),"No encontrado o error"))</f>
        <v/>
      </c>
      <c r="AL782" s="395"/>
      <c r="AM782" s="254"/>
      <c r="AN782" s="255"/>
      <c r="AO782" s="256"/>
    </row>
    <row r="783" ht="22.5" customHeight="1">
      <c r="A783" s="431" t="str">
        <f>'BASE DE DATOSS'!A857</f>
        <v/>
      </c>
      <c r="B783" s="432" t="str">
        <f>'BASE DE DATOSS'!C857</f>
        <v/>
      </c>
      <c r="C783" s="263"/>
      <c r="D783" s="249"/>
      <c r="E783" s="250"/>
      <c r="F783" s="251"/>
      <c r="G783" s="262"/>
      <c r="H783" s="257"/>
      <c r="I783" s="249"/>
      <c r="J783" s="193" t="str">
        <f>IF(OR(ISBLANK($B783),ISBLANK($I783)),"",IFERROR(IF($I783&lt;=DATE('ESTADO CONTABLE'!$B$2,3,5),VLOOKUP($B783,COSTOS!$A$2:$B1014,2,FALSE)-150,VLOOKUP($B783,COSTOS!$A$2:$B1014,2,FALSE)),"No encontrado o error"))</f>
        <v/>
      </c>
      <c r="K783" s="264"/>
      <c r="L783" s="249"/>
      <c r="M783" s="189"/>
      <c r="N783" s="264"/>
      <c r="O783" s="249"/>
      <c r="P783" s="250"/>
      <c r="Q783" s="264"/>
      <c r="R783" s="249"/>
      <c r="S783" s="250"/>
      <c r="T783" s="264"/>
      <c r="U783" s="249"/>
      <c r="V783" s="250"/>
      <c r="W783" s="264"/>
      <c r="X783" s="394"/>
      <c r="Y783" s="429"/>
      <c r="Z783" s="395"/>
      <c r="AA783" s="394"/>
      <c r="AB783" s="118" t="str">
        <f>IF(OR(ISBLANK($B783),ISBLANK($AA783)),"",IFERROR(IF($AA783&lt;=DATE('ESTADO CONTABLE'!$B$2,9,5),VLOOKUP($B783,COSTOS!$A$2:$B1014,2,FALSE)-150,VLOOKUP($B783,COSTOS!$A$2:$B1014,2,FALSE)),"No encontrado o error"))</f>
        <v/>
      </c>
      <c r="AC783" s="395"/>
      <c r="AD783" s="394"/>
      <c r="AE783" s="429" t="str">
        <f>IF(OR(ISBLANK($B783),ISBLANK($AD783)),"",IFERROR(IF($AD783&lt;=DATE('ESTADO CONTABLE'!$B$2,10,5),VLOOKUP($B783,COSTOS!$A$2:$B1014,2,FALSE)-150,VLOOKUP($B783,COSTOS!$A$2:$B1014,2,FALSE)),"No encontrado o error"))</f>
        <v/>
      </c>
      <c r="AF783" s="395"/>
      <c r="AG783" s="394"/>
      <c r="AH783" s="429" t="str">
        <f>IF(OR(ISBLANK($B783),ISBLANK($AG783)),"",IFERROR(IF($AG783&lt;=DATE('ESTADO CONTABLE'!$B$2,11,5),VLOOKUP($B783,COSTOS!$A$2:$B1014,2,FALSE)-150,VLOOKUP($B783,COSTOS!$A$2:$B1014,2,FALSE)),"No encontrado o error"))</f>
        <v/>
      </c>
      <c r="AI783" s="395"/>
      <c r="AJ783" s="394"/>
      <c r="AK783" s="429" t="str">
        <f>IF(OR(ISBLANK($B783),ISBLANK($AJ783)),"",IFERROR(IF($AJ783&lt;=DATE('ESTADO CONTABLE'!$B$2,12,5),VLOOKUP($B783,COSTOS!$A$2:$B1014,2,FALSE)-150,VLOOKUP($B783,COSTOS!$A$2:$B1014,2,FALSE)),"No encontrado o error"))</f>
        <v/>
      </c>
      <c r="AL783" s="395"/>
      <c r="AM783" s="254"/>
      <c r="AN783" s="255"/>
      <c r="AO783" s="256"/>
    </row>
    <row r="784" ht="22.5" customHeight="1">
      <c r="A784" s="431" t="str">
        <f>'BASE DE DATOSS'!A858</f>
        <v/>
      </c>
      <c r="B784" s="432" t="str">
        <f>'BASE DE DATOSS'!C858</f>
        <v/>
      </c>
      <c r="C784" s="263"/>
      <c r="D784" s="249"/>
      <c r="E784" s="250"/>
      <c r="F784" s="251"/>
      <c r="G784" s="262"/>
      <c r="H784" s="257"/>
      <c r="I784" s="249"/>
      <c r="J784" s="193" t="str">
        <f>IF(OR(ISBLANK($B784),ISBLANK($I784)),"",IFERROR(IF($I784&lt;=DATE('ESTADO CONTABLE'!$B$2,3,5),VLOOKUP($B784,COSTOS!$A$2:$B1014,2,FALSE)-150,VLOOKUP($B784,COSTOS!$A$2:$B1014,2,FALSE)),"No encontrado o error"))</f>
        <v/>
      </c>
      <c r="K784" s="264"/>
      <c r="L784" s="249"/>
      <c r="M784" s="189"/>
      <c r="N784" s="264"/>
      <c r="O784" s="249"/>
      <c r="P784" s="250"/>
      <c r="Q784" s="264"/>
      <c r="R784" s="249"/>
      <c r="S784" s="250"/>
      <c r="T784" s="264"/>
      <c r="U784" s="249"/>
      <c r="V784" s="250"/>
      <c r="W784" s="264"/>
      <c r="X784" s="394"/>
      <c r="Y784" s="429"/>
      <c r="Z784" s="395"/>
      <c r="AA784" s="394"/>
      <c r="AB784" s="118" t="str">
        <f>IF(OR(ISBLANK($B784),ISBLANK($AA784)),"",IFERROR(IF($AA784&lt;=DATE('ESTADO CONTABLE'!$B$2,9,5),VLOOKUP($B784,COSTOS!$A$2:$B1014,2,FALSE)-150,VLOOKUP($B784,COSTOS!$A$2:$B1014,2,FALSE)),"No encontrado o error"))</f>
        <v/>
      </c>
      <c r="AC784" s="395"/>
      <c r="AD784" s="394"/>
      <c r="AE784" s="429" t="str">
        <f>IF(OR(ISBLANK($B784),ISBLANK($AD784)),"",IFERROR(IF($AD784&lt;=DATE('ESTADO CONTABLE'!$B$2,10,5),VLOOKUP($B784,COSTOS!$A$2:$B1014,2,FALSE)-150,VLOOKUP($B784,COSTOS!$A$2:$B1014,2,FALSE)),"No encontrado o error"))</f>
        <v/>
      </c>
      <c r="AF784" s="395"/>
      <c r="AG784" s="394"/>
      <c r="AH784" s="429" t="str">
        <f>IF(OR(ISBLANK($B784),ISBLANK($AG784)),"",IFERROR(IF($AG784&lt;=DATE('ESTADO CONTABLE'!$B$2,11,5),VLOOKUP($B784,COSTOS!$A$2:$B1014,2,FALSE)-150,VLOOKUP($B784,COSTOS!$A$2:$B1014,2,FALSE)),"No encontrado o error"))</f>
        <v/>
      </c>
      <c r="AI784" s="395"/>
      <c r="AJ784" s="394"/>
      <c r="AK784" s="429" t="str">
        <f>IF(OR(ISBLANK($B784),ISBLANK($AJ784)),"",IFERROR(IF($AJ784&lt;=DATE('ESTADO CONTABLE'!$B$2,12,5),VLOOKUP($B784,COSTOS!$A$2:$B1014,2,FALSE)-150,VLOOKUP($B784,COSTOS!$A$2:$B1014,2,FALSE)),"No encontrado o error"))</f>
        <v/>
      </c>
      <c r="AL784" s="395"/>
      <c r="AM784" s="254"/>
      <c r="AN784" s="255"/>
      <c r="AO784" s="256"/>
    </row>
    <row r="785" ht="22.5" customHeight="1">
      <c r="A785" s="431" t="str">
        <f>'BASE DE DATOSS'!A859</f>
        <v/>
      </c>
      <c r="B785" s="432" t="str">
        <f>'BASE DE DATOSS'!C859</f>
        <v/>
      </c>
      <c r="C785" s="263"/>
      <c r="D785" s="249"/>
      <c r="E785" s="250"/>
      <c r="F785" s="251"/>
      <c r="G785" s="262"/>
      <c r="H785" s="257"/>
      <c r="I785" s="249"/>
      <c r="J785" s="193" t="str">
        <f>IF(OR(ISBLANK($B785),ISBLANK($I785)),"",IFERROR(IF($I785&lt;=DATE('ESTADO CONTABLE'!$B$2,3,5),VLOOKUP($B785,COSTOS!$A$2:$B1014,2,FALSE)-150,VLOOKUP($B785,COSTOS!$A$2:$B1014,2,FALSE)),"No encontrado o error"))</f>
        <v/>
      </c>
      <c r="K785" s="264"/>
      <c r="L785" s="249"/>
      <c r="M785" s="189"/>
      <c r="N785" s="264"/>
      <c r="O785" s="249"/>
      <c r="P785" s="250"/>
      <c r="Q785" s="264"/>
      <c r="R785" s="249"/>
      <c r="S785" s="250"/>
      <c r="T785" s="264"/>
      <c r="U785" s="249"/>
      <c r="V785" s="250"/>
      <c r="W785" s="264"/>
      <c r="X785" s="394"/>
      <c r="Y785" s="429"/>
      <c r="Z785" s="395"/>
      <c r="AA785" s="394"/>
      <c r="AB785" s="118" t="str">
        <f>IF(OR(ISBLANK($B785),ISBLANK($AA785)),"",IFERROR(IF($AA785&lt;=DATE('ESTADO CONTABLE'!$B$2,9,5),VLOOKUP($B785,COSTOS!$A$2:$B1014,2,FALSE)-150,VLOOKUP($B785,COSTOS!$A$2:$B1014,2,FALSE)),"No encontrado o error"))</f>
        <v/>
      </c>
      <c r="AC785" s="395"/>
      <c r="AD785" s="394"/>
      <c r="AE785" s="429" t="str">
        <f>IF(OR(ISBLANK($B785),ISBLANK($AD785)),"",IFERROR(IF($AD785&lt;=DATE('ESTADO CONTABLE'!$B$2,10,5),VLOOKUP($B785,COSTOS!$A$2:$B1014,2,FALSE)-150,VLOOKUP($B785,COSTOS!$A$2:$B1014,2,FALSE)),"No encontrado o error"))</f>
        <v/>
      </c>
      <c r="AF785" s="395"/>
      <c r="AG785" s="394"/>
      <c r="AH785" s="429" t="str">
        <f>IF(OR(ISBLANK($B785),ISBLANK($AG785)),"",IFERROR(IF($AG785&lt;=DATE('ESTADO CONTABLE'!$B$2,11,5),VLOOKUP($B785,COSTOS!$A$2:$B1014,2,FALSE)-150,VLOOKUP($B785,COSTOS!$A$2:$B1014,2,FALSE)),"No encontrado o error"))</f>
        <v/>
      </c>
      <c r="AI785" s="395"/>
      <c r="AJ785" s="394"/>
      <c r="AK785" s="429" t="str">
        <f>IF(OR(ISBLANK($B785),ISBLANK($AJ785)),"",IFERROR(IF($AJ785&lt;=DATE('ESTADO CONTABLE'!$B$2,12,5),VLOOKUP($B785,COSTOS!$A$2:$B1014,2,FALSE)-150,VLOOKUP($B785,COSTOS!$A$2:$B1014,2,FALSE)),"No encontrado o error"))</f>
        <v/>
      </c>
      <c r="AL785" s="395"/>
      <c r="AM785" s="254"/>
      <c r="AN785" s="255"/>
      <c r="AO785" s="256"/>
    </row>
    <row r="786" ht="22.5" customHeight="1">
      <c r="A786" s="431" t="str">
        <f>'BASE DE DATOSS'!A860</f>
        <v/>
      </c>
      <c r="B786" s="432" t="str">
        <f>'BASE DE DATOSS'!C860</f>
        <v/>
      </c>
      <c r="C786" s="263"/>
      <c r="D786" s="249"/>
      <c r="E786" s="250"/>
      <c r="F786" s="251"/>
      <c r="G786" s="262"/>
      <c r="H786" s="257"/>
      <c r="I786" s="249"/>
      <c r="J786" s="193" t="str">
        <f>IF(OR(ISBLANK($B786),ISBLANK($I786)),"",IFERROR(IF($I786&lt;=DATE('ESTADO CONTABLE'!$B$2,3,5),VLOOKUP($B786,COSTOS!$A$2:$B1014,2,FALSE)-150,VLOOKUP($B786,COSTOS!$A$2:$B1014,2,FALSE)),"No encontrado o error"))</f>
        <v/>
      </c>
      <c r="K786" s="264"/>
      <c r="L786" s="249"/>
      <c r="M786" s="189"/>
      <c r="N786" s="264"/>
      <c r="O786" s="249"/>
      <c r="P786" s="250"/>
      <c r="Q786" s="264"/>
      <c r="R786" s="249"/>
      <c r="S786" s="250"/>
      <c r="T786" s="264"/>
      <c r="U786" s="249"/>
      <c r="V786" s="250"/>
      <c r="W786" s="264"/>
      <c r="X786" s="394"/>
      <c r="Y786" s="429"/>
      <c r="Z786" s="395"/>
      <c r="AA786" s="394"/>
      <c r="AB786" s="118" t="str">
        <f>IF(OR(ISBLANK($B786),ISBLANK($AA786)),"",IFERROR(IF($AA786&lt;=DATE('ESTADO CONTABLE'!$B$2,9,5),VLOOKUP($B786,COSTOS!$A$2:$B1014,2,FALSE)-150,VLOOKUP($B786,COSTOS!$A$2:$B1014,2,FALSE)),"No encontrado o error"))</f>
        <v/>
      </c>
      <c r="AC786" s="395"/>
      <c r="AD786" s="394"/>
      <c r="AE786" s="429" t="str">
        <f>IF(OR(ISBLANK($B786),ISBLANK($AD786)),"",IFERROR(IF($AD786&lt;=DATE('ESTADO CONTABLE'!$B$2,10,5),VLOOKUP($B786,COSTOS!$A$2:$B1014,2,FALSE)-150,VLOOKUP($B786,COSTOS!$A$2:$B1014,2,FALSE)),"No encontrado o error"))</f>
        <v/>
      </c>
      <c r="AF786" s="395"/>
      <c r="AG786" s="394"/>
      <c r="AH786" s="429" t="str">
        <f>IF(OR(ISBLANK($B786),ISBLANK($AG786)),"",IFERROR(IF($AG786&lt;=DATE('ESTADO CONTABLE'!$B$2,11,5),VLOOKUP($B786,COSTOS!$A$2:$B1014,2,FALSE)-150,VLOOKUP($B786,COSTOS!$A$2:$B1014,2,FALSE)),"No encontrado o error"))</f>
        <v/>
      </c>
      <c r="AI786" s="395"/>
      <c r="AJ786" s="394"/>
      <c r="AK786" s="429" t="str">
        <f>IF(OR(ISBLANK($B786),ISBLANK($AJ786)),"",IFERROR(IF($AJ786&lt;=DATE('ESTADO CONTABLE'!$B$2,12,5),VLOOKUP($B786,COSTOS!$A$2:$B1014,2,FALSE)-150,VLOOKUP($B786,COSTOS!$A$2:$B1014,2,FALSE)),"No encontrado o error"))</f>
        <v/>
      </c>
      <c r="AL786" s="395"/>
      <c r="AM786" s="254"/>
      <c r="AN786" s="255"/>
      <c r="AO786" s="256"/>
    </row>
    <row r="787" ht="22.5" customHeight="1">
      <c r="A787" s="431" t="str">
        <f>'BASE DE DATOSS'!A861</f>
        <v/>
      </c>
      <c r="B787" s="432" t="str">
        <f>'BASE DE DATOSS'!C861</f>
        <v/>
      </c>
      <c r="C787" s="263"/>
      <c r="D787" s="249"/>
      <c r="E787" s="250"/>
      <c r="F787" s="251"/>
      <c r="G787" s="262"/>
      <c r="H787" s="257"/>
      <c r="I787" s="249"/>
      <c r="J787" s="193" t="str">
        <f>IF(OR(ISBLANK($B787),ISBLANK($I787)),"",IFERROR(IF($I787&lt;=DATE('ESTADO CONTABLE'!$B$2,3,5),VLOOKUP($B787,COSTOS!$A$2:$B1014,2,FALSE)-150,VLOOKUP($B787,COSTOS!$A$2:$B1014,2,FALSE)),"No encontrado o error"))</f>
        <v/>
      </c>
      <c r="K787" s="264"/>
      <c r="L787" s="249"/>
      <c r="M787" s="189"/>
      <c r="N787" s="264"/>
      <c r="O787" s="249"/>
      <c r="P787" s="250"/>
      <c r="Q787" s="264"/>
      <c r="R787" s="249"/>
      <c r="S787" s="250"/>
      <c r="T787" s="264"/>
      <c r="U787" s="249"/>
      <c r="V787" s="250"/>
      <c r="W787" s="264"/>
      <c r="X787" s="394"/>
      <c r="Y787" s="429"/>
      <c r="Z787" s="395"/>
      <c r="AA787" s="394"/>
      <c r="AB787" s="118" t="str">
        <f>IF(OR(ISBLANK($B787),ISBLANK($AA787)),"",IFERROR(IF($AA787&lt;=DATE('ESTADO CONTABLE'!$B$2,9,5),VLOOKUP($B787,COSTOS!$A$2:$B1014,2,FALSE)-150,VLOOKUP($B787,COSTOS!$A$2:$B1014,2,FALSE)),"No encontrado o error"))</f>
        <v/>
      </c>
      <c r="AC787" s="395"/>
      <c r="AD787" s="394"/>
      <c r="AE787" s="429" t="str">
        <f>IF(OR(ISBLANK($B787),ISBLANK($AD787)),"",IFERROR(IF($AD787&lt;=DATE('ESTADO CONTABLE'!$B$2,10,5),VLOOKUP($B787,COSTOS!$A$2:$B1014,2,FALSE)-150,VLOOKUP($B787,COSTOS!$A$2:$B1014,2,FALSE)),"No encontrado o error"))</f>
        <v/>
      </c>
      <c r="AF787" s="395"/>
      <c r="AG787" s="394"/>
      <c r="AH787" s="429" t="str">
        <f>IF(OR(ISBLANK($B787),ISBLANK($AG787)),"",IFERROR(IF($AG787&lt;=DATE('ESTADO CONTABLE'!$B$2,11,5),VLOOKUP($B787,COSTOS!$A$2:$B1014,2,FALSE)-150,VLOOKUP($B787,COSTOS!$A$2:$B1014,2,FALSE)),"No encontrado o error"))</f>
        <v/>
      </c>
      <c r="AI787" s="395"/>
      <c r="AJ787" s="394"/>
      <c r="AK787" s="429" t="str">
        <f>IF(OR(ISBLANK($B787),ISBLANK($AJ787)),"",IFERROR(IF($AJ787&lt;=DATE('ESTADO CONTABLE'!$B$2,12,5),VLOOKUP($B787,COSTOS!$A$2:$B1014,2,FALSE)-150,VLOOKUP($B787,COSTOS!$A$2:$B1014,2,FALSE)),"No encontrado o error"))</f>
        <v/>
      </c>
      <c r="AL787" s="395"/>
      <c r="AM787" s="254"/>
      <c r="AN787" s="255"/>
      <c r="AO787" s="256"/>
    </row>
    <row r="788" ht="22.5" customHeight="1">
      <c r="A788" s="431" t="str">
        <f>'BASE DE DATOSS'!A862</f>
        <v/>
      </c>
      <c r="B788" s="432" t="str">
        <f>'BASE DE DATOSS'!C862</f>
        <v/>
      </c>
      <c r="C788" s="263"/>
      <c r="D788" s="249"/>
      <c r="E788" s="250"/>
      <c r="F788" s="251"/>
      <c r="G788" s="262"/>
      <c r="H788" s="257"/>
      <c r="I788" s="249"/>
      <c r="J788" s="193" t="str">
        <f>IF(OR(ISBLANK($B788),ISBLANK($I788)),"",IFERROR(IF($I788&lt;=DATE('ESTADO CONTABLE'!$B$2,3,5),VLOOKUP($B788,COSTOS!$A$2:$B1014,2,FALSE)-150,VLOOKUP($B788,COSTOS!$A$2:$B1014,2,FALSE)),"No encontrado o error"))</f>
        <v/>
      </c>
      <c r="K788" s="264"/>
      <c r="L788" s="249"/>
      <c r="M788" s="189"/>
      <c r="N788" s="264"/>
      <c r="O788" s="249"/>
      <c r="P788" s="250"/>
      <c r="Q788" s="264"/>
      <c r="R788" s="249"/>
      <c r="S788" s="250"/>
      <c r="T788" s="264"/>
      <c r="U788" s="249"/>
      <c r="V788" s="250"/>
      <c r="W788" s="264"/>
      <c r="X788" s="394"/>
      <c r="Y788" s="429"/>
      <c r="Z788" s="395"/>
      <c r="AA788" s="394"/>
      <c r="AB788" s="118" t="str">
        <f>IF(OR(ISBLANK($B788),ISBLANK($AA788)),"",IFERROR(IF($AA788&lt;=DATE('ESTADO CONTABLE'!$B$2,9,5),VLOOKUP($B788,COSTOS!$A$2:$B1014,2,FALSE)-150,VLOOKUP($B788,COSTOS!$A$2:$B1014,2,FALSE)),"No encontrado o error"))</f>
        <v/>
      </c>
      <c r="AC788" s="395"/>
      <c r="AD788" s="394"/>
      <c r="AE788" s="429" t="str">
        <f>IF(OR(ISBLANK($B788),ISBLANK($AD788)),"",IFERROR(IF($AD788&lt;=DATE('ESTADO CONTABLE'!$B$2,10,5),VLOOKUP($B788,COSTOS!$A$2:$B1014,2,FALSE)-150,VLOOKUP($B788,COSTOS!$A$2:$B1014,2,FALSE)),"No encontrado o error"))</f>
        <v/>
      </c>
      <c r="AF788" s="395"/>
      <c r="AG788" s="394"/>
      <c r="AH788" s="429" t="str">
        <f>IF(OR(ISBLANK($B788),ISBLANK($AG788)),"",IFERROR(IF($AG788&lt;=DATE('ESTADO CONTABLE'!$B$2,11,5),VLOOKUP($B788,COSTOS!$A$2:$B1014,2,FALSE)-150,VLOOKUP($B788,COSTOS!$A$2:$B1014,2,FALSE)),"No encontrado o error"))</f>
        <v/>
      </c>
      <c r="AI788" s="395"/>
      <c r="AJ788" s="394"/>
      <c r="AK788" s="429" t="str">
        <f>IF(OR(ISBLANK($B788),ISBLANK($AJ788)),"",IFERROR(IF($AJ788&lt;=DATE('ESTADO CONTABLE'!$B$2,12,5),VLOOKUP($B788,COSTOS!$A$2:$B1014,2,FALSE)-150,VLOOKUP($B788,COSTOS!$A$2:$B1014,2,FALSE)),"No encontrado o error"))</f>
        <v/>
      </c>
      <c r="AL788" s="395"/>
      <c r="AM788" s="254"/>
      <c r="AN788" s="255"/>
      <c r="AO788" s="256"/>
    </row>
    <row r="789" ht="22.5" customHeight="1">
      <c r="A789" s="431" t="str">
        <f>'BASE DE DATOSS'!A863</f>
        <v/>
      </c>
      <c r="B789" s="432" t="str">
        <f>'BASE DE DATOSS'!C863</f>
        <v/>
      </c>
      <c r="C789" s="263"/>
      <c r="D789" s="249"/>
      <c r="E789" s="250"/>
      <c r="F789" s="251"/>
      <c r="G789" s="262"/>
      <c r="H789" s="257"/>
      <c r="I789" s="249"/>
      <c r="J789" s="193" t="str">
        <f>IF(OR(ISBLANK($B789),ISBLANK($I789)),"",IFERROR(IF($I789&lt;=DATE('ESTADO CONTABLE'!$B$2,3,5),VLOOKUP($B789,COSTOS!$A$2:$B1014,2,FALSE)-150,VLOOKUP($B789,COSTOS!$A$2:$B1014,2,FALSE)),"No encontrado o error"))</f>
        <v/>
      </c>
      <c r="K789" s="264"/>
      <c r="L789" s="249"/>
      <c r="M789" s="189"/>
      <c r="N789" s="264"/>
      <c r="O789" s="249"/>
      <c r="P789" s="250"/>
      <c r="Q789" s="264"/>
      <c r="R789" s="249"/>
      <c r="S789" s="250"/>
      <c r="T789" s="264"/>
      <c r="U789" s="249"/>
      <c r="V789" s="250"/>
      <c r="W789" s="264"/>
      <c r="X789" s="394"/>
      <c r="Y789" s="429"/>
      <c r="Z789" s="395"/>
      <c r="AA789" s="394"/>
      <c r="AB789" s="118" t="str">
        <f>IF(OR(ISBLANK($B789),ISBLANK($AA789)),"",IFERROR(IF($AA789&lt;=DATE('ESTADO CONTABLE'!$B$2,9,5),VLOOKUP($B789,COSTOS!$A$2:$B1014,2,FALSE)-150,VLOOKUP($B789,COSTOS!$A$2:$B1014,2,FALSE)),"No encontrado o error"))</f>
        <v/>
      </c>
      <c r="AC789" s="395"/>
      <c r="AD789" s="394"/>
      <c r="AE789" s="429" t="str">
        <f>IF(OR(ISBLANK($B789),ISBLANK($AD789)),"",IFERROR(IF($AD789&lt;=DATE('ESTADO CONTABLE'!$B$2,10,5),VLOOKUP($B789,COSTOS!$A$2:$B1014,2,FALSE)-150,VLOOKUP($B789,COSTOS!$A$2:$B1014,2,FALSE)),"No encontrado o error"))</f>
        <v/>
      </c>
      <c r="AF789" s="395"/>
      <c r="AG789" s="394"/>
      <c r="AH789" s="429" t="str">
        <f>IF(OR(ISBLANK($B789),ISBLANK($AG789)),"",IFERROR(IF($AG789&lt;=DATE('ESTADO CONTABLE'!$B$2,11,5),VLOOKUP($B789,COSTOS!$A$2:$B1014,2,FALSE)-150,VLOOKUP($B789,COSTOS!$A$2:$B1014,2,FALSE)),"No encontrado o error"))</f>
        <v/>
      </c>
      <c r="AI789" s="395"/>
      <c r="AJ789" s="394"/>
      <c r="AK789" s="429" t="str">
        <f>IF(OR(ISBLANK($B789),ISBLANK($AJ789)),"",IFERROR(IF($AJ789&lt;=DATE('ESTADO CONTABLE'!$B$2,12,5),VLOOKUP($B789,COSTOS!$A$2:$B1014,2,FALSE)-150,VLOOKUP($B789,COSTOS!$A$2:$B1014,2,FALSE)),"No encontrado o error"))</f>
        <v/>
      </c>
      <c r="AL789" s="395"/>
      <c r="AM789" s="254"/>
      <c r="AN789" s="255"/>
      <c r="AO789" s="256"/>
    </row>
    <row r="790" ht="22.5" customHeight="1">
      <c r="A790" s="431" t="str">
        <f>'BASE DE DATOSS'!A864</f>
        <v/>
      </c>
      <c r="B790" s="432" t="str">
        <f>'BASE DE DATOSS'!C864</f>
        <v/>
      </c>
      <c r="C790" s="263"/>
      <c r="D790" s="249"/>
      <c r="E790" s="250"/>
      <c r="F790" s="251"/>
      <c r="G790" s="262"/>
      <c r="H790" s="257"/>
      <c r="I790" s="249"/>
      <c r="J790" s="193" t="str">
        <f>IF(OR(ISBLANK($B790),ISBLANK($I790)),"",IFERROR(IF($I790&lt;=DATE('ESTADO CONTABLE'!$B$2,3,5),VLOOKUP($B790,COSTOS!$A$2:$B1014,2,FALSE)-150,VLOOKUP($B790,COSTOS!$A$2:$B1014,2,FALSE)),"No encontrado o error"))</f>
        <v/>
      </c>
      <c r="K790" s="264"/>
      <c r="L790" s="249"/>
      <c r="M790" s="189"/>
      <c r="N790" s="264"/>
      <c r="O790" s="249"/>
      <c r="P790" s="250"/>
      <c r="Q790" s="264"/>
      <c r="R790" s="249"/>
      <c r="S790" s="250"/>
      <c r="T790" s="264"/>
      <c r="U790" s="249"/>
      <c r="V790" s="250"/>
      <c r="W790" s="264"/>
      <c r="X790" s="394"/>
      <c r="Y790" s="429"/>
      <c r="Z790" s="395"/>
      <c r="AA790" s="394"/>
      <c r="AB790" s="118" t="str">
        <f>IF(OR(ISBLANK($B790),ISBLANK($AA790)),"",IFERROR(IF($AA790&lt;=DATE('ESTADO CONTABLE'!$B$2,9,5),VLOOKUP($B790,COSTOS!$A$2:$B1014,2,FALSE)-150,VLOOKUP($B790,COSTOS!$A$2:$B1014,2,FALSE)),"No encontrado o error"))</f>
        <v/>
      </c>
      <c r="AC790" s="395"/>
      <c r="AD790" s="394"/>
      <c r="AE790" s="429" t="str">
        <f>IF(OR(ISBLANK($B790),ISBLANK($AD790)),"",IFERROR(IF($AD790&lt;=DATE('ESTADO CONTABLE'!$B$2,10,5),VLOOKUP($B790,COSTOS!$A$2:$B1014,2,FALSE)-150,VLOOKUP($B790,COSTOS!$A$2:$B1014,2,FALSE)),"No encontrado o error"))</f>
        <v/>
      </c>
      <c r="AF790" s="395"/>
      <c r="AG790" s="394"/>
      <c r="AH790" s="429" t="str">
        <f>IF(OR(ISBLANK($B790),ISBLANK($AG790)),"",IFERROR(IF($AG790&lt;=DATE('ESTADO CONTABLE'!$B$2,11,5),VLOOKUP($B790,COSTOS!$A$2:$B1014,2,FALSE)-150,VLOOKUP($B790,COSTOS!$A$2:$B1014,2,FALSE)),"No encontrado o error"))</f>
        <v/>
      </c>
      <c r="AI790" s="395"/>
      <c r="AJ790" s="394"/>
      <c r="AK790" s="429" t="str">
        <f>IF(OR(ISBLANK($B790),ISBLANK($AJ790)),"",IFERROR(IF($AJ790&lt;=DATE('ESTADO CONTABLE'!$B$2,12,5),VLOOKUP($B790,COSTOS!$A$2:$B1014,2,FALSE)-150,VLOOKUP($B790,COSTOS!$A$2:$B1014,2,FALSE)),"No encontrado o error"))</f>
        <v/>
      </c>
      <c r="AL790" s="395"/>
      <c r="AM790" s="254"/>
      <c r="AN790" s="255"/>
      <c r="AO790" s="256"/>
    </row>
    <row r="791" ht="22.5" customHeight="1">
      <c r="A791" s="431" t="str">
        <f>'BASE DE DATOSS'!A865</f>
        <v/>
      </c>
      <c r="B791" s="432" t="str">
        <f>'BASE DE DATOSS'!C865</f>
        <v/>
      </c>
      <c r="C791" s="263"/>
      <c r="D791" s="249"/>
      <c r="E791" s="250"/>
      <c r="F791" s="251"/>
      <c r="G791" s="262"/>
      <c r="H791" s="257"/>
      <c r="I791" s="249"/>
      <c r="J791" s="193" t="str">
        <f>IF(OR(ISBLANK($B791),ISBLANK($I791)),"",IFERROR(IF($I791&lt;=DATE('ESTADO CONTABLE'!$B$2,3,5),VLOOKUP($B791,COSTOS!$A$2:$B1014,2,FALSE)-150,VLOOKUP($B791,COSTOS!$A$2:$B1014,2,FALSE)),"No encontrado o error"))</f>
        <v/>
      </c>
      <c r="K791" s="264"/>
      <c r="L791" s="249"/>
      <c r="M791" s="189"/>
      <c r="N791" s="264"/>
      <c r="O791" s="249"/>
      <c r="P791" s="250"/>
      <c r="Q791" s="264"/>
      <c r="R791" s="249"/>
      <c r="S791" s="250"/>
      <c r="T791" s="264"/>
      <c r="U791" s="249"/>
      <c r="V791" s="250"/>
      <c r="W791" s="264"/>
      <c r="X791" s="394"/>
      <c r="Y791" s="429"/>
      <c r="Z791" s="395"/>
      <c r="AA791" s="394"/>
      <c r="AB791" s="118" t="str">
        <f>IF(OR(ISBLANK($B791),ISBLANK($AA791)),"",IFERROR(IF($AA791&lt;=DATE('ESTADO CONTABLE'!$B$2,9,5),VLOOKUP($B791,COSTOS!$A$2:$B1014,2,FALSE)-150,VLOOKUP($B791,COSTOS!$A$2:$B1014,2,FALSE)),"No encontrado o error"))</f>
        <v/>
      </c>
      <c r="AC791" s="395"/>
      <c r="AD791" s="394"/>
      <c r="AE791" s="429" t="str">
        <f>IF(OR(ISBLANK($B791),ISBLANK($AD791)),"",IFERROR(IF($AD791&lt;=DATE('ESTADO CONTABLE'!$B$2,10,5),VLOOKUP($B791,COSTOS!$A$2:$B1014,2,FALSE)-150,VLOOKUP($B791,COSTOS!$A$2:$B1014,2,FALSE)),"No encontrado o error"))</f>
        <v/>
      </c>
      <c r="AF791" s="395"/>
      <c r="AG791" s="394"/>
      <c r="AH791" s="429" t="str">
        <f>IF(OR(ISBLANK($B791),ISBLANK($AG791)),"",IFERROR(IF($AG791&lt;=DATE('ESTADO CONTABLE'!$B$2,11,5),VLOOKUP($B791,COSTOS!$A$2:$B1014,2,FALSE)-150,VLOOKUP($B791,COSTOS!$A$2:$B1014,2,FALSE)),"No encontrado o error"))</f>
        <v/>
      </c>
      <c r="AI791" s="395"/>
      <c r="AJ791" s="394"/>
      <c r="AK791" s="429" t="str">
        <f>IF(OR(ISBLANK($B791),ISBLANK($AJ791)),"",IFERROR(IF($AJ791&lt;=DATE('ESTADO CONTABLE'!$B$2,12,5),VLOOKUP($B791,COSTOS!$A$2:$B1014,2,FALSE)-150,VLOOKUP($B791,COSTOS!$A$2:$B1014,2,FALSE)),"No encontrado o error"))</f>
        <v/>
      </c>
      <c r="AL791" s="395"/>
      <c r="AM791" s="254"/>
      <c r="AN791" s="255"/>
      <c r="AO791" s="256"/>
    </row>
    <row r="792" ht="22.5" customHeight="1">
      <c r="A792" s="431" t="str">
        <f>'BASE DE DATOSS'!A866</f>
        <v/>
      </c>
      <c r="B792" s="432" t="str">
        <f>'BASE DE DATOSS'!C866</f>
        <v/>
      </c>
      <c r="C792" s="263"/>
      <c r="D792" s="249"/>
      <c r="E792" s="250"/>
      <c r="F792" s="251"/>
      <c r="G792" s="262"/>
      <c r="H792" s="257"/>
      <c r="I792" s="249"/>
      <c r="J792" s="193" t="str">
        <f>IF(OR(ISBLANK($B792),ISBLANK($I792)),"",IFERROR(IF($I792&lt;=DATE('ESTADO CONTABLE'!$B$2,3,5),VLOOKUP($B792,COSTOS!$A$2:$B1014,2,FALSE)-150,VLOOKUP($B792,COSTOS!$A$2:$B1014,2,FALSE)),"No encontrado o error"))</f>
        <v/>
      </c>
      <c r="K792" s="264"/>
      <c r="L792" s="249"/>
      <c r="M792" s="189"/>
      <c r="N792" s="264"/>
      <c r="O792" s="249"/>
      <c r="P792" s="250"/>
      <c r="Q792" s="264"/>
      <c r="R792" s="249"/>
      <c r="S792" s="250"/>
      <c r="T792" s="264"/>
      <c r="U792" s="249"/>
      <c r="V792" s="250"/>
      <c r="W792" s="264"/>
      <c r="X792" s="394"/>
      <c r="Y792" s="429"/>
      <c r="Z792" s="395"/>
      <c r="AA792" s="394"/>
      <c r="AB792" s="118" t="str">
        <f>IF(OR(ISBLANK($B792),ISBLANK($AA792)),"",IFERROR(IF($AA792&lt;=DATE('ESTADO CONTABLE'!$B$2,9,5),VLOOKUP($B792,COSTOS!$A$2:$B1014,2,FALSE)-150,VLOOKUP($B792,COSTOS!$A$2:$B1014,2,FALSE)),"No encontrado o error"))</f>
        <v/>
      </c>
      <c r="AC792" s="395"/>
      <c r="AD792" s="394"/>
      <c r="AE792" s="429" t="str">
        <f>IF(OR(ISBLANK($B792),ISBLANK($AD792)),"",IFERROR(IF($AD792&lt;=DATE('ESTADO CONTABLE'!$B$2,10,5),VLOOKUP($B792,COSTOS!$A$2:$B1014,2,FALSE)-150,VLOOKUP($B792,COSTOS!$A$2:$B1014,2,FALSE)),"No encontrado o error"))</f>
        <v/>
      </c>
      <c r="AF792" s="395"/>
      <c r="AG792" s="394"/>
      <c r="AH792" s="429" t="str">
        <f>IF(OR(ISBLANK($B792),ISBLANK($AG792)),"",IFERROR(IF($AG792&lt;=DATE('ESTADO CONTABLE'!$B$2,11,5),VLOOKUP($B792,COSTOS!$A$2:$B1014,2,FALSE)-150,VLOOKUP($B792,COSTOS!$A$2:$B1014,2,FALSE)),"No encontrado o error"))</f>
        <v/>
      </c>
      <c r="AI792" s="395"/>
      <c r="AJ792" s="394"/>
      <c r="AK792" s="429" t="str">
        <f>IF(OR(ISBLANK($B792),ISBLANK($AJ792)),"",IFERROR(IF($AJ792&lt;=DATE('ESTADO CONTABLE'!$B$2,12,5),VLOOKUP($B792,COSTOS!$A$2:$B1014,2,FALSE)-150,VLOOKUP($B792,COSTOS!$A$2:$B1014,2,FALSE)),"No encontrado o error"))</f>
        <v/>
      </c>
      <c r="AL792" s="395"/>
      <c r="AM792" s="254"/>
      <c r="AN792" s="255"/>
      <c r="AO792" s="256"/>
    </row>
    <row r="793" ht="22.5" customHeight="1">
      <c r="A793" s="431" t="str">
        <f>'BASE DE DATOSS'!A867</f>
        <v/>
      </c>
      <c r="B793" s="432" t="str">
        <f>'BASE DE DATOSS'!C867</f>
        <v/>
      </c>
      <c r="C793" s="263"/>
      <c r="D793" s="249"/>
      <c r="E793" s="250"/>
      <c r="F793" s="251"/>
      <c r="G793" s="262"/>
      <c r="H793" s="257"/>
      <c r="I793" s="249"/>
      <c r="J793" s="193" t="str">
        <f>IF(OR(ISBLANK($B793),ISBLANK($I793)),"",IFERROR(IF($I793&lt;=DATE('ESTADO CONTABLE'!$B$2,3,5),VLOOKUP($B793,COSTOS!$A$2:$B1014,2,FALSE)-150,VLOOKUP($B793,COSTOS!$A$2:$B1014,2,FALSE)),"No encontrado o error"))</f>
        <v/>
      </c>
      <c r="K793" s="264"/>
      <c r="L793" s="249"/>
      <c r="M793" s="189"/>
      <c r="N793" s="264"/>
      <c r="O793" s="249"/>
      <c r="P793" s="250"/>
      <c r="Q793" s="264"/>
      <c r="R793" s="249"/>
      <c r="S793" s="250"/>
      <c r="T793" s="264"/>
      <c r="U793" s="249"/>
      <c r="V793" s="250"/>
      <c r="W793" s="264"/>
      <c r="X793" s="394"/>
      <c r="Y793" s="429"/>
      <c r="Z793" s="395"/>
      <c r="AA793" s="394"/>
      <c r="AB793" s="118" t="str">
        <f>IF(OR(ISBLANK($B793),ISBLANK($AA793)),"",IFERROR(IF($AA793&lt;=DATE('ESTADO CONTABLE'!$B$2,9,5),VLOOKUP($B793,COSTOS!$A$2:$B1014,2,FALSE)-150,VLOOKUP($B793,COSTOS!$A$2:$B1014,2,FALSE)),"No encontrado o error"))</f>
        <v/>
      </c>
      <c r="AC793" s="395"/>
      <c r="AD793" s="394"/>
      <c r="AE793" s="429" t="str">
        <f>IF(OR(ISBLANK($B793),ISBLANK($AD793)),"",IFERROR(IF($AD793&lt;=DATE('ESTADO CONTABLE'!$B$2,10,5),VLOOKUP($B793,COSTOS!$A$2:$B1014,2,FALSE)-150,VLOOKUP($B793,COSTOS!$A$2:$B1014,2,FALSE)),"No encontrado o error"))</f>
        <v/>
      </c>
      <c r="AF793" s="395"/>
      <c r="AG793" s="394"/>
      <c r="AH793" s="429" t="str">
        <f>IF(OR(ISBLANK($B793),ISBLANK($AG793)),"",IFERROR(IF($AG793&lt;=DATE('ESTADO CONTABLE'!$B$2,11,5),VLOOKUP($B793,COSTOS!$A$2:$B1014,2,FALSE)-150,VLOOKUP($B793,COSTOS!$A$2:$B1014,2,FALSE)),"No encontrado o error"))</f>
        <v/>
      </c>
      <c r="AI793" s="395"/>
      <c r="AJ793" s="394"/>
      <c r="AK793" s="429" t="str">
        <f>IF(OR(ISBLANK($B793),ISBLANK($AJ793)),"",IFERROR(IF($AJ793&lt;=DATE('ESTADO CONTABLE'!$B$2,12,5),VLOOKUP($B793,COSTOS!$A$2:$B1014,2,FALSE)-150,VLOOKUP($B793,COSTOS!$A$2:$B1014,2,FALSE)),"No encontrado o error"))</f>
        <v/>
      </c>
      <c r="AL793" s="395"/>
      <c r="AM793" s="254"/>
      <c r="AN793" s="255"/>
      <c r="AO793" s="256"/>
    </row>
    <row r="794" ht="22.5" customHeight="1">
      <c r="A794" s="431" t="str">
        <f>'BASE DE DATOSS'!A868</f>
        <v/>
      </c>
      <c r="B794" s="432" t="str">
        <f>'BASE DE DATOSS'!C868</f>
        <v/>
      </c>
      <c r="C794" s="263"/>
      <c r="D794" s="249"/>
      <c r="E794" s="250"/>
      <c r="F794" s="251"/>
      <c r="G794" s="262"/>
      <c r="H794" s="257"/>
      <c r="I794" s="249"/>
      <c r="J794" s="193" t="str">
        <f>IF(OR(ISBLANK($B794),ISBLANK($I794)),"",IFERROR(IF($I794&lt;=DATE('ESTADO CONTABLE'!$B$2,3,5),VLOOKUP($B794,COSTOS!$A$2:$B1014,2,FALSE)-150,VLOOKUP($B794,COSTOS!$A$2:$B1014,2,FALSE)),"No encontrado o error"))</f>
        <v/>
      </c>
      <c r="K794" s="264"/>
      <c r="L794" s="249"/>
      <c r="M794" s="189"/>
      <c r="N794" s="264"/>
      <c r="O794" s="249"/>
      <c r="P794" s="250"/>
      <c r="Q794" s="264"/>
      <c r="R794" s="249"/>
      <c r="S794" s="250"/>
      <c r="T794" s="264"/>
      <c r="U794" s="249"/>
      <c r="V794" s="250"/>
      <c r="W794" s="264"/>
      <c r="X794" s="394"/>
      <c r="Y794" s="429"/>
      <c r="Z794" s="395"/>
      <c r="AA794" s="394"/>
      <c r="AB794" s="118" t="str">
        <f>IF(OR(ISBLANK($B794),ISBLANK($AA794)),"",IFERROR(IF($AA794&lt;=DATE('ESTADO CONTABLE'!$B$2,9,5),VLOOKUP($B794,COSTOS!$A$2:$B1014,2,FALSE)-150,VLOOKUP($B794,COSTOS!$A$2:$B1014,2,FALSE)),"No encontrado o error"))</f>
        <v/>
      </c>
      <c r="AC794" s="395"/>
      <c r="AD794" s="394"/>
      <c r="AE794" s="429" t="str">
        <f>IF(OR(ISBLANK($B794),ISBLANK($AD794)),"",IFERROR(IF($AD794&lt;=DATE('ESTADO CONTABLE'!$B$2,10,5),VLOOKUP($B794,COSTOS!$A$2:$B1014,2,FALSE)-150,VLOOKUP($B794,COSTOS!$A$2:$B1014,2,FALSE)),"No encontrado o error"))</f>
        <v/>
      </c>
      <c r="AF794" s="395"/>
      <c r="AG794" s="394"/>
      <c r="AH794" s="429" t="str">
        <f>IF(OR(ISBLANK($B794),ISBLANK($AG794)),"",IFERROR(IF($AG794&lt;=DATE('ESTADO CONTABLE'!$B$2,11,5),VLOOKUP($B794,COSTOS!$A$2:$B1014,2,FALSE)-150,VLOOKUP($B794,COSTOS!$A$2:$B1014,2,FALSE)),"No encontrado o error"))</f>
        <v/>
      </c>
      <c r="AI794" s="395"/>
      <c r="AJ794" s="394"/>
      <c r="AK794" s="429" t="str">
        <f>IF(OR(ISBLANK($B794),ISBLANK($AJ794)),"",IFERROR(IF($AJ794&lt;=DATE('ESTADO CONTABLE'!$B$2,12,5),VLOOKUP($B794,COSTOS!$A$2:$B1014,2,FALSE)-150,VLOOKUP($B794,COSTOS!$A$2:$B1014,2,FALSE)),"No encontrado o error"))</f>
        <v/>
      </c>
      <c r="AL794" s="395"/>
      <c r="AM794" s="254"/>
      <c r="AN794" s="255"/>
      <c r="AO794" s="256"/>
    </row>
    <row r="795" ht="22.5" customHeight="1">
      <c r="A795" s="431" t="str">
        <f>'BASE DE DATOSS'!A869</f>
        <v/>
      </c>
      <c r="B795" s="432" t="str">
        <f>'BASE DE DATOSS'!C869</f>
        <v/>
      </c>
      <c r="C795" s="263"/>
      <c r="D795" s="249"/>
      <c r="E795" s="250"/>
      <c r="F795" s="251"/>
      <c r="G795" s="262"/>
      <c r="H795" s="257"/>
      <c r="I795" s="249"/>
      <c r="J795" s="193" t="str">
        <f>IF(OR(ISBLANK($B795),ISBLANK($I795)),"",IFERROR(IF($I795&lt;=DATE('ESTADO CONTABLE'!$B$2,3,5),VLOOKUP($B795,COSTOS!$A$2:$B1014,2,FALSE)-150,VLOOKUP($B795,COSTOS!$A$2:$B1014,2,FALSE)),"No encontrado o error"))</f>
        <v/>
      </c>
      <c r="K795" s="264"/>
      <c r="L795" s="249"/>
      <c r="M795" s="189"/>
      <c r="N795" s="264"/>
      <c r="O795" s="249"/>
      <c r="P795" s="250"/>
      <c r="Q795" s="264"/>
      <c r="R795" s="249"/>
      <c r="S795" s="250"/>
      <c r="T795" s="264"/>
      <c r="U795" s="249"/>
      <c r="V795" s="250"/>
      <c r="W795" s="264"/>
      <c r="X795" s="394"/>
      <c r="Y795" s="429"/>
      <c r="Z795" s="395"/>
      <c r="AA795" s="394"/>
      <c r="AB795" s="118" t="str">
        <f>IF(OR(ISBLANK($B795),ISBLANK($AA795)),"",IFERROR(IF($AA795&lt;=DATE('ESTADO CONTABLE'!$B$2,9,5),VLOOKUP($B795,COSTOS!$A$2:$B1014,2,FALSE)-150,VLOOKUP($B795,COSTOS!$A$2:$B1014,2,FALSE)),"No encontrado o error"))</f>
        <v/>
      </c>
      <c r="AC795" s="395"/>
      <c r="AD795" s="394"/>
      <c r="AE795" s="429" t="str">
        <f>IF(OR(ISBLANK($B795),ISBLANK($AD795)),"",IFERROR(IF($AD795&lt;=DATE('ESTADO CONTABLE'!$B$2,10,5),VLOOKUP($B795,COSTOS!$A$2:$B1014,2,FALSE)-150,VLOOKUP($B795,COSTOS!$A$2:$B1014,2,FALSE)),"No encontrado o error"))</f>
        <v/>
      </c>
      <c r="AF795" s="395"/>
      <c r="AG795" s="394"/>
      <c r="AH795" s="429" t="str">
        <f>IF(OR(ISBLANK($B795),ISBLANK($AG795)),"",IFERROR(IF($AG795&lt;=DATE('ESTADO CONTABLE'!$B$2,11,5),VLOOKUP($B795,COSTOS!$A$2:$B1014,2,FALSE)-150,VLOOKUP($B795,COSTOS!$A$2:$B1014,2,FALSE)),"No encontrado o error"))</f>
        <v/>
      </c>
      <c r="AI795" s="395"/>
      <c r="AJ795" s="394"/>
      <c r="AK795" s="429" t="str">
        <f>IF(OR(ISBLANK($B795),ISBLANK($AJ795)),"",IFERROR(IF($AJ795&lt;=DATE('ESTADO CONTABLE'!$B$2,12,5),VLOOKUP($B795,COSTOS!$A$2:$B1014,2,FALSE)-150,VLOOKUP($B795,COSTOS!$A$2:$B1014,2,FALSE)),"No encontrado o error"))</f>
        <v/>
      </c>
      <c r="AL795" s="395"/>
      <c r="AM795" s="254"/>
      <c r="AN795" s="255"/>
      <c r="AO795" s="256"/>
    </row>
    <row r="796" ht="22.5" customHeight="1">
      <c r="A796" s="431" t="str">
        <f>'BASE DE DATOSS'!A870</f>
        <v/>
      </c>
      <c r="B796" s="432" t="str">
        <f>'BASE DE DATOSS'!C870</f>
        <v/>
      </c>
      <c r="C796" s="263"/>
      <c r="D796" s="249"/>
      <c r="E796" s="250"/>
      <c r="F796" s="251"/>
      <c r="G796" s="262"/>
      <c r="H796" s="257"/>
      <c r="I796" s="249"/>
      <c r="J796" s="193" t="str">
        <f>IF(OR(ISBLANK($B796),ISBLANK($I796)),"",IFERROR(IF($I796&lt;=DATE('ESTADO CONTABLE'!$B$2,3,5),VLOOKUP($B796,COSTOS!$A$2:$B1014,2,FALSE)-150,VLOOKUP($B796,COSTOS!$A$2:$B1014,2,FALSE)),"No encontrado o error"))</f>
        <v/>
      </c>
      <c r="K796" s="264"/>
      <c r="L796" s="249"/>
      <c r="M796" s="189"/>
      <c r="N796" s="264"/>
      <c r="O796" s="249"/>
      <c r="P796" s="250"/>
      <c r="Q796" s="264"/>
      <c r="R796" s="249"/>
      <c r="S796" s="250"/>
      <c r="T796" s="264"/>
      <c r="U796" s="249"/>
      <c r="V796" s="250"/>
      <c r="W796" s="264"/>
      <c r="X796" s="394"/>
      <c r="Y796" s="429"/>
      <c r="Z796" s="395"/>
      <c r="AA796" s="394"/>
      <c r="AB796" s="118" t="str">
        <f>IF(OR(ISBLANK($B796),ISBLANK($AA796)),"",IFERROR(IF($AA796&lt;=DATE('ESTADO CONTABLE'!$B$2,9,5),VLOOKUP($B796,COSTOS!$A$2:$B1014,2,FALSE)-150,VLOOKUP($B796,COSTOS!$A$2:$B1014,2,FALSE)),"No encontrado o error"))</f>
        <v/>
      </c>
      <c r="AC796" s="395"/>
      <c r="AD796" s="394"/>
      <c r="AE796" s="429" t="str">
        <f>IF(OR(ISBLANK($B796),ISBLANK($AD796)),"",IFERROR(IF($AD796&lt;=DATE('ESTADO CONTABLE'!$B$2,10,5),VLOOKUP($B796,COSTOS!$A$2:$B1014,2,FALSE)-150,VLOOKUP($B796,COSTOS!$A$2:$B1014,2,FALSE)),"No encontrado o error"))</f>
        <v/>
      </c>
      <c r="AF796" s="395"/>
      <c r="AG796" s="394"/>
      <c r="AH796" s="429" t="str">
        <f>IF(OR(ISBLANK($B796),ISBLANK($AG796)),"",IFERROR(IF($AG796&lt;=DATE('ESTADO CONTABLE'!$B$2,11,5),VLOOKUP($B796,COSTOS!$A$2:$B1014,2,FALSE)-150,VLOOKUP($B796,COSTOS!$A$2:$B1014,2,FALSE)),"No encontrado o error"))</f>
        <v/>
      </c>
      <c r="AI796" s="395"/>
      <c r="AJ796" s="394"/>
      <c r="AK796" s="429" t="str">
        <f>IF(OR(ISBLANK($B796),ISBLANK($AJ796)),"",IFERROR(IF($AJ796&lt;=DATE('ESTADO CONTABLE'!$B$2,12,5),VLOOKUP($B796,COSTOS!$A$2:$B1014,2,FALSE)-150,VLOOKUP($B796,COSTOS!$A$2:$B1014,2,FALSE)),"No encontrado o error"))</f>
        <v/>
      </c>
      <c r="AL796" s="395"/>
      <c r="AM796" s="254"/>
      <c r="AN796" s="255"/>
      <c r="AO796" s="256"/>
    </row>
    <row r="797" ht="22.5" customHeight="1">
      <c r="A797" s="431" t="str">
        <f>'BASE DE DATOSS'!A871</f>
        <v/>
      </c>
      <c r="B797" s="432" t="str">
        <f>'BASE DE DATOSS'!C871</f>
        <v/>
      </c>
      <c r="C797" s="263"/>
      <c r="D797" s="249"/>
      <c r="E797" s="250"/>
      <c r="F797" s="251"/>
      <c r="G797" s="262"/>
      <c r="H797" s="257"/>
      <c r="I797" s="249"/>
      <c r="J797" s="193" t="str">
        <f>IF(OR(ISBLANK($B797),ISBLANK($I797)),"",IFERROR(IF($I797&lt;=DATE('ESTADO CONTABLE'!$B$2,3,5),VLOOKUP($B797,COSTOS!$A$2:$B1014,2,FALSE)-150,VLOOKUP($B797,COSTOS!$A$2:$B1014,2,FALSE)),"No encontrado o error"))</f>
        <v/>
      </c>
      <c r="K797" s="264"/>
      <c r="L797" s="249"/>
      <c r="M797" s="189"/>
      <c r="N797" s="264"/>
      <c r="O797" s="249"/>
      <c r="P797" s="250"/>
      <c r="Q797" s="264"/>
      <c r="R797" s="249"/>
      <c r="S797" s="250"/>
      <c r="T797" s="264"/>
      <c r="U797" s="249"/>
      <c r="V797" s="250"/>
      <c r="W797" s="264"/>
      <c r="X797" s="394"/>
      <c r="Y797" s="429"/>
      <c r="Z797" s="395"/>
      <c r="AA797" s="394"/>
      <c r="AB797" s="118" t="str">
        <f>IF(OR(ISBLANK($B797),ISBLANK($AA797)),"",IFERROR(IF($AA797&lt;=DATE('ESTADO CONTABLE'!$B$2,9,5),VLOOKUP($B797,COSTOS!$A$2:$B1014,2,FALSE)-150,VLOOKUP($B797,COSTOS!$A$2:$B1014,2,FALSE)),"No encontrado o error"))</f>
        <v/>
      </c>
      <c r="AC797" s="395"/>
      <c r="AD797" s="394"/>
      <c r="AE797" s="429" t="str">
        <f>IF(OR(ISBLANK($B797),ISBLANK($AD797)),"",IFERROR(IF($AD797&lt;=DATE('ESTADO CONTABLE'!$B$2,10,5),VLOOKUP($B797,COSTOS!$A$2:$B1014,2,FALSE)-150,VLOOKUP($B797,COSTOS!$A$2:$B1014,2,FALSE)),"No encontrado o error"))</f>
        <v/>
      </c>
      <c r="AF797" s="395"/>
      <c r="AG797" s="394"/>
      <c r="AH797" s="429" t="str">
        <f>IF(OR(ISBLANK($B797),ISBLANK($AG797)),"",IFERROR(IF($AG797&lt;=DATE('ESTADO CONTABLE'!$B$2,11,5),VLOOKUP($B797,COSTOS!$A$2:$B1014,2,FALSE)-150,VLOOKUP($B797,COSTOS!$A$2:$B1014,2,FALSE)),"No encontrado o error"))</f>
        <v/>
      </c>
      <c r="AI797" s="395"/>
      <c r="AJ797" s="394"/>
      <c r="AK797" s="429" t="str">
        <f>IF(OR(ISBLANK($B797),ISBLANK($AJ797)),"",IFERROR(IF($AJ797&lt;=DATE('ESTADO CONTABLE'!$B$2,12,5),VLOOKUP($B797,COSTOS!$A$2:$B1014,2,FALSE)-150,VLOOKUP($B797,COSTOS!$A$2:$B1014,2,FALSE)),"No encontrado o error"))</f>
        <v/>
      </c>
      <c r="AL797" s="395"/>
      <c r="AM797" s="254"/>
      <c r="AN797" s="255"/>
      <c r="AO797" s="256"/>
    </row>
    <row r="798" ht="22.5" customHeight="1">
      <c r="A798" s="431" t="str">
        <f>'BASE DE DATOSS'!A872</f>
        <v/>
      </c>
      <c r="B798" s="432" t="str">
        <f>'BASE DE DATOSS'!C872</f>
        <v/>
      </c>
      <c r="C798" s="263"/>
      <c r="D798" s="249"/>
      <c r="E798" s="250"/>
      <c r="F798" s="251"/>
      <c r="G798" s="262"/>
      <c r="H798" s="257"/>
      <c r="I798" s="249"/>
      <c r="J798" s="193" t="str">
        <f>IF(OR(ISBLANK($B798),ISBLANK($I798)),"",IFERROR(IF($I798&lt;=DATE('ESTADO CONTABLE'!$B$2,3,5),VLOOKUP($B798,COSTOS!$A$2:$B1014,2,FALSE)-150,VLOOKUP($B798,COSTOS!$A$2:$B1014,2,FALSE)),"No encontrado o error"))</f>
        <v/>
      </c>
      <c r="K798" s="264"/>
      <c r="L798" s="249"/>
      <c r="M798" s="189"/>
      <c r="N798" s="264"/>
      <c r="O798" s="249"/>
      <c r="P798" s="250"/>
      <c r="Q798" s="264"/>
      <c r="R798" s="249"/>
      <c r="S798" s="250"/>
      <c r="T798" s="264"/>
      <c r="U798" s="249"/>
      <c r="V798" s="250"/>
      <c r="W798" s="264"/>
      <c r="X798" s="394"/>
      <c r="Y798" s="429"/>
      <c r="Z798" s="395"/>
      <c r="AA798" s="394"/>
      <c r="AB798" s="118" t="str">
        <f>IF(OR(ISBLANK($B798),ISBLANK($AA798)),"",IFERROR(IF($AA798&lt;=DATE('ESTADO CONTABLE'!$B$2,9,5),VLOOKUP($B798,COSTOS!$A$2:$B1014,2,FALSE)-150,VLOOKUP($B798,COSTOS!$A$2:$B1014,2,FALSE)),"No encontrado o error"))</f>
        <v/>
      </c>
      <c r="AC798" s="395"/>
      <c r="AD798" s="394"/>
      <c r="AE798" s="429" t="str">
        <f>IF(OR(ISBLANK($B798),ISBLANK($AD798)),"",IFERROR(IF($AD798&lt;=DATE('ESTADO CONTABLE'!$B$2,10,5),VLOOKUP($B798,COSTOS!$A$2:$B1014,2,FALSE)-150,VLOOKUP($B798,COSTOS!$A$2:$B1014,2,FALSE)),"No encontrado o error"))</f>
        <v/>
      </c>
      <c r="AF798" s="395"/>
      <c r="AG798" s="394"/>
      <c r="AH798" s="429" t="str">
        <f>IF(OR(ISBLANK($B798),ISBLANK($AG798)),"",IFERROR(IF($AG798&lt;=DATE('ESTADO CONTABLE'!$B$2,11,5),VLOOKUP($B798,COSTOS!$A$2:$B1014,2,FALSE)-150,VLOOKUP($B798,COSTOS!$A$2:$B1014,2,FALSE)),"No encontrado o error"))</f>
        <v/>
      </c>
      <c r="AI798" s="395"/>
      <c r="AJ798" s="394"/>
      <c r="AK798" s="429" t="str">
        <f>IF(OR(ISBLANK($B798),ISBLANK($AJ798)),"",IFERROR(IF($AJ798&lt;=DATE('ESTADO CONTABLE'!$B$2,12,5),VLOOKUP($B798,COSTOS!$A$2:$B1014,2,FALSE)-150,VLOOKUP($B798,COSTOS!$A$2:$B1014,2,FALSE)),"No encontrado o error"))</f>
        <v/>
      </c>
      <c r="AL798" s="395"/>
      <c r="AM798" s="254"/>
      <c r="AN798" s="255"/>
      <c r="AO798" s="256"/>
    </row>
    <row r="799" ht="22.5" customHeight="1">
      <c r="A799" s="431" t="str">
        <f>'BASE DE DATOSS'!A873</f>
        <v/>
      </c>
      <c r="B799" s="432" t="str">
        <f>'BASE DE DATOSS'!C873</f>
        <v/>
      </c>
      <c r="C799" s="263"/>
      <c r="D799" s="249"/>
      <c r="E799" s="250"/>
      <c r="F799" s="251"/>
      <c r="G799" s="262"/>
      <c r="H799" s="257"/>
      <c r="I799" s="249"/>
      <c r="J799" s="193" t="str">
        <f>IF(OR(ISBLANK($B799),ISBLANK($I799)),"",IFERROR(IF($I799&lt;=DATE('ESTADO CONTABLE'!$B$2,3,5),VLOOKUP($B799,COSTOS!$A$2:$B1014,2,FALSE)-150,VLOOKUP($B799,COSTOS!$A$2:$B1014,2,FALSE)),"No encontrado o error"))</f>
        <v/>
      </c>
      <c r="K799" s="264"/>
      <c r="L799" s="249"/>
      <c r="M799" s="189"/>
      <c r="N799" s="264"/>
      <c r="O799" s="249"/>
      <c r="P799" s="250"/>
      <c r="Q799" s="264"/>
      <c r="R799" s="249"/>
      <c r="S799" s="250"/>
      <c r="T799" s="264"/>
      <c r="U799" s="249"/>
      <c r="V799" s="250"/>
      <c r="W799" s="264"/>
      <c r="X799" s="394"/>
      <c r="Y799" s="429"/>
      <c r="Z799" s="395"/>
      <c r="AA799" s="394"/>
      <c r="AB799" s="118" t="str">
        <f>IF(OR(ISBLANK($B799),ISBLANK($AA799)),"",IFERROR(IF($AA799&lt;=DATE('ESTADO CONTABLE'!$B$2,9,5),VLOOKUP($B799,COSTOS!$A$2:$B1014,2,FALSE)-150,VLOOKUP($B799,COSTOS!$A$2:$B1014,2,FALSE)),"No encontrado o error"))</f>
        <v/>
      </c>
      <c r="AC799" s="395"/>
      <c r="AD799" s="394"/>
      <c r="AE799" s="429" t="str">
        <f>IF(OR(ISBLANK($B799),ISBLANK($AD799)),"",IFERROR(IF($AD799&lt;=DATE('ESTADO CONTABLE'!$B$2,10,5),VLOOKUP($B799,COSTOS!$A$2:$B1014,2,FALSE)-150,VLOOKUP($B799,COSTOS!$A$2:$B1014,2,FALSE)),"No encontrado o error"))</f>
        <v/>
      </c>
      <c r="AF799" s="395"/>
      <c r="AG799" s="394"/>
      <c r="AH799" s="429" t="str">
        <f>IF(OR(ISBLANK($B799),ISBLANK($AG799)),"",IFERROR(IF($AG799&lt;=DATE('ESTADO CONTABLE'!$B$2,11,5),VLOOKUP($B799,COSTOS!$A$2:$B1014,2,FALSE)-150,VLOOKUP($B799,COSTOS!$A$2:$B1014,2,FALSE)),"No encontrado o error"))</f>
        <v/>
      </c>
      <c r="AI799" s="395"/>
      <c r="AJ799" s="394"/>
      <c r="AK799" s="429" t="str">
        <f>IF(OR(ISBLANK($B799),ISBLANK($AJ799)),"",IFERROR(IF($AJ799&lt;=DATE('ESTADO CONTABLE'!$B$2,12,5),VLOOKUP($B799,COSTOS!$A$2:$B1014,2,FALSE)-150,VLOOKUP($B799,COSTOS!$A$2:$B1014,2,FALSE)),"No encontrado o error"))</f>
        <v/>
      </c>
      <c r="AL799" s="395"/>
      <c r="AM799" s="254"/>
      <c r="AN799" s="255"/>
      <c r="AO799" s="256"/>
    </row>
    <row r="800" ht="22.5" customHeight="1">
      <c r="A800" s="431" t="str">
        <f>'BASE DE DATOSS'!A874</f>
        <v/>
      </c>
      <c r="B800" s="432" t="str">
        <f>'BASE DE DATOSS'!C874</f>
        <v/>
      </c>
      <c r="C800" s="263"/>
      <c r="D800" s="249"/>
      <c r="E800" s="250"/>
      <c r="F800" s="251"/>
      <c r="G800" s="262"/>
      <c r="H800" s="257"/>
      <c r="I800" s="249"/>
      <c r="J800" s="193" t="str">
        <f>IF(OR(ISBLANK($B800),ISBLANK($I800)),"",IFERROR(IF($I800&lt;=DATE('ESTADO CONTABLE'!$B$2,3,5),VLOOKUP($B800,COSTOS!$A$2:$B1014,2,FALSE)-150,VLOOKUP($B800,COSTOS!$A$2:$B1014,2,FALSE)),"No encontrado o error"))</f>
        <v/>
      </c>
      <c r="K800" s="264"/>
      <c r="L800" s="249"/>
      <c r="M800" s="189"/>
      <c r="N800" s="264"/>
      <c r="O800" s="249"/>
      <c r="P800" s="250"/>
      <c r="Q800" s="264"/>
      <c r="R800" s="249"/>
      <c r="S800" s="250"/>
      <c r="T800" s="264"/>
      <c r="U800" s="249"/>
      <c r="V800" s="250"/>
      <c r="W800" s="264"/>
      <c r="X800" s="394"/>
      <c r="Y800" s="429"/>
      <c r="Z800" s="395"/>
      <c r="AA800" s="394"/>
      <c r="AB800" s="118" t="str">
        <f>IF(OR(ISBLANK($B800),ISBLANK($AA800)),"",IFERROR(IF($AA800&lt;=DATE('ESTADO CONTABLE'!$B$2,9,5),VLOOKUP($B800,COSTOS!$A$2:$B1014,2,FALSE)-150,VLOOKUP($B800,COSTOS!$A$2:$B1014,2,FALSE)),"No encontrado o error"))</f>
        <v/>
      </c>
      <c r="AC800" s="395"/>
      <c r="AD800" s="394"/>
      <c r="AE800" s="429" t="str">
        <f>IF(OR(ISBLANK($B800),ISBLANK($AD800)),"",IFERROR(IF($AD800&lt;=DATE('ESTADO CONTABLE'!$B$2,10,5),VLOOKUP($B800,COSTOS!$A$2:$B1014,2,FALSE)-150,VLOOKUP($B800,COSTOS!$A$2:$B1014,2,FALSE)),"No encontrado o error"))</f>
        <v/>
      </c>
      <c r="AF800" s="395"/>
      <c r="AG800" s="394"/>
      <c r="AH800" s="429" t="str">
        <f>IF(OR(ISBLANK($B800),ISBLANK($AG800)),"",IFERROR(IF($AG800&lt;=DATE('ESTADO CONTABLE'!$B$2,11,5),VLOOKUP($B800,COSTOS!$A$2:$B1014,2,FALSE)-150,VLOOKUP($B800,COSTOS!$A$2:$B1014,2,FALSE)),"No encontrado o error"))</f>
        <v/>
      </c>
      <c r="AI800" s="395"/>
      <c r="AJ800" s="394"/>
      <c r="AK800" s="429" t="str">
        <f>IF(OR(ISBLANK($B800),ISBLANK($AJ800)),"",IFERROR(IF($AJ800&lt;=DATE('ESTADO CONTABLE'!$B$2,12,5),VLOOKUP($B800,COSTOS!$A$2:$B1014,2,FALSE)-150,VLOOKUP($B800,COSTOS!$A$2:$B1014,2,FALSE)),"No encontrado o error"))</f>
        <v/>
      </c>
      <c r="AL800" s="395"/>
      <c r="AM800" s="254"/>
      <c r="AN800" s="255"/>
      <c r="AO800" s="256"/>
    </row>
    <row r="801" ht="22.5" customHeight="1">
      <c r="A801" s="431" t="str">
        <f>'BASE DE DATOSS'!A875</f>
        <v/>
      </c>
      <c r="B801" s="432" t="str">
        <f>'BASE DE DATOSS'!C875</f>
        <v/>
      </c>
      <c r="C801" s="263"/>
      <c r="D801" s="249"/>
      <c r="E801" s="250"/>
      <c r="F801" s="251"/>
      <c r="G801" s="262"/>
      <c r="H801" s="257"/>
      <c r="I801" s="249"/>
      <c r="J801" s="193" t="str">
        <f>IF(OR(ISBLANK($B801),ISBLANK($I801)),"",IFERROR(IF($I801&lt;=DATE('ESTADO CONTABLE'!$B$2,3,5),VLOOKUP($B801,COSTOS!$A$2:$B1014,2,FALSE)-150,VLOOKUP($B801,COSTOS!$A$2:$B1014,2,FALSE)),"No encontrado o error"))</f>
        <v/>
      </c>
      <c r="K801" s="264"/>
      <c r="L801" s="249"/>
      <c r="M801" s="189"/>
      <c r="N801" s="264"/>
      <c r="O801" s="249"/>
      <c r="P801" s="250"/>
      <c r="Q801" s="264"/>
      <c r="R801" s="249"/>
      <c r="S801" s="250"/>
      <c r="T801" s="264"/>
      <c r="U801" s="249"/>
      <c r="V801" s="250"/>
      <c r="W801" s="264"/>
      <c r="X801" s="394"/>
      <c r="Y801" s="429"/>
      <c r="Z801" s="395"/>
      <c r="AA801" s="394"/>
      <c r="AB801" s="118" t="str">
        <f>IF(OR(ISBLANK($B801),ISBLANK($AA801)),"",IFERROR(IF($AA801&lt;=DATE('ESTADO CONTABLE'!$B$2,9,5),VLOOKUP($B801,COSTOS!$A$2:$B1014,2,FALSE)-150,VLOOKUP($B801,COSTOS!$A$2:$B1014,2,FALSE)),"No encontrado o error"))</f>
        <v/>
      </c>
      <c r="AC801" s="395"/>
      <c r="AD801" s="394"/>
      <c r="AE801" s="429" t="str">
        <f>IF(OR(ISBLANK($B801),ISBLANK($AD801)),"",IFERROR(IF($AD801&lt;=DATE('ESTADO CONTABLE'!$B$2,10,5),VLOOKUP($B801,COSTOS!$A$2:$B1014,2,FALSE)-150,VLOOKUP($B801,COSTOS!$A$2:$B1014,2,FALSE)),"No encontrado o error"))</f>
        <v/>
      </c>
      <c r="AF801" s="395"/>
      <c r="AG801" s="394"/>
      <c r="AH801" s="429" t="str">
        <f>IF(OR(ISBLANK($B801),ISBLANK($AG801)),"",IFERROR(IF($AG801&lt;=DATE('ESTADO CONTABLE'!$B$2,11,5),VLOOKUP($B801,COSTOS!$A$2:$B1014,2,FALSE)-150,VLOOKUP($B801,COSTOS!$A$2:$B1014,2,FALSE)),"No encontrado o error"))</f>
        <v/>
      </c>
      <c r="AI801" s="395"/>
      <c r="AJ801" s="394"/>
      <c r="AK801" s="429" t="str">
        <f>IF(OR(ISBLANK($B801),ISBLANK($AJ801)),"",IFERROR(IF($AJ801&lt;=DATE('ESTADO CONTABLE'!$B$2,12,5),VLOOKUP($B801,COSTOS!$A$2:$B1014,2,FALSE)-150,VLOOKUP($B801,COSTOS!$A$2:$B1014,2,FALSE)),"No encontrado o error"))</f>
        <v/>
      </c>
      <c r="AL801" s="395"/>
      <c r="AM801" s="254"/>
      <c r="AN801" s="255"/>
      <c r="AO801" s="256"/>
    </row>
    <row r="802" ht="22.5" customHeight="1">
      <c r="A802" s="431" t="str">
        <f>'BASE DE DATOSS'!A876</f>
        <v/>
      </c>
      <c r="B802" s="432" t="str">
        <f>'BASE DE DATOSS'!C876</f>
        <v/>
      </c>
      <c r="C802" s="263"/>
      <c r="D802" s="249"/>
      <c r="E802" s="250"/>
      <c r="F802" s="251"/>
      <c r="G802" s="262"/>
      <c r="H802" s="257"/>
      <c r="I802" s="249"/>
      <c r="J802" s="193" t="str">
        <f>IF(OR(ISBLANK($B802),ISBLANK($I802)),"",IFERROR(IF($I802&lt;=DATE('ESTADO CONTABLE'!$B$2,3,5),VLOOKUP($B802,COSTOS!$A$2:$B1014,2,FALSE)-150,VLOOKUP($B802,COSTOS!$A$2:$B1014,2,FALSE)),"No encontrado o error"))</f>
        <v/>
      </c>
      <c r="K802" s="264"/>
      <c r="L802" s="249"/>
      <c r="M802" s="189"/>
      <c r="N802" s="264"/>
      <c r="O802" s="249"/>
      <c r="P802" s="250"/>
      <c r="Q802" s="264"/>
      <c r="R802" s="249"/>
      <c r="S802" s="250"/>
      <c r="T802" s="264"/>
      <c r="U802" s="249"/>
      <c r="V802" s="250"/>
      <c r="W802" s="264"/>
      <c r="X802" s="394"/>
      <c r="Y802" s="429"/>
      <c r="Z802" s="395"/>
      <c r="AA802" s="394"/>
      <c r="AB802" s="118" t="str">
        <f>IF(OR(ISBLANK($B802),ISBLANK($AA802)),"",IFERROR(IF($AA802&lt;=DATE('ESTADO CONTABLE'!$B$2,9,5),VLOOKUP($B802,COSTOS!$A$2:$B1014,2,FALSE)-150,VLOOKUP($B802,COSTOS!$A$2:$B1014,2,FALSE)),"No encontrado o error"))</f>
        <v/>
      </c>
      <c r="AC802" s="395"/>
      <c r="AD802" s="394"/>
      <c r="AE802" s="429" t="str">
        <f>IF(OR(ISBLANK($B802),ISBLANK($AD802)),"",IFERROR(IF($AD802&lt;=DATE('ESTADO CONTABLE'!$B$2,10,5),VLOOKUP($B802,COSTOS!$A$2:$B1014,2,FALSE)-150,VLOOKUP($B802,COSTOS!$A$2:$B1014,2,FALSE)),"No encontrado o error"))</f>
        <v/>
      </c>
      <c r="AF802" s="395"/>
      <c r="AG802" s="394"/>
      <c r="AH802" s="429" t="str">
        <f>IF(OR(ISBLANK($B802),ISBLANK($AG802)),"",IFERROR(IF($AG802&lt;=DATE('ESTADO CONTABLE'!$B$2,11,5),VLOOKUP($B802,COSTOS!$A$2:$B1014,2,FALSE)-150,VLOOKUP($B802,COSTOS!$A$2:$B1014,2,FALSE)),"No encontrado o error"))</f>
        <v/>
      </c>
      <c r="AI802" s="395"/>
      <c r="AJ802" s="394"/>
      <c r="AK802" s="429" t="str">
        <f>IF(OR(ISBLANK($B802),ISBLANK($AJ802)),"",IFERROR(IF($AJ802&lt;=DATE('ESTADO CONTABLE'!$B$2,12,5),VLOOKUP($B802,COSTOS!$A$2:$B1014,2,FALSE)-150,VLOOKUP($B802,COSTOS!$A$2:$B1014,2,FALSE)),"No encontrado o error"))</f>
        <v/>
      </c>
      <c r="AL802" s="395"/>
      <c r="AM802" s="254"/>
      <c r="AN802" s="255"/>
      <c r="AO802" s="256"/>
    </row>
    <row r="803" ht="22.5" customHeight="1">
      <c r="A803" s="431" t="str">
        <f>'BASE DE DATOSS'!A877</f>
        <v/>
      </c>
      <c r="B803" s="432" t="str">
        <f>'BASE DE DATOSS'!C877</f>
        <v/>
      </c>
      <c r="C803" s="263"/>
      <c r="D803" s="249"/>
      <c r="E803" s="250"/>
      <c r="F803" s="251"/>
      <c r="G803" s="262"/>
      <c r="H803" s="257"/>
      <c r="I803" s="249"/>
      <c r="J803" s="193" t="str">
        <f>IF(OR(ISBLANK($B803),ISBLANK($I803)),"",IFERROR(IF($I803&lt;=DATE('ESTADO CONTABLE'!$B$2,3,5),VLOOKUP($B803,COSTOS!$A$2:$B1014,2,FALSE)-150,VLOOKUP($B803,COSTOS!$A$2:$B1014,2,FALSE)),"No encontrado o error"))</f>
        <v/>
      </c>
      <c r="K803" s="264"/>
      <c r="L803" s="249"/>
      <c r="M803" s="189"/>
      <c r="N803" s="264"/>
      <c r="O803" s="249"/>
      <c r="P803" s="250"/>
      <c r="Q803" s="264"/>
      <c r="R803" s="249"/>
      <c r="S803" s="250"/>
      <c r="T803" s="264"/>
      <c r="U803" s="249"/>
      <c r="V803" s="250"/>
      <c r="W803" s="264"/>
      <c r="X803" s="394"/>
      <c r="Y803" s="429"/>
      <c r="Z803" s="395"/>
      <c r="AA803" s="394"/>
      <c r="AB803" s="118" t="str">
        <f>IF(OR(ISBLANK($B803),ISBLANK($AA803)),"",IFERROR(IF($AA803&lt;=DATE('ESTADO CONTABLE'!$B$2,9,5),VLOOKUP($B803,COSTOS!$A$2:$B1014,2,FALSE)-150,VLOOKUP($B803,COSTOS!$A$2:$B1014,2,FALSE)),"No encontrado o error"))</f>
        <v/>
      </c>
      <c r="AC803" s="395"/>
      <c r="AD803" s="394"/>
      <c r="AE803" s="429" t="str">
        <f>IF(OR(ISBLANK($B803),ISBLANK($AD803)),"",IFERROR(IF($AD803&lt;=DATE('ESTADO CONTABLE'!$B$2,10,5),VLOOKUP($B803,COSTOS!$A$2:$B1014,2,FALSE)-150,VLOOKUP($B803,COSTOS!$A$2:$B1014,2,FALSE)),"No encontrado o error"))</f>
        <v/>
      </c>
      <c r="AF803" s="395"/>
      <c r="AG803" s="394"/>
      <c r="AH803" s="429" t="str">
        <f>IF(OR(ISBLANK($B803),ISBLANK($AG803)),"",IFERROR(IF($AG803&lt;=DATE('ESTADO CONTABLE'!$B$2,11,5),VLOOKUP($B803,COSTOS!$A$2:$B1014,2,FALSE)-150,VLOOKUP($B803,COSTOS!$A$2:$B1014,2,FALSE)),"No encontrado o error"))</f>
        <v/>
      </c>
      <c r="AI803" s="395"/>
      <c r="AJ803" s="394"/>
      <c r="AK803" s="429" t="str">
        <f>IF(OR(ISBLANK($B803),ISBLANK($AJ803)),"",IFERROR(IF($AJ803&lt;=DATE('ESTADO CONTABLE'!$B$2,12,5),VLOOKUP($B803,COSTOS!$A$2:$B1014,2,FALSE)-150,VLOOKUP($B803,COSTOS!$A$2:$B1014,2,FALSE)),"No encontrado o error"))</f>
        <v/>
      </c>
      <c r="AL803" s="395"/>
      <c r="AM803" s="254"/>
      <c r="AN803" s="255"/>
      <c r="AO803" s="256"/>
    </row>
    <row r="804" ht="22.5" customHeight="1">
      <c r="A804" s="431" t="str">
        <f>'BASE DE DATOSS'!A878</f>
        <v/>
      </c>
      <c r="B804" s="432" t="str">
        <f>'BASE DE DATOSS'!C878</f>
        <v/>
      </c>
      <c r="C804" s="263"/>
      <c r="D804" s="249"/>
      <c r="E804" s="250"/>
      <c r="F804" s="251"/>
      <c r="G804" s="262"/>
      <c r="H804" s="257"/>
      <c r="I804" s="249"/>
      <c r="J804" s="193" t="str">
        <f>IF(OR(ISBLANK($B804),ISBLANK($I804)),"",IFERROR(IF($I804&lt;=DATE('ESTADO CONTABLE'!$B$2,3,5),VLOOKUP($B804,COSTOS!$A$2:$B1014,2,FALSE)-150,VLOOKUP($B804,COSTOS!$A$2:$B1014,2,FALSE)),"No encontrado o error"))</f>
        <v/>
      </c>
      <c r="K804" s="264"/>
      <c r="L804" s="249"/>
      <c r="M804" s="189"/>
      <c r="N804" s="264"/>
      <c r="O804" s="249"/>
      <c r="P804" s="250"/>
      <c r="Q804" s="264"/>
      <c r="R804" s="249"/>
      <c r="S804" s="250"/>
      <c r="T804" s="264"/>
      <c r="U804" s="249"/>
      <c r="V804" s="250"/>
      <c r="W804" s="264"/>
      <c r="X804" s="394"/>
      <c r="Y804" s="429"/>
      <c r="Z804" s="395"/>
      <c r="AA804" s="394"/>
      <c r="AB804" s="118" t="str">
        <f>IF(OR(ISBLANK($B804),ISBLANK($AA804)),"",IFERROR(IF($AA804&lt;=DATE('ESTADO CONTABLE'!$B$2,9,5),VLOOKUP($B804,COSTOS!$A$2:$B1014,2,FALSE)-150,VLOOKUP($B804,COSTOS!$A$2:$B1014,2,FALSE)),"No encontrado o error"))</f>
        <v/>
      </c>
      <c r="AC804" s="395"/>
      <c r="AD804" s="394"/>
      <c r="AE804" s="429" t="str">
        <f>IF(OR(ISBLANK($B804),ISBLANK($AD804)),"",IFERROR(IF($AD804&lt;=DATE('ESTADO CONTABLE'!$B$2,10,5),VLOOKUP($B804,COSTOS!$A$2:$B1014,2,FALSE)-150,VLOOKUP($B804,COSTOS!$A$2:$B1014,2,FALSE)),"No encontrado o error"))</f>
        <v/>
      </c>
      <c r="AF804" s="395"/>
      <c r="AG804" s="394"/>
      <c r="AH804" s="429" t="str">
        <f>IF(OR(ISBLANK($B804),ISBLANK($AG804)),"",IFERROR(IF($AG804&lt;=DATE('ESTADO CONTABLE'!$B$2,11,5),VLOOKUP($B804,COSTOS!$A$2:$B1014,2,FALSE)-150,VLOOKUP($B804,COSTOS!$A$2:$B1014,2,FALSE)),"No encontrado o error"))</f>
        <v/>
      </c>
      <c r="AI804" s="395"/>
      <c r="AJ804" s="394"/>
      <c r="AK804" s="429" t="str">
        <f>IF(OR(ISBLANK($B804),ISBLANK($AJ804)),"",IFERROR(IF($AJ804&lt;=DATE('ESTADO CONTABLE'!$B$2,12,5),VLOOKUP($B804,COSTOS!$A$2:$B1014,2,FALSE)-150,VLOOKUP($B804,COSTOS!$A$2:$B1014,2,FALSE)),"No encontrado o error"))</f>
        <v/>
      </c>
      <c r="AL804" s="395"/>
      <c r="AM804" s="254"/>
      <c r="AN804" s="255"/>
      <c r="AO804" s="256"/>
    </row>
    <row r="805" ht="22.5" customHeight="1">
      <c r="A805" s="431" t="str">
        <f>'BASE DE DATOSS'!A879</f>
        <v/>
      </c>
      <c r="B805" s="432" t="str">
        <f>'BASE DE DATOSS'!C879</f>
        <v/>
      </c>
      <c r="C805" s="263"/>
      <c r="D805" s="249"/>
      <c r="E805" s="250"/>
      <c r="F805" s="251"/>
      <c r="G805" s="262"/>
      <c r="H805" s="257"/>
      <c r="I805" s="249"/>
      <c r="J805" s="193" t="str">
        <f>IF(OR(ISBLANK($B805),ISBLANK($I805)),"",IFERROR(IF($I805&lt;=DATE('ESTADO CONTABLE'!$B$2,3,5),VLOOKUP($B805,COSTOS!$A$2:$B1014,2,FALSE)-150,VLOOKUP($B805,COSTOS!$A$2:$B1014,2,FALSE)),"No encontrado o error"))</f>
        <v/>
      </c>
      <c r="K805" s="264"/>
      <c r="L805" s="249"/>
      <c r="M805" s="189"/>
      <c r="N805" s="264"/>
      <c r="O805" s="249"/>
      <c r="P805" s="250"/>
      <c r="Q805" s="264"/>
      <c r="R805" s="249"/>
      <c r="S805" s="250"/>
      <c r="T805" s="264"/>
      <c r="U805" s="249"/>
      <c r="V805" s="250"/>
      <c r="W805" s="264"/>
      <c r="X805" s="394"/>
      <c r="Y805" s="429"/>
      <c r="Z805" s="395"/>
      <c r="AA805" s="394"/>
      <c r="AB805" s="118" t="str">
        <f>IF(OR(ISBLANK($B805),ISBLANK($AA805)),"",IFERROR(IF($AA805&lt;=DATE('ESTADO CONTABLE'!$B$2,9,5),VLOOKUP($B805,COSTOS!$A$2:$B1014,2,FALSE)-150,VLOOKUP($B805,COSTOS!$A$2:$B1014,2,FALSE)),"No encontrado o error"))</f>
        <v/>
      </c>
      <c r="AC805" s="395"/>
      <c r="AD805" s="394"/>
      <c r="AE805" s="429" t="str">
        <f>IF(OR(ISBLANK($B805),ISBLANK($AD805)),"",IFERROR(IF($AD805&lt;=DATE('ESTADO CONTABLE'!$B$2,10,5),VLOOKUP($B805,COSTOS!$A$2:$B1014,2,FALSE)-150,VLOOKUP($B805,COSTOS!$A$2:$B1014,2,FALSE)),"No encontrado o error"))</f>
        <v/>
      </c>
      <c r="AF805" s="395"/>
      <c r="AG805" s="394"/>
      <c r="AH805" s="429" t="str">
        <f>IF(OR(ISBLANK($B805),ISBLANK($AG805)),"",IFERROR(IF($AG805&lt;=DATE('ESTADO CONTABLE'!$B$2,11,5),VLOOKUP($B805,COSTOS!$A$2:$B1014,2,FALSE)-150,VLOOKUP($B805,COSTOS!$A$2:$B1014,2,FALSE)),"No encontrado o error"))</f>
        <v/>
      </c>
      <c r="AI805" s="395"/>
      <c r="AJ805" s="394"/>
      <c r="AK805" s="429" t="str">
        <f>IF(OR(ISBLANK($B805),ISBLANK($AJ805)),"",IFERROR(IF($AJ805&lt;=DATE('ESTADO CONTABLE'!$B$2,12,5),VLOOKUP($B805,COSTOS!$A$2:$B1014,2,FALSE)-150,VLOOKUP($B805,COSTOS!$A$2:$B1014,2,FALSE)),"No encontrado o error"))</f>
        <v/>
      </c>
      <c r="AL805" s="395"/>
      <c r="AM805" s="254"/>
      <c r="AN805" s="255"/>
      <c r="AO805" s="256"/>
    </row>
    <row r="806" ht="22.5" customHeight="1">
      <c r="A806" s="431" t="str">
        <f>'BASE DE DATOSS'!A880</f>
        <v/>
      </c>
      <c r="B806" s="432" t="str">
        <f>'BASE DE DATOSS'!C880</f>
        <v/>
      </c>
      <c r="C806" s="263"/>
      <c r="D806" s="249"/>
      <c r="E806" s="250"/>
      <c r="F806" s="251"/>
      <c r="G806" s="262"/>
      <c r="H806" s="257"/>
      <c r="I806" s="249"/>
      <c r="J806" s="193" t="str">
        <f>IF(OR(ISBLANK($B806),ISBLANK($I806)),"",IFERROR(IF($I806&lt;=DATE('ESTADO CONTABLE'!$B$2,3,5),VLOOKUP($B806,COSTOS!$A$2:$B1014,2,FALSE)-150,VLOOKUP($B806,COSTOS!$A$2:$B1014,2,FALSE)),"No encontrado o error"))</f>
        <v/>
      </c>
      <c r="K806" s="264"/>
      <c r="L806" s="249"/>
      <c r="M806" s="189"/>
      <c r="N806" s="264"/>
      <c r="O806" s="249"/>
      <c r="P806" s="250"/>
      <c r="Q806" s="264"/>
      <c r="R806" s="249"/>
      <c r="S806" s="250"/>
      <c r="T806" s="264"/>
      <c r="U806" s="249"/>
      <c r="V806" s="250"/>
      <c r="W806" s="264"/>
      <c r="X806" s="394"/>
      <c r="Y806" s="429"/>
      <c r="Z806" s="395"/>
      <c r="AA806" s="394"/>
      <c r="AB806" s="118" t="str">
        <f>IF(OR(ISBLANK($B806),ISBLANK($AA806)),"",IFERROR(IF($AA806&lt;=DATE('ESTADO CONTABLE'!$B$2,9,5),VLOOKUP($B806,COSTOS!$A$2:$B1014,2,FALSE)-150,VLOOKUP($B806,COSTOS!$A$2:$B1014,2,FALSE)),"No encontrado o error"))</f>
        <v/>
      </c>
      <c r="AC806" s="395"/>
      <c r="AD806" s="394"/>
      <c r="AE806" s="429" t="str">
        <f>IF(OR(ISBLANK($B806),ISBLANK($AD806)),"",IFERROR(IF($AD806&lt;=DATE('ESTADO CONTABLE'!$B$2,10,5),VLOOKUP($B806,COSTOS!$A$2:$B1014,2,FALSE)-150,VLOOKUP($B806,COSTOS!$A$2:$B1014,2,FALSE)),"No encontrado o error"))</f>
        <v/>
      </c>
      <c r="AF806" s="395"/>
      <c r="AG806" s="394"/>
      <c r="AH806" s="429" t="str">
        <f>IF(OR(ISBLANK($B806),ISBLANK($AG806)),"",IFERROR(IF($AG806&lt;=DATE('ESTADO CONTABLE'!$B$2,11,5),VLOOKUP($B806,COSTOS!$A$2:$B1014,2,FALSE)-150,VLOOKUP($B806,COSTOS!$A$2:$B1014,2,FALSE)),"No encontrado o error"))</f>
        <v/>
      </c>
      <c r="AI806" s="395"/>
      <c r="AJ806" s="394"/>
      <c r="AK806" s="429" t="str">
        <f>IF(OR(ISBLANK($B806),ISBLANK($AJ806)),"",IFERROR(IF($AJ806&lt;=DATE('ESTADO CONTABLE'!$B$2,12,5),VLOOKUP($B806,COSTOS!$A$2:$B1014,2,FALSE)-150,VLOOKUP($B806,COSTOS!$A$2:$B1014,2,FALSE)),"No encontrado o error"))</f>
        <v/>
      </c>
      <c r="AL806" s="395"/>
      <c r="AM806" s="254"/>
      <c r="AN806" s="255"/>
      <c r="AO806" s="256"/>
    </row>
    <row r="807" ht="22.5" customHeight="1">
      <c r="A807" s="431" t="str">
        <f>'BASE DE DATOSS'!A881</f>
        <v/>
      </c>
      <c r="B807" s="432" t="str">
        <f>'BASE DE DATOSS'!C881</f>
        <v/>
      </c>
      <c r="C807" s="263"/>
      <c r="D807" s="249"/>
      <c r="E807" s="250"/>
      <c r="F807" s="251"/>
      <c r="G807" s="262"/>
      <c r="H807" s="257"/>
      <c r="I807" s="249"/>
      <c r="J807" s="193" t="str">
        <f>IF(OR(ISBLANK($B807),ISBLANK($I807)),"",IFERROR(IF($I807&lt;=DATE('ESTADO CONTABLE'!$B$2,3,5),VLOOKUP($B807,COSTOS!$A$2:$B1014,2,FALSE)-150,VLOOKUP($B807,COSTOS!$A$2:$B1014,2,FALSE)),"No encontrado o error"))</f>
        <v/>
      </c>
      <c r="K807" s="264"/>
      <c r="L807" s="249"/>
      <c r="M807" s="189"/>
      <c r="N807" s="264"/>
      <c r="O807" s="249"/>
      <c r="P807" s="250"/>
      <c r="Q807" s="264"/>
      <c r="R807" s="249"/>
      <c r="S807" s="250"/>
      <c r="T807" s="264"/>
      <c r="U807" s="249"/>
      <c r="V807" s="250"/>
      <c r="W807" s="264"/>
      <c r="X807" s="394"/>
      <c r="Y807" s="429"/>
      <c r="Z807" s="395"/>
      <c r="AA807" s="394"/>
      <c r="AB807" s="118" t="str">
        <f>IF(OR(ISBLANK($B807),ISBLANK($AA807)),"",IFERROR(IF($AA807&lt;=DATE('ESTADO CONTABLE'!$B$2,9,5),VLOOKUP($B807,COSTOS!$A$2:$B1014,2,FALSE)-150,VLOOKUP($B807,COSTOS!$A$2:$B1014,2,FALSE)),"No encontrado o error"))</f>
        <v/>
      </c>
      <c r="AC807" s="395"/>
      <c r="AD807" s="394"/>
      <c r="AE807" s="429" t="str">
        <f>IF(OR(ISBLANK($B807),ISBLANK($AD807)),"",IFERROR(IF($AD807&lt;=DATE('ESTADO CONTABLE'!$B$2,10,5),VLOOKUP($B807,COSTOS!$A$2:$B1014,2,FALSE)-150,VLOOKUP($B807,COSTOS!$A$2:$B1014,2,FALSE)),"No encontrado o error"))</f>
        <v/>
      </c>
      <c r="AF807" s="395"/>
      <c r="AG807" s="394"/>
      <c r="AH807" s="429" t="str">
        <f>IF(OR(ISBLANK($B807),ISBLANK($AG807)),"",IFERROR(IF($AG807&lt;=DATE('ESTADO CONTABLE'!$B$2,11,5),VLOOKUP($B807,COSTOS!$A$2:$B1014,2,FALSE)-150,VLOOKUP($B807,COSTOS!$A$2:$B1014,2,FALSE)),"No encontrado o error"))</f>
        <v/>
      </c>
      <c r="AI807" s="395"/>
      <c r="AJ807" s="394"/>
      <c r="AK807" s="429" t="str">
        <f>IF(OR(ISBLANK($B807),ISBLANK($AJ807)),"",IFERROR(IF($AJ807&lt;=DATE('ESTADO CONTABLE'!$B$2,12,5),VLOOKUP($B807,COSTOS!$A$2:$B1014,2,FALSE)-150,VLOOKUP($B807,COSTOS!$A$2:$B1014,2,FALSE)),"No encontrado o error"))</f>
        <v/>
      </c>
      <c r="AL807" s="395"/>
      <c r="AM807" s="254"/>
      <c r="AN807" s="255"/>
      <c r="AO807" s="256"/>
    </row>
    <row r="808" ht="22.5" customHeight="1">
      <c r="A808" s="431" t="str">
        <f>'BASE DE DATOSS'!A882</f>
        <v/>
      </c>
      <c r="B808" s="432" t="str">
        <f>'BASE DE DATOSS'!C882</f>
        <v/>
      </c>
      <c r="C808" s="263"/>
      <c r="D808" s="249"/>
      <c r="E808" s="250"/>
      <c r="F808" s="251"/>
      <c r="G808" s="262"/>
      <c r="H808" s="257"/>
      <c r="I808" s="249"/>
      <c r="J808" s="193" t="str">
        <f>IF(OR(ISBLANK($B808),ISBLANK($I808)),"",IFERROR(IF($I808&lt;=DATE('ESTADO CONTABLE'!$B$2,3,5),VLOOKUP($B808,COSTOS!$A$2:$B1014,2,FALSE)-150,VLOOKUP($B808,COSTOS!$A$2:$B1014,2,FALSE)),"No encontrado o error"))</f>
        <v/>
      </c>
      <c r="K808" s="264"/>
      <c r="L808" s="249"/>
      <c r="M808" s="189"/>
      <c r="N808" s="264"/>
      <c r="O808" s="249"/>
      <c r="P808" s="250"/>
      <c r="Q808" s="264"/>
      <c r="R808" s="249"/>
      <c r="S808" s="250"/>
      <c r="T808" s="264"/>
      <c r="U808" s="249"/>
      <c r="V808" s="250"/>
      <c r="W808" s="264"/>
      <c r="X808" s="394"/>
      <c r="Y808" s="429"/>
      <c r="Z808" s="395"/>
      <c r="AA808" s="394"/>
      <c r="AB808" s="118" t="str">
        <f>IF(OR(ISBLANK($B808),ISBLANK($AA808)),"",IFERROR(IF($AA808&lt;=DATE('ESTADO CONTABLE'!$B$2,9,5),VLOOKUP($B808,COSTOS!$A$2:$B1014,2,FALSE)-150,VLOOKUP($B808,COSTOS!$A$2:$B1014,2,FALSE)),"No encontrado o error"))</f>
        <v/>
      </c>
      <c r="AC808" s="395"/>
      <c r="AD808" s="394"/>
      <c r="AE808" s="429" t="str">
        <f>IF(OR(ISBLANK($B808),ISBLANK($AD808)),"",IFERROR(IF($AD808&lt;=DATE('ESTADO CONTABLE'!$B$2,10,5),VLOOKUP($B808,COSTOS!$A$2:$B1014,2,FALSE)-150,VLOOKUP($B808,COSTOS!$A$2:$B1014,2,FALSE)),"No encontrado o error"))</f>
        <v/>
      </c>
      <c r="AF808" s="395"/>
      <c r="AG808" s="394"/>
      <c r="AH808" s="429" t="str">
        <f>IF(OR(ISBLANK($B808),ISBLANK($AG808)),"",IFERROR(IF($AG808&lt;=DATE('ESTADO CONTABLE'!$B$2,11,5),VLOOKUP($B808,COSTOS!$A$2:$B1014,2,FALSE)-150,VLOOKUP($B808,COSTOS!$A$2:$B1014,2,FALSE)),"No encontrado o error"))</f>
        <v/>
      </c>
      <c r="AI808" s="395"/>
      <c r="AJ808" s="394"/>
      <c r="AK808" s="429" t="str">
        <f>IF(OR(ISBLANK($B808),ISBLANK($AJ808)),"",IFERROR(IF($AJ808&lt;=DATE('ESTADO CONTABLE'!$B$2,12,5),VLOOKUP($B808,COSTOS!$A$2:$B1014,2,FALSE)-150,VLOOKUP($B808,COSTOS!$A$2:$B1014,2,FALSE)),"No encontrado o error"))</f>
        <v/>
      </c>
      <c r="AL808" s="395"/>
      <c r="AM808" s="254"/>
      <c r="AN808" s="255"/>
      <c r="AO808" s="256"/>
    </row>
    <row r="809" ht="22.5" customHeight="1">
      <c r="A809" s="431" t="str">
        <f>'BASE DE DATOSS'!A883</f>
        <v/>
      </c>
      <c r="B809" s="432" t="str">
        <f>'BASE DE DATOSS'!C883</f>
        <v/>
      </c>
      <c r="C809" s="263"/>
      <c r="D809" s="249"/>
      <c r="E809" s="250"/>
      <c r="F809" s="251"/>
      <c r="G809" s="262"/>
      <c r="H809" s="257"/>
      <c r="I809" s="249"/>
      <c r="J809" s="193" t="str">
        <f>IF(OR(ISBLANK($B809),ISBLANK($I809)),"",IFERROR(IF($I809&lt;=DATE('ESTADO CONTABLE'!$B$2,3,5),VLOOKUP($B809,COSTOS!$A$2:$B1014,2,FALSE)-150,VLOOKUP($B809,COSTOS!$A$2:$B1014,2,FALSE)),"No encontrado o error"))</f>
        <v/>
      </c>
      <c r="K809" s="264"/>
      <c r="L809" s="249"/>
      <c r="M809" s="189"/>
      <c r="N809" s="264"/>
      <c r="O809" s="249"/>
      <c r="P809" s="250"/>
      <c r="Q809" s="264"/>
      <c r="R809" s="249"/>
      <c r="S809" s="250"/>
      <c r="T809" s="264"/>
      <c r="U809" s="249"/>
      <c r="V809" s="250"/>
      <c r="W809" s="264"/>
      <c r="X809" s="394"/>
      <c r="Y809" s="429"/>
      <c r="Z809" s="395"/>
      <c r="AA809" s="394"/>
      <c r="AB809" s="118" t="str">
        <f>IF(OR(ISBLANK($B809),ISBLANK($AA809)),"",IFERROR(IF($AA809&lt;=DATE('ESTADO CONTABLE'!$B$2,9,5),VLOOKUP($B809,COSTOS!$A$2:$B1014,2,FALSE)-150,VLOOKUP($B809,COSTOS!$A$2:$B1014,2,FALSE)),"No encontrado o error"))</f>
        <v/>
      </c>
      <c r="AC809" s="395"/>
      <c r="AD809" s="394"/>
      <c r="AE809" s="429" t="str">
        <f>IF(OR(ISBLANK($B809),ISBLANK($AD809)),"",IFERROR(IF($AD809&lt;=DATE('ESTADO CONTABLE'!$B$2,10,5),VLOOKUP($B809,COSTOS!$A$2:$B1014,2,FALSE)-150,VLOOKUP($B809,COSTOS!$A$2:$B1014,2,FALSE)),"No encontrado o error"))</f>
        <v/>
      </c>
      <c r="AF809" s="395"/>
      <c r="AG809" s="394"/>
      <c r="AH809" s="429" t="str">
        <f>IF(OR(ISBLANK($B809),ISBLANK($AG809)),"",IFERROR(IF($AG809&lt;=DATE('ESTADO CONTABLE'!$B$2,11,5),VLOOKUP($B809,COSTOS!$A$2:$B1014,2,FALSE)-150,VLOOKUP($B809,COSTOS!$A$2:$B1014,2,FALSE)),"No encontrado o error"))</f>
        <v/>
      </c>
      <c r="AI809" s="395"/>
      <c r="AJ809" s="394"/>
      <c r="AK809" s="429" t="str">
        <f>IF(OR(ISBLANK($B809),ISBLANK($AJ809)),"",IFERROR(IF($AJ809&lt;=DATE('ESTADO CONTABLE'!$B$2,12,5),VLOOKUP($B809,COSTOS!$A$2:$B1014,2,FALSE)-150,VLOOKUP($B809,COSTOS!$A$2:$B1014,2,FALSE)),"No encontrado o error"))</f>
        <v/>
      </c>
      <c r="AL809" s="395"/>
      <c r="AM809" s="254"/>
      <c r="AN809" s="255"/>
      <c r="AO809" s="256"/>
    </row>
    <row r="810" ht="22.5" customHeight="1">
      <c r="A810" s="431" t="str">
        <f>'BASE DE DATOSS'!A884</f>
        <v/>
      </c>
      <c r="B810" s="432" t="str">
        <f>'BASE DE DATOSS'!C884</f>
        <v/>
      </c>
      <c r="C810" s="263"/>
      <c r="D810" s="249"/>
      <c r="E810" s="250"/>
      <c r="F810" s="251"/>
      <c r="G810" s="262"/>
      <c r="H810" s="257"/>
      <c r="I810" s="249"/>
      <c r="J810" s="193" t="str">
        <f>IF(OR(ISBLANK($B810),ISBLANK($I810)),"",IFERROR(IF($I810&lt;=DATE('ESTADO CONTABLE'!$B$2,3,5),VLOOKUP($B810,COSTOS!$A$2:$B1014,2,FALSE)-150,VLOOKUP($B810,COSTOS!$A$2:$B1014,2,FALSE)),"No encontrado o error"))</f>
        <v/>
      </c>
      <c r="K810" s="264"/>
      <c r="L810" s="249"/>
      <c r="M810" s="189"/>
      <c r="N810" s="264"/>
      <c r="O810" s="249"/>
      <c r="P810" s="250"/>
      <c r="Q810" s="264"/>
      <c r="R810" s="249"/>
      <c r="S810" s="250"/>
      <c r="T810" s="264"/>
      <c r="U810" s="249"/>
      <c r="V810" s="250"/>
      <c r="W810" s="264"/>
      <c r="X810" s="394"/>
      <c r="Y810" s="429"/>
      <c r="Z810" s="395"/>
      <c r="AA810" s="394"/>
      <c r="AB810" s="118" t="str">
        <f>IF(OR(ISBLANK($B810),ISBLANK($AA810)),"",IFERROR(IF($AA810&lt;=DATE('ESTADO CONTABLE'!$B$2,9,5),VLOOKUP($B810,COSTOS!$A$2:$B1014,2,FALSE)-150,VLOOKUP($B810,COSTOS!$A$2:$B1014,2,FALSE)),"No encontrado o error"))</f>
        <v/>
      </c>
      <c r="AC810" s="395"/>
      <c r="AD810" s="394"/>
      <c r="AE810" s="429" t="str">
        <f>IF(OR(ISBLANK($B810),ISBLANK($AD810)),"",IFERROR(IF($AD810&lt;=DATE('ESTADO CONTABLE'!$B$2,10,5),VLOOKUP($B810,COSTOS!$A$2:$B1014,2,FALSE)-150,VLOOKUP($B810,COSTOS!$A$2:$B1014,2,FALSE)),"No encontrado o error"))</f>
        <v/>
      </c>
      <c r="AF810" s="395"/>
      <c r="AG810" s="394"/>
      <c r="AH810" s="429" t="str">
        <f>IF(OR(ISBLANK($B810),ISBLANK($AG810)),"",IFERROR(IF($AG810&lt;=DATE('ESTADO CONTABLE'!$B$2,11,5),VLOOKUP($B810,COSTOS!$A$2:$B1014,2,FALSE)-150,VLOOKUP($B810,COSTOS!$A$2:$B1014,2,FALSE)),"No encontrado o error"))</f>
        <v/>
      </c>
      <c r="AI810" s="395"/>
      <c r="AJ810" s="394"/>
      <c r="AK810" s="429" t="str">
        <f>IF(OR(ISBLANK($B810),ISBLANK($AJ810)),"",IFERROR(IF($AJ810&lt;=DATE('ESTADO CONTABLE'!$B$2,12,5),VLOOKUP($B810,COSTOS!$A$2:$B1014,2,FALSE)-150,VLOOKUP($B810,COSTOS!$A$2:$B1014,2,FALSE)),"No encontrado o error"))</f>
        <v/>
      </c>
      <c r="AL810" s="395"/>
      <c r="AM810" s="254"/>
      <c r="AN810" s="255"/>
      <c r="AO810" s="256"/>
    </row>
    <row r="811" ht="22.5" customHeight="1">
      <c r="A811" s="431" t="str">
        <f>'BASE DE DATOSS'!A885</f>
        <v/>
      </c>
      <c r="B811" s="432" t="str">
        <f>'BASE DE DATOSS'!C885</f>
        <v/>
      </c>
      <c r="C811" s="263"/>
      <c r="D811" s="249"/>
      <c r="E811" s="250"/>
      <c r="F811" s="251"/>
      <c r="G811" s="262"/>
      <c r="H811" s="257"/>
      <c r="I811" s="249"/>
      <c r="J811" s="193" t="str">
        <f>IF(OR(ISBLANK($B811),ISBLANK($I811)),"",IFERROR(IF($I811&lt;=DATE('ESTADO CONTABLE'!$B$2,3,5),VLOOKUP($B811,COSTOS!$A$2:$B1014,2,FALSE)-150,VLOOKUP($B811,COSTOS!$A$2:$B1014,2,FALSE)),"No encontrado o error"))</f>
        <v/>
      </c>
      <c r="K811" s="264"/>
      <c r="L811" s="249"/>
      <c r="M811" s="189"/>
      <c r="N811" s="264"/>
      <c r="O811" s="249"/>
      <c r="P811" s="250"/>
      <c r="Q811" s="264"/>
      <c r="R811" s="249"/>
      <c r="S811" s="250"/>
      <c r="T811" s="264"/>
      <c r="U811" s="249"/>
      <c r="V811" s="250"/>
      <c r="W811" s="264"/>
      <c r="X811" s="394"/>
      <c r="Y811" s="429"/>
      <c r="Z811" s="395"/>
      <c r="AA811" s="394"/>
      <c r="AB811" s="118" t="str">
        <f>IF(OR(ISBLANK($B811),ISBLANK($AA811)),"",IFERROR(IF($AA811&lt;=DATE('ESTADO CONTABLE'!$B$2,9,5),VLOOKUP($B811,COSTOS!$A$2:$B1014,2,FALSE)-150,VLOOKUP($B811,COSTOS!$A$2:$B1014,2,FALSE)),"No encontrado o error"))</f>
        <v/>
      </c>
      <c r="AC811" s="395"/>
      <c r="AD811" s="394"/>
      <c r="AE811" s="429" t="str">
        <f>IF(OR(ISBLANK($B811),ISBLANK($AD811)),"",IFERROR(IF($AD811&lt;=DATE('ESTADO CONTABLE'!$B$2,10,5),VLOOKUP($B811,COSTOS!$A$2:$B1014,2,FALSE)-150,VLOOKUP($B811,COSTOS!$A$2:$B1014,2,FALSE)),"No encontrado o error"))</f>
        <v/>
      </c>
      <c r="AF811" s="395"/>
      <c r="AG811" s="394"/>
      <c r="AH811" s="429" t="str">
        <f>IF(OR(ISBLANK($B811),ISBLANK($AG811)),"",IFERROR(IF($AG811&lt;=DATE('ESTADO CONTABLE'!$B$2,11,5),VLOOKUP($B811,COSTOS!$A$2:$B1014,2,FALSE)-150,VLOOKUP($B811,COSTOS!$A$2:$B1014,2,FALSE)),"No encontrado o error"))</f>
        <v/>
      </c>
      <c r="AI811" s="395"/>
      <c r="AJ811" s="394"/>
      <c r="AK811" s="429" t="str">
        <f>IF(OR(ISBLANK($B811),ISBLANK($AJ811)),"",IFERROR(IF($AJ811&lt;=DATE('ESTADO CONTABLE'!$B$2,12,5),VLOOKUP($B811,COSTOS!$A$2:$B1014,2,FALSE)-150,VLOOKUP($B811,COSTOS!$A$2:$B1014,2,FALSE)),"No encontrado o error"))</f>
        <v/>
      </c>
      <c r="AL811" s="395"/>
      <c r="AM811" s="254"/>
      <c r="AN811" s="255"/>
      <c r="AO811" s="256"/>
    </row>
    <row r="812" ht="22.5" customHeight="1">
      <c r="A812" s="431" t="str">
        <f>'BASE DE DATOSS'!A886</f>
        <v/>
      </c>
      <c r="B812" s="432" t="str">
        <f>'BASE DE DATOSS'!C886</f>
        <v/>
      </c>
      <c r="C812" s="263"/>
      <c r="D812" s="249"/>
      <c r="E812" s="250"/>
      <c r="F812" s="251"/>
      <c r="G812" s="262"/>
      <c r="H812" s="257"/>
      <c r="I812" s="249"/>
      <c r="J812" s="193" t="str">
        <f>IF(OR(ISBLANK($B812),ISBLANK($I812)),"",IFERROR(IF($I812&lt;=DATE('ESTADO CONTABLE'!$B$2,3,5),VLOOKUP($B812,COSTOS!$A$2:$B1014,2,FALSE)-150,VLOOKUP($B812,COSTOS!$A$2:$B1014,2,FALSE)),"No encontrado o error"))</f>
        <v/>
      </c>
      <c r="K812" s="264"/>
      <c r="L812" s="249"/>
      <c r="M812" s="189"/>
      <c r="N812" s="264"/>
      <c r="O812" s="249"/>
      <c r="P812" s="250"/>
      <c r="Q812" s="264"/>
      <c r="R812" s="249"/>
      <c r="S812" s="250"/>
      <c r="T812" s="264"/>
      <c r="U812" s="249"/>
      <c r="V812" s="250"/>
      <c r="W812" s="264"/>
      <c r="X812" s="394"/>
      <c r="Y812" s="429"/>
      <c r="Z812" s="395"/>
      <c r="AA812" s="394"/>
      <c r="AB812" s="118" t="str">
        <f>IF(OR(ISBLANK($B812),ISBLANK($AA812)),"",IFERROR(IF($AA812&lt;=DATE('ESTADO CONTABLE'!$B$2,9,5),VLOOKUP($B812,COSTOS!$A$2:$B1014,2,FALSE)-150,VLOOKUP($B812,COSTOS!$A$2:$B1014,2,FALSE)),"No encontrado o error"))</f>
        <v/>
      </c>
      <c r="AC812" s="395"/>
      <c r="AD812" s="394"/>
      <c r="AE812" s="429" t="str">
        <f>IF(OR(ISBLANK($B812),ISBLANK($AD812)),"",IFERROR(IF($AD812&lt;=DATE('ESTADO CONTABLE'!$B$2,10,5),VLOOKUP($B812,COSTOS!$A$2:$B1014,2,FALSE)-150,VLOOKUP($B812,COSTOS!$A$2:$B1014,2,FALSE)),"No encontrado o error"))</f>
        <v/>
      </c>
      <c r="AF812" s="395"/>
      <c r="AG812" s="394"/>
      <c r="AH812" s="429" t="str">
        <f>IF(OR(ISBLANK($B812),ISBLANK($AG812)),"",IFERROR(IF($AG812&lt;=DATE('ESTADO CONTABLE'!$B$2,11,5),VLOOKUP($B812,COSTOS!$A$2:$B1014,2,FALSE)-150,VLOOKUP($B812,COSTOS!$A$2:$B1014,2,FALSE)),"No encontrado o error"))</f>
        <v/>
      </c>
      <c r="AI812" s="395"/>
      <c r="AJ812" s="394"/>
      <c r="AK812" s="429" t="str">
        <f>IF(OR(ISBLANK($B812),ISBLANK($AJ812)),"",IFERROR(IF($AJ812&lt;=DATE('ESTADO CONTABLE'!$B$2,12,5),VLOOKUP($B812,COSTOS!$A$2:$B1014,2,FALSE)-150,VLOOKUP($B812,COSTOS!$A$2:$B1014,2,FALSE)),"No encontrado o error"))</f>
        <v/>
      </c>
      <c r="AL812" s="395"/>
      <c r="AM812" s="254"/>
      <c r="AN812" s="255"/>
      <c r="AO812" s="256"/>
    </row>
    <row r="813" ht="22.5" customHeight="1">
      <c r="A813" s="431" t="str">
        <f>'BASE DE DATOSS'!A887</f>
        <v/>
      </c>
      <c r="B813" s="432" t="str">
        <f>'BASE DE DATOSS'!C887</f>
        <v/>
      </c>
      <c r="C813" s="263"/>
      <c r="D813" s="249"/>
      <c r="E813" s="250"/>
      <c r="F813" s="251"/>
      <c r="G813" s="262"/>
      <c r="H813" s="257"/>
      <c r="I813" s="249"/>
      <c r="J813" s="193" t="str">
        <f>IF(OR(ISBLANK($B813),ISBLANK($I813)),"",IFERROR(IF($I813&lt;=DATE('ESTADO CONTABLE'!$B$2,3,5),VLOOKUP($B813,COSTOS!$A$2:$B1014,2,FALSE)-150,VLOOKUP($B813,COSTOS!$A$2:$B1014,2,FALSE)),"No encontrado o error"))</f>
        <v/>
      </c>
      <c r="K813" s="264"/>
      <c r="L813" s="249"/>
      <c r="M813" s="189"/>
      <c r="N813" s="264"/>
      <c r="O813" s="249"/>
      <c r="P813" s="250"/>
      <c r="Q813" s="264"/>
      <c r="R813" s="249"/>
      <c r="S813" s="250"/>
      <c r="T813" s="264"/>
      <c r="U813" s="249"/>
      <c r="V813" s="250"/>
      <c r="W813" s="264"/>
      <c r="X813" s="394"/>
      <c r="Y813" s="429"/>
      <c r="Z813" s="395"/>
      <c r="AA813" s="394"/>
      <c r="AB813" s="118" t="str">
        <f>IF(OR(ISBLANK($B813),ISBLANK($AA813)),"",IFERROR(IF($AA813&lt;=DATE('ESTADO CONTABLE'!$B$2,9,5),VLOOKUP($B813,COSTOS!$A$2:$B1014,2,FALSE)-150,VLOOKUP($B813,COSTOS!$A$2:$B1014,2,FALSE)),"No encontrado o error"))</f>
        <v/>
      </c>
      <c r="AC813" s="395"/>
      <c r="AD813" s="394"/>
      <c r="AE813" s="429" t="str">
        <f>IF(OR(ISBLANK($B813),ISBLANK($AD813)),"",IFERROR(IF($AD813&lt;=DATE('ESTADO CONTABLE'!$B$2,10,5),VLOOKUP($B813,COSTOS!$A$2:$B1014,2,FALSE)-150,VLOOKUP($B813,COSTOS!$A$2:$B1014,2,FALSE)),"No encontrado o error"))</f>
        <v/>
      </c>
      <c r="AF813" s="395"/>
      <c r="AG813" s="394"/>
      <c r="AH813" s="429" t="str">
        <f>IF(OR(ISBLANK($B813),ISBLANK($AG813)),"",IFERROR(IF($AG813&lt;=DATE('ESTADO CONTABLE'!$B$2,11,5),VLOOKUP($B813,COSTOS!$A$2:$B1014,2,FALSE)-150,VLOOKUP($B813,COSTOS!$A$2:$B1014,2,FALSE)),"No encontrado o error"))</f>
        <v/>
      </c>
      <c r="AI813" s="395"/>
      <c r="AJ813" s="394"/>
      <c r="AK813" s="429" t="str">
        <f>IF(OR(ISBLANK($B813),ISBLANK($AJ813)),"",IFERROR(IF($AJ813&lt;=DATE('ESTADO CONTABLE'!$B$2,12,5),VLOOKUP($B813,COSTOS!$A$2:$B1014,2,FALSE)-150,VLOOKUP($B813,COSTOS!$A$2:$B1014,2,FALSE)),"No encontrado o error"))</f>
        <v/>
      </c>
      <c r="AL813" s="395"/>
      <c r="AM813" s="254"/>
      <c r="AN813" s="255"/>
      <c r="AO813" s="256"/>
    </row>
    <row r="814" ht="22.5" customHeight="1">
      <c r="A814" s="431" t="str">
        <f>'BASE DE DATOSS'!A888</f>
        <v/>
      </c>
      <c r="B814" s="432" t="str">
        <f>'BASE DE DATOSS'!C888</f>
        <v/>
      </c>
      <c r="C814" s="263"/>
      <c r="D814" s="249"/>
      <c r="E814" s="250"/>
      <c r="F814" s="251"/>
      <c r="G814" s="262"/>
      <c r="H814" s="257"/>
      <c r="I814" s="249"/>
      <c r="J814" s="193" t="str">
        <f>IF(OR(ISBLANK($B814),ISBLANK($I814)),"",IFERROR(IF($I814&lt;=DATE('ESTADO CONTABLE'!$B$2,3,5),VLOOKUP($B814,COSTOS!$A$2:$B1014,2,FALSE)-150,VLOOKUP($B814,COSTOS!$A$2:$B1014,2,FALSE)),"No encontrado o error"))</f>
        <v/>
      </c>
      <c r="K814" s="264"/>
      <c r="L814" s="249"/>
      <c r="M814" s="189"/>
      <c r="N814" s="264"/>
      <c r="O814" s="249"/>
      <c r="P814" s="250"/>
      <c r="Q814" s="264"/>
      <c r="R814" s="249"/>
      <c r="S814" s="250"/>
      <c r="T814" s="264"/>
      <c r="U814" s="249"/>
      <c r="V814" s="250"/>
      <c r="W814" s="264"/>
      <c r="X814" s="394"/>
      <c r="Y814" s="429"/>
      <c r="Z814" s="395"/>
      <c r="AA814" s="394"/>
      <c r="AB814" s="118" t="str">
        <f>IF(OR(ISBLANK($B814),ISBLANK($AA814)),"",IFERROR(IF($AA814&lt;=DATE('ESTADO CONTABLE'!$B$2,9,5),VLOOKUP($B814,COSTOS!$A$2:$B1014,2,FALSE)-150,VLOOKUP($B814,COSTOS!$A$2:$B1014,2,FALSE)),"No encontrado o error"))</f>
        <v/>
      </c>
      <c r="AC814" s="395"/>
      <c r="AD814" s="394"/>
      <c r="AE814" s="429" t="str">
        <f>IF(OR(ISBLANK($B814),ISBLANK($AD814)),"",IFERROR(IF($AD814&lt;=DATE('ESTADO CONTABLE'!$B$2,10,5),VLOOKUP($B814,COSTOS!$A$2:$B1014,2,FALSE)-150,VLOOKUP($B814,COSTOS!$A$2:$B1014,2,FALSE)),"No encontrado o error"))</f>
        <v/>
      </c>
      <c r="AF814" s="395"/>
      <c r="AG814" s="394"/>
      <c r="AH814" s="429" t="str">
        <f>IF(OR(ISBLANK($B814),ISBLANK($AG814)),"",IFERROR(IF($AG814&lt;=DATE('ESTADO CONTABLE'!$B$2,11,5),VLOOKUP($B814,COSTOS!$A$2:$B1014,2,FALSE)-150,VLOOKUP($B814,COSTOS!$A$2:$B1014,2,FALSE)),"No encontrado o error"))</f>
        <v/>
      </c>
      <c r="AI814" s="395"/>
      <c r="AJ814" s="394"/>
      <c r="AK814" s="429" t="str">
        <f>IF(OR(ISBLANK($B814),ISBLANK($AJ814)),"",IFERROR(IF($AJ814&lt;=DATE('ESTADO CONTABLE'!$B$2,12,5),VLOOKUP($B814,COSTOS!$A$2:$B1014,2,FALSE)-150,VLOOKUP($B814,COSTOS!$A$2:$B1014,2,FALSE)),"No encontrado o error"))</f>
        <v/>
      </c>
      <c r="AL814" s="395"/>
      <c r="AM814" s="254"/>
      <c r="AN814" s="255"/>
      <c r="AO814" s="256"/>
    </row>
    <row r="815" ht="22.5" customHeight="1">
      <c r="A815" s="431" t="str">
        <f>'BASE DE DATOSS'!A889</f>
        <v/>
      </c>
      <c r="B815" s="432" t="str">
        <f>'BASE DE DATOSS'!C889</f>
        <v/>
      </c>
      <c r="C815" s="263"/>
      <c r="D815" s="249"/>
      <c r="E815" s="250"/>
      <c r="F815" s="251"/>
      <c r="G815" s="262"/>
      <c r="H815" s="257"/>
      <c r="I815" s="249"/>
      <c r="J815" s="193" t="str">
        <f>IF(OR(ISBLANK($B815),ISBLANK($I815)),"",IFERROR(IF($I815&lt;=DATE('ESTADO CONTABLE'!$B$2,3,5),VLOOKUP($B815,COSTOS!$A$2:$B1014,2,FALSE)-150,VLOOKUP($B815,COSTOS!$A$2:$B1014,2,FALSE)),"No encontrado o error"))</f>
        <v/>
      </c>
      <c r="K815" s="264"/>
      <c r="L815" s="249"/>
      <c r="M815" s="189"/>
      <c r="N815" s="264"/>
      <c r="O815" s="249"/>
      <c r="P815" s="250"/>
      <c r="Q815" s="264"/>
      <c r="R815" s="249"/>
      <c r="S815" s="250"/>
      <c r="T815" s="264"/>
      <c r="U815" s="249"/>
      <c r="V815" s="250"/>
      <c r="W815" s="264"/>
      <c r="X815" s="394"/>
      <c r="Y815" s="429"/>
      <c r="Z815" s="395"/>
      <c r="AA815" s="394"/>
      <c r="AB815" s="118" t="str">
        <f>IF(OR(ISBLANK($B815),ISBLANK($AA815)),"",IFERROR(IF($AA815&lt;=DATE('ESTADO CONTABLE'!$B$2,9,5),VLOOKUP($B815,COSTOS!$A$2:$B1014,2,FALSE)-150,VLOOKUP($B815,COSTOS!$A$2:$B1014,2,FALSE)),"No encontrado o error"))</f>
        <v/>
      </c>
      <c r="AC815" s="395"/>
      <c r="AD815" s="394"/>
      <c r="AE815" s="429" t="str">
        <f>IF(OR(ISBLANK($B815),ISBLANK($AD815)),"",IFERROR(IF($AD815&lt;=DATE('ESTADO CONTABLE'!$B$2,10,5),VLOOKUP($B815,COSTOS!$A$2:$B1014,2,FALSE)-150,VLOOKUP($B815,COSTOS!$A$2:$B1014,2,FALSE)),"No encontrado o error"))</f>
        <v/>
      </c>
      <c r="AF815" s="395"/>
      <c r="AG815" s="394"/>
      <c r="AH815" s="429" t="str">
        <f>IF(OR(ISBLANK($B815),ISBLANK($AG815)),"",IFERROR(IF($AG815&lt;=DATE('ESTADO CONTABLE'!$B$2,11,5),VLOOKUP($B815,COSTOS!$A$2:$B1014,2,FALSE)-150,VLOOKUP($B815,COSTOS!$A$2:$B1014,2,FALSE)),"No encontrado o error"))</f>
        <v/>
      </c>
      <c r="AI815" s="395"/>
      <c r="AJ815" s="394"/>
      <c r="AK815" s="429" t="str">
        <f>IF(OR(ISBLANK($B815),ISBLANK($AJ815)),"",IFERROR(IF($AJ815&lt;=DATE('ESTADO CONTABLE'!$B$2,12,5),VLOOKUP($B815,COSTOS!$A$2:$B1014,2,FALSE)-150,VLOOKUP($B815,COSTOS!$A$2:$B1014,2,FALSE)),"No encontrado o error"))</f>
        <v/>
      </c>
      <c r="AL815" s="395"/>
      <c r="AM815" s="254"/>
      <c r="AN815" s="255"/>
      <c r="AO815" s="256"/>
    </row>
    <row r="816" ht="22.5" customHeight="1">
      <c r="A816" s="431" t="str">
        <f>'BASE DE DATOSS'!A890</f>
        <v/>
      </c>
      <c r="B816" s="432" t="str">
        <f>'BASE DE DATOSS'!C890</f>
        <v/>
      </c>
      <c r="C816" s="263"/>
      <c r="D816" s="249"/>
      <c r="E816" s="250"/>
      <c r="F816" s="251"/>
      <c r="G816" s="262"/>
      <c r="H816" s="257"/>
      <c r="I816" s="249"/>
      <c r="J816" s="193" t="str">
        <f>IF(OR(ISBLANK($B816),ISBLANK($I816)),"",IFERROR(IF($I816&lt;=DATE('ESTADO CONTABLE'!$B$2,3,5),VLOOKUP($B816,COSTOS!$A$2:$B1014,2,FALSE)-150,VLOOKUP($B816,COSTOS!$A$2:$B1014,2,FALSE)),"No encontrado o error"))</f>
        <v/>
      </c>
      <c r="K816" s="264"/>
      <c r="L816" s="249"/>
      <c r="M816" s="189"/>
      <c r="N816" s="264"/>
      <c r="O816" s="249"/>
      <c r="P816" s="250"/>
      <c r="Q816" s="264"/>
      <c r="R816" s="249"/>
      <c r="S816" s="250"/>
      <c r="T816" s="264"/>
      <c r="U816" s="249"/>
      <c r="V816" s="250"/>
      <c r="W816" s="264"/>
      <c r="X816" s="394"/>
      <c r="Y816" s="429"/>
      <c r="Z816" s="395"/>
      <c r="AA816" s="394"/>
      <c r="AB816" s="118" t="str">
        <f>IF(OR(ISBLANK($B816),ISBLANK($AA816)),"",IFERROR(IF($AA816&lt;=DATE('ESTADO CONTABLE'!$B$2,9,5),VLOOKUP($B816,COSTOS!$A$2:$B1014,2,FALSE)-150,VLOOKUP($B816,COSTOS!$A$2:$B1014,2,FALSE)),"No encontrado o error"))</f>
        <v/>
      </c>
      <c r="AC816" s="395"/>
      <c r="AD816" s="394"/>
      <c r="AE816" s="429" t="str">
        <f>IF(OR(ISBLANK($B816),ISBLANK($AD816)),"",IFERROR(IF($AD816&lt;=DATE('ESTADO CONTABLE'!$B$2,10,5),VLOOKUP($B816,COSTOS!$A$2:$B1014,2,FALSE)-150,VLOOKUP($B816,COSTOS!$A$2:$B1014,2,FALSE)),"No encontrado o error"))</f>
        <v/>
      </c>
      <c r="AF816" s="395"/>
      <c r="AG816" s="394"/>
      <c r="AH816" s="429" t="str">
        <f>IF(OR(ISBLANK($B816),ISBLANK($AG816)),"",IFERROR(IF($AG816&lt;=DATE('ESTADO CONTABLE'!$B$2,11,5),VLOOKUP($B816,COSTOS!$A$2:$B1014,2,FALSE)-150,VLOOKUP($B816,COSTOS!$A$2:$B1014,2,FALSE)),"No encontrado o error"))</f>
        <v/>
      </c>
      <c r="AI816" s="395"/>
      <c r="AJ816" s="394"/>
      <c r="AK816" s="429" t="str">
        <f>IF(OR(ISBLANK($B816),ISBLANK($AJ816)),"",IFERROR(IF($AJ816&lt;=DATE('ESTADO CONTABLE'!$B$2,12,5),VLOOKUP($B816,COSTOS!$A$2:$B1014,2,FALSE)-150,VLOOKUP($B816,COSTOS!$A$2:$B1014,2,FALSE)),"No encontrado o error"))</f>
        <v/>
      </c>
      <c r="AL816" s="395"/>
      <c r="AM816" s="254"/>
      <c r="AN816" s="255"/>
      <c r="AO816" s="256"/>
    </row>
    <row r="817" ht="22.5" customHeight="1">
      <c r="A817" s="431" t="str">
        <f>'BASE DE DATOSS'!A891</f>
        <v/>
      </c>
      <c r="B817" s="432" t="str">
        <f>'BASE DE DATOSS'!C891</f>
        <v/>
      </c>
      <c r="C817" s="263"/>
      <c r="D817" s="249"/>
      <c r="E817" s="250"/>
      <c r="F817" s="251"/>
      <c r="G817" s="262"/>
      <c r="H817" s="257"/>
      <c r="I817" s="249"/>
      <c r="J817" s="193" t="str">
        <f>IF(OR(ISBLANK($B817),ISBLANK($I817)),"",IFERROR(IF($I817&lt;=DATE('ESTADO CONTABLE'!$B$2,3,5),VLOOKUP($B817,COSTOS!$A$2:$B1014,2,FALSE)-150,VLOOKUP($B817,COSTOS!$A$2:$B1014,2,FALSE)),"No encontrado o error"))</f>
        <v/>
      </c>
      <c r="K817" s="264"/>
      <c r="L817" s="249"/>
      <c r="M817" s="189"/>
      <c r="N817" s="264"/>
      <c r="O817" s="249"/>
      <c r="P817" s="250"/>
      <c r="Q817" s="264"/>
      <c r="R817" s="249"/>
      <c r="S817" s="250"/>
      <c r="T817" s="264"/>
      <c r="U817" s="249"/>
      <c r="V817" s="250"/>
      <c r="W817" s="264"/>
      <c r="X817" s="394"/>
      <c r="Y817" s="429"/>
      <c r="Z817" s="395"/>
      <c r="AA817" s="394"/>
      <c r="AB817" s="118" t="str">
        <f>IF(OR(ISBLANK($B817),ISBLANK($AA817)),"",IFERROR(IF($AA817&lt;=DATE('ESTADO CONTABLE'!$B$2,9,5),VLOOKUP($B817,COSTOS!$A$2:$B1014,2,FALSE)-150,VLOOKUP($B817,COSTOS!$A$2:$B1014,2,FALSE)),"No encontrado o error"))</f>
        <v/>
      </c>
      <c r="AC817" s="395"/>
      <c r="AD817" s="394"/>
      <c r="AE817" s="429" t="str">
        <f>IF(OR(ISBLANK($B817),ISBLANK($AD817)),"",IFERROR(IF($AD817&lt;=DATE('ESTADO CONTABLE'!$B$2,10,5),VLOOKUP($B817,COSTOS!$A$2:$B1014,2,FALSE)-150,VLOOKUP($B817,COSTOS!$A$2:$B1014,2,FALSE)),"No encontrado o error"))</f>
        <v/>
      </c>
      <c r="AF817" s="395"/>
      <c r="AG817" s="394"/>
      <c r="AH817" s="429" t="str">
        <f>IF(OR(ISBLANK($B817),ISBLANK($AG817)),"",IFERROR(IF($AG817&lt;=DATE('ESTADO CONTABLE'!$B$2,11,5),VLOOKUP($B817,COSTOS!$A$2:$B1014,2,FALSE)-150,VLOOKUP($B817,COSTOS!$A$2:$B1014,2,FALSE)),"No encontrado o error"))</f>
        <v/>
      </c>
      <c r="AI817" s="395"/>
      <c r="AJ817" s="394"/>
      <c r="AK817" s="429" t="str">
        <f>IF(OR(ISBLANK($B817),ISBLANK($AJ817)),"",IFERROR(IF($AJ817&lt;=DATE('ESTADO CONTABLE'!$B$2,12,5),VLOOKUP($B817,COSTOS!$A$2:$B1014,2,FALSE)-150,VLOOKUP($B817,COSTOS!$A$2:$B1014,2,FALSE)),"No encontrado o error"))</f>
        <v/>
      </c>
      <c r="AL817" s="395"/>
      <c r="AM817" s="254"/>
      <c r="AN817" s="255"/>
      <c r="AO817" s="256"/>
    </row>
    <row r="818" ht="22.5" customHeight="1">
      <c r="A818" s="431" t="str">
        <f>'BASE DE DATOSS'!A892</f>
        <v/>
      </c>
      <c r="B818" s="432" t="str">
        <f>'BASE DE DATOSS'!C892</f>
        <v/>
      </c>
      <c r="C818" s="263"/>
      <c r="D818" s="249"/>
      <c r="E818" s="250"/>
      <c r="F818" s="251"/>
      <c r="G818" s="262"/>
      <c r="H818" s="257"/>
      <c r="I818" s="249"/>
      <c r="J818" s="193" t="str">
        <f>IF(OR(ISBLANK($B818),ISBLANK($I818)),"",IFERROR(IF($I818&lt;=DATE('ESTADO CONTABLE'!$B$2,3,5),VLOOKUP($B818,COSTOS!$A$2:$B1014,2,FALSE)-150,VLOOKUP($B818,COSTOS!$A$2:$B1014,2,FALSE)),"No encontrado o error"))</f>
        <v/>
      </c>
      <c r="K818" s="264"/>
      <c r="L818" s="249"/>
      <c r="M818" s="189"/>
      <c r="N818" s="264"/>
      <c r="O818" s="249"/>
      <c r="P818" s="250"/>
      <c r="Q818" s="264"/>
      <c r="R818" s="249"/>
      <c r="S818" s="250"/>
      <c r="T818" s="264"/>
      <c r="U818" s="249"/>
      <c r="V818" s="250"/>
      <c r="W818" s="264"/>
      <c r="X818" s="394"/>
      <c r="Y818" s="429"/>
      <c r="Z818" s="395"/>
      <c r="AA818" s="394"/>
      <c r="AB818" s="118" t="str">
        <f>IF(OR(ISBLANK($B818),ISBLANK($AA818)),"",IFERROR(IF($AA818&lt;=DATE('ESTADO CONTABLE'!$B$2,9,5),VLOOKUP($B818,COSTOS!$A$2:$B1014,2,FALSE)-150,VLOOKUP($B818,COSTOS!$A$2:$B1014,2,FALSE)),"No encontrado o error"))</f>
        <v/>
      </c>
      <c r="AC818" s="395"/>
      <c r="AD818" s="394"/>
      <c r="AE818" s="429" t="str">
        <f>IF(OR(ISBLANK($B818),ISBLANK($AD818)),"",IFERROR(IF($AD818&lt;=DATE('ESTADO CONTABLE'!$B$2,10,5),VLOOKUP($B818,COSTOS!$A$2:$B1014,2,FALSE)-150,VLOOKUP($B818,COSTOS!$A$2:$B1014,2,FALSE)),"No encontrado o error"))</f>
        <v/>
      </c>
      <c r="AF818" s="395"/>
      <c r="AG818" s="394"/>
      <c r="AH818" s="429" t="str">
        <f>IF(OR(ISBLANK($B818),ISBLANK($AG818)),"",IFERROR(IF($AG818&lt;=DATE('ESTADO CONTABLE'!$B$2,11,5),VLOOKUP($B818,COSTOS!$A$2:$B1014,2,FALSE)-150,VLOOKUP($B818,COSTOS!$A$2:$B1014,2,FALSE)),"No encontrado o error"))</f>
        <v/>
      </c>
      <c r="AI818" s="395"/>
      <c r="AJ818" s="394"/>
      <c r="AK818" s="429" t="str">
        <f>IF(OR(ISBLANK($B818),ISBLANK($AJ818)),"",IFERROR(IF($AJ818&lt;=DATE('ESTADO CONTABLE'!$B$2,12,5),VLOOKUP($B818,COSTOS!$A$2:$B1014,2,FALSE)-150,VLOOKUP($B818,COSTOS!$A$2:$B1014,2,FALSE)),"No encontrado o error"))</f>
        <v/>
      </c>
      <c r="AL818" s="395"/>
      <c r="AM818" s="254"/>
      <c r="AN818" s="255"/>
      <c r="AO818" s="256"/>
    </row>
    <row r="819" ht="22.5" customHeight="1">
      <c r="A819" s="431" t="str">
        <f>'BASE DE DATOSS'!A893</f>
        <v/>
      </c>
      <c r="B819" s="432" t="str">
        <f>'BASE DE DATOSS'!C893</f>
        <v/>
      </c>
      <c r="C819" s="263"/>
      <c r="D819" s="249"/>
      <c r="E819" s="250"/>
      <c r="F819" s="251"/>
      <c r="G819" s="262"/>
      <c r="H819" s="257"/>
      <c r="I819" s="249"/>
      <c r="J819" s="193" t="str">
        <f>IF(OR(ISBLANK($B819),ISBLANK($I819)),"",IFERROR(IF($I819&lt;=DATE('ESTADO CONTABLE'!$B$2,3,5),VLOOKUP($B819,COSTOS!$A$2:$B1014,2,FALSE)-150,VLOOKUP($B819,COSTOS!$A$2:$B1014,2,FALSE)),"No encontrado o error"))</f>
        <v/>
      </c>
      <c r="K819" s="264"/>
      <c r="L819" s="249"/>
      <c r="M819" s="189"/>
      <c r="N819" s="264"/>
      <c r="O819" s="249"/>
      <c r="P819" s="250"/>
      <c r="Q819" s="264"/>
      <c r="R819" s="249"/>
      <c r="S819" s="250"/>
      <c r="T819" s="264"/>
      <c r="U819" s="249"/>
      <c r="V819" s="250"/>
      <c r="W819" s="264"/>
      <c r="X819" s="394"/>
      <c r="Y819" s="429"/>
      <c r="Z819" s="395"/>
      <c r="AA819" s="394"/>
      <c r="AB819" s="118" t="str">
        <f>IF(OR(ISBLANK($B819),ISBLANK($AA819)),"",IFERROR(IF($AA819&lt;=DATE('ESTADO CONTABLE'!$B$2,9,5),VLOOKUP($B819,COSTOS!$A$2:$B1014,2,FALSE)-150,VLOOKUP($B819,COSTOS!$A$2:$B1014,2,FALSE)),"No encontrado o error"))</f>
        <v/>
      </c>
      <c r="AC819" s="395"/>
      <c r="AD819" s="394"/>
      <c r="AE819" s="429" t="str">
        <f>IF(OR(ISBLANK($B819),ISBLANK($AD819)),"",IFERROR(IF($AD819&lt;=DATE('ESTADO CONTABLE'!$B$2,10,5),VLOOKUP($B819,COSTOS!$A$2:$B1014,2,FALSE)-150,VLOOKUP($B819,COSTOS!$A$2:$B1014,2,FALSE)),"No encontrado o error"))</f>
        <v/>
      </c>
      <c r="AF819" s="395"/>
      <c r="AG819" s="394"/>
      <c r="AH819" s="429" t="str">
        <f>IF(OR(ISBLANK($B819),ISBLANK($AG819)),"",IFERROR(IF($AG819&lt;=DATE('ESTADO CONTABLE'!$B$2,11,5),VLOOKUP($B819,COSTOS!$A$2:$B1014,2,FALSE)-150,VLOOKUP($B819,COSTOS!$A$2:$B1014,2,FALSE)),"No encontrado o error"))</f>
        <v/>
      </c>
      <c r="AI819" s="395"/>
      <c r="AJ819" s="394"/>
      <c r="AK819" s="429" t="str">
        <f>IF(OR(ISBLANK($B819),ISBLANK($AJ819)),"",IFERROR(IF($AJ819&lt;=DATE('ESTADO CONTABLE'!$B$2,12,5),VLOOKUP($B819,COSTOS!$A$2:$B1014,2,FALSE)-150,VLOOKUP($B819,COSTOS!$A$2:$B1014,2,FALSE)),"No encontrado o error"))</f>
        <v/>
      </c>
      <c r="AL819" s="395"/>
      <c r="AM819" s="254"/>
      <c r="AN819" s="255"/>
      <c r="AO819" s="256"/>
    </row>
    <row r="820" ht="22.5" customHeight="1">
      <c r="A820" s="431" t="str">
        <f>'BASE DE DATOSS'!A894</f>
        <v/>
      </c>
      <c r="B820" s="432" t="str">
        <f>'BASE DE DATOSS'!C894</f>
        <v/>
      </c>
      <c r="C820" s="263"/>
      <c r="D820" s="249"/>
      <c r="E820" s="250"/>
      <c r="F820" s="251"/>
      <c r="G820" s="262"/>
      <c r="H820" s="257"/>
      <c r="I820" s="249"/>
      <c r="J820" s="193" t="str">
        <f>IF(OR(ISBLANK($B820),ISBLANK($I820)),"",IFERROR(IF($I820&lt;=DATE('ESTADO CONTABLE'!$B$2,3,5),VLOOKUP($B820,COSTOS!$A$2:$B1014,2,FALSE)-150,VLOOKUP($B820,COSTOS!$A$2:$B1014,2,FALSE)),"No encontrado o error"))</f>
        <v/>
      </c>
      <c r="K820" s="264"/>
      <c r="L820" s="249"/>
      <c r="M820" s="189"/>
      <c r="N820" s="264"/>
      <c r="O820" s="249"/>
      <c r="P820" s="250"/>
      <c r="Q820" s="264"/>
      <c r="R820" s="249"/>
      <c r="S820" s="250"/>
      <c r="T820" s="264"/>
      <c r="U820" s="249"/>
      <c r="V820" s="250"/>
      <c r="W820" s="264"/>
      <c r="X820" s="394"/>
      <c r="Y820" s="429"/>
      <c r="Z820" s="395"/>
      <c r="AA820" s="394"/>
      <c r="AB820" s="118" t="str">
        <f>IF(OR(ISBLANK($B820),ISBLANK($AA820)),"",IFERROR(IF($AA820&lt;=DATE('ESTADO CONTABLE'!$B$2,9,5),VLOOKUP($B820,COSTOS!$A$2:$B1014,2,FALSE)-150,VLOOKUP($B820,COSTOS!$A$2:$B1014,2,FALSE)),"No encontrado o error"))</f>
        <v/>
      </c>
      <c r="AC820" s="395"/>
      <c r="AD820" s="394"/>
      <c r="AE820" s="429" t="str">
        <f>IF(OR(ISBLANK($B820),ISBLANK($AD820)),"",IFERROR(IF($AD820&lt;=DATE('ESTADO CONTABLE'!$B$2,10,5),VLOOKUP($B820,COSTOS!$A$2:$B1014,2,FALSE)-150,VLOOKUP($B820,COSTOS!$A$2:$B1014,2,FALSE)),"No encontrado o error"))</f>
        <v/>
      </c>
      <c r="AF820" s="395"/>
      <c r="AG820" s="394"/>
      <c r="AH820" s="429" t="str">
        <f>IF(OR(ISBLANK($B820),ISBLANK($AG820)),"",IFERROR(IF($AG820&lt;=DATE('ESTADO CONTABLE'!$B$2,11,5),VLOOKUP($B820,COSTOS!$A$2:$B1014,2,FALSE)-150,VLOOKUP($B820,COSTOS!$A$2:$B1014,2,FALSE)),"No encontrado o error"))</f>
        <v/>
      </c>
      <c r="AI820" s="395"/>
      <c r="AJ820" s="394"/>
      <c r="AK820" s="429" t="str">
        <f>IF(OR(ISBLANK($B820),ISBLANK($AJ820)),"",IFERROR(IF($AJ820&lt;=DATE('ESTADO CONTABLE'!$B$2,12,5),VLOOKUP($B820,COSTOS!$A$2:$B1014,2,FALSE)-150,VLOOKUP($B820,COSTOS!$A$2:$B1014,2,FALSE)),"No encontrado o error"))</f>
        <v/>
      </c>
      <c r="AL820" s="395"/>
      <c r="AM820" s="254"/>
      <c r="AN820" s="255"/>
      <c r="AO820" s="256"/>
    </row>
    <row r="821" ht="22.5" customHeight="1">
      <c r="A821" s="431" t="str">
        <f>'BASE DE DATOSS'!A895</f>
        <v/>
      </c>
      <c r="B821" s="432" t="str">
        <f>'BASE DE DATOSS'!C895</f>
        <v/>
      </c>
      <c r="C821" s="263"/>
      <c r="D821" s="249"/>
      <c r="E821" s="250"/>
      <c r="F821" s="251"/>
      <c r="G821" s="262"/>
      <c r="H821" s="257"/>
      <c r="I821" s="249"/>
      <c r="J821" s="193" t="str">
        <f>IF(OR(ISBLANK($B821),ISBLANK($I821)),"",IFERROR(IF($I821&lt;=DATE('ESTADO CONTABLE'!$B$2,3,5),VLOOKUP($B821,COSTOS!$A$2:$B1014,2,FALSE)-150,VLOOKUP($B821,COSTOS!$A$2:$B1014,2,FALSE)),"No encontrado o error"))</f>
        <v/>
      </c>
      <c r="K821" s="264"/>
      <c r="L821" s="249"/>
      <c r="M821" s="189"/>
      <c r="N821" s="264"/>
      <c r="O821" s="249"/>
      <c r="P821" s="250"/>
      <c r="Q821" s="264"/>
      <c r="R821" s="249"/>
      <c r="S821" s="250"/>
      <c r="T821" s="264"/>
      <c r="U821" s="249"/>
      <c r="V821" s="250"/>
      <c r="W821" s="264"/>
      <c r="X821" s="394"/>
      <c r="Y821" s="429"/>
      <c r="Z821" s="395"/>
      <c r="AA821" s="394"/>
      <c r="AB821" s="118" t="str">
        <f>IF(OR(ISBLANK($B821),ISBLANK($AA821)),"",IFERROR(IF($AA821&lt;=DATE('ESTADO CONTABLE'!$B$2,9,5),VLOOKUP($B821,COSTOS!$A$2:$B1014,2,FALSE)-150,VLOOKUP($B821,COSTOS!$A$2:$B1014,2,FALSE)),"No encontrado o error"))</f>
        <v/>
      </c>
      <c r="AC821" s="395"/>
      <c r="AD821" s="394"/>
      <c r="AE821" s="429" t="str">
        <f>IF(OR(ISBLANK($B821),ISBLANK($AD821)),"",IFERROR(IF($AD821&lt;=DATE('ESTADO CONTABLE'!$B$2,10,5),VLOOKUP($B821,COSTOS!$A$2:$B1014,2,FALSE)-150,VLOOKUP($B821,COSTOS!$A$2:$B1014,2,FALSE)),"No encontrado o error"))</f>
        <v/>
      </c>
      <c r="AF821" s="395"/>
      <c r="AG821" s="394"/>
      <c r="AH821" s="429" t="str">
        <f>IF(OR(ISBLANK($B821),ISBLANK($AG821)),"",IFERROR(IF($AG821&lt;=DATE('ESTADO CONTABLE'!$B$2,11,5),VLOOKUP($B821,COSTOS!$A$2:$B1014,2,FALSE)-150,VLOOKUP($B821,COSTOS!$A$2:$B1014,2,FALSE)),"No encontrado o error"))</f>
        <v/>
      </c>
      <c r="AI821" s="395"/>
      <c r="AJ821" s="394"/>
      <c r="AK821" s="429" t="str">
        <f>IF(OR(ISBLANK($B821),ISBLANK($AJ821)),"",IFERROR(IF($AJ821&lt;=DATE('ESTADO CONTABLE'!$B$2,12,5),VLOOKUP($B821,COSTOS!$A$2:$B1014,2,FALSE)-150,VLOOKUP($B821,COSTOS!$A$2:$B1014,2,FALSE)),"No encontrado o error"))</f>
        <v/>
      </c>
      <c r="AL821" s="395"/>
      <c r="AM821" s="254"/>
      <c r="AN821" s="255"/>
      <c r="AO821" s="256"/>
    </row>
    <row r="822" ht="22.5" customHeight="1">
      <c r="A822" s="431" t="str">
        <f>'BASE DE DATOSS'!A896</f>
        <v/>
      </c>
      <c r="B822" s="432" t="str">
        <f>'BASE DE DATOSS'!C896</f>
        <v/>
      </c>
      <c r="C822" s="263"/>
      <c r="D822" s="249"/>
      <c r="E822" s="250"/>
      <c r="F822" s="251"/>
      <c r="G822" s="262"/>
      <c r="H822" s="257"/>
      <c r="I822" s="249"/>
      <c r="J822" s="193" t="str">
        <f>IF(OR(ISBLANK($B822),ISBLANK($I822)),"",IFERROR(IF($I822&lt;=DATE('ESTADO CONTABLE'!$B$2,3,5),VLOOKUP($B822,COSTOS!$A$2:$B1014,2,FALSE)-150,VLOOKUP($B822,COSTOS!$A$2:$B1014,2,FALSE)),"No encontrado o error"))</f>
        <v/>
      </c>
      <c r="K822" s="264"/>
      <c r="L822" s="249"/>
      <c r="M822" s="189"/>
      <c r="N822" s="264"/>
      <c r="O822" s="249"/>
      <c r="P822" s="250"/>
      <c r="Q822" s="264"/>
      <c r="R822" s="249"/>
      <c r="S822" s="250"/>
      <c r="T822" s="264"/>
      <c r="U822" s="249"/>
      <c r="V822" s="250"/>
      <c r="W822" s="264"/>
      <c r="X822" s="394"/>
      <c r="Y822" s="429"/>
      <c r="Z822" s="395"/>
      <c r="AA822" s="394"/>
      <c r="AB822" s="118" t="str">
        <f>IF(OR(ISBLANK($B822),ISBLANK($AA822)),"",IFERROR(IF($AA822&lt;=DATE('ESTADO CONTABLE'!$B$2,9,5),VLOOKUP($B822,COSTOS!$A$2:$B1014,2,FALSE)-150,VLOOKUP($B822,COSTOS!$A$2:$B1014,2,FALSE)),"No encontrado o error"))</f>
        <v/>
      </c>
      <c r="AC822" s="395"/>
      <c r="AD822" s="394"/>
      <c r="AE822" s="429" t="str">
        <f>IF(OR(ISBLANK($B822),ISBLANK($AD822)),"",IFERROR(IF($AD822&lt;=DATE('ESTADO CONTABLE'!$B$2,10,5),VLOOKUP($B822,COSTOS!$A$2:$B1014,2,FALSE)-150,VLOOKUP($B822,COSTOS!$A$2:$B1014,2,FALSE)),"No encontrado o error"))</f>
        <v/>
      </c>
      <c r="AF822" s="395"/>
      <c r="AG822" s="394"/>
      <c r="AH822" s="429" t="str">
        <f>IF(OR(ISBLANK($B822),ISBLANK($AG822)),"",IFERROR(IF($AG822&lt;=DATE('ESTADO CONTABLE'!$B$2,11,5),VLOOKUP($B822,COSTOS!$A$2:$B1014,2,FALSE)-150,VLOOKUP($B822,COSTOS!$A$2:$B1014,2,FALSE)),"No encontrado o error"))</f>
        <v/>
      </c>
      <c r="AI822" s="395"/>
      <c r="AJ822" s="394"/>
      <c r="AK822" s="429" t="str">
        <f>IF(OR(ISBLANK($B822),ISBLANK($AJ822)),"",IFERROR(IF($AJ822&lt;=DATE('ESTADO CONTABLE'!$B$2,12,5),VLOOKUP($B822,COSTOS!$A$2:$B1014,2,FALSE)-150,VLOOKUP($B822,COSTOS!$A$2:$B1014,2,FALSE)),"No encontrado o error"))</f>
        <v/>
      </c>
      <c r="AL822" s="395"/>
      <c r="AM822" s="254"/>
      <c r="AN822" s="255"/>
      <c r="AO822" s="256"/>
    </row>
    <row r="823" ht="22.5" customHeight="1">
      <c r="A823" s="431" t="str">
        <f>'BASE DE DATOSS'!A897</f>
        <v/>
      </c>
      <c r="B823" s="432" t="str">
        <f>'BASE DE DATOSS'!C897</f>
        <v/>
      </c>
      <c r="C823" s="263"/>
      <c r="D823" s="249"/>
      <c r="E823" s="250"/>
      <c r="F823" s="251"/>
      <c r="G823" s="262"/>
      <c r="H823" s="257"/>
      <c r="I823" s="249"/>
      <c r="J823" s="193" t="str">
        <f>IF(OR(ISBLANK($B823),ISBLANK($I823)),"",IFERROR(IF($I823&lt;=DATE('ESTADO CONTABLE'!$B$2,3,5),VLOOKUP($B823,COSTOS!$A$2:$B1014,2,FALSE)-150,VLOOKUP($B823,COSTOS!$A$2:$B1014,2,FALSE)),"No encontrado o error"))</f>
        <v/>
      </c>
      <c r="K823" s="264"/>
      <c r="L823" s="249"/>
      <c r="M823" s="189"/>
      <c r="N823" s="264"/>
      <c r="O823" s="249"/>
      <c r="P823" s="250"/>
      <c r="Q823" s="264"/>
      <c r="R823" s="249"/>
      <c r="S823" s="250"/>
      <c r="T823" s="264"/>
      <c r="U823" s="249"/>
      <c r="V823" s="250"/>
      <c r="W823" s="264"/>
      <c r="X823" s="394"/>
      <c r="Y823" s="429"/>
      <c r="Z823" s="395"/>
      <c r="AA823" s="394"/>
      <c r="AB823" s="118" t="str">
        <f>IF(OR(ISBLANK($B823),ISBLANK($AA823)),"",IFERROR(IF($AA823&lt;=DATE('ESTADO CONTABLE'!$B$2,9,5),VLOOKUP($B823,COSTOS!$A$2:$B1014,2,FALSE)-150,VLOOKUP($B823,COSTOS!$A$2:$B1014,2,FALSE)),"No encontrado o error"))</f>
        <v/>
      </c>
      <c r="AC823" s="395"/>
      <c r="AD823" s="394"/>
      <c r="AE823" s="429" t="str">
        <f>IF(OR(ISBLANK($B823),ISBLANK($AD823)),"",IFERROR(IF($AD823&lt;=DATE('ESTADO CONTABLE'!$B$2,10,5),VLOOKUP($B823,COSTOS!$A$2:$B1014,2,FALSE)-150,VLOOKUP($B823,COSTOS!$A$2:$B1014,2,FALSE)),"No encontrado o error"))</f>
        <v/>
      </c>
      <c r="AF823" s="395"/>
      <c r="AG823" s="394"/>
      <c r="AH823" s="429" t="str">
        <f>IF(OR(ISBLANK($B823),ISBLANK($AG823)),"",IFERROR(IF($AG823&lt;=DATE('ESTADO CONTABLE'!$B$2,11,5),VLOOKUP($B823,COSTOS!$A$2:$B1014,2,FALSE)-150,VLOOKUP($B823,COSTOS!$A$2:$B1014,2,FALSE)),"No encontrado o error"))</f>
        <v/>
      </c>
      <c r="AI823" s="395"/>
      <c r="AJ823" s="394"/>
      <c r="AK823" s="429" t="str">
        <f>IF(OR(ISBLANK($B823),ISBLANK($AJ823)),"",IFERROR(IF($AJ823&lt;=DATE('ESTADO CONTABLE'!$B$2,12,5),VLOOKUP($B823,COSTOS!$A$2:$B1014,2,FALSE)-150,VLOOKUP($B823,COSTOS!$A$2:$B1014,2,FALSE)),"No encontrado o error"))</f>
        <v/>
      </c>
      <c r="AL823" s="395"/>
      <c r="AM823" s="254"/>
      <c r="AN823" s="255"/>
      <c r="AO823" s="256"/>
    </row>
    <row r="824" ht="22.5" customHeight="1">
      <c r="A824" s="431" t="str">
        <f>'BASE DE DATOSS'!A898</f>
        <v/>
      </c>
      <c r="B824" s="432" t="str">
        <f>'BASE DE DATOSS'!C898</f>
        <v/>
      </c>
      <c r="C824" s="263"/>
      <c r="D824" s="249"/>
      <c r="E824" s="250"/>
      <c r="F824" s="251"/>
      <c r="G824" s="262"/>
      <c r="H824" s="257"/>
      <c r="I824" s="249"/>
      <c r="J824" s="193" t="str">
        <f>IF(OR(ISBLANK($B824),ISBLANK($I824)),"",IFERROR(IF($I824&lt;=DATE('ESTADO CONTABLE'!$B$2,3,5),VLOOKUP($B824,COSTOS!$A$2:$B1014,2,FALSE)-150,VLOOKUP($B824,COSTOS!$A$2:$B1014,2,FALSE)),"No encontrado o error"))</f>
        <v/>
      </c>
      <c r="K824" s="264"/>
      <c r="L824" s="249"/>
      <c r="M824" s="189"/>
      <c r="N824" s="264"/>
      <c r="O824" s="249"/>
      <c r="P824" s="250"/>
      <c r="Q824" s="264"/>
      <c r="R824" s="249"/>
      <c r="S824" s="250"/>
      <c r="T824" s="264"/>
      <c r="U824" s="249"/>
      <c r="V824" s="250"/>
      <c r="W824" s="264"/>
      <c r="X824" s="394"/>
      <c r="Y824" s="429"/>
      <c r="Z824" s="395"/>
      <c r="AA824" s="394"/>
      <c r="AB824" s="118" t="str">
        <f>IF(OR(ISBLANK($B824),ISBLANK($AA824)),"",IFERROR(IF($AA824&lt;=DATE('ESTADO CONTABLE'!$B$2,9,5),VLOOKUP($B824,COSTOS!$A$2:$B1014,2,FALSE)-150,VLOOKUP($B824,COSTOS!$A$2:$B1014,2,FALSE)),"No encontrado o error"))</f>
        <v/>
      </c>
      <c r="AC824" s="395"/>
      <c r="AD824" s="394"/>
      <c r="AE824" s="429" t="str">
        <f>IF(OR(ISBLANK($B824),ISBLANK($AD824)),"",IFERROR(IF($AD824&lt;=DATE('ESTADO CONTABLE'!$B$2,10,5),VLOOKUP($B824,COSTOS!$A$2:$B1014,2,FALSE)-150,VLOOKUP($B824,COSTOS!$A$2:$B1014,2,FALSE)),"No encontrado o error"))</f>
        <v/>
      </c>
      <c r="AF824" s="395"/>
      <c r="AG824" s="394"/>
      <c r="AH824" s="429" t="str">
        <f>IF(OR(ISBLANK($B824),ISBLANK($AG824)),"",IFERROR(IF($AG824&lt;=DATE('ESTADO CONTABLE'!$B$2,11,5),VLOOKUP($B824,COSTOS!$A$2:$B1014,2,FALSE)-150,VLOOKUP($B824,COSTOS!$A$2:$B1014,2,FALSE)),"No encontrado o error"))</f>
        <v/>
      </c>
      <c r="AI824" s="395"/>
      <c r="AJ824" s="394"/>
      <c r="AK824" s="429" t="str">
        <f>IF(OR(ISBLANK($B824),ISBLANK($AJ824)),"",IFERROR(IF($AJ824&lt;=DATE('ESTADO CONTABLE'!$B$2,12,5),VLOOKUP($B824,COSTOS!$A$2:$B1014,2,FALSE)-150,VLOOKUP($B824,COSTOS!$A$2:$B1014,2,FALSE)),"No encontrado o error"))</f>
        <v/>
      </c>
      <c r="AL824" s="395"/>
      <c r="AM824" s="254"/>
      <c r="AN824" s="255"/>
      <c r="AO824" s="256"/>
    </row>
    <row r="825" ht="22.5" customHeight="1">
      <c r="A825" s="431" t="str">
        <f>'BASE DE DATOSS'!A899</f>
        <v/>
      </c>
      <c r="B825" s="432" t="str">
        <f>'BASE DE DATOSS'!C899</f>
        <v/>
      </c>
      <c r="C825" s="263"/>
      <c r="D825" s="249"/>
      <c r="E825" s="250"/>
      <c r="F825" s="251"/>
      <c r="G825" s="262"/>
      <c r="H825" s="257"/>
      <c r="I825" s="249"/>
      <c r="J825" s="193" t="str">
        <f>IF(OR(ISBLANK($B825),ISBLANK($I825)),"",IFERROR(IF($I825&lt;=DATE('ESTADO CONTABLE'!$B$2,3,5),VLOOKUP($B825,COSTOS!$A$2:$B1014,2,FALSE)-150,VLOOKUP($B825,COSTOS!$A$2:$B1014,2,FALSE)),"No encontrado o error"))</f>
        <v/>
      </c>
      <c r="K825" s="264"/>
      <c r="L825" s="249"/>
      <c r="M825" s="189"/>
      <c r="N825" s="264"/>
      <c r="O825" s="249"/>
      <c r="P825" s="250"/>
      <c r="Q825" s="264"/>
      <c r="R825" s="249"/>
      <c r="S825" s="250"/>
      <c r="T825" s="264"/>
      <c r="U825" s="249"/>
      <c r="V825" s="250"/>
      <c r="W825" s="264"/>
      <c r="X825" s="394"/>
      <c r="Y825" s="429"/>
      <c r="Z825" s="395"/>
      <c r="AA825" s="394"/>
      <c r="AB825" s="118" t="str">
        <f>IF(OR(ISBLANK($B825),ISBLANK($AA825)),"",IFERROR(IF($AA825&lt;=DATE('ESTADO CONTABLE'!$B$2,9,5),VLOOKUP($B825,COSTOS!$A$2:$B1014,2,FALSE)-150,VLOOKUP($B825,COSTOS!$A$2:$B1014,2,FALSE)),"No encontrado o error"))</f>
        <v/>
      </c>
      <c r="AC825" s="395"/>
      <c r="AD825" s="394"/>
      <c r="AE825" s="429" t="str">
        <f>IF(OR(ISBLANK($B825),ISBLANK($AD825)),"",IFERROR(IF($AD825&lt;=DATE('ESTADO CONTABLE'!$B$2,10,5),VLOOKUP($B825,COSTOS!$A$2:$B1014,2,FALSE)-150,VLOOKUP($B825,COSTOS!$A$2:$B1014,2,FALSE)),"No encontrado o error"))</f>
        <v/>
      </c>
      <c r="AF825" s="395"/>
      <c r="AG825" s="394"/>
      <c r="AH825" s="429" t="str">
        <f>IF(OR(ISBLANK($B825),ISBLANK($AG825)),"",IFERROR(IF($AG825&lt;=DATE('ESTADO CONTABLE'!$B$2,11,5),VLOOKUP($B825,COSTOS!$A$2:$B1014,2,FALSE)-150,VLOOKUP($B825,COSTOS!$A$2:$B1014,2,FALSE)),"No encontrado o error"))</f>
        <v/>
      </c>
      <c r="AI825" s="395"/>
      <c r="AJ825" s="394"/>
      <c r="AK825" s="429" t="str">
        <f>IF(OR(ISBLANK($B825),ISBLANK($AJ825)),"",IFERROR(IF($AJ825&lt;=DATE('ESTADO CONTABLE'!$B$2,12,5),VLOOKUP($B825,COSTOS!$A$2:$B1014,2,FALSE)-150,VLOOKUP($B825,COSTOS!$A$2:$B1014,2,FALSE)),"No encontrado o error"))</f>
        <v/>
      </c>
      <c r="AL825" s="395"/>
      <c r="AM825" s="254"/>
      <c r="AN825" s="255"/>
      <c r="AO825" s="256"/>
    </row>
    <row r="826" ht="22.5" customHeight="1">
      <c r="A826" s="431" t="str">
        <f>'BASE DE DATOSS'!A900</f>
        <v/>
      </c>
      <c r="B826" s="432" t="str">
        <f>'BASE DE DATOSS'!C900</f>
        <v/>
      </c>
      <c r="C826" s="263"/>
      <c r="D826" s="249"/>
      <c r="E826" s="250"/>
      <c r="F826" s="251"/>
      <c r="G826" s="262"/>
      <c r="H826" s="257"/>
      <c r="I826" s="249"/>
      <c r="J826" s="193" t="str">
        <f>IF(OR(ISBLANK($B826),ISBLANK($I826)),"",IFERROR(IF($I826&lt;=DATE('ESTADO CONTABLE'!$B$2,3,5),VLOOKUP($B826,COSTOS!$A$2:$B1014,2,FALSE)-150,VLOOKUP($B826,COSTOS!$A$2:$B1014,2,FALSE)),"No encontrado o error"))</f>
        <v/>
      </c>
      <c r="K826" s="264"/>
      <c r="L826" s="249"/>
      <c r="M826" s="189"/>
      <c r="N826" s="264"/>
      <c r="O826" s="249"/>
      <c r="P826" s="250"/>
      <c r="Q826" s="264"/>
      <c r="R826" s="249"/>
      <c r="S826" s="250"/>
      <c r="T826" s="264"/>
      <c r="U826" s="249"/>
      <c r="V826" s="250"/>
      <c r="W826" s="264"/>
      <c r="X826" s="394"/>
      <c r="Y826" s="429"/>
      <c r="Z826" s="395"/>
      <c r="AA826" s="394"/>
      <c r="AB826" s="118" t="str">
        <f>IF(OR(ISBLANK($B826),ISBLANK($AA826)),"",IFERROR(IF($AA826&lt;=DATE('ESTADO CONTABLE'!$B$2,9,5),VLOOKUP($B826,COSTOS!$A$2:$B1014,2,FALSE)-150,VLOOKUP($B826,COSTOS!$A$2:$B1014,2,FALSE)),"No encontrado o error"))</f>
        <v/>
      </c>
      <c r="AC826" s="395"/>
      <c r="AD826" s="394"/>
      <c r="AE826" s="429" t="str">
        <f>IF(OR(ISBLANK($B826),ISBLANK($AD826)),"",IFERROR(IF($AD826&lt;=DATE('ESTADO CONTABLE'!$B$2,10,5),VLOOKUP($B826,COSTOS!$A$2:$B1014,2,FALSE)-150,VLOOKUP($B826,COSTOS!$A$2:$B1014,2,FALSE)),"No encontrado o error"))</f>
        <v/>
      </c>
      <c r="AF826" s="395"/>
      <c r="AG826" s="394"/>
      <c r="AH826" s="429" t="str">
        <f>IF(OR(ISBLANK($B826),ISBLANK($AG826)),"",IFERROR(IF($AG826&lt;=DATE('ESTADO CONTABLE'!$B$2,11,5),VLOOKUP($B826,COSTOS!$A$2:$B1014,2,FALSE)-150,VLOOKUP($B826,COSTOS!$A$2:$B1014,2,FALSE)),"No encontrado o error"))</f>
        <v/>
      </c>
      <c r="AI826" s="395"/>
      <c r="AJ826" s="394"/>
      <c r="AK826" s="429" t="str">
        <f>IF(OR(ISBLANK($B826),ISBLANK($AJ826)),"",IFERROR(IF($AJ826&lt;=DATE('ESTADO CONTABLE'!$B$2,12,5),VLOOKUP($B826,COSTOS!$A$2:$B1014,2,FALSE)-150,VLOOKUP($B826,COSTOS!$A$2:$B1014,2,FALSE)),"No encontrado o error"))</f>
        <v/>
      </c>
      <c r="AL826" s="395"/>
      <c r="AM826" s="254"/>
      <c r="AN826" s="255"/>
      <c r="AO826" s="256"/>
    </row>
    <row r="827" ht="22.5" customHeight="1">
      <c r="A827" s="431" t="str">
        <f>'BASE DE DATOSS'!A901</f>
        <v/>
      </c>
      <c r="B827" s="432" t="str">
        <f>'BASE DE DATOSS'!C901</f>
        <v/>
      </c>
      <c r="C827" s="263"/>
      <c r="D827" s="249"/>
      <c r="E827" s="250"/>
      <c r="F827" s="251"/>
      <c r="G827" s="262"/>
      <c r="H827" s="257"/>
      <c r="I827" s="249"/>
      <c r="J827" s="193" t="str">
        <f>IF(OR(ISBLANK($B827),ISBLANK($I827)),"",IFERROR(IF($I827&lt;=DATE('ESTADO CONTABLE'!$B$2,3,5),VLOOKUP($B827,COSTOS!$A$2:$B1014,2,FALSE)-150,VLOOKUP($B827,COSTOS!$A$2:$B1014,2,FALSE)),"No encontrado o error"))</f>
        <v/>
      </c>
      <c r="K827" s="264"/>
      <c r="L827" s="249"/>
      <c r="M827" s="189"/>
      <c r="N827" s="264"/>
      <c r="O827" s="249"/>
      <c r="P827" s="250"/>
      <c r="Q827" s="264"/>
      <c r="R827" s="249"/>
      <c r="S827" s="250"/>
      <c r="T827" s="264"/>
      <c r="U827" s="249"/>
      <c r="V827" s="250"/>
      <c r="W827" s="264"/>
      <c r="X827" s="394"/>
      <c r="Y827" s="429"/>
      <c r="Z827" s="395"/>
      <c r="AA827" s="394"/>
      <c r="AB827" s="118" t="str">
        <f>IF(OR(ISBLANK($B827),ISBLANK($AA827)),"",IFERROR(IF($AA827&lt;=DATE('ESTADO CONTABLE'!$B$2,9,5),VLOOKUP($B827,COSTOS!$A$2:$B1014,2,FALSE)-150,VLOOKUP($B827,COSTOS!$A$2:$B1014,2,FALSE)),"No encontrado o error"))</f>
        <v/>
      </c>
      <c r="AC827" s="395"/>
      <c r="AD827" s="394"/>
      <c r="AE827" s="429" t="str">
        <f>IF(OR(ISBLANK($B827),ISBLANK($AD827)),"",IFERROR(IF($AD827&lt;=DATE('ESTADO CONTABLE'!$B$2,10,5),VLOOKUP($B827,COSTOS!$A$2:$B1014,2,FALSE)-150,VLOOKUP($B827,COSTOS!$A$2:$B1014,2,FALSE)),"No encontrado o error"))</f>
        <v/>
      </c>
      <c r="AF827" s="395"/>
      <c r="AG827" s="394"/>
      <c r="AH827" s="429" t="str">
        <f>IF(OR(ISBLANK($B827),ISBLANK($AG827)),"",IFERROR(IF($AG827&lt;=DATE('ESTADO CONTABLE'!$B$2,11,5),VLOOKUP($B827,COSTOS!$A$2:$B1014,2,FALSE)-150,VLOOKUP($B827,COSTOS!$A$2:$B1014,2,FALSE)),"No encontrado o error"))</f>
        <v/>
      </c>
      <c r="AI827" s="395"/>
      <c r="AJ827" s="394"/>
      <c r="AK827" s="429" t="str">
        <f>IF(OR(ISBLANK($B827),ISBLANK($AJ827)),"",IFERROR(IF($AJ827&lt;=DATE('ESTADO CONTABLE'!$B$2,12,5),VLOOKUP($B827,COSTOS!$A$2:$B1014,2,FALSE)-150,VLOOKUP($B827,COSTOS!$A$2:$B1014,2,FALSE)),"No encontrado o error"))</f>
        <v/>
      </c>
      <c r="AL827" s="395"/>
      <c r="AM827" s="254"/>
      <c r="AN827" s="255"/>
      <c r="AO827" s="256"/>
    </row>
    <row r="828" ht="22.5" customHeight="1">
      <c r="A828" s="431" t="str">
        <f>'BASE DE DATOSS'!A902</f>
        <v/>
      </c>
      <c r="B828" s="432" t="str">
        <f>'BASE DE DATOSS'!C902</f>
        <v/>
      </c>
      <c r="C828" s="263"/>
      <c r="D828" s="249"/>
      <c r="E828" s="250"/>
      <c r="F828" s="251"/>
      <c r="G828" s="262"/>
      <c r="H828" s="257"/>
      <c r="I828" s="249"/>
      <c r="J828" s="193" t="str">
        <f>IF(OR(ISBLANK($B828),ISBLANK($I828)),"",IFERROR(IF($I828&lt;=DATE('ESTADO CONTABLE'!$B$2,3,5),VLOOKUP($B828,COSTOS!$A$2:$B1014,2,FALSE)-150,VLOOKUP($B828,COSTOS!$A$2:$B1014,2,FALSE)),"No encontrado o error"))</f>
        <v/>
      </c>
      <c r="K828" s="264"/>
      <c r="L828" s="249"/>
      <c r="M828" s="189"/>
      <c r="N828" s="264"/>
      <c r="O828" s="249"/>
      <c r="P828" s="250"/>
      <c r="Q828" s="264"/>
      <c r="R828" s="249"/>
      <c r="S828" s="250"/>
      <c r="T828" s="264"/>
      <c r="U828" s="249"/>
      <c r="V828" s="250"/>
      <c r="W828" s="264"/>
      <c r="X828" s="394"/>
      <c r="Y828" s="429"/>
      <c r="Z828" s="395"/>
      <c r="AA828" s="394"/>
      <c r="AB828" s="118" t="str">
        <f>IF(OR(ISBLANK($B828),ISBLANK($AA828)),"",IFERROR(IF($AA828&lt;=DATE('ESTADO CONTABLE'!$B$2,9,5),VLOOKUP($B828,COSTOS!$A$2:$B1014,2,FALSE)-150,VLOOKUP($B828,COSTOS!$A$2:$B1014,2,FALSE)),"No encontrado o error"))</f>
        <v/>
      </c>
      <c r="AC828" s="395"/>
      <c r="AD828" s="394"/>
      <c r="AE828" s="429" t="str">
        <f>IF(OR(ISBLANK($B828),ISBLANK($AD828)),"",IFERROR(IF($AD828&lt;=DATE('ESTADO CONTABLE'!$B$2,10,5),VLOOKUP($B828,COSTOS!$A$2:$B1014,2,FALSE)-150,VLOOKUP($B828,COSTOS!$A$2:$B1014,2,FALSE)),"No encontrado o error"))</f>
        <v/>
      </c>
      <c r="AF828" s="395"/>
      <c r="AG828" s="394"/>
      <c r="AH828" s="429" t="str">
        <f>IF(OR(ISBLANK($B828),ISBLANK($AG828)),"",IFERROR(IF($AG828&lt;=DATE('ESTADO CONTABLE'!$B$2,11,5),VLOOKUP($B828,COSTOS!$A$2:$B1014,2,FALSE)-150,VLOOKUP($B828,COSTOS!$A$2:$B1014,2,FALSE)),"No encontrado o error"))</f>
        <v/>
      </c>
      <c r="AI828" s="395"/>
      <c r="AJ828" s="394"/>
      <c r="AK828" s="429" t="str">
        <f>IF(OR(ISBLANK($B828),ISBLANK($AJ828)),"",IFERROR(IF($AJ828&lt;=DATE('ESTADO CONTABLE'!$B$2,12,5),VLOOKUP($B828,COSTOS!$A$2:$B1014,2,FALSE)-150,VLOOKUP($B828,COSTOS!$A$2:$B1014,2,FALSE)),"No encontrado o error"))</f>
        <v/>
      </c>
      <c r="AL828" s="395"/>
      <c r="AM828" s="254"/>
      <c r="AN828" s="255"/>
      <c r="AO828" s="256"/>
    </row>
    <row r="829" ht="22.5" customHeight="1">
      <c r="A829" s="431" t="str">
        <f>'BASE DE DATOSS'!A903</f>
        <v/>
      </c>
      <c r="B829" s="432" t="str">
        <f>'BASE DE DATOSS'!C903</f>
        <v/>
      </c>
      <c r="C829" s="263"/>
      <c r="D829" s="249"/>
      <c r="E829" s="250"/>
      <c r="F829" s="251"/>
      <c r="G829" s="262"/>
      <c r="H829" s="257"/>
      <c r="I829" s="249"/>
      <c r="J829" s="193" t="str">
        <f>IF(OR(ISBLANK($B829),ISBLANK($I829)),"",IFERROR(IF($I829&lt;=DATE('ESTADO CONTABLE'!$B$2,3,5),VLOOKUP($B829,COSTOS!$A$2:$B1014,2,FALSE)-150,VLOOKUP($B829,COSTOS!$A$2:$B1014,2,FALSE)),"No encontrado o error"))</f>
        <v/>
      </c>
      <c r="K829" s="264"/>
      <c r="L829" s="249"/>
      <c r="M829" s="189"/>
      <c r="N829" s="264"/>
      <c r="O829" s="249"/>
      <c r="P829" s="250"/>
      <c r="Q829" s="264"/>
      <c r="R829" s="249"/>
      <c r="S829" s="250"/>
      <c r="T829" s="264"/>
      <c r="U829" s="249"/>
      <c r="V829" s="250"/>
      <c r="W829" s="264"/>
      <c r="X829" s="394"/>
      <c r="Y829" s="429"/>
      <c r="Z829" s="395"/>
      <c r="AA829" s="394"/>
      <c r="AB829" s="118" t="str">
        <f>IF(OR(ISBLANK($B829),ISBLANK($AA829)),"",IFERROR(IF($AA829&lt;=DATE('ESTADO CONTABLE'!$B$2,9,5),VLOOKUP($B829,COSTOS!$A$2:$B1014,2,FALSE)-150,VLOOKUP($B829,COSTOS!$A$2:$B1014,2,FALSE)),"No encontrado o error"))</f>
        <v/>
      </c>
      <c r="AC829" s="395"/>
      <c r="AD829" s="394"/>
      <c r="AE829" s="429" t="str">
        <f>IF(OR(ISBLANK($B829),ISBLANK($AD829)),"",IFERROR(IF($AD829&lt;=DATE('ESTADO CONTABLE'!$B$2,10,5),VLOOKUP($B829,COSTOS!$A$2:$B1014,2,FALSE)-150,VLOOKUP($B829,COSTOS!$A$2:$B1014,2,FALSE)),"No encontrado o error"))</f>
        <v/>
      </c>
      <c r="AF829" s="395"/>
      <c r="AG829" s="394"/>
      <c r="AH829" s="429" t="str">
        <f>IF(OR(ISBLANK($B829),ISBLANK($AG829)),"",IFERROR(IF($AG829&lt;=DATE('ESTADO CONTABLE'!$B$2,11,5),VLOOKUP($B829,COSTOS!$A$2:$B1014,2,FALSE)-150,VLOOKUP($B829,COSTOS!$A$2:$B1014,2,FALSE)),"No encontrado o error"))</f>
        <v/>
      </c>
      <c r="AI829" s="395"/>
      <c r="AJ829" s="394"/>
      <c r="AK829" s="429" t="str">
        <f>IF(OR(ISBLANK($B829),ISBLANK($AJ829)),"",IFERROR(IF($AJ829&lt;=DATE('ESTADO CONTABLE'!$B$2,12,5),VLOOKUP($B829,COSTOS!$A$2:$B1014,2,FALSE)-150,VLOOKUP($B829,COSTOS!$A$2:$B1014,2,FALSE)),"No encontrado o error"))</f>
        <v/>
      </c>
      <c r="AL829" s="395"/>
      <c r="AM829" s="254"/>
      <c r="AN829" s="255"/>
      <c r="AO829" s="256"/>
    </row>
    <row r="830" ht="22.5" customHeight="1">
      <c r="A830" s="431" t="str">
        <f>'BASE DE DATOSS'!A904</f>
        <v/>
      </c>
      <c r="B830" s="432" t="str">
        <f>'BASE DE DATOSS'!C904</f>
        <v/>
      </c>
      <c r="C830" s="263"/>
      <c r="D830" s="249"/>
      <c r="E830" s="250"/>
      <c r="F830" s="251"/>
      <c r="G830" s="262"/>
      <c r="H830" s="257"/>
      <c r="I830" s="249"/>
      <c r="J830" s="193" t="str">
        <f>IF(OR(ISBLANK($B830),ISBLANK($I830)),"",IFERROR(IF($I830&lt;=DATE('ESTADO CONTABLE'!$B$2,3,5),VLOOKUP($B830,COSTOS!$A$2:$B1014,2,FALSE)-150,VLOOKUP($B830,COSTOS!$A$2:$B1014,2,FALSE)),"No encontrado o error"))</f>
        <v/>
      </c>
      <c r="K830" s="264"/>
      <c r="L830" s="249"/>
      <c r="M830" s="189"/>
      <c r="N830" s="264"/>
      <c r="O830" s="249"/>
      <c r="P830" s="250"/>
      <c r="Q830" s="264"/>
      <c r="R830" s="249"/>
      <c r="S830" s="250"/>
      <c r="T830" s="264"/>
      <c r="U830" s="249"/>
      <c r="V830" s="250"/>
      <c r="W830" s="264"/>
      <c r="X830" s="394"/>
      <c r="Y830" s="429"/>
      <c r="Z830" s="395"/>
      <c r="AA830" s="394"/>
      <c r="AB830" s="118" t="str">
        <f>IF(OR(ISBLANK($B830),ISBLANK($AA830)),"",IFERROR(IF($AA830&lt;=DATE('ESTADO CONTABLE'!$B$2,9,5),VLOOKUP($B830,COSTOS!$A$2:$B1014,2,FALSE)-150,VLOOKUP($B830,COSTOS!$A$2:$B1014,2,FALSE)),"No encontrado o error"))</f>
        <v/>
      </c>
      <c r="AC830" s="395"/>
      <c r="AD830" s="394"/>
      <c r="AE830" s="429" t="str">
        <f>IF(OR(ISBLANK($B830),ISBLANK($AD830)),"",IFERROR(IF($AD830&lt;=DATE('ESTADO CONTABLE'!$B$2,10,5),VLOOKUP($B830,COSTOS!$A$2:$B1014,2,FALSE)-150,VLOOKUP($B830,COSTOS!$A$2:$B1014,2,FALSE)),"No encontrado o error"))</f>
        <v/>
      </c>
      <c r="AF830" s="395"/>
      <c r="AG830" s="394"/>
      <c r="AH830" s="429" t="str">
        <f>IF(OR(ISBLANK($B830),ISBLANK($AG830)),"",IFERROR(IF($AG830&lt;=DATE('ESTADO CONTABLE'!$B$2,11,5),VLOOKUP($B830,COSTOS!$A$2:$B1014,2,FALSE)-150,VLOOKUP($B830,COSTOS!$A$2:$B1014,2,FALSE)),"No encontrado o error"))</f>
        <v/>
      </c>
      <c r="AI830" s="395"/>
      <c r="AJ830" s="394"/>
      <c r="AK830" s="429" t="str">
        <f>IF(OR(ISBLANK($B830),ISBLANK($AJ830)),"",IFERROR(IF($AJ830&lt;=DATE('ESTADO CONTABLE'!$B$2,12,5),VLOOKUP($B830,COSTOS!$A$2:$B1014,2,FALSE)-150,VLOOKUP($B830,COSTOS!$A$2:$B1014,2,FALSE)),"No encontrado o error"))</f>
        <v/>
      </c>
      <c r="AL830" s="395"/>
      <c r="AM830" s="254"/>
      <c r="AN830" s="255"/>
      <c r="AO830" s="256"/>
    </row>
    <row r="831" ht="22.5" customHeight="1">
      <c r="A831" s="431" t="str">
        <f>'BASE DE DATOSS'!A905</f>
        <v/>
      </c>
      <c r="B831" s="432" t="str">
        <f>'BASE DE DATOSS'!C905</f>
        <v/>
      </c>
      <c r="C831" s="263"/>
      <c r="D831" s="249"/>
      <c r="E831" s="250"/>
      <c r="F831" s="251"/>
      <c r="G831" s="262"/>
      <c r="H831" s="257"/>
      <c r="I831" s="249"/>
      <c r="J831" s="193" t="str">
        <f>IF(OR(ISBLANK($B831),ISBLANK($I831)),"",IFERROR(IF($I831&lt;=DATE('ESTADO CONTABLE'!$B$2,3,5),VLOOKUP($B831,COSTOS!$A$2:$B1014,2,FALSE)-150,VLOOKUP($B831,COSTOS!$A$2:$B1014,2,FALSE)),"No encontrado o error"))</f>
        <v/>
      </c>
      <c r="K831" s="264"/>
      <c r="L831" s="249"/>
      <c r="M831" s="189"/>
      <c r="N831" s="264"/>
      <c r="O831" s="249"/>
      <c r="P831" s="250"/>
      <c r="Q831" s="264"/>
      <c r="R831" s="249"/>
      <c r="S831" s="250"/>
      <c r="T831" s="264"/>
      <c r="U831" s="249"/>
      <c r="V831" s="250"/>
      <c r="W831" s="264"/>
      <c r="X831" s="394"/>
      <c r="Y831" s="429"/>
      <c r="Z831" s="395"/>
      <c r="AA831" s="394"/>
      <c r="AB831" s="118" t="str">
        <f>IF(OR(ISBLANK($B831),ISBLANK($AA831)),"",IFERROR(IF($AA831&lt;=DATE('ESTADO CONTABLE'!$B$2,9,5),VLOOKUP($B831,COSTOS!$A$2:$B1014,2,FALSE)-150,VLOOKUP($B831,COSTOS!$A$2:$B1014,2,FALSE)),"No encontrado o error"))</f>
        <v/>
      </c>
      <c r="AC831" s="395"/>
      <c r="AD831" s="394"/>
      <c r="AE831" s="429" t="str">
        <f>IF(OR(ISBLANK($B831),ISBLANK($AD831)),"",IFERROR(IF($AD831&lt;=DATE('ESTADO CONTABLE'!$B$2,10,5),VLOOKUP($B831,COSTOS!$A$2:$B1014,2,FALSE)-150,VLOOKUP($B831,COSTOS!$A$2:$B1014,2,FALSE)),"No encontrado o error"))</f>
        <v/>
      </c>
      <c r="AF831" s="395"/>
      <c r="AG831" s="394"/>
      <c r="AH831" s="429" t="str">
        <f>IF(OR(ISBLANK($B831),ISBLANK($AG831)),"",IFERROR(IF($AG831&lt;=DATE('ESTADO CONTABLE'!$B$2,11,5),VLOOKUP($B831,COSTOS!$A$2:$B1014,2,FALSE)-150,VLOOKUP($B831,COSTOS!$A$2:$B1014,2,FALSE)),"No encontrado o error"))</f>
        <v/>
      </c>
      <c r="AI831" s="395"/>
      <c r="AJ831" s="394"/>
      <c r="AK831" s="429" t="str">
        <f>IF(OR(ISBLANK($B831),ISBLANK($AJ831)),"",IFERROR(IF($AJ831&lt;=DATE('ESTADO CONTABLE'!$B$2,12,5),VLOOKUP($B831,COSTOS!$A$2:$B1014,2,FALSE)-150,VLOOKUP($B831,COSTOS!$A$2:$B1014,2,FALSE)),"No encontrado o error"))</f>
        <v/>
      </c>
      <c r="AL831" s="395"/>
      <c r="AM831" s="254"/>
      <c r="AN831" s="255"/>
      <c r="AO831" s="256"/>
    </row>
    <row r="832" ht="22.5" customHeight="1">
      <c r="A832" s="431" t="str">
        <f>'BASE DE DATOSS'!A906</f>
        <v/>
      </c>
      <c r="B832" s="432" t="str">
        <f>'BASE DE DATOSS'!C906</f>
        <v/>
      </c>
      <c r="C832" s="263"/>
      <c r="D832" s="249"/>
      <c r="E832" s="250"/>
      <c r="F832" s="251"/>
      <c r="G832" s="262"/>
      <c r="H832" s="257"/>
      <c r="I832" s="249"/>
      <c r="J832" s="193" t="str">
        <f>IF(OR(ISBLANK($B832),ISBLANK($I832)),"",IFERROR(IF($I832&lt;=DATE('ESTADO CONTABLE'!$B$2,3,5),VLOOKUP($B832,COSTOS!$A$2:$B1014,2,FALSE)-150,VLOOKUP($B832,COSTOS!$A$2:$B1014,2,FALSE)),"No encontrado o error"))</f>
        <v/>
      </c>
      <c r="K832" s="264"/>
      <c r="L832" s="249"/>
      <c r="M832" s="189"/>
      <c r="N832" s="264"/>
      <c r="O832" s="249"/>
      <c r="P832" s="250"/>
      <c r="Q832" s="264"/>
      <c r="R832" s="249"/>
      <c r="S832" s="250"/>
      <c r="T832" s="264"/>
      <c r="U832" s="249"/>
      <c r="V832" s="250"/>
      <c r="W832" s="264"/>
      <c r="X832" s="394"/>
      <c r="Y832" s="429"/>
      <c r="Z832" s="395"/>
      <c r="AA832" s="394"/>
      <c r="AB832" s="118" t="str">
        <f>IF(OR(ISBLANK($B832),ISBLANK($AA832)),"",IFERROR(IF($AA832&lt;=DATE('ESTADO CONTABLE'!$B$2,9,5),VLOOKUP($B832,COSTOS!$A$2:$B1014,2,FALSE)-150,VLOOKUP($B832,COSTOS!$A$2:$B1014,2,FALSE)),"No encontrado o error"))</f>
        <v/>
      </c>
      <c r="AC832" s="395"/>
      <c r="AD832" s="394"/>
      <c r="AE832" s="429" t="str">
        <f>IF(OR(ISBLANK($B832),ISBLANK($AD832)),"",IFERROR(IF($AD832&lt;=DATE('ESTADO CONTABLE'!$B$2,10,5),VLOOKUP($B832,COSTOS!$A$2:$B1014,2,FALSE)-150,VLOOKUP($B832,COSTOS!$A$2:$B1014,2,FALSE)),"No encontrado o error"))</f>
        <v/>
      </c>
      <c r="AF832" s="395"/>
      <c r="AG832" s="394"/>
      <c r="AH832" s="429" t="str">
        <f>IF(OR(ISBLANK($B832),ISBLANK($AG832)),"",IFERROR(IF($AG832&lt;=DATE('ESTADO CONTABLE'!$B$2,11,5),VLOOKUP($B832,COSTOS!$A$2:$B1014,2,FALSE)-150,VLOOKUP($B832,COSTOS!$A$2:$B1014,2,FALSE)),"No encontrado o error"))</f>
        <v/>
      </c>
      <c r="AI832" s="395"/>
      <c r="AJ832" s="394"/>
      <c r="AK832" s="429" t="str">
        <f>IF(OR(ISBLANK($B832),ISBLANK($AJ832)),"",IFERROR(IF($AJ832&lt;=DATE('ESTADO CONTABLE'!$B$2,12,5),VLOOKUP($B832,COSTOS!$A$2:$B1014,2,FALSE)-150,VLOOKUP($B832,COSTOS!$A$2:$B1014,2,FALSE)),"No encontrado o error"))</f>
        <v/>
      </c>
      <c r="AL832" s="395"/>
      <c r="AM832" s="254"/>
      <c r="AN832" s="255"/>
      <c r="AO832" s="256"/>
    </row>
    <row r="833" ht="22.5" customHeight="1">
      <c r="A833" s="431" t="str">
        <f>'BASE DE DATOSS'!A907</f>
        <v/>
      </c>
      <c r="B833" s="432" t="str">
        <f>'BASE DE DATOSS'!C907</f>
        <v/>
      </c>
      <c r="C833" s="263"/>
      <c r="D833" s="249"/>
      <c r="E833" s="250"/>
      <c r="F833" s="251"/>
      <c r="G833" s="262"/>
      <c r="H833" s="257"/>
      <c r="I833" s="249"/>
      <c r="J833" s="193" t="str">
        <f>IF(OR(ISBLANK($B833),ISBLANK($I833)),"",IFERROR(IF($I833&lt;=DATE('ESTADO CONTABLE'!$B$2,3,5),VLOOKUP($B833,COSTOS!$A$2:$B1014,2,FALSE)-150,VLOOKUP($B833,COSTOS!$A$2:$B1014,2,FALSE)),"No encontrado o error"))</f>
        <v/>
      </c>
      <c r="K833" s="264"/>
      <c r="L833" s="249"/>
      <c r="M833" s="189"/>
      <c r="N833" s="264"/>
      <c r="O833" s="249"/>
      <c r="P833" s="250"/>
      <c r="Q833" s="264"/>
      <c r="R833" s="249"/>
      <c r="S833" s="250"/>
      <c r="T833" s="264"/>
      <c r="U833" s="249"/>
      <c r="V833" s="250"/>
      <c r="W833" s="264"/>
      <c r="X833" s="394"/>
      <c r="Y833" s="429"/>
      <c r="Z833" s="395"/>
      <c r="AA833" s="394"/>
      <c r="AB833" s="118" t="str">
        <f>IF(OR(ISBLANK($B833),ISBLANK($AA833)),"",IFERROR(IF($AA833&lt;=DATE('ESTADO CONTABLE'!$B$2,9,5),VLOOKUP($B833,COSTOS!$A$2:$B1014,2,FALSE)-150,VLOOKUP($B833,COSTOS!$A$2:$B1014,2,FALSE)),"No encontrado o error"))</f>
        <v/>
      </c>
      <c r="AC833" s="395"/>
      <c r="AD833" s="394"/>
      <c r="AE833" s="429" t="str">
        <f>IF(OR(ISBLANK($B833),ISBLANK($AD833)),"",IFERROR(IF($AD833&lt;=DATE('ESTADO CONTABLE'!$B$2,10,5),VLOOKUP($B833,COSTOS!$A$2:$B1014,2,FALSE)-150,VLOOKUP($B833,COSTOS!$A$2:$B1014,2,FALSE)),"No encontrado o error"))</f>
        <v/>
      </c>
      <c r="AF833" s="395"/>
      <c r="AG833" s="394"/>
      <c r="AH833" s="429" t="str">
        <f>IF(OR(ISBLANK($B833),ISBLANK($AG833)),"",IFERROR(IF($AG833&lt;=DATE('ESTADO CONTABLE'!$B$2,11,5),VLOOKUP($B833,COSTOS!$A$2:$B1014,2,FALSE)-150,VLOOKUP($B833,COSTOS!$A$2:$B1014,2,FALSE)),"No encontrado o error"))</f>
        <v/>
      </c>
      <c r="AI833" s="395"/>
      <c r="AJ833" s="394"/>
      <c r="AK833" s="429" t="str">
        <f>IF(OR(ISBLANK($B833),ISBLANK($AJ833)),"",IFERROR(IF($AJ833&lt;=DATE('ESTADO CONTABLE'!$B$2,12,5),VLOOKUP($B833,COSTOS!$A$2:$B1014,2,FALSE)-150,VLOOKUP($B833,COSTOS!$A$2:$B1014,2,FALSE)),"No encontrado o error"))</f>
        <v/>
      </c>
      <c r="AL833" s="395"/>
      <c r="AM833" s="254"/>
      <c r="AN833" s="255"/>
      <c r="AO833" s="256"/>
    </row>
    <row r="834" ht="22.5" customHeight="1">
      <c r="A834" s="431" t="str">
        <f>'BASE DE DATOSS'!A908</f>
        <v/>
      </c>
      <c r="B834" s="432" t="str">
        <f>'BASE DE DATOSS'!C908</f>
        <v/>
      </c>
      <c r="C834" s="263"/>
      <c r="D834" s="249"/>
      <c r="E834" s="250"/>
      <c r="F834" s="251"/>
      <c r="G834" s="262"/>
      <c r="H834" s="257"/>
      <c r="I834" s="249"/>
      <c r="J834" s="193" t="str">
        <f>IF(OR(ISBLANK($B834),ISBLANK($I834)),"",IFERROR(IF($I834&lt;=DATE('ESTADO CONTABLE'!$B$2,3,5),VLOOKUP($B834,COSTOS!$A$2:$B1014,2,FALSE)-150,VLOOKUP($B834,COSTOS!$A$2:$B1014,2,FALSE)),"No encontrado o error"))</f>
        <v/>
      </c>
      <c r="K834" s="264"/>
      <c r="L834" s="249"/>
      <c r="M834" s="189"/>
      <c r="N834" s="264"/>
      <c r="O834" s="249"/>
      <c r="P834" s="250"/>
      <c r="Q834" s="264"/>
      <c r="R834" s="249"/>
      <c r="S834" s="250"/>
      <c r="T834" s="264"/>
      <c r="U834" s="249"/>
      <c r="V834" s="250"/>
      <c r="W834" s="264"/>
      <c r="X834" s="394"/>
      <c r="Y834" s="429"/>
      <c r="Z834" s="395"/>
      <c r="AA834" s="394"/>
      <c r="AB834" s="118" t="str">
        <f>IF(OR(ISBLANK($B834),ISBLANK($AA834)),"",IFERROR(IF($AA834&lt;=DATE('ESTADO CONTABLE'!$B$2,9,5),VLOOKUP($B834,COSTOS!$A$2:$B1014,2,FALSE)-150,VLOOKUP($B834,COSTOS!$A$2:$B1014,2,FALSE)),"No encontrado o error"))</f>
        <v/>
      </c>
      <c r="AC834" s="395"/>
      <c r="AD834" s="394"/>
      <c r="AE834" s="429" t="str">
        <f>IF(OR(ISBLANK($B834),ISBLANK($AD834)),"",IFERROR(IF($AD834&lt;=DATE('ESTADO CONTABLE'!$B$2,10,5),VLOOKUP($B834,COSTOS!$A$2:$B1014,2,FALSE)-150,VLOOKUP($B834,COSTOS!$A$2:$B1014,2,FALSE)),"No encontrado o error"))</f>
        <v/>
      </c>
      <c r="AF834" s="395"/>
      <c r="AG834" s="394"/>
      <c r="AH834" s="429" t="str">
        <f>IF(OR(ISBLANK($B834),ISBLANK($AG834)),"",IFERROR(IF($AG834&lt;=DATE('ESTADO CONTABLE'!$B$2,11,5),VLOOKUP($B834,COSTOS!$A$2:$B1014,2,FALSE)-150,VLOOKUP($B834,COSTOS!$A$2:$B1014,2,FALSE)),"No encontrado o error"))</f>
        <v/>
      </c>
      <c r="AI834" s="395"/>
      <c r="AJ834" s="394"/>
      <c r="AK834" s="429" t="str">
        <f>IF(OR(ISBLANK($B834),ISBLANK($AJ834)),"",IFERROR(IF($AJ834&lt;=DATE('ESTADO CONTABLE'!$B$2,12,5),VLOOKUP($B834,COSTOS!$A$2:$B1014,2,FALSE)-150,VLOOKUP($B834,COSTOS!$A$2:$B1014,2,FALSE)),"No encontrado o error"))</f>
        <v/>
      </c>
      <c r="AL834" s="395"/>
      <c r="AM834" s="254"/>
      <c r="AN834" s="255"/>
      <c r="AO834" s="256"/>
    </row>
    <row r="835" ht="22.5" customHeight="1">
      <c r="A835" s="431" t="str">
        <f>'BASE DE DATOSS'!A909</f>
        <v/>
      </c>
      <c r="B835" s="432" t="str">
        <f>'BASE DE DATOSS'!C909</f>
        <v/>
      </c>
      <c r="C835" s="263"/>
      <c r="D835" s="249"/>
      <c r="E835" s="250"/>
      <c r="F835" s="251"/>
      <c r="G835" s="262"/>
      <c r="H835" s="257"/>
      <c r="I835" s="249"/>
      <c r="J835" s="193" t="str">
        <f>IF(OR(ISBLANK($B835),ISBLANK($I835)),"",IFERROR(IF($I835&lt;=DATE('ESTADO CONTABLE'!$B$2,3,5),VLOOKUP($B835,COSTOS!$A$2:$B1014,2,FALSE)-150,VLOOKUP($B835,COSTOS!$A$2:$B1014,2,FALSE)),"No encontrado o error"))</f>
        <v/>
      </c>
      <c r="K835" s="264"/>
      <c r="L835" s="249"/>
      <c r="M835" s="189"/>
      <c r="N835" s="264"/>
      <c r="O835" s="249"/>
      <c r="P835" s="250"/>
      <c r="Q835" s="264"/>
      <c r="R835" s="249"/>
      <c r="S835" s="250"/>
      <c r="T835" s="264"/>
      <c r="U835" s="249"/>
      <c r="V835" s="250"/>
      <c r="W835" s="264"/>
      <c r="X835" s="394"/>
      <c r="Y835" s="429"/>
      <c r="Z835" s="395"/>
      <c r="AA835" s="394"/>
      <c r="AB835" s="118" t="str">
        <f>IF(OR(ISBLANK($B835),ISBLANK($AA835)),"",IFERROR(IF($AA835&lt;=DATE('ESTADO CONTABLE'!$B$2,9,5),VLOOKUP($B835,COSTOS!$A$2:$B1014,2,FALSE)-150,VLOOKUP($B835,COSTOS!$A$2:$B1014,2,FALSE)),"No encontrado o error"))</f>
        <v/>
      </c>
      <c r="AC835" s="395"/>
      <c r="AD835" s="394"/>
      <c r="AE835" s="429" t="str">
        <f>IF(OR(ISBLANK($B835),ISBLANK($AD835)),"",IFERROR(IF($AD835&lt;=DATE('ESTADO CONTABLE'!$B$2,10,5),VLOOKUP($B835,COSTOS!$A$2:$B1014,2,FALSE)-150,VLOOKUP($B835,COSTOS!$A$2:$B1014,2,FALSE)),"No encontrado o error"))</f>
        <v/>
      </c>
      <c r="AF835" s="395"/>
      <c r="AG835" s="394"/>
      <c r="AH835" s="429" t="str">
        <f>IF(OR(ISBLANK($B835),ISBLANK($AG835)),"",IFERROR(IF($AG835&lt;=DATE('ESTADO CONTABLE'!$B$2,11,5),VLOOKUP($B835,COSTOS!$A$2:$B1014,2,FALSE)-150,VLOOKUP($B835,COSTOS!$A$2:$B1014,2,FALSE)),"No encontrado o error"))</f>
        <v/>
      </c>
      <c r="AI835" s="395"/>
      <c r="AJ835" s="394"/>
      <c r="AK835" s="429" t="str">
        <f>IF(OR(ISBLANK($B835),ISBLANK($AJ835)),"",IFERROR(IF($AJ835&lt;=DATE('ESTADO CONTABLE'!$B$2,12,5),VLOOKUP($B835,COSTOS!$A$2:$B1014,2,FALSE)-150,VLOOKUP($B835,COSTOS!$A$2:$B1014,2,FALSE)),"No encontrado o error"))</f>
        <v/>
      </c>
      <c r="AL835" s="395"/>
      <c r="AM835" s="254"/>
      <c r="AN835" s="255"/>
      <c r="AO835" s="256"/>
    </row>
    <row r="836" ht="22.5" customHeight="1">
      <c r="A836" s="431" t="str">
        <f>'BASE DE DATOSS'!A910</f>
        <v/>
      </c>
      <c r="B836" s="432" t="str">
        <f>'BASE DE DATOSS'!C910</f>
        <v/>
      </c>
      <c r="C836" s="263"/>
      <c r="D836" s="249"/>
      <c r="E836" s="250"/>
      <c r="F836" s="251"/>
      <c r="G836" s="262"/>
      <c r="H836" s="257"/>
      <c r="I836" s="249"/>
      <c r="J836" s="193" t="str">
        <f>IF(OR(ISBLANK($B836),ISBLANK($I836)),"",IFERROR(IF($I836&lt;=DATE('ESTADO CONTABLE'!$B$2,3,5),VLOOKUP($B836,COSTOS!$A$2:$B1014,2,FALSE)-150,VLOOKUP($B836,COSTOS!$A$2:$B1014,2,FALSE)),"No encontrado o error"))</f>
        <v/>
      </c>
      <c r="K836" s="264"/>
      <c r="L836" s="249"/>
      <c r="M836" s="189"/>
      <c r="N836" s="264"/>
      <c r="O836" s="249"/>
      <c r="P836" s="250"/>
      <c r="Q836" s="264"/>
      <c r="R836" s="249"/>
      <c r="S836" s="250"/>
      <c r="T836" s="264"/>
      <c r="U836" s="249"/>
      <c r="V836" s="250"/>
      <c r="W836" s="264"/>
      <c r="X836" s="394"/>
      <c r="Y836" s="429"/>
      <c r="Z836" s="395"/>
      <c r="AA836" s="394"/>
      <c r="AB836" s="118" t="str">
        <f>IF(OR(ISBLANK($B836),ISBLANK($AA836)),"",IFERROR(IF($AA836&lt;=DATE('ESTADO CONTABLE'!$B$2,9,5),VLOOKUP($B836,COSTOS!$A$2:$B1014,2,FALSE)-150,VLOOKUP($B836,COSTOS!$A$2:$B1014,2,FALSE)),"No encontrado o error"))</f>
        <v/>
      </c>
      <c r="AC836" s="395"/>
      <c r="AD836" s="394"/>
      <c r="AE836" s="429" t="str">
        <f>IF(OR(ISBLANK($B836),ISBLANK($AD836)),"",IFERROR(IF($AD836&lt;=DATE('ESTADO CONTABLE'!$B$2,10,5),VLOOKUP($B836,COSTOS!$A$2:$B1014,2,FALSE)-150,VLOOKUP($B836,COSTOS!$A$2:$B1014,2,FALSE)),"No encontrado o error"))</f>
        <v/>
      </c>
      <c r="AF836" s="395"/>
      <c r="AG836" s="394"/>
      <c r="AH836" s="429" t="str">
        <f>IF(OR(ISBLANK($B836),ISBLANK($AG836)),"",IFERROR(IF($AG836&lt;=DATE('ESTADO CONTABLE'!$B$2,11,5),VLOOKUP($B836,COSTOS!$A$2:$B1014,2,FALSE)-150,VLOOKUP($B836,COSTOS!$A$2:$B1014,2,FALSE)),"No encontrado o error"))</f>
        <v/>
      </c>
      <c r="AI836" s="395"/>
      <c r="AJ836" s="394"/>
      <c r="AK836" s="429" t="str">
        <f>IF(OR(ISBLANK($B836),ISBLANK($AJ836)),"",IFERROR(IF($AJ836&lt;=DATE('ESTADO CONTABLE'!$B$2,12,5),VLOOKUP($B836,COSTOS!$A$2:$B1014,2,FALSE)-150,VLOOKUP($B836,COSTOS!$A$2:$B1014,2,FALSE)),"No encontrado o error"))</f>
        <v/>
      </c>
      <c r="AL836" s="395"/>
      <c r="AM836" s="254"/>
      <c r="AN836" s="255"/>
      <c r="AO836" s="256"/>
    </row>
    <row r="837" ht="22.5" customHeight="1">
      <c r="A837" s="431" t="str">
        <f>'BASE DE DATOSS'!A911</f>
        <v/>
      </c>
      <c r="B837" s="432" t="str">
        <f>'BASE DE DATOSS'!C911</f>
        <v/>
      </c>
      <c r="C837" s="263"/>
      <c r="D837" s="249"/>
      <c r="E837" s="250"/>
      <c r="F837" s="251"/>
      <c r="G837" s="262"/>
      <c r="H837" s="257"/>
      <c r="I837" s="249"/>
      <c r="J837" s="193" t="str">
        <f>IF(OR(ISBLANK($B837),ISBLANK($I837)),"",IFERROR(IF($I837&lt;=DATE('ESTADO CONTABLE'!$B$2,3,5),VLOOKUP($B837,COSTOS!$A$2:$B1014,2,FALSE)-150,VLOOKUP($B837,COSTOS!$A$2:$B1014,2,FALSE)),"No encontrado o error"))</f>
        <v/>
      </c>
      <c r="K837" s="264"/>
      <c r="L837" s="249"/>
      <c r="M837" s="189"/>
      <c r="N837" s="264"/>
      <c r="O837" s="249"/>
      <c r="P837" s="250"/>
      <c r="Q837" s="264"/>
      <c r="R837" s="249"/>
      <c r="S837" s="250"/>
      <c r="T837" s="264"/>
      <c r="U837" s="249"/>
      <c r="V837" s="250"/>
      <c r="W837" s="264"/>
      <c r="X837" s="394"/>
      <c r="Y837" s="429"/>
      <c r="Z837" s="395"/>
      <c r="AA837" s="394"/>
      <c r="AB837" s="118" t="str">
        <f>IF(OR(ISBLANK($B837),ISBLANK($AA837)),"",IFERROR(IF($AA837&lt;=DATE('ESTADO CONTABLE'!$B$2,9,5),VLOOKUP($B837,COSTOS!$A$2:$B1014,2,FALSE)-150,VLOOKUP($B837,COSTOS!$A$2:$B1014,2,FALSE)),"No encontrado o error"))</f>
        <v/>
      </c>
      <c r="AC837" s="395"/>
      <c r="AD837" s="394"/>
      <c r="AE837" s="429" t="str">
        <f>IF(OR(ISBLANK($B837),ISBLANK($AD837)),"",IFERROR(IF($AD837&lt;=DATE('ESTADO CONTABLE'!$B$2,10,5),VLOOKUP($B837,COSTOS!$A$2:$B1014,2,FALSE)-150,VLOOKUP($B837,COSTOS!$A$2:$B1014,2,FALSE)),"No encontrado o error"))</f>
        <v/>
      </c>
      <c r="AF837" s="395"/>
      <c r="AG837" s="394"/>
      <c r="AH837" s="429" t="str">
        <f>IF(OR(ISBLANK($B837),ISBLANK($AG837)),"",IFERROR(IF($AG837&lt;=DATE('ESTADO CONTABLE'!$B$2,11,5),VLOOKUP($B837,COSTOS!$A$2:$B1014,2,FALSE)-150,VLOOKUP($B837,COSTOS!$A$2:$B1014,2,FALSE)),"No encontrado o error"))</f>
        <v/>
      </c>
      <c r="AI837" s="395"/>
      <c r="AJ837" s="394"/>
      <c r="AK837" s="429" t="str">
        <f>IF(OR(ISBLANK($B837),ISBLANK($AJ837)),"",IFERROR(IF($AJ837&lt;=DATE('ESTADO CONTABLE'!$B$2,12,5),VLOOKUP($B837,COSTOS!$A$2:$B1014,2,FALSE)-150,VLOOKUP($B837,COSTOS!$A$2:$B1014,2,FALSE)),"No encontrado o error"))</f>
        <v/>
      </c>
      <c r="AL837" s="395"/>
      <c r="AM837" s="254"/>
      <c r="AN837" s="255"/>
      <c r="AO837" s="256"/>
    </row>
    <row r="838" ht="22.5" customHeight="1">
      <c r="A838" s="431" t="str">
        <f>'BASE DE DATOSS'!A912</f>
        <v/>
      </c>
      <c r="B838" s="432" t="str">
        <f>'BASE DE DATOSS'!C912</f>
        <v/>
      </c>
      <c r="C838" s="263"/>
      <c r="D838" s="249"/>
      <c r="E838" s="250"/>
      <c r="F838" s="251"/>
      <c r="G838" s="262"/>
      <c r="H838" s="257"/>
      <c r="I838" s="249"/>
      <c r="J838" s="193" t="str">
        <f>IF(OR(ISBLANK($B838),ISBLANK($I838)),"",IFERROR(IF($I838&lt;=DATE('ESTADO CONTABLE'!$B$2,3,5),VLOOKUP($B838,COSTOS!$A$2:$B1014,2,FALSE)-150,VLOOKUP($B838,COSTOS!$A$2:$B1014,2,FALSE)),"No encontrado o error"))</f>
        <v/>
      </c>
      <c r="K838" s="264"/>
      <c r="L838" s="249"/>
      <c r="M838" s="189"/>
      <c r="N838" s="264"/>
      <c r="O838" s="249"/>
      <c r="P838" s="250"/>
      <c r="Q838" s="264"/>
      <c r="R838" s="249"/>
      <c r="S838" s="250"/>
      <c r="T838" s="264"/>
      <c r="U838" s="249"/>
      <c r="V838" s="250"/>
      <c r="W838" s="264"/>
      <c r="X838" s="394"/>
      <c r="Y838" s="429"/>
      <c r="Z838" s="395"/>
      <c r="AA838" s="394"/>
      <c r="AB838" s="118" t="str">
        <f>IF(OR(ISBLANK($B838),ISBLANK($AA838)),"",IFERROR(IF($AA838&lt;=DATE('ESTADO CONTABLE'!$B$2,9,5),VLOOKUP($B838,COSTOS!$A$2:$B1014,2,FALSE)-150,VLOOKUP($B838,COSTOS!$A$2:$B1014,2,FALSE)),"No encontrado o error"))</f>
        <v/>
      </c>
      <c r="AC838" s="395"/>
      <c r="AD838" s="394"/>
      <c r="AE838" s="429" t="str">
        <f>IF(OR(ISBLANK($B838),ISBLANK($AD838)),"",IFERROR(IF($AD838&lt;=DATE('ESTADO CONTABLE'!$B$2,10,5),VLOOKUP($B838,COSTOS!$A$2:$B1014,2,FALSE)-150,VLOOKUP($B838,COSTOS!$A$2:$B1014,2,FALSE)),"No encontrado o error"))</f>
        <v/>
      </c>
      <c r="AF838" s="395"/>
      <c r="AG838" s="394"/>
      <c r="AH838" s="429" t="str">
        <f>IF(OR(ISBLANK($B838),ISBLANK($AG838)),"",IFERROR(IF($AG838&lt;=DATE('ESTADO CONTABLE'!$B$2,11,5),VLOOKUP($B838,COSTOS!$A$2:$B1014,2,FALSE)-150,VLOOKUP($B838,COSTOS!$A$2:$B1014,2,FALSE)),"No encontrado o error"))</f>
        <v/>
      </c>
      <c r="AI838" s="395"/>
      <c r="AJ838" s="394"/>
      <c r="AK838" s="429" t="str">
        <f>IF(OR(ISBLANK($B838),ISBLANK($AJ838)),"",IFERROR(IF($AJ838&lt;=DATE('ESTADO CONTABLE'!$B$2,12,5),VLOOKUP($B838,COSTOS!$A$2:$B1014,2,FALSE)-150,VLOOKUP($B838,COSTOS!$A$2:$B1014,2,FALSE)),"No encontrado o error"))</f>
        <v/>
      </c>
      <c r="AL838" s="395"/>
      <c r="AM838" s="254"/>
      <c r="AN838" s="255"/>
      <c r="AO838" s="256"/>
    </row>
    <row r="839" ht="22.5" customHeight="1">
      <c r="A839" s="431" t="str">
        <f>'BASE DE DATOSS'!A913</f>
        <v/>
      </c>
      <c r="B839" s="432" t="str">
        <f>'BASE DE DATOSS'!C913</f>
        <v/>
      </c>
      <c r="C839" s="263"/>
      <c r="D839" s="249"/>
      <c r="E839" s="250"/>
      <c r="F839" s="251"/>
      <c r="G839" s="262"/>
      <c r="H839" s="257"/>
      <c r="I839" s="249"/>
      <c r="J839" s="193" t="str">
        <f>IF(OR(ISBLANK($B839),ISBLANK($I839)),"",IFERROR(IF($I839&lt;=DATE('ESTADO CONTABLE'!$B$2,3,5),VLOOKUP($B839,COSTOS!$A$2:$B1014,2,FALSE)-150,VLOOKUP($B839,COSTOS!$A$2:$B1014,2,FALSE)),"No encontrado o error"))</f>
        <v/>
      </c>
      <c r="K839" s="264"/>
      <c r="L839" s="249"/>
      <c r="M839" s="189"/>
      <c r="N839" s="264"/>
      <c r="O839" s="249"/>
      <c r="P839" s="250"/>
      <c r="Q839" s="264"/>
      <c r="R839" s="249"/>
      <c r="S839" s="250"/>
      <c r="T839" s="264"/>
      <c r="U839" s="249"/>
      <c r="V839" s="250"/>
      <c r="W839" s="264"/>
      <c r="X839" s="394"/>
      <c r="Y839" s="429"/>
      <c r="Z839" s="395"/>
      <c r="AA839" s="394"/>
      <c r="AB839" s="118" t="str">
        <f>IF(OR(ISBLANK($B839),ISBLANK($AA839)),"",IFERROR(IF($AA839&lt;=DATE('ESTADO CONTABLE'!$B$2,9,5),VLOOKUP($B839,COSTOS!$A$2:$B1014,2,FALSE)-150,VLOOKUP($B839,COSTOS!$A$2:$B1014,2,FALSE)),"No encontrado o error"))</f>
        <v/>
      </c>
      <c r="AC839" s="395"/>
      <c r="AD839" s="394"/>
      <c r="AE839" s="429" t="str">
        <f>IF(OR(ISBLANK($B839),ISBLANK($AD839)),"",IFERROR(IF($AD839&lt;=DATE('ESTADO CONTABLE'!$B$2,10,5),VLOOKUP($B839,COSTOS!$A$2:$B1014,2,FALSE)-150,VLOOKUP($B839,COSTOS!$A$2:$B1014,2,FALSE)),"No encontrado o error"))</f>
        <v/>
      </c>
      <c r="AF839" s="395"/>
      <c r="AG839" s="394"/>
      <c r="AH839" s="429" t="str">
        <f>IF(OR(ISBLANK($B839),ISBLANK($AG839)),"",IFERROR(IF($AG839&lt;=DATE('ESTADO CONTABLE'!$B$2,11,5),VLOOKUP($B839,COSTOS!$A$2:$B1014,2,FALSE)-150,VLOOKUP($B839,COSTOS!$A$2:$B1014,2,FALSE)),"No encontrado o error"))</f>
        <v/>
      </c>
      <c r="AI839" s="395"/>
      <c r="AJ839" s="394"/>
      <c r="AK839" s="429" t="str">
        <f>IF(OR(ISBLANK($B839),ISBLANK($AJ839)),"",IFERROR(IF($AJ839&lt;=DATE('ESTADO CONTABLE'!$B$2,12,5),VLOOKUP($B839,COSTOS!$A$2:$B1014,2,FALSE)-150,VLOOKUP($B839,COSTOS!$A$2:$B1014,2,FALSE)),"No encontrado o error"))</f>
        <v/>
      </c>
      <c r="AL839" s="395"/>
      <c r="AM839" s="254"/>
      <c r="AN839" s="255"/>
      <c r="AO839" s="256"/>
    </row>
    <row r="840" ht="22.5" customHeight="1">
      <c r="A840" s="431" t="str">
        <f>'BASE DE DATOSS'!A914</f>
        <v/>
      </c>
      <c r="B840" s="432" t="str">
        <f>'BASE DE DATOSS'!C914</f>
        <v/>
      </c>
      <c r="C840" s="263"/>
      <c r="D840" s="249"/>
      <c r="E840" s="250"/>
      <c r="F840" s="251"/>
      <c r="G840" s="262"/>
      <c r="H840" s="257"/>
      <c r="I840" s="249"/>
      <c r="J840" s="193" t="str">
        <f>IF(OR(ISBLANK($B840),ISBLANK($I840)),"",IFERROR(IF($I840&lt;=DATE('ESTADO CONTABLE'!$B$2,3,5),VLOOKUP($B840,COSTOS!$A$2:$B1014,2,FALSE)-150,VLOOKUP($B840,COSTOS!$A$2:$B1014,2,FALSE)),"No encontrado o error"))</f>
        <v/>
      </c>
      <c r="K840" s="264"/>
      <c r="L840" s="249"/>
      <c r="M840" s="189"/>
      <c r="N840" s="264"/>
      <c r="O840" s="249"/>
      <c r="P840" s="250"/>
      <c r="Q840" s="264"/>
      <c r="R840" s="249"/>
      <c r="S840" s="250"/>
      <c r="T840" s="264"/>
      <c r="U840" s="249"/>
      <c r="V840" s="250"/>
      <c r="W840" s="264"/>
      <c r="X840" s="394"/>
      <c r="Y840" s="429"/>
      <c r="Z840" s="395"/>
      <c r="AA840" s="394"/>
      <c r="AB840" s="118" t="str">
        <f>IF(OR(ISBLANK($B840),ISBLANK($AA840)),"",IFERROR(IF($AA840&lt;=DATE('ESTADO CONTABLE'!$B$2,9,5),VLOOKUP($B840,COSTOS!$A$2:$B1014,2,FALSE)-150,VLOOKUP($B840,COSTOS!$A$2:$B1014,2,FALSE)),"No encontrado o error"))</f>
        <v/>
      </c>
      <c r="AC840" s="395"/>
      <c r="AD840" s="394"/>
      <c r="AE840" s="429" t="str">
        <f>IF(OR(ISBLANK($B840),ISBLANK($AD840)),"",IFERROR(IF($AD840&lt;=DATE('ESTADO CONTABLE'!$B$2,10,5),VLOOKUP($B840,COSTOS!$A$2:$B1014,2,FALSE)-150,VLOOKUP($B840,COSTOS!$A$2:$B1014,2,FALSE)),"No encontrado o error"))</f>
        <v/>
      </c>
      <c r="AF840" s="395"/>
      <c r="AG840" s="394"/>
      <c r="AH840" s="429" t="str">
        <f>IF(OR(ISBLANK($B840),ISBLANK($AG840)),"",IFERROR(IF($AG840&lt;=DATE('ESTADO CONTABLE'!$B$2,11,5),VLOOKUP($B840,COSTOS!$A$2:$B1014,2,FALSE)-150,VLOOKUP($B840,COSTOS!$A$2:$B1014,2,FALSE)),"No encontrado o error"))</f>
        <v/>
      </c>
      <c r="AI840" s="395"/>
      <c r="AJ840" s="394"/>
      <c r="AK840" s="429" t="str">
        <f>IF(OR(ISBLANK($B840),ISBLANK($AJ840)),"",IFERROR(IF($AJ840&lt;=DATE('ESTADO CONTABLE'!$B$2,12,5),VLOOKUP($B840,COSTOS!$A$2:$B1014,2,FALSE)-150,VLOOKUP($B840,COSTOS!$A$2:$B1014,2,FALSE)),"No encontrado o error"))</f>
        <v/>
      </c>
      <c r="AL840" s="395"/>
      <c r="AM840" s="254"/>
      <c r="AN840" s="255"/>
      <c r="AO840" s="256"/>
    </row>
    <row r="841" ht="22.5" customHeight="1">
      <c r="A841" s="431" t="str">
        <f>'BASE DE DATOSS'!A915</f>
        <v/>
      </c>
      <c r="B841" s="432" t="str">
        <f>'BASE DE DATOSS'!C915</f>
        <v/>
      </c>
      <c r="C841" s="263"/>
      <c r="D841" s="249"/>
      <c r="E841" s="250"/>
      <c r="F841" s="251"/>
      <c r="G841" s="262"/>
      <c r="H841" s="257"/>
      <c r="I841" s="249"/>
      <c r="J841" s="193" t="str">
        <f>IF(OR(ISBLANK($B841),ISBLANK($I841)),"",IFERROR(IF($I841&lt;=DATE('ESTADO CONTABLE'!$B$2,3,5),VLOOKUP($B841,COSTOS!$A$2:$B1014,2,FALSE)-150,VLOOKUP($B841,COSTOS!$A$2:$B1014,2,FALSE)),"No encontrado o error"))</f>
        <v/>
      </c>
      <c r="K841" s="264"/>
      <c r="L841" s="249"/>
      <c r="M841" s="189"/>
      <c r="N841" s="264"/>
      <c r="O841" s="249"/>
      <c r="P841" s="250"/>
      <c r="Q841" s="264"/>
      <c r="R841" s="249"/>
      <c r="S841" s="250"/>
      <c r="T841" s="264"/>
      <c r="U841" s="249"/>
      <c r="V841" s="250"/>
      <c r="W841" s="264"/>
      <c r="X841" s="394"/>
      <c r="Y841" s="429"/>
      <c r="Z841" s="395"/>
      <c r="AA841" s="394"/>
      <c r="AB841" s="118" t="str">
        <f>IF(OR(ISBLANK($B841),ISBLANK($AA841)),"",IFERROR(IF($AA841&lt;=DATE('ESTADO CONTABLE'!$B$2,9,5),VLOOKUP($B841,COSTOS!$A$2:$B1014,2,FALSE)-150,VLOOKUP($B841,COSTOS!$A$2:$B1014,2,FALSE)),"No encontrado o error"))</f>
        <v/>
      </c>
      <c r="AC841" s="395"/>
      <c r="AD841" s="394"/>
      <c r="AE841" s="429" t="str">
        <f>IF(OR(ISBLANK($B841),ISBLANK($AD841)),"",IFERROR(IF($AD841&lt;=DATE('ESTADO CONTABLE'!$B$2,10,5),VLOOKUP($B841,COSTOS!$A$2:$B1014,2,FALSE)-150,VLOOKUP($B841,COSTOS!$A$2:$B1014,2,FALSE)),"No encontrado o error"))</f>
        <v/>
      </c>
      <c r="AF841" s="395"/>
      <c r="AG841" s="394"/>
      <c r="AH841" s="429" t="str">
        <f>IF(OR(ISBLANK($B841),ISBLANK($AG841)),"",IFERROR(IF($AG841&lt;=DATE('ESTADO CONTABLE'!$B$2,11,5),VLOOKUP($B841,COSTOS!$A$2:$B1014,2,FALSE)-150,VLOOKUP($B841,COSTOS!$A$2:$B1014,2,FALSE)),"No encontrado o error"))</f>
        <v/>
      </c>
      <c r="AI841" s="395"/>
      <c r="AJ841" s="394"/>
      <c r="AK841" s="429" t="str">
        <f>IF(OR(ISBLANK($B841),ISBLANK($AJ841)),"",IFERROR(IF($AJ841&lt;=DATE('ESTADO CONTABLE'!$B$2,12,5),VLOOKUP($B841,COSTOS!$A$2:$B1014,2,FALSE)-150,VLOOKUP($B841,COSTOS!$A$2:$B1014,2,FALSE)),"No encontrado o error"))</f>
        <v/>
      </c>
      <c r="AL841" s="395"/>
      <c r="AM841" s="254"/>
      <c r="AN841" s="255"/>
      <c r="AO841" s="256"/>
    </row>
    <row r="842" ht="22.5" customHeight="1">
      <c r="A842" s="431" t="str">
        <f>'BASE DE DATOSS'!A916</f>
        <v/>
      </c>
      <c r="B842" s="432" t="str">
        <f>'BASE DE DATOSS'!C916</f>
        <v/>
      </c>
      <c r="C842" s="263"/>
      <c r="D842" s="249"/>
      <c r="E842" s="250"/>
      <c r="F842" s="251"/>
      <c r="G842" s="262"/>
      <c r="H842" s="257"/>
      <c r="I842" s="249"/>
      <c r="J842" s="193" t="str">
        <f>IF(OR(ISBLANK($B842),ISBLANK($I842)),"",IFERROR(IF($I842&lt;=DATE('ESTADO CONTABLE'!$B$2,3,5),VLOOKUP($B842,COSTOS!$A$2:$B1014,2,FALSE)-150,VLOOKUP($B842,COSTOS!$A$2:$B1014,2,FALSE)),"No encontrado o error"))</f>
        <v/>
      </c>
      <c r="K842" s="264"/>
      <c r="L842" s="249"/>
      <c r="M842" s="189"/>
      <c r="N842" s="264"/>
      <c r="O842" s="249"/>
      <c r="P842" s="250"/>
      <c r="Q842" s="264"/>
      <c r="R842" s="249"/>
      <c r="S842" s="250"/>
      <c r="T842" s="264"/>
      <c r="U842" s="249"/>
      <c r="V842" s="250"/>
      <c r="W842" s="264"/>
      <c r="X842" s="394"/>
      <c r="Y842" s="429"/>
      <c r="Z842" s="395"/>
      <c r="AA842" s="394"/>
      <c r="AB842" s="118" t="str">
        <f>IF(OR(ISBLANK($B842),ISBLANK($AA842)),"",IFERROR(IF($AA842&lt;=DATE('ESTADO CONTABLE'!$B$2,9,5),VLOOKUP($B842,COSTOS!$A$2:$B1014,2,FALSE)-150,VLOOKUP($B842,COSTOS!$A$2:$B1014,2,FALSE)),"No encontrado o error"))</f>
        <v/>
      </c>
      <c r="AC842" s="395"/>
      <c r="AD842" s="394"/>
      <c r="AE842" s="429" t="str">
        <f>IF(OR(ISBLANK($B842),ISBLANK($AD842)),"",IFERROR(IF($AD842&lt;=DATE('ESTADO CONTABLE'!$B$2,10,5),VLOOKUP($B842,COSTOS!$A$2:$B1014,2,FALSE)-150,VLOOKUP($B842,COSTOS!$A$2:$B1014,2,FALSE)),"No encontrado o error"))</f>
        <v/>
      </c>
      <c r="AF842" s="395"/>
      <c r="AG842" s="394"/>
      <c r="AH842" s="429" t="str">
        <f>IF(OR(ISBLANK($B842),ISBLANK($AG842)),"",IFERROR(IF($AG842&lt;=DATE('ESTADO CONTABLE'!$B$2,11,5),VLOOKUP($B842,COSTOS!$A$2:$B1014,2,FALSE)-150,VLOOKUP($B842,COSTOS!$A$2:$B1014,2,FALSE)),"No encontrado o error"))</f>
        <v/>
      </c>
      <c r="AI842" s="395"/>
      <c r="AJ842" s="394"/>
      <c r="AK842" s="429" t="str">
        <f>IF(OR(ISBLANK($B842),ISBLANK($AJ842)),"",IFERROR(IF($AJ842&lt;=DATE('ESTADO CONTABLE'!$B$2,12,5),VLOOKUP($B842,COSTOS!$A$2:$B1014,2,FALSE)-150,VLOOKUP($B842,COSTOS!$A$2:$B1014,2,FALSE)),"No encontrado o error"))</f>
        <v/>
      </c>
      <c r="AL842" s="395"/>
      <c r="AM842" s="254"/>
      <c r="AN842" s="255"/>
      <c r="AO842" s="256"/>
    </row>
    <row r="843" ht="22.5" customHeight="1">
      <c r="A843" s="431" t="str">
        <f>'BASE DE DATOSS'!A917</f>
        <v/>
      </c>
      <c r="B843" s="432" t="str">
        <f>'BASE DE DATOSS'!C917</f>
        <v/>
      </c>
      <c r="C843" s="263"/>
      <c r="D843" s="249"/>
      <c r="E843" s="250"/>
      <c r="F843" s="251"/>
      <c r="G843" s="262"/>
      <c r="H843" s="257"/>
      <c r="I843" s="249"/>
      <c r="J843" s="193" t="str">
        <f>IF(OR(ISBLANK($B843),ISBLANK($I843)),"",IFERROR(IF($I843&lt;=DATE('ESTADO CONTABLE'!$B$2,3,5),VLOOKUP($B843,COSTOS!$A$2:$B1014,2,FALSE)-150,VLOOKUP($B843,COSTOS!$A$2:$B1014,2,FALSE)),"No encontrado o error"))</f>
        <v/>
      </c>
      <c r="K843" s="264"/>
      <c r="L843" s="249"/>
      <c r="M843" s="189"/>
      <c r="N843" s="264"/>
      <c r="O843" s="249"/>
      <c r="P843" s="250"/>
      <c r="Q843" s="264"/>
      <c r="R843" s="249"/>
      <c r="S843" s="250"/>
      <c r="T843" s="264"/>
      <c r="U843" s="249"/>
      <c r="V843" s="250"/>
      <c r="W843" s="264"/>
      <c r="X843" s="394"/>
      <c r="Y843" s="429"/>
      <c r="Z843" s="395"/>
      <c r="AA843" s="394"/>
      <c r="AB843" s="118" t="str">
        <f>IF(OR(ISBLANK($B843),ISBLANK($AA843)),"",IFERROR(IF($AA843&lt;=DATE('ESTADO CONTABLE'!$B$2,9,5),VLOOKUP($B843,COSTOS!$A$2:$B1014,2,FALSE)-150,VLOOKUP($B843,COSTOS!$A$2:$B1014,2,FALSE)),"No encontrado o error"))</f>
        <v/>
      </c>
      <c r="AC843" s="395"/>
      <c r="AD843" s="394"/>
      <c r="AE843" s="429" t="str">
        <f>IF(OR(ISBLANK($B843),ISBLANK($AD843)),"",IFERROR(IF($AD843&lt;=DATE('ESTADO CONTABLE'!$B$2,10,5),VLOOKUP($B843,COSTOS!$A$2:$B1014,2,FALSE)-150,VLOOKUP($B843,COSTOS!$A$2:$B1014,2,FALSE)),"No encontrado o error"))</f>
        <v/>
      </c>
      <c r="AF843" s="395"/>
      <c r="AG843" s="394"/>
      <c r="AH843" s="429" t="str">
        <f>IF(OR(ISBLANK($B843),ISBLANK($AG843)),"",IFERROR(IF($AG843&lt;=DATE('ESTADO CONTABLE'!$B$2,11,5),VLOOKUP($B843,COSTOS!$A$2:$B1014,2,FALSE)-150,VLOOKUP($B843,COSTOS!$A$2:$B1014,2,FALSE)),"No encontrado o error"))</f>
        <v/>
      </c>
      <c r="AI843" s="395"/>
      <c r="AJ843" s="394"/>
      <c r="AK843" s="429" t="str">
        <f>IF(OR(ISBLANK($B843),ISBLANK($AJ843)),"",IFERROR(IF($AJ843&lt;=DATE('ESTADO CONTABLE'!$B$2,12,5),VLOOKUP($B843,COSTOS!$A$2:$B1014,2,FALSE)-150,VLOOKUP($B843,COSTOS!$A$2:$B1014,2,FALSE)),"No encontrado o error"))</f>
        <v/>
      </c>
      <c r="AL843" s="395"/>
      <c r="AM843" s="254"/>
      <c r="AN843" s="255"/>
      <c r="AO843" s="256"/>
    </row>
    <row r="844" ht="22.5" customHeight="1">
      <c r="A844" s="431" t="str">
        <f>'BASE DE DATOSS'!A918</f>
        <v/>
      </c>
      <c r="B844" s="432" t="str">
        <f>'BASE DE DATOSS'!C918</f>
        <v/>
      </c>
      <c r="C844" s="263"/>
      <c r="D844" s="249"/>
      <c r="E844" s="250"/>
      <c r="F844" s="251"/>
      <c r="G844" s="262"/>
      <c r="H844" s="257"/>
      <c r="I844" s="249"/>
      <c r="J844" s="193" t="str">
        <f>IF(OR(ISBLANK($B844),ISBLANK($I844)),"",IFERROR(IF($I844&lt;=DATE('ESTADO CONTABLE'!$B$2,3,5),VLOOKUP($B844,COSTOS!$A$2:$B1014,2,FALSE)-150,VLOOKUP($B844,COSTOS!$A$2:$B1014,2,FALSE)),"No encontrado o error"))</f>
        <v/>
      </c>
      <c r="K844" s="264"/>
      <c r="L844" s="249"/>
      <c r="M844" s="189"/>
      <c r="N844" s="264"/>
      <c r="O844" s="249"/>
      <c r="P844" s="250"/>
      <c r="Q844" s="264"/>
      <c r="R844" s="249"/>
      <c r="S844" s="250"/>
      <c r="T844" s="264"/>
      <c r="U844" s="249"/>
      <c r="V844" s="250"/>
      <c r="W844" s="264"/>
      <c r="X844" s="394"/>
      <c r="Y844" s="429"/>
      <c r="Z844" s="395"/>
      <c r="AA844" s="394"/>
      <c r="AB844" s="118" t="str">
        <f>IF(OR(ISBLANK($B844),ISBLANK($AA844)),"",IFERROR(IF($AA844&lt;=DATE('ESTADO CONTABLE'!$B$2,9,5),VLOOKUP($B844,COSTOS!$A$2:$B1014,2,FALSE)-150,VLOOKUP($B844,COSTOS!$A$2:$B1014,2,FALSE)),"No encontrado o error"))</f>
        <v/>
      </c>
      <c r="AC844" s="395"/>
      <c r="AD844" s="394"/>
      <c r="AE844" s="429" t="str">
        <f>IF(OR(ISBLANK($B844),ISBLANK($AD844)),"",IFERROR(IF($AD844&lt;=DATE('ESTADO CONTABLE'!$B$2,10,5),VLOOKUP($B844,COSTOS!$A$2:$B1014,2,FALSE)-150,VLOOKUP($B844,COSTOS!$A$2:$B1014,2,FALSE)),"No encontrado o error"))</f>
        <v/>
      </c>
      <c r="AF844" s="395"/>
      <c r="AG844" s="394"/>
      <c r="AH844" s="429" t="str">
        <f>IF(OR(ISBLANK($B844),ISBLANK($AG844)),"",IFERROR(IF($AG844&lt;=DATE('ESTADO CONTABLE'!$B$2,11,5),VLOOKUP($B844,COSTOS!$A$2:$B1014,2,FALSE)-150,VLOOKUP($B844,COSTOS!$A$2:$B1014,2,FALSE)),"No encontrado o error"))</f>
        <v/>
      </c>
      <c r="AI844" s="395"/>
      <c r="AJ844" s="394"/>
      <c r="AK844" s="429" t="str">
        <f>IF(OR(ISBLANK($B844),ISBLANK($AJ844)),"",IFERROR(IF($AJ844&lt;=DATE('ESTADO CONTABLE'!$B$2,12,5),VLOOKUP($B844,COSTOS!$A$2:$B1014,2,FALSE)-150,VLOOKUP($B844,COSTOS!$A$2:$B1014,2,FALSE)),"No encontrado o error"))</f>
        <v/>
      </c>
      <c r="AL844" s="395"/>
      <c r="AM844" s="254"/>
      <c r="AN844" s="255"/>
      <c r="AO844" s="256"/>
    </row>
    <row r="845" ht="22.5" customHeight="1">
      <c r="A845" s="431" t="str">
        <f>'BASE DE DATOSS'!A919</f>
        <v/>
      </c>
      <c r="B845" s="432" t="str">
        <f>'BASE DE DATOSS'!C919</f>
        <v/>
      </c>
      <c r="C845" s="263"/>
      <c r="D845" s="249"/>
      <c r="E845" s="250"/>
      <c r="F845" s="251"/>
      <c r="G845" s="262"/>
      <c r="H845" s="257"/>
      <c r="I845" s="249"/>
      <c r="J845" s="193" t="str">
        <f>IF(OR(ISBLANK($B845),ISBLANK($I845)),"",IFERROR(IF($I845&lt;=DATE('ESTADO CONTABLE'!$B$2,3,5),VLOOKUP($B845,COSTOS!$A$2:$B1014,2,FALSE)-150,VLOOKUP($B845,COSTOS!$A$2:$B1014,2,FALSE)),"No encontrado o error"))</f>
        <v/>
      </c>
      <c r="K845" s="264"/>
      <c r="L845" s="249"/>
      <c r="M845" s="189"/>
      <c r="N845" s="264"/>
      <c r="O845" s="249"/>
      <c r="P845" s="250"/>
      <c r="Q845" s="264"/>
      <c r="R845" s="249"/>
      <c r="S845" s="250"/>
      <c r="T845" s="264"/>
      <c r="U845" s="249"/>
      <c r="V845" s="250"/>
      <c r="W845" s="264"/>
      <c r="X845" s="394"/>
      <c r="Y845" s="429"/>
      <c r="Z845" s="395"/>
      <c r="AA845" s="394"/>
      <c r="AB845" s="118" t="str">
        <f>IF(OR(ISBLANK($B845),ISBLANK($AA845)),"",IFERROR(IF($AA845&lt;=DATE('ESTADO CONTABLE'!$B$2,9,5),VLOOKUP($B845,COSTOS!$A$2:$B1014,2,FALSE)-150,VLOOKUP($B845,COSTOS!$A$2:$B1014,2,FALSE)),"No encontrado o error"))</f>
        <v/>
      </c>
      <c r="AC845" s="395"/>
      <c r="AD845" s="394"/>
      <c r="AE845" s="429" t="str">
        <f>IF(OR(ISBLANK($B845),ISBLANK($AD845)),"",IFERROR(IF($AD845&lt;=DATE('ESTADO CONTABLE'!$B$2,10,5),VLOOKUP($B845,COSTOS!$A$2:$B1014,2,FALSE)-150,VLOOKUP($B845,COSTOS!$A$2:$B1014,2,FALSE)),"No encontrado o error"))</f>
        <v/>
      </c>
      <c r="AF845" s="395"/>
      <c r="AG845" s="394"/>
      <c r="AH845" s="429" t="str">
        <f>IF(OR(ISBLANK($B845),ISBLANK($AG845)),"",IFERROR(IF($AG845&lt;=DATE('ESTADO CONTABLE'!$B$2,11,5),VLOOKUP($B845,COSTOS!$A$2:$B1014,2,FALSE)-150,VLOOKUP($B845,COSTOS!$A$2:$B1014,2,FALSE)),"No encontrado o error"))</f>
        <v/>
      </c>
      <c r="AI845" s="395"/>
      <c r="AJ845" s="394"/>
      <c r="AK845" s="429" t="str">
        <f>IF(OR(ISBLANK($B845),ISBLANK($AJ845)),"",IFERROR(IF($AJ845&lt;=DATE('ESTADO CONTABLE'!$B$2,12,5),VLOOKUP($B845,COSTOS!$A$2:$B1014,2,FALSE)-150,VLOOKUP($B845,COSTOS!$A$2:$B1014,2,FALSE)),"No encontrado o error"))</f>
        <v/>
      </c>
      <c r="AL845" s="395"/>
      <c r="AM845" s="254"/>
      <c r="AN845" s="255"/>
      <c r="AO845" s="256"/>
    </row>
    <row r="846" ht="22.5" customHeight="1">
      <c r="A846" s="431" t="str">
        <f>'BASE DE DATOSS'!A920</f>
        <v/>
      </c>
      <c r="B846" s="432" t="str">
        <f>'BASE DE DATOSS'!C920</f>
        <v/>
      </c>
      <c r="C846" s="263"/>
      <c r="D846" s="249"/>
      <c r="E846" s="250"/>
      <c r="F846" s="251"/>
      <c r="G846" s="262"/>
      <c r="H846" s="257"/>
      <c r="I846" s="249"/>
      <c r="J846" s="193" t="str">
        <f>IF(OR(ISBLANK($B846),ISBLANK($I846)),"",IFERROR(IF($I846&lt;=DATE('ESTADO CONTABLE'!$B$2,3,5),VLOOKUP($B846,COSTOS!$A$2:$B1014,2,FALSE)-150,VLOOKUP($B846,COSTOS!$A$2:$B1014,2,FALSE)),"No encontrado o error"))</f>
        <v/>
      </c>
      <c r="K846" s="264"/>
      <c r="L846" s="249"/>
      <c r="M846" s="189"/>
      <c r="N846" s="264"/>
      <c r="O846" s="249"/>
      <c r="P846" s="250"/>
      <c r="Q846" s="264"/>
      <c r="R846" s="249"/>
      <c r="S846" s="250"/>
      <c r="T846" s="264"/>
      <c r="U846" s="249"/>
      <c r="V846" s="250"/>
      <c r="W846" s="264"/>
      <c r="X846" s="394"/>
      <c r="Y846" s="429"/>
      <c r="Z846" s="395"/>
      <c r="AA846" s="394"/>
      <c r="AB846" s="118" t="str">
        <f>IF(OR(ISBLANK($B846),ISBLANK($AA846)),"",IFERROR(IF($AA846&lt;=DATE('ESTADO CONTABLE'!$B$2,9,5),VLOOKUP($B846,COSTOS!$A$2:$B1014,2,FALSE)-150,VLOOKUP($B846,COSTOS!$A$2:$B1014,2,FALSE)),"No encontrado o error"))</f>
        <v/>
      </c>
      <c r="AC846" s="395"/>
      <c r="AD846" s="394"/>
      <c r="AE846" s="429" t="str">
        <f>IF(OR(ISBLANK($B846),ISBLANK($AD846)),"",IFERROR(IF($AD846&lt;=DATE('ESTADO CONTABLE'!$B$2,10,5),VLOOKUP($B846,COSTOS!$A$2:$B1014,2,FALSE)-150,VLOOKUP($B846,COSTOS!$A$2:$B1014,2,FALSE)),"No encontrado o error"))</f>
        <v/>
      </c>
      <c r="AF846" s="395"/>
      <c r="AG846" s="394"/>
      <c r="AH846" s="429" t="str">
        <f>IF(OR(ISBLANK($B846),ISBLANK($AG846)),"",IFERROR(IF($AG846&lt;=DATE('ESTADO CONTABLE'!$B$2,11,5),VLOOKUP($B846,COSTOS!$A$2:$B1014,2,FALSE)-150,VLOOKUP($B846,COSTOS!$A$2:$B1014,2,FALSE)),"No encontrado o error"))</f>
        <v/>
      </c>
      <c r="AI846" s="395"/>
      <c r="AJ846" s="394"/>
      <c r="AK846" s="429" t="str">
        <f>IF(OR(ISBLANK($B846),ISBLANK($AJ846)),"",IFERROR(IF($AJ846&lt;=DATE('ESTADO CONTABLE'!$B$2,12,5),VLOOKUP($B846,COSTOS!$A$2:$B1014,2,FALSE)-150,VLOOKUP($B846,COSTOS!$A$2:$B1014,2,FALSE)),"No encontrado o error"))</f>
        <v/>
      </c>
      <c r="AL846" s="395"/>
      <c r="AM846" s="254"/>
      <c r="AN846" s="255"/>
      <c r="AO846" s="256"/>
    </row>
    <row r="847" ht="22.5" customHeight="1">
      <c r="A847" s="431" t="str">
        <f>'BASE DE DATOSS'!A921</f>
        <v/>
      </c>
      <c r="B847" s="432" t="str">
        <f>'BASE DE DATOSS'!C921</f>
        <v/>
      </c>
      <c r="C847" s="263"/>
      <c r="D847" s="249"/>
      <c r="E847" s="250"/>
      <c r="F847" s="251"/>
      <c r="G847" s="262"/>
      <c r="H847" s="257"/>
      <c r="I847" s="249"/>
      <c r="J847" s="193" t="str">
        <f>IF(OR(ISBLANK($B847),ISBLANK($I847)),"",IFERROR(IF($I847&lt;=DATE('ESTADO CONTABLE'!$B$2,3,5),VLOOKUP($B847,COSTOS!$A$2:$B1014,2,FALSE)-150,VLOOKUP($B847,COSTOS!$A$2:$B1014,2,FALSE)),"No encontrado o error"))</f>
        <v/>
      </c>
      <c r="K847" s="264"/>
      <c r="L847" s="249"/>
      <c r="M847" s="189"/>
      <c r="N847" s="264"/>
      <c r="O847" s="249"/>
      <c r="P847" s="250"/>
      <c r="Q847" s="264"/>
      <c r="R847" s="249"/>
      <c r="S847" s="250"/>
      <c r="T847" s="264"/>
      <c r="U847" s="249"/>
      <c r="V847" s="250"/>
      <c r="W847" s="264"/>
      <c r="X847" s="394"/>
      <c r="Y847" s="429"/>
      <c r="Z847" s="395"/>
      <c r="AA847" s="394"/>
      <c r="AB847" s="118" t="str">
        <f>IF(OR(ISBLANK($B847),ISBLANK($AA847)),"",IFERROR(IF($AA847&lt;=DATE('ESTADO CONTABLE'!$B$2,9,5),VLOOKUP($B847,COSTOS!$A$2:$B1014,2,FALSE)-150,VLOOKUP($B847,COSTOS!$A$2:$B1014,2,FALSE)),"No encontrado o error"))</f>
        <v/>
      </c>
      <c r="AC847" s="395"/>
      <c r="AD847" s="394"/>
      <c r="AE847" s="429" t="str">
        <f>IF(OR(ISBLANK($B847),ISBLANK($AD847)),"",IFERROR(IF($AD847&lt;=DATE('ESTADO CONTABLE'!$B$2,10,5),VLOOKUP($B847,COSTOS!$A$2:$B1014,2,FALSE)-150,VLOOKUP($B847,COSTOS!$A$2:$B1014,2,FALSE)),"No encontrado o error"))</f>
        <v/>
      </c>
      <c r="AF847" s="395"/>
      <c r="AG847" s="394"/>
      <c r="AH847" s="429" t="str">
        <f>IF(OR(ISBLANK($B847),ISBLANK($AG847)),"",IFERROR(IF($AG847&lt;=DATE('ESTADO CONTABLE'!$B$2,11,5),VLOOKUP($B847,COSTOS!$A$2:$B1014,2,FALSE)-150,VLOOKUP($B847,COSTOS!$A$2:$B1014,2,FALSE)),"No encontrado o error"))</f>
        <v/>
      </c>
      <c r="AI847" s="395"/>
      <c r="AJ847" s="394"/>
      <c r="AK847" s="429" t="str">
        <f>IF(OR(ISBLANK($B847),ISBLANK($AJ847)),"",IFERROR(IF($AJ847&lt;=DATE('ESTADO CONTABLE'!$B$2,12,5),VLOOKUP($B847,COSTOS!$A$2:$B1014,2,FALSE)-150,VLOOKUP($B847,COSTOS!$A$2:$B1014,2,FALSE)),"No encontrado o error"))</f>
        <v/>
      </c>
      <c r="AL847" s="395"/>
      <c r="AM847" s="254"/>
      <c r="AN847" s="255"/>
      <c r="AO847" s="256"/>
    </row>
    <row r="848" ht="22.5" customHeight="1">
      <c r="A848" s="431" t="str">
        <f>'BASE DE DATOSS'!A922</f>
        <v/>
      </c>
      <c r="B848" s="432" t="str">
        <f>'BASE DE DATOSS'!C922</f>
        <v/>
      </c>
      <c r="C848" s="263"/>
      <c r="D848" s="249"/>
      <c r="E848" s="250"/>
      <c r="F848" s="251"/>
      <c r="G848" s="262"/>
      <c r="H848" s="257"/>
      <c r="I848" s="249"/>
      <c r="J848" s="193" t="str">
        <f>IF(OR(ISBLANK($B848),ISBLANK($I848)),"",IFERROR(IF($I848&lt;=DATE('ESTADO CONTABLE'!$B$2,3,5),VLOOKUP($B848,COSTOS!$A$2:$B1014,2,FALSE)-150,VLOOKUP($B848,COSTOS!$A$2:$B1014,2,FALSE)),"No encontrado o error"))</f>
        <v/>
      </c>
      <c r="K848" s="264"/>
      <c r="L848" s="249"/>
      <c r="M848" s="189"/>
      <c r="N848" s="264"/>
      <c r="O848" s="249"/>
      <c r="P848" s="250"/>
      <c r="Q848" s="264"/>
      <c r="R848" s="249"/>
      <c r="S848" s="250"/>
      <c r="T848" s="264"/>
      <c r="U848" s="249"/>
      <c r="V848" s="250"/>
      <c r="W848" s="264"/>
      <c r="X848" s="394"/>
      <c r="Y848" s="429"/>
      <c r="Z848" s="395"/>
      <c r="AA848" s="394"/>
      <c r="AB848" s="118" t="str">
        <f>IF(OR(ISBLANK($B848),ISBLANK($AA848)),"",IFERROR(IF($AA848&lt;=DATE('ESTADO CONTABLE'!$B$2,9,5),VLOOKUP($B848,COSTOS!$A$2:$B1014,2,FALSE)-150,VLOOKUP($B848,COSTOS!$A$2:$B1014,2,FALSE)),"No encontrado o error"))</f>
        <v/>
      </c>
      <c r="AC848" s="395"/>
      <c r="AD848" s="394"/>
      <c r="AE848" s="429" t="str">
        <f>IF(OR(ISBLANK($B848),ISBLANK($AD848)),"",IFERROR(IF($AD848&lt;=DATE('ESTADO CONTABLE'!$B$2,10,5),VLOOKUP($B848,COSTOS!$A$2:$B1014,2,FALSE)-150,VLOOKUP($B848,COSTOS!$A$2:$B1014,2,FALSE)),"No encontrado o error"))</f>
        <v/>
      </c>
      <c r="AF848" s="395"/>
      <c r="AG848" s="394"/>
      <c r="AH848" s="429" t="str">
        <f>IF(OR(ISBLANK($B848),ISBLANK($AG848)),"",IFERROR(IF($AG848&lt;=DATE('ESTADO CONTABLE'!$B$2,11,5),VLOOKUP($B848,COSTOS!$A$2:$B1014,2,FALSE)-150,VLOOKUP($B848,COSTOS!$A$2:$B1014,2,FALSE)),"No encontrado o error"))</f>
        <v/>
      </c>
      <c r="AI848" s="395"/>
      <c r="AJ848" s="394"/>
      <c r="AK848" s="429" t="str">
        <f>IF(OR(ISBLANK($B848),ISBLANK($AJ848)),"",IFERROR(IF($AJ848&lt;=DATE('ESTADO CONTABLE'!$B$2,12,5),VLOOKUP($B848,COSTOS!$A$2:$B1014,2,FALSE)-150,VLOOKUP($B848,COSTOS!$A$2:$B1014,2,FALSE)),"No encontrado o error"))</f>
        <v/>
      </c>
      <c r="AL848" s="395"/>
      <c r="AM848" s="254"/>
      <c r="AN848" s="255"/>
      <c r="AO848" s="256"/>
    </row>
    <row r="849" ht="22.5" customHeight="1">
      <c r="A849" s="431" t="str">
        <f>'BASE DE DATOSS'!A923</f>
        <v/>
      </c>
      <c r="B849" s="432" t="str">
        <f>'BASE DE DATOSS'!C923</f>
        <v/>
      </c>
      <c r="C849" s="263"/>
      <c r="D849" s="249"/>
      <c r="E849" s="250"/>
      <c r="F849" s="251"/>
      <c r="G849" s="262"/>
      <c r="H849" s="257"/>
      <c r="I849" s="249"/>
      <c r="J849" s="193" t="str">
        <f>IF(OR(ISBLANK($B849),ISBLANK($I849)),"",IFERROR(IF($I849&lt;=DATE('ESTADO CONTABLE'!$B$2,3,5),VLOOKUP($B849,COSTOS!$A$2:$B1014,2,FALSE)-150,VLOOKUP($B849,COSTOS!$A$2:$B1014,2,FALSE)),"No encontrado o error"))</f>
        <v/>
      </c>
      <c r="K849" s="264"/>
      <c r="L849" s="249"/>
      <c r="M849" s="189"/>
      <c r="N849" s="264"/>
      <c r="O849" s="249"/>
      <c r="P849" s="250"/>
      <c r="Q849" s="264"/>
      <c r="R849" s="249"/>
      <c r="S849" s="250"/>
      <c r="T849" s="264"/>
      <c r="U849" s="249"/>
      <c r="V849" s="250"/>
      <c r="W849" s="264"/>
      <c r="X849" s="394"/>
      <c r="Y849" s="429"/>
      <c r="Z849" s="395"/>
      <c r="AA849" s="394"/>
      <c r="AB849" s="118" t="str">
        <f>IF(OR(ISBLANK($B849),ISBLANK($AA849)),"",IFERROR(IF($AA849&lt;=DATE('ESTADO CONTABLE'!$B$2,9,5),VLOOKUP($B849,COSTOS!$A$2:$B1014,2,FALSE)-150,VLOOKUP($B849,COSTOS!$A$2:$B1014,2,FALSE)),"No encontrado o error"))</f>
        <v/>
      </c>
      <c r="AC849" s="395"/>
      <c r="AD849" s="394"/>
      <c r="AE849" s="429" t="str">
        <f>IF(OR(ISBLANK($B849),ISBLANK($AD849)),"",IFERROR(IF($AD849&lt;=DATE('ESTADO CONTABLE'!$B$2,10,5),VLOOKUP($B849,COSTOS!$A$2:$B1014,2,FALSE)-150,VLOOKUP($B849,COSTOS!$A$2:$B1014,2,FALSE)),"No encontrado o error"))</f>
        <v/>
      </c>
      <c r="AF849" s="395"/>
      <c r="AG849" s="394"/>
      <c r="AH849" s="429" t="str">
        <f>IF(OR(ISBLANK($B849),ISBLANK($AG849)),"",IFERROR(IF($AG849&lt;=DATE('ESTADO CONTABLE'!$B$2,11,5),VLOOKUP($B849,COSTOS!$A$2:$B1014,2,FALSE)-150,VLOOKUP($B849,COSTOS!$A$2:$B1014,2,FALSE)),"No encontrado o error"))</f>
        <v/>
      </c>
      <c r="AI849" s="395"/>
      <c r="AJ849" s="394"/>
      <c r="AK849" s="429" t="str">
        <f>IF(OR(ISBLANK($B849),ISBLANK($AJ849)),"",IFERROR(IF($AJ849&lt;=DATE('ESTADO CONTABLE'!$B$2,12,5),VLOOKUP($B849,COSTOS!$A$2:$B1014,2,FALSE)-150,VLOOKUP($B849,COSTOS!$A$2:$B1014,2,FALSE)),"No encontrado o error"))</f>
        <v/>
      </c>
      <c r="AL849" s="395"/>
      <c r="AM849" s="254"/>
      <c r="AN849" s="255"/>
      <c r="AO849" s="256"/>
    </row>
    <row r="850" ht="22.5" customHeight="1">
      <c r="A850" s="431" t="str">
        <f>'BASE DE DATOSS'!A924</f>
        <v/>
      </c>
      <c r="B850" s="432" t="str">
        <f>'BASE DE DATOSS'!C924</f>
        <v/>
      </c>
      <c r="C850" s="263"/>
      <c r="D850" s="249"/>
      <c r="E850" s="250"/>
      <c r="F850" s="251"/>
      <c r="G850" s="262"/>
      <c r="H850" s="257"/>
      <c r="I850" s="249"/>
      <c r="J850" s="193" t="str">
        <f>IF(OR(ISBLANK($B850),ISBLANK($I850)),"",IFERROR(IF($I850&lt;=DATE('ESTADO CONTABLE'!$B$2,3,5),VLOOKUP($B850,COSTOS!$A$2:$B1014,2,FALSE)-150,VLOOKUP($B850,COSTOS!$A$2:$B1014,2,FALSE)),"No encontrado o error"))</f>
        <v/>
      </c>
      <c r="K850" s="264"/>
      <c r="L850" s="249"/>
      <c r="M850" s="189"/>
      <c r="N850" s="264"/>
      <c r="O850" s="249"/>
      <c r="P850" s="250"/>
      <c r="Q850" s="264"/>
      <c r="R850" s="249"/>
      <c r="S850" s="250"/>
      <c r="T850" s="264"/>
      <c r="U850" s="249"/>
      <c r="V850" s="250"/>
      <c r="W850" s="264"/>
      <c r="X850" s="394"/>
      <c r="Y850" s="429"/>
      <c r="Z850" s="395"/>
      <c r="AA850" s="394"/>
      <c r="AB850" s="118" t="str">
        <f>IF(OR(ISBLANK($B850),ISBLANK($AA850)),"",IFERROR(IF($AA850&lt;=DATE('ESTADO CONTABLE'!$B$2,9,5),VLOOKUP($B850,COSTOS!$A$2:$B1014,2,FALSE)-150,VLOOKUP($B850,COSTOS!$A$2:$B1014,2,FALSE)),"No encontrado o error"))</f>
        <v/>
      </c>
      <c r="AC850" s="395"/>
      <c r="AD850" s="394"/>
      <c r="AE850" s="429" t="str">
        <f>IF(OR(ISBLANK($B850),ISBLANK($AD850)),"",IFERROR(IF($AD850&lt;=DATE('ESTADO CONTABLE'!$B$2,10,5),VLOOKUP($B850,COSTOS!$A$2:$B1014,2,FALSE)-150,VLOOKUP($B850,COSTOS!$A$2:$B1014,2,FALSE)),"No encontrado o error"))</f>
        <v/>
      </c>
      <c r="AF850" s="395"/>
      <c r="AG850" s="394"/>
      <c r="AH850" s="429" t="str">
        <f>IF(OR(ISBLANK($B850),ISBLANK($AG850)),"",IFERROR(IF($AG850&lt;=DATE('ESTADO CONTABLE'!$B$2,11,5),VLOOKUP($B850,COSTOS!$A$2:$B1014,2,FALSE)-150,VLOOKUP($B850,COSTOS!$A$2:$B1014,2,FALSE)),"No encontrado o error"))</f>
        <v/>
      </c>
      <c r="AI850" s="395"/>
      <c r="AJ850" s="394"/>
      <c r="AK850" s="429" t="str">
        <f>IF(OR(ISBLANK($B850),ISBLANK($AJ850)),"",IFERROR(IF($AJ850&lt;=DATE('ESTADO CONTABLE'!$B$2,12,5),VLOOKUP($B850,COSTOS!$A$2:$B1014,2,FALSE)-150,VLOOKUP($B850,COSTOS!$A$2:$B1014,2,FALSE)),"No encontrado o error"))</f>
        <v/>
      </c>
      <c r="AL850" s="395"/>
      <c r="AM850" s="254"/>
      <c r="AN850" s="255"/>
      <c r="AO850" s="256"/>
    </row>
    <row r="851" ht="22.5" customHeight="1">
      <c r="A851" s="431" t="str">
        <f>'BASE DE DATOSS'!A925</f>
        <v/>
      </c>
      <c r="B851" s="432" t="str">
        <f>'BASE DE DATOSS'!C925</f>
        <v/>
      </c>
      <c r="C851" s="263"/>
      <c r="D851" s="249"/>
      <c r="E851" s="250"/>
      <c r="F851" s="251"/>
      <c r="G851" s="262"/>
      <c r="H851" s="257"/>
      <c r="I851" s="249"/>
      <c r="J851" s="193" t="str">
        <f>IF(OR(ISBLANK($B851),ISBLANK($I851)),"",IFERROR(IF($I851&lt;=DATE('ESTADO CONTABLE'!$B$2,3,5),VLOOKUP($B851,COSTOS!$A$2:$B1014,2,FALSE)-150,VLOOKUP($B851,COSTOS!$A$2:$B1014,2,FALSE)),"No encontrado o error"))</f>
        <v/>
      </c>
      <c r="K851" s="264"/>
      <c r="L851" s="249"/>
      <c r="M851" s="189"/>
      <c r="N851" s="264"/>
      <c r="O851" s="249"/>
      <c r="P851" s="250"/>
      <c r="Q851" s="264"/>
      <c r="R851" s="249"/>
      <c r="S851" s="250"/>
      <c r="T851" s="264"/>
      <c r="U851" s="249"/>
      <c r="V851" s="250"/>
      <c r="W851" s="264"/>
      <c r="X851" s="394"/>
      <c r="Y851" s="429"/>
      <c r="Z851" s="395"/>
      <c r="AA851" s="394"/>
      <c r="AB851" s="118" t="str">
        <f>IF(OR(ISBLANK($B851),ISBLANK($AA851)),"",IFERROR(IF($AA851&lt;=DATE('ESTADO CONTABLE'!$B$2,9,5),VLOOKUP($B851,COSTOS!$A$2:$B1014,2,FALSE)-150,VLOOKUP($B851,COSTOS!$A$2:$B1014,2,FALSE)),"No encontrado o error"))</f>
        <v/>
      </c>
      <c r="AC851" s="395"/>
      <c r="AD851" s="394"/>
      <c r="AE851" s="429" t="str">
        <f>IF(OR(ISBLANK($B851),ISBLANK($AD851)),"",IFERROR(IF($AD851&lt;=DATE('ESTADO CONTABLE'!$B$2,10,5),VLOOKUP($B851,COSTOS!$A$2:$B1014,2,FALSE)-150,VLOOKUP($B851,COSTOS!$A$2:$B1014,2,FALSE)),"No encontrado o error"))</f>
        <v/>
      </c>
      <c r="AF851" s="395"/>
      <c r="AG851" s="394"/>
      <c r="AH851" s="429" t="str">
        <f>IF(OR(ISBLANK($B851),ISBLANK($AG851)),"",IFERROR(IF($AG851&lt;=DATE('ESTADO CONTABLE'!$B$2,11,5),VLOOKUP($B851,COSTOS!$A$2:$B1014,2,FALSE)-150,VLOOKUP($B851,COSTOS!$A$2:$B1014,2,FALSE)),"No encontrado o error"))</f>
        <v/>
      </c>
      <c r="AI851" s="395"/>
      <c r="AJ851" s="394"/>
      <c r="AK851" s="429" t="str">
        <f>IF(OR(ISBLANK($B851),ISBLANK($AJ851)),"",IFERROR(IF($AJ851&lt;=DATE('ESTADO CONTABLE'!$B$2,12,5),VLOOKUP($B851,COSTOS!$A$2:$B1014,2,FALSE)-150,VLOOKUP($B851,COSTOS!$A$2:$B1014,2,FALSE)),"No encontrado o error"))</f>
        <v/>
      </c>
      <c r="AL851" s="395"/>
      <c r="AM851" s="254"/>
      <c r="AN851" s="255"/>
      <c r="AO851" s="256"/>
    </row>
    <row r="852" ht="22.5" customHeight="1">
      <c r="A852" s="431" t="str">
        <f>'BASE DE DATOSS'!A926</f>
        <v/>
      </c>
      <c r="B852" s="432" t="str">
        <f>'BASE DE DATOSS'!C926</f>
        <v/>
      </c>
      <c r="C852" s="263"/>
      <c r="D852" s="249"/>
      <c r="E852" s="250"/>
      <c r="F852" s="251"/>
      <c r="G852" s="262"/>
      <c r="H852" s="257"/>
      <c r="I852" s="249"/>
      <c r="J852" s="193" t="str">
        <f>IF(OR(ISBLANK($B852),ISBLANK($I852)),"",IFERROR(IF($I852&lt;=DATE('ESTADO CONTABLE'!$B$2,3,5),VLOOKUP($B852,COSTOS!$A$2:$B1014,2,FALSE)-150,VLOOKUP($B852,COSTOS!$A$2:$B1014,2,FALSE)),"No encontrado o error"))</f>
        <v/>
      </c>
      <c r="K852" s="264"/>
      <c r="L852" s="249"/>
      <c r="M852" s="189"/>
      <c r="N852" s="264"/>
      <c r="O852" s="249"/>
      <c r="P852" s="250"/>
      <c r="Q852" s="264"/>
      <c r="R852" s="249"/>
      <c r="S852" s="250"/>
      <c r="T852" s="264"/>
      <c r="U852" s="249"/>
      <c r="V852" s="250"/>
      <c r="W852" s="264"/>
      <c r="X852" s="394"/>
      <c r="Y852" s="429"/>
      <c r="Z852" s="395"/>
      <c r="AA852" s="394"/>
      <c r="AB852" s="118" t="str">
        <f>IF(OR(ISBLANK($B852),ISBLANK($AA852)),"",IFERROR(IF($AA852&lt;=DATE('ESTADO CONTABLE'!$B$2,9,5),VLOOKUP($B852,COSTOS!$A$2:$B1014,2,FALSE)-150,VLOOKUP($B852,COSTOS!$A$2:$B1014,2,FALSE)),"No encontrado o error"))</f>
        <v/>
      </c>
      <c r="AC852" s="395"/>
      <c r="AD852" s="394"/>
      <c r="AE852" s="429" t="str">
        <f>IF(OR(ISBLANK($B852),ISBLANK($AD852)),"",IFERROR(IF($AD852&lt;=DATE('ESTADO CONTABLE'!$B$2,10,5),VLOOKUP($B852,COSTOS!$A$2:$B1014,2,FALSE)-150,VLOOKUP($B852,COSTOS!$A$2:$B1014,2,FALSE)),"No encontrado o error"))</f>
        <v/>
      </c>
      <c r="AF852" s="395"/>
      <c r="AG852" s="394"/>
      <c r="AH852" s="429" t="str">
        <f>IF(OR(ISBLANK($B852),ISBLANK($AG852)),"",IFERROR(IF($AG852&lt;=DATE('ESTADO CONTABLE'!$B$2,11,5),VLOOKUP($B852,COSTOS!$A$2:$B1014,2,FALSE)-150,VLOOKUP($B852,COSTOS!$A$2:$B1014,2,FALSE)),"No encontrado o error"))</f>
        <v/>
      </c>
      <c r="AI852" s="395"/>
      <c r="AJ852" s="394"/>
      <c r="AK852" s="429" t="str">
        <f>IF(OR(ISBLANK($B852),ISBLANK($AJ852)),"",IFERROR(IF($AJ852&lt;=DATE('ESTADO CONTABLE'!$B$2,12,5),VLOOKUP($B852,COSTOS!$A$2:$B1014,2,FALSE)-150,VLOOKUP($B852,COSTOS!$A$2:$B1014,2,FALSE)),"No encontrado o error"))</f>
        <v/>
      </c>
      <c r="AL852" s="395"/>
      <c r="AM852" s="254"/>
      <c r="AN852" s="255"/>
      <c r="AO852" s="256"/>
    </row>
    <row r="853" ht="22.5" customHeight="1">
      <c r="A853" s="431" t="str">
        <f>'BASE DE DATOSS'!A927</f>
        <v/>
      </c>
      <c r="B853" s="432" t="str">
        <f>'BASE DE DATOSS'!C927</f>
        <v/>
      </c>
      <c r="C853" s="263"/>
      <c r="D853" s="249"/>
      <c r="E853" s="250"/>
      <c r="F853" s="251"/>
      <c r="G853" s="262"/>
      <c r="H853" s="257"/>
      <c r="I853" s="249"/>
      <c r="J853" s="193" t="str">
        <f>IF(OR(ISBLANK($B853),ISBLANK($I853)),"",IFERROR(IF($I853&lt;=DATE('ESTADO CONTABLE'!$B$2,3,5),VLOOKUP($B853,COSTOS!$A$2:$B1014,2,FALSE)-150,VLOOKUP($B853,COSTOS!$A$2:$B1014,2,FALSE)),"No encontrado o error"))</f>
        <v/>
      </c>
      <c r="K853" s="264"/>
      <c r="L853" s="249"/>
      <c r="M853" s="189"/>
      <c r="N853" s="264"/>
      <c r="O853" s="249"/>
      <c r="P853" s="250"/>
      <c r="Q853" s="264"/>
      <c r="R853" s="249"/>
      <c r="S853" s="250"/>
      <c r="T853" s="264"/>
      <c r="U853" s="249"/>
      <c r="V853" s="250"/>
      <c r="W853" s="264"/>
      <c r="X853" s="394"/>
      <c r="Y853" s="429"/>
      <c r="Z853" s="395"/>
      <c r="AA853" s="394"/>
      <c r="AB853" s="118" t="str">
        <f>IF(OR(ISBLANK($B853),ISBLANK($AA853)),"",IFERROR(IF($AA853&lt;=DATE('ESTADO CONTABLE'!$B$2,9,5),VLOOKUP($B853,COSTOS!$A$2:$B1014,2,FALSE)-150,VLOOKUP($B853,COSTOS!$A$2:$B1014,2,FALSE)),"No encontrado o error"))</f>
        <v/>
      </c>
      <c r="AC853" s="395"/>
      <c r="AD853" s="394"/>
      <c r="AE853" s="429" t="str">
        <f>IF(OR(ISBLANK($B853),ISBLANK($AD853)),"",IFERROR(IF($AD853&lt;=DATE('ESTADO CONTABLE'!$B$2,10,5),VLOOKUP($B853,COSTOS!$A$2:$B1014,2,FALSE)-150,VLOOKUP($B853,COSTOS!$A$2:$B1014,2,FALSE)),"No encontrado o error"))</f>
        <v/>
      </c>
      <c r="AF853" s="395"/>
      <c r="AG853" s="394"/>
      <c r="AH853" s="429" t="str">
        <f>IF(OR(ISBLANK($B853),ISBLANK($AG853)),"",IFERROR(IF($AG853&lt;=DATE('ESTADO CONTABLE'!$B$2,11,5),VLOOKUP($B853,COSTOS!$A$2:$B1014,2,FALSE)-150,VLOOKUP($B853,COSTOS!$A$2:$B1014,2,FALSE)),"No encontrado o error"))</f>
        <v/>
      </c>
      <c r="AI853" s="395"/>
      <c r="AJ853" s="394"/>
      <c r="AK853" s="429" t="str">
        <f>IF(OR(ISBLANK($B853),ISBLANK($AJ853)),"",IFERROR(IF($AJ853&lt;=DATE('ESTADO CONTABLE'!$B$2,12,5),VLOOKUP($B853,COSTOS!$A$2:$B1014,2,FALSE)-150,VLOOKUP($B853,COSTOS!$A$2:$B1014,2,FALSE)),"No encontrado o error"))</f>
        <v/>
      </c>
      <c r="AL853" s="395"/>
      <c r="AM853" s="254"/>
      <c r="AN853" s="255"/>
      <c r="AO853" s="256"/>
    </row>
    <row r="854" ht="22.5" customHeight="1">
      <c r="A854" s="431" t="str">
        <f>'BASE DE DATOSS'!A928</f>
        <v/>
      </c>
      <c r="B854" s="432" t="str">
        <f>'BASE DE DATOSS'!C928</f>
        <v/>
      </c>
      <c r="C854" s="263"/>
      <c r="D854" s="249"/>
      <c r="E854" s="250"/>
      <c r="F854" s="251"/>
      <c r="G854" s="262"/>
      <c r="H854" s="257"/>
      <c r="I854" s="249"/>
      <c r="J854" s="193" t="str">
        <f>IF(OR(ISBLANK($B854),ISBLANK($I854)),"",IFERROR(IF($I854&lt;=DATE('ESTADO CONTABLE'!$B$2,3,5),VLOOKUP($B854,COSTOS!$A$2:$B1014,2,FALSE)-150,VLOOKUP($B854,COSTOS!$A$2:$B1014,2,FALSE)),"No encontrado o error"))</f>
        <v/>
      </c>
      <c r="K854" s="264"/>
      <c r="L854" s="249"/>
      <c r="M854" s="189"/>
      <c r="N854" s="264"/>
      <c r="O854" s="249"/>
      <c r="P854" s="250"/>
      <c r="Q854" s="264"/>
      <c r="R854" s="249"/>
      <c r="S854" s="250"/>
      <c r="T854" s="264"/>
      <c r="U854" s="249"/>
      <c r="V854" s="250"/>
      <c r="W854" s="264"/>
      <c r="X854" s="394"/>
      <c r="Y854" s="429"/>
      <c r="Z854" s="395"/>
      <c r="AA854" s="394"/>
      <c r="AB854" s="118" t="str">
        <f>IF(OR(ISBLANK($B854),ISBLANK($AA854)),"",IFERROR(IF($AA854&lt;=DATE('ESTADO CONTABLE'!$B$2,9,5),VLOOKUP($B854,COSTOS!$A$2:$B1014,2,FALSE)-150,VLOOKUP($B854,COSTOS!$A$2:$B1014,2,FALSE)),"No encontrado o error"))</f>
        <v/>
      </c>
      <c r="AC854" s="395"/>
      <c r="AD854" s="394"/>
      <c r="AE854" s="429" t="str">
        <f>IF(OR(ISBLANK($B854),ISBLANK($AD854)),"",IFERROR(IF($AD854&lt;=DATE('ESTADO CONTABLE'!$B$2,10,5),VLOOKUP($B854,COSTOS!$A$2:$B1014,2,FALSE)-150,VLOOKUP($B854,COSTOS!$A$2:$B1014,2,FALSE)),"No encontrado o error"))</f>
        <v/>
      </c>
      <c r="AF854" s="395"/>
      <c r="AG854" s="394"/>
      <c r="AH854" s="429" t="str">
        <f>IF(OR(ISBLANK($B854),ISBLANK($AG854)),"",IFERROR(IF($AG854&lt;=DATE('ESTADO CONTABLE'!$B$2,11,5),VLOOKUP($B854,COSTOS!$A$2:$B1014,2,FALSE)-150,VLOOKUP($B854,COSTOS!$A$2:$B1014,2,FALSE)),"No encontrado o error"))</f>
        <v/>
      </c>
      <c r="AI854" s="395"/>
      <c r="AJ854" s="394"/>
      <c r="AK854" s="429" t="str">
        <f>IF(OR(ISBLANK($B854),ISBLANK($AJ854)),"",IFERROR(IF($AJ854&lt;=DATE('ESTADO CONTABLE'!$B$2,12,5),VLOOKUP($B854,COSTOS!$A$2:$B1014,2,FALSE)-150,VLOOKUP($B854,COSTOS!$A$2:$B1014,2,FALSE)),"No encontrado o error"))</f>
        <v/>
      </c>
      <c r="AL854" s="395"/>
      <c r="AM854" s="254"/>
      <c r="AN854" s="255"/>
      <c r="AO854" s="256"/>
    </row>
    <row r="855" ht="22.5" customHeight="1">
      <c r="A855" s="431" t="str">
        <f>'BASE DE DATOSS'!A929</f>
        <v/>
      </c>
      <c r="B855" s="432" t="str">
        <f>'BASE DE DATOSS'!C929</f>
        <v/>
      </c>
      <c r="C855" s="263"/>
      <c r="D855" s="249"/>
      <c r="E855" s="250"/>
      <c r="F855" s="251"/>
      <c r="G855" s="262"/>
      <c r="H855" s="257"/>
      <c r="I855" s="249"/>
      <c r="J855" s="193" t="str">
        <f>IF(OR(ISBLANK($B855),ISBLANK($I855)),"",IFERROR(IF($I855&lt;=DATE('ESTADO CONTABLE'!$B$2,3,5),VLOOKUP($B855,COSTOS!$A$2:$B1014,2,FALSE)-150,VLOOKUP($B855,COSTOS!$A$2:$B1014,2,FALSE)),"No encontrado o error"))</f>
        <v/>
      </c>
      <c r="K855" s="264"/>
      <c r="L855" s="249"/>
      <c r="M855" s="189"/>
      <c r="N855" s="264"/>
      <c r="O855" s="249"/>
      <c r="P855" s="250"/>
      <c r="Q855" s="264"/>
      <c r="R855" s="249"/>
      <c r="S855" s="250"/>
      <c r="T855" s="264"/>
      <c r="U855" s="249"/>
      <c r="V855" s="250"/>
      <c r="W855" s="264"/>
      <c r="X855" s="394"/>
      <c r="Y855" s="429"/>
      <c r="Z855" s="395"/>
      <c r="AA855" s="394"/>
      <c r="AB855" s="118" t="str">
        <f>IF(OR(ISBLANK($B855),ISBLANK($AA855)),"",IFERROR(IF($AA855&lt;=DATE('ESTADO CONTABLE'!$B$2,9,5),VLOOKUP($B855,COSTOS!$A$2:$B1014,2,FALSE)-150,VLOOKUP($B855,COSTOS!$A$2:$B1014,2,FALSE)),"No encontrado o error"))</f>
        <v/>
      </c>
      <c r="AC855" s="395"/>
      <c r="AD855" s="394"/>
      <c r="AE855" s="429" t="str">
        <f>IF(OR(ISBLANK($B855),ISBLANK($AD855)),"",IFERROR(IF($AD855&lt;=DATE('ESTADO CONTABLE'!$B$2,10,5),VLOOKUP($B855,COSTOS!$A$2:$B1014,2,FALSE)-150,VLOOKUP($B855,COSTOS!$A$2:$B1014,2,FALSE)),"No encontrado o error"))</f>
        <v/>
      </c>
      <c r="AF855" s="395"/>
      <c r="AG855" s="394"/>
      <c r="AH855" s="429" t="str">
        <f>IF(OR(ISBLANK($B855),ISBLANK($AG855)),"",IFERROR(IF($AG855&lt;=DATE('ESTADO CONTABLE'!$B$2,11,5),VLOOKUP($B855,COSTOS!$A$2:$B1014,2,FALSE)-150,VLOOKUP($B855,COSTOS!$A$2:$B1014,2,FALSE)),"No encontrado o error"))</f>
        <v/>
      </c>
      <c r="AI855" s="395"/>
      <c r="AJ855" s="394"/>
      <c r="AK855" s="429" t="str">
        <f>IF(OR(ISBLANK($B855),ISBLANK($AJ855)),"",IFERROR(IF($AJ855&lt;=DATE('ESTADO CONTABLE'!$B$2,12,5),VLOOKUP($B855,COSTOS!$A$2:$B1014,2,FALSE)-150,VLOOKUP($B855,COSTOS!$A$2:$B1014,2,FALSE)),"No encontrado o error"))</f>
        <v/>
      </c>
      <c r="AL855" s="395"/>
      <c r="AM855" s="254"/>
      <c r="AN855" s="255"/>
      <c r="AO855" s="256"/>
    </row>
    <row r="856" ht="22.5" customHeight="1">
      <c r="A856" s="431" t="str">
        <f>'BASE DE DATOSS'!A930</f>
        <v/>
      </c>
      <c r="B856" s="432" t="str">
        <f>'BASE DE DATOSS'!C930</f>
        <v/>
      </c>
      <c r="C856" s="263"/>
      <c r="D856" s="249"/>
      <c r="E856" s="250"/>
      <c r="F856" s="251"/>
      <c r="G856" s="262"/>
      <c r="H856" s="257"/>
      <c r="I856" s="249"/>
      <c r="J856" s="193" t="str">
        <f>IF(OR(ISBLANK($B856),ISBLANK($I856)),"",IFERROR(IF($I856&lt;=DATE('ESTADO CONTABLE'!$B$2,3,5),VLOOKUP($B856,COSTOS!$A$2:$B1014,2,FALSE)-150,VLOOKUP($B856,COSTOS!$A$2:$B1014,2,FALSE)),"No encontrado o error"))</f>
        <v/>
      </c>
      <c r="K856" s="264"/>
      <c r="L856" s="249"/>
      <c r="M856" s="189"/>
      <c r="N856" s="264"/>
      <c r="O856" s="249"/>
      <c r="P856" s="250"/>
      <c r="Q856" s="264"/>
      <c r="R856" s="249"/>
      <c r="S856" s="250"/>
      <c r="T856" s="264"/>
      <c r="U856" s="249"/>
      <c r="V856" s="250"/>
      <c r="W856" s="264"/>
      <c r="X856" s="394"/>
      <c r="Y856" s="429"/>
      <c r="Z856" s="395"/>
      <c r="AA856" s="394"/>
      <c r="AB856" s="118" t="str">
        <f>IF(OR(ISBLANK($B856),ISBLANK($AA856)),"",IFERROR(IF($AA856&lt;=DATE('ESTADO CONTABLE'!$B$2,9,5),VLOOKUP($B856,COSTOS!$A$2:$B1014,2,FALSE)-150,VLOOKUP($B856,COSTOS!$A$2:$B1014,2,FALSE)),"No encontrado o error"))</f>
        <v/>
      </c>
      <c r="AC856" s="395"/>
      <c r="AD856" s="394"/>
      <c r="AE856" s="429" t="str">
        <f>IF(OR(ISBLANK($B856),ISBLANK($AD856)),"",IFERROR(IF($AD856&lt;=DATE('ESTADO CONTABLE'!$B$2,10,5),VLOOKUP($B856,COSTOS!$A$2:$B1014,2,FALSE)-150,VLOOKUP($B856,COSTOS!$A$2:$B1014,2,FALSE)),"No encontrado o error"))</f>
        <v/>
      </c>
      <c r="AF856" s="395"/>
      <c r="AG856" s="394"/>
      <c r="AH856" s="429" t="str">
        <f>IF(OR(ISBLANK($B856),ISBLANK($AG856)),"",IFERROR(IF($AG856&lt;=DATE('ESTADO CONTABLE'!$B$2,11,5),VLOOKUP($B856,COSTOS!$A$2:$B1014,2,FALSE)-150,VLOOKUP($B856,COSTOS!$A$2:$B1014,2,FALSE)),"No encontrado o error"))</f>
        <v/>
      </c>
      <c r="AI856" s="395"/>
      <c r="AJ856" s="394"/>
      <c r="AK856" s="429" t="str">
        <f>IF(OR(ISBLANK($B856),ISBLANK($AJ856)),"",IFERROR(IF($AJ856&lt;=DATE('ESTADO CONTABLE'!$B$2,12,5),VLOOKUP($B856,COSTOS!$A$2:$B1014,2,FALSE)-150,VLOOKUP($B856,COSTOS!$A$2:$B1014,2,FALSE)),"No encontrado o error"))</f>
        <v/>
      </c>
      <c r="AL856" s="395"/>
      <c r="AM856" s="254"/>
      <c r="AN856" s="255"/>
      <c r="AO856" s="256"/>
    </row>
    <row r="857" ht="22.5" customHeight="1">
      <c r="A857" s="431" t="str">
        <f>'BASE DE DATOSS'!A931</f>
        <v/>
      </c>
      <c r="B857" s="432" t="str">
        <f>'BASE DE DATOSS'!C931</f>
        <v/>
      </c>
      <c r="C857" s="263"/>
      <c r="D857" s="249"/>
      <c r="E857" s="250"/>
      <c r="F857" s="251"/>
      <c r="G857" s="262"/>
      <c r="H857" s="257"/>
      <c r="I857" s="249"/>
      <c r="J857" s="193" t="str">
        <f>IF(OR(ISBLANK($B857),ISBLANK($I857)),"",IFERROR(IF($I857&lt;=DATE('ESTADO CONTABLE'!$B$2,3,5),VLOOKUP($B857,COSTOS!$A$2:$B1014,2,FALSE)-150,VLOOKUP($B857,COSTOS!$A$2:$B1014,2,FALSE)),"No encontrado o error"))</f>
        <v/>
      </c>
      <c r="K857" s="264"/>
      <c r="L857" s="249"/>
      <c r="M857" s="189"/>
      <c r="N857" s="264"/>
      <c r="O857" s="249"/>
      <c r="P857" s="250"/>
      <c r="Q857" s="264"/>
      <c r="R857" s="249"/>
      <c r="S857" s="250"/>
      <c r="T857" s="264"/>
      <c r="U857" s="249"/>
      <c r="V857" s="250"/>
      <c r="W857" s="264"/>
      <c r="X857" s="394"/>
      <c r="Y857" s="429"/>
      <c r="Z857" s="395"/>
      <c r="AA857" s="394"/>
      <c r="AB857" s="118" t="str">
        <f>IF(OR(ISBLANK($B857),ISBLANK($AA857)),"",IFERROR(IF($AA857&lt;=DATE('ESTADO CONTABLE'!$B$2,9,5),VLOOKUP($B857,COSTOS!$A$2:$B1014,2,FALSE)-150,VLOOKUP($B857,COSTOS!$A$2:$B1014,2,FALSE)),"No encontrado o error"))</f>
        <v/>
      </c>
      <c r="AC857" s="395"/>
      <c r="AD857" s="394"/>
      <c r="AE857" s="429" t="str">
        <f>IF(OR(ISBLANK($B857),ISBLANK($AD857)),"",IFERROR(IF($AD857&lt;=DATE('ESTADO CONTABLE'!$B$2,10,5),VLOOKUP($B857,COSTOS!$A$2:$B1014,2,FALSE)-150,VLOOKUP($B857,COSTOS!$A$2:$B1014,2,FALSE)),"No encontrado o error"))</f>
        <v/>
      </c>
      <c r="AF857" s="395"/>
      <c r="AG857" s="394"/>
      <c r="AH857" s="429" t="str">
        <f>IF(OR(ISBLANK($B857),ISBLANK($AG857)),"",IFERROR(IF($AG857&lt;=DATE('ESTADO CONTABLE'!$B$2,11,5),VLOOKUP($B857,COSTOS!$A$2:$B1014,2,FALSE)-150,VLOOKUP($B857,COSTOS!$A$2:$B1014,2,FALSE)),"No encontrado o error"))</f>
        <v/>
      </c>
      <c r="AI857" s="395"/>
      <c r="AJ857" s="394"/>
      <c r="AK857" s="429" t="str">
        <f>IF(OR(ISBLANK($B857),ISBLANK($AJ857)),"",IFERROR(IF($AJ857&lt;=DATE('ESTADO CONTABLE'!$B$2,12,5),VLOOKUP($B857,COSTOS!$A$2:$B1014,2,FALSE)-150,VLOOKUP($B857,COSTOS!$A$2:$B1014,2,FALSE)),"No encontrado o error"))</f>
        <v/>
      </c>
      <c r="AL857" s="395"/>
      <c r="AM857" s="254"/>
      <c r="AN857" s="255"/>
      <c r="AO857" s="256"/>
    </row>
    <row r="858" ht="22.5" customHeight="1">
      <c r="A858" s="431" t="str">
        <f>'BASE DE DATOSS'!A932</f>
        <v/>
      </c>
      <c r="B858" s="432" t="str">
        <f>'BASE DE DATOSS'!C932</f>
        <v/>
      </c>
      <c r="C858" s="263"/>
      <c r="D858" s="249"/>
      <c r="E858" s="250"/>
      <c r="F858" s="251"/>
      <c r="G858" s="262"/>
      <c r="H858" s="257"/>
      <c r="I858" s="249"/>
      <c r="J858" s="193" t="str">
        <f>IF(OR(ISBLANK($B858),ISBLANK($I858)),"",IFERROR(IF($I858&lt;=DATE('ESTADO CONTABLE'!$B$2,3,5),VLOOKUP($B858,COSTOS!$A$2:$B1014,2,FALSE)-150,VLOOKUP($B858,COSTOS!$A$2:$B1014,2,FALSE)),"No encontrado o error"))</f>
        <v/>
      </c>
      <c r="K858" s="264"/>
      <c r="L858" s="249"/>
      <c r="M858" s="189"/>
      <c r="N858" s="264"/>
      <c r="O858" s="249"/>
      <c r="P858" s="250"/>
      <c r="Q858" s="264"/>
      <c r="R858" s="249"/>
      <c r="S858" s="250"/>
      <c r="T858" s="264"/>
      <c r="U858" s="249"/>
      <c r="V858" s="250"/>
      <c r="W858" s="264"/>
      <c r="X858" s="394"/>
      <c r="Y858" s="429"/>
      <c r="Z858" s="395"/>
      <c r="AA858" s="394"/>
      <c r="AB858" s="118" t="str">
        <f>IF(OR(ISBLANK($B858),ISBLANK($AA858)),"",IFERROR(IF($AA858&lt;=DATE('ESTADO CONTABLE'!$B$2,9,5),VLOOKUP($B858,COSTOS!$A$2:$B1014,2,FALSE)-150,VLOOKUP($B858,COSTOS!$A$2:$B1014,2,FALSE)),"No encontrado o error"))</f>
        <v/>
      </c>
      <c r="AC858" s="395"/>
      <c r="AD858" s="394"/>
      <c r="AE858" s="429" t="str">
        <f>IF(OR(ISBLANK($B858),ISBLANK($AD858)),"",IFERROR(IF($AD858&lt;=DATE('ESTADO CONTABLE'!$B$2,10,5),VLOOKUP($B858,COSTOS!$A$2:$B1014,2,FALSE)-150,VLOOKUP($B858,COSTOS!$A$2:$B1014,2,FALSE)),"No encontrado o error"))</f>
        <v/>
      </c>
      <c r="AF858" s="395"/>
      <c r="AG858" s="394"/>
      <c r="AH858" s="429" t="str">
        <f>IF(OR(ISBLANK($B858),ISBLANK($AG858)),"",IFERROR(IF($AG858&lt;=DATE('ESTADO CONTABLE'!$B$2,11,5),VLOOKUP($B858,COSTOS!$A$2:$B1014,2,FALSE)-150,VLOOKUP($B858,COSTOS!$A$2:$B1014,2,FALSE)),"No encontrado o error"))</f>
        <v/>
      </c>
      <c r="AI858" s="395"/>
      <c r="AJ858" s="394"/>
      <c r="AK858" s="429" t="str">
        <f>IF(OR(ISBLANK($B858),ISBLANK($AJ858)),"",IFERROR(IF($AJ858&lt;=DATE('ESTADO CONTABLE'!$B$2,12,5),VLOOKUP($B858,COSTOS!$A$2:$B1014,2,FALSE)-150,VLOOKUP($B858,COSTOS!$A$2:$B1014,2,FALSE)),"No encontrado o error"))</f>
        <v/>
      </c>
      <c r="AL858" s="395"/>
      <c r="AM858" s="254"/>
      <c r="AN858" s="255"/>
      <c r="AO858" s="256"/>
    </row>
    <row r="859" ht="22.5" customHeight="1">
      <c r="A859" s="431" t="str">
        <f>'BASE DE DATOSS'!A933</f>
        <v/>
      </c>
      <c r="B859" s="432" t="str">
        <f>'BASE DE DATOSS'!C933</f>
        <v/>
      </c>
      <c r="C859" s="263"/>
      <c r="D859" s="249"/>
      <c r="E859" s="250"/>
      <c r="F859" s="251"/>
      <c r="G859" s="262"/>
      <c r="H859" s="257"/>
      <c r="I859" s="249"/>
      <c r="J859" s="193" t="str">
        <f>IF(OR(ISBLANK($B859),ISBLANK($I859)),"",IFERROR(IF($I859&lt;=DATE('ESTADO CONTABLE'!$B$2,3,5),VLOOKUP($B859,COSTOS!$A$2:$B1014,2,FALSE)-150,VLOOKUP($B859,COSTOS!$A$2:$B1014,2,FALSE)),"No encontrado o error"))</f>
        <v/>
      </c>
      <c r="K859" s="264"/>
      <c r="L859" s="249"/>
      <c r="M859" s="189"/>
      <c r="N859" s="264"/>
      <c r="O859" s="249"/>
      <c r="P859" s="250"/>
      <c r="Q859" s="264"/>
      <c r="R859" s="249"/>
      <c r="S859" s="250"/>
      <c r="T859" s="264"/>
      <c r="U859" s="249"/>
      <c r="V859" s="250"/>
      <c r="W859" s="264"/>
      <c r="X859" s="394"/>
      <c r="Y859" s="429"/>
      <c r="Z859" s="395"/>
      <c r="AA859" s="394"/>
      <c r="AB859" s="118" t="str">
        <f>IF(OR(ISBLANK($B859),ISBLANK($AA859)),"",IFERROR(IF($AA859&lt;=DATE('ESTADO CONTABLE'!$B$2,9,5),VLOOKUP($B859,COSTOS!$A$2:$B1014,2,FALSE)-150,VLOOKUP($B859,COSTOS!$A$2:$B1014,2,FALSE)),"No encontrado o error"))</f>
        <v/>
      </c>
      <c r="AC859" s="395"/>
      <c r="AD859" s="394"/>
      <c r="AE859" s="429" t="str">
        <f>IF(OR(ISBLANK($B859),ISBLANK($AD859)),"",IFERROR(IF($AD859&lt;=DATE('ESTADO CONTABLE'!$B$2,10,5),VLOOKUP($B859,COSTOS!$A$2:$B1014,2,FALSE)-150,VLOOKUP($B859,COSTOS!$A$2:$B1014,2,FALSE)),"No encontrado o error"))</f>
        <v/>
      </c>
      <c r="AF859" s="395"/>
      <c r="AG859" s="394"/>
      <c r="AH859" s="429" t="str">
        <f>IF(OR(ISBLANK($B859),ISBLANK($AG859)),"",IFERROR(IF($AG859&lt;=DATE('ESTADO CONTABLE'!$B$2,11,5),VLOOKUP($B859,COSTOS!$A$2:$B1014,2,FALSE)-150,VLOOKUP($B859,COSTOS!$A$2:$B1014,2,FALSE)),"No encontrado o error"))</f>
        <v/>
      </c>
      <c r="AI859" s="395"/>
      <c r="AJ859" s="394"/>
      <c r="AK859" s="429" t="str">
        <f>IF(OR(ISBLANK($B859),ISBLANK($AJ859)),"",IFERROR(IF($AJ859&lt;=DATE('ESTADO CONTABLE'!$B$2,12,5),VLOOKUP($B859,COSTOS!$A$2:$B1014,2,FALSE)-150,VLOOKUP($B859,COSTOS!$A$2:$B1014,2,FALSE)),"No encontrado o error"))</f>
        <v/>
      </c>
      <c r="AL859" s="395"/>
      <c r="AM859" s="254"/>
      <c r="AN859" s="255"/>
      <c r="AO859" s="256"/>
    </row>
    <row r="860" ht="22.5" customHeight="1">
      <c r="A860" s="431" t="str">
        <f>'BASE DE DATOSS'!A934</f>
        <v/>
      </c>
      <c r="B860" s="432" t="str">
        <f>'BASE DE DATOSS'!C934</f>
        <v/>
      </c>
      <c r="C860" s="263"/>
      <c r="D860" s="249"/>
      <c r="E860" s="250"/>
      <c r="F860" s="251"/>
      <c r="G860" s="262"/>
      <c r="H860" s="257"/>
      <c r="I860" s="249"/>
      <c r="J860" s="193" t="str">
        <f>IF(OR(ISBLANK($B860),ISBLANK($I860)),"",IFERROR(IF($I860&lt;=DATE('ESTADO CONTABLE'!$B$2,3,5),VLOOKUP($B860,COSTOS!$A$2:$B1014,2,FALSE)-150,VLOOKUP($B860,COSTOS!$A$2:$B1014,2,FALSE)),"No encontrado o error"))</f>
        <v/>
      </c>
      <c r="K860" s="264"/>
      <c r="L860" s="249"/>
      <c r="M860" s="189"/>
      <c r="N860" s="264"/>
      <c r="O860" s="249"/>
      <c r="P860" s="250"/>
      <c r="Q860" s="264"/>
      <c r="R860" s="249"/>
      <c r="S860" s="250"/>
      <c r="T860" s="264"/>
      <c r="U860" s="249"/>
      <c r="V860" s="250"/>
      <c r="W860" s="264"/>
      <c r="X860" s="394"/>
      <c r="Y860" s="429"/>
      <c r="Z860" s="395"/>
      <c r="AA860" s="394"/>
      <c r="AB860" s="118" t="str">
        <f>IF(OR(ISBLANK($B860),ISBLANK($AA860)),"",IFERROR(IF($AA860&lt;=DATE('ESTADO CONTABLE'!$B$2,9,5),VLOOKUP($B860,COSTOS!$A$2:$B1014,2,FALSE)-150,VLOOKUP($B860,COSTOS!$A$2:$B1014,2,FALSE)),"No encontrado o error"))</f>
        <v/>
      </c>
      <c r="AC860" s="395"/>
      <c r="AD860" s="394"/>
      <c r="AE860" s="429" t="str">
        <f>IF(OR(ISBLANK($B860),ISBLANK($AD860)),"",IFERROR(IF($AD860&lt;=DATE('ESTADO CONTABLE'!$B$2,10,5),VLOOKUP($B860,COSTOS!$A$2:$B1014,2,FALSE)-150,VLOOKUP($B860,COSTOS!$A$2:$B1014,2,FALSE)),"No encontrado o error"))</f>
        <v/>
      </c>
      <c r="AF860" s="395"/>
      <c r="AG860" s="394"/>
      <c r="AH860" s="429" t="str">
        <f>IF(OR(ISBLANK($B860),ISBLANK($AG860)),"",IFERROR(IF($AG860&lt;=DATE('ESTADO CONTABLE'!$B$2,11,5),VLOOKUP($B860,COSTOS!$A$2:$B1014,2,FALSE)-150,VLOOKUP($B860,COSTOS!$A$2:$B1014,2,FALSE)),"No encontrado o error"))</f>
        <v/>
      </c>
      <c r="AI860" s="395"/>
      <c r="AJ860" s="394"/>
      <c r="AK860" s="429" t="str">
        <f>IF(OR(ISBLANK($B860),ISBLANK($AJ860)),"",IFERROR(IF($AJ860&lt;=DATE('ESTADO CONTABLE'!$B$2,12,5),VLOOKUP($B860,COSTOS!$A$2:$B1014,2,FALSE)-150,VLOOKUP($B860,COSTOS!$A$2:$B1014,2,FALSE)),"No encontrado o error"))</f>
        <v/>
      </c>
      <c r="AL860" s="395"/>
      <c r="AM860" s="254"/>
      <c r="AN860" s="255"/>
      <c r="AO860" s="256"/>
    </row>
    <row r="861" ht="22.5" customHeight="1">
      <c r="A861" s="431" t="str">
        <f>'BASE DE DATOSS'!A935</f>
        <v/>
      </c>
      <c r="B861" s="432" t="str">
        <f>'BASE DE DATOSS'!C935</f>
        <v/>
      </c>
      <c r="C861" s="263"/>
      <c r="D861" s="249"/>
      <c r="E861" s="250"/>
      <c r="F861" s="251"/>
      <c r="G861" s="262"/>
      <c r="H861" s="257"/>
      <c r="I861" s="249"/>
      <c r="J861" s="193" t="str">
        <f>IF(OR(ISBLANK($B861),ISBLANK($I861)),"",IFERROR(IF($I861&lt;=DATE('ESTADO CONTABLE'!$B$2,3,5),VLOOKUP($B861,COSTOS!$A$2:$B1014,2,FALSE)-150,VLOOKUP($B861,COSTOS!$A$2:$B1014,2,FALSE)),"No encontrado o error"))</f>
        <v/>
      </c>
      <c r="K861" s="264"/>
      <c r="L861" s="249"/>
      <c r="M861" s="189"/>
      <c r="N861" s="264"/>
      <c r="O861" s="249"/>
      <c r="P861" s="250"/>
      <c r="Q861" s="264"/>
      <c r="R861" s="249"/>
      <c r="S861" s="250"/>
      <c r="T861" s="264"/>
      <c r="U861" s="249"/>
      <c r="V861" s="250"/>
      <c r="W861" s="264"/>
      <c r="X861" s="394"/>
      <c r="Y861" s="429"/>
      <c r="Z861" s="395"/>
      <c r="AA861" s="394"/>
      <c r="AB861" s="118" t="str">
        <f>IF(OR(ISBLANK($B861),ISBLANK($AA861)),"",IFERROR(IF($AA861&lt;=DATE('ESTADO CONTABLE'!$B$2,9,5),VLOOKUP($B861,COSTOS!$A$2:$B1014,2,FALSE)-150,VLOOKUP($B861,COSTOS!$A$2:$B1014,2,FALSE)),"No encontrado o error"))</f>
        <v/>
      </c>
      <c r="AC861" s="395"/>
      <c r="AD861" s="394"/>
      <c r="AE861" s="429" t="str">
        <f>IF(OR(ISBLANK($B861),ISBLANK($AD861)),"",IFERROR(IF($AD861&lt;=DATE('ESTADO CONTABLE'!$B$2,10,5),VLOOKUP($B861,COSTOS!$A$2:$B1014,2,FALSE)-150,VLOOKUP($B861,COSTOS!$A$2:$B1014,2,FALSE)),"No encontrado o error"))</f>
        <v/>
      </c>
      <c r="AF861" s="395"/>
      <c r="AG861" s="394"/>
      <c r="AH861" s="429" t="str">
        <f>IF(OR(ISBLANK($B861),ISBLANK($AG861)),"",IFERROR(IF($AG861&lt;=DATE('ESTADO CONTABLE'!$B$2,11,5),VLOOKUP($B861,COSTOS!$A$2:$B1014,2,FALSE)-150,VLOOKUP($B861,COSTOS!$A$2:$B1014,2,FALSE)),"No encontrado o error"))</f>
        <v/>
      </c>
      <c r="AI861" s="395"/>
      <c r="AJ861" s="394"/>
      <c r="AK861" s="429" t="str">
        <f>IF(OR(ISBLANK($B861),ISBLANK($AJ861)),"",IFERROR(IF($AJ861&lt;=DATE('ESTADO CONTABLE'!$B$2,12,5),VLOOKUP($B861,COSTOS!$A$2:$B1014,2,FALSE)-150,VLOOKUP($B861,COSTOS!$A$2:$B1014,2,FALSE)),"No encontrado o error"))</f>
        <v/>
      </c>
      <c r="AL861" s="395"/>
      <c r="AM861" s="254"/>
      <c r="AN861" s="255"/>
      <c r="AO861" s="256"/>
    </row>
    <row r="862" ht="22.5" customHeight="1">
      <c r="A862" s="431" t="str">
        <f>'BASE DE DATOSS'!A936</f>
        <v/>
      </c>
      <c r="B862" s="432" t="str">
        <f>'BASE DE DATOSS'!C936</f>
        <v/>
      </c>
      <c r="C862" s="263"/>
      <c r="D862" s="249"/>
      <c r="E862" s="250"/>
      <c r="F862" s="251"/>
      <c r="G862" s="262"/>
      <c r="H862" s="257"/>
      <c r="I862" s="249"/>
      <c r="J862" s="193" t="str">
        <f>IF(OR(ISBLANK($B862),ISBLANK($I862)),"",IFERROR(IF($I862&lt;=DATE('ESTADO CONTABLE'!$B$2,3,5),VLOOKUP($B862,COSTOS!$A$2:$B1014,2,FALSE)-150,VLOOKUP($B862,COSTOS!$A$2:$B1014,2,FALSE)),"No encontrado o error"))</f>
        <v/>
      </c>
      <c r="K862" s="264"/>
      <c r="L862" s="249"/>
      <c r="M862" s="189"/>
      <c r="N862" s="264"/>
      <c r="O862" s="249"/>
      <c r="P862" s="250"/>
      <c r="Q862" s="264"/>
      <c r="R862" s="249"/>
      <c r="S862" s="250"/>
      <c r="T862" s="264"/>
      <c r="U862" s="249"/>
      <c r="V862" s="250"/>
      <c r="W862" s="264"/>
      <c r="X862" s="394"/>
      <c r="Y862" s="429"/>
      <c r="Z862" s="395"/>
      <c r="AA862" s="394"/>
      <c r="AB862" s="118" t="str">
        <f>IF(OR(ISBLANK($B862),ISBLANK($AA862)),"",IFERROR(IF($AA862&lt;=DATE('ESTADO CONTABLE'!$B$2,9,5),VLOOKUP($B862,COSTOS!$A$2:$B1014,2,FALSE)-150,VLOOKUP($B862,COSTOS!$A$2:$B1014,2,FALSE)),"No encontrado o error"))</f>
        <v/>
      </c>
      <c r="AC862" s="395"/>
      <c r="AD862" s="394"/>
      <c r="AE862" s="429" t="str">
        <f>IF(OR(ISBLANK($B862),ISBLANK($AD862)),"",IFERROR(IF($AD862&lt;=DATE('ESTADO CONTABLE'!$B$2,10,5),VLOOKUP($B862,COSTOS!$A$2:$B1014,2,FALSE)-150,VLOOKUP($B862,COSTOS!$A$2:$B1014,2,FALSE)),"No encontrado o error"))</f>
        <v/>
      </c>
      <c r="AF862" s="395"/>
      <c r="AG862" s="394"/>
      <c r="AH862" s="429" t="str">
        <f>IF(OR(ISBLANK($B862),ISBLANK($AG862)),"",IFERROR(IF($AG862&lt;=DATE('ESTADO CONTABLE'!$B$2,11,5),VLOOKUP($B862,COSTOS!$A$2:$B1014,2,FALSE)-150,VLOOKUP($B862,COSTOS!$A$2:$B1014,2,FALSE)),"No encontrado o error"))</f>
        <v/>
      </c>
      <c r="AI862" s="395"/>
      <c r="AJ862" s="394"/>
      <c r="AK862" s="429" t="str">
        <f>IF(OR(ISBLANK($B862),ISBLANK($AJ862)),"",IFERROR(IF($AJ862&lt;=DATE('ESTADO CONTABLE'!$B$2,12,5),VLOOKUP($B862,COSTOS!$A$2:$B1014,2,FALSE)-150,VLOOKUP($B862,COSTOS!$A$2:$B1014,2,FALSE)),"No encontrado o error"))</f>
        <v/>
      </c>
      <c r="AL862" s="395"/>
      <c r="AM862" s="254"/>
      <c r="AN862" s="255"/>
      <c r="AO862" s="256"/>
    </row>
    <row r="863" ht="22.5" customHeight="1">
      <c r="A863" s="431" t="str">
        <f>'BASE DE DATOSS'!A937</f>
        <v/>
      </c>
      <c r="B863" s="432" t="str">
        <f>'BASE DE DATOSS'!C937</f>
        <v/>
      </c>
      <c r="C863" s="263"/>
      <c r="D863" s="249"/>
      <c r="E863" s="250"/>
      <c r="F863" s="251"/>
      <c r="G863" s="262"/>
      <c r="H863" s="257"/>
      <c r="I863" s="249"/>
      <c r="J863" s="193" t="str">
        <f>IF(OR(ISBLANK($B863),ISBLANK($I863)),"",IFERROR(IF($I863&lt;=DATE('ESTADO CONTABLE'!$B$2,3,5),VLOOKUP($B863,COSTOS!$A$2:$B1014,2,FALSE)-150,VLOOKUP($B863,COSTOS!$A$2:$B1014,2,FALSE)),"No encontrado o error"))</f>
        <v/>
      </c>
      <c r="K863" s="264"/>
      <c r="L863" s="249"/>
      <c r="M863" s="189"/>
      <c r="N863" s="264"/>
      <c r="O863" s="249"/>
      <c r="P863" s="250"/>
      <c r="Q863" s="264"/>
      <c r="R863" s="249"/>
      <c r="S863" s="250"/>
      <c r="T863" s="264"/>
      <c r="U863" s="249"/>
      <c r="V863" s="250"/>
      <c r="W863" s="264"/>
      <c r="X863" s="394"/>
      <c r="Y863" s="429"/>
      <c r="Z863" s="395"/>
      <c r="AA863" s="394"/>
      <c r="AB863" s="118" t="str">
        <f>IF(OR(ISBLANK($B863),ISBLANK($AA863)),"",IFERROR(IF($AA863&lt;=DATE('ESTADO CONTABLE'!$B$2,9,5),VLOOKUP($B863,COSTOS!$A$2:$B1014,2,FALSE)-150,VLOOKUP($B863,COSTOS!$A$2:$B1014,2,FALSE)),"No encontrado o error"))</f>
        <v/>
      </c>
      <c r="AC863" s="395"/>
      <c r="AD863" s="394"/>
      <c r="AE863" s="429" t="str">
        <f>IF(OR(ISBLANK($B863),ISBLANK($AD863)),"",IFERROR(IF($AD863&lt;=DATE('ESTADO CONTABLE'!$B$2,10,5),VLOOKUP($B863,COSTOS!$A$2:$B1014,2,FALSE)-150,VLOOKUP($B863,COSTOS!$A$2:$B1014,2,FALSE)),"No encontrado o error"))</f>
        <v/>
      </c>
      <c r="AF863" s="395"/>
      <c r="AG863" s="394"/>
      <c r="AH863" s="429" t="str">
        <f>IF(OR(ISBLANK($B863),ISBLANK($AG863)),"",IFERROR(IF($AG863&lt;=DATE('ESTADO CONTABLE'!$B$2,11,5),VLOOKUP($B863,COSTOS!$A$2:$B1014,2,FALSE)-150,VLOOKUP($B863,COSTOS!$A$2:$B1014,2,FALSE)),"No encontrado o error"))</f>
        <v/>
      </c>
      <c r="AI863" s="395"/>
      <c r="AJ863" s="394"/>
      <c r="AK863" s="429" t="str">
        <f>IF(OR(ISBLANK($B863),ISBLANK($AJ863)),"",IFERROR(IF($AJ863&lt;=DATE('ESTADO CONTABLE'!$B$2,12,5),VLOOKUP($B863,COSTOS!$A$2:$B1014,2,FALSE)-150,VLOOKUP($B863,COSTOS!$A$2:$B1014,2,FALSE)),"No encontrado o error"))</f>
        <v/>
      </c>
      <c r="AL863" s="395"/>
      <c r="AM863" s="254"/>
      <c r="AN863" s="255"/>
      <c r="AO863" s="256"/>
    </row>
    <row r="864" ht="22.5" customHeight="1">
      <c r="A864" s="431" t="str">
        <f>'BASE DE DATOSS'!A938</f>
        <v/>
      </c>
      <c r="B864" s="432" t="str">
        <f>'BASE DE DATOSS'!C938</f>
        <v/>
      </c>
      <c r="C864" s="263"/>
      <c r="D864" s="249"/>
      <c r="E864" s="250"/>
      <c r="F864" s="251"/>
      <c r="G864" s="262"/>
      <c r="H864" s="257"/>
      <c r="I864" s="249"/>
      <c r="J864" s="193" t="str">
        <f>IF(OR(ISBLANK($B864),ISBLANK($I864)),"",IFERROR(IF($I864&lt;=DATE('ESTADO CONTABLE'!$B$2,3,5),VLOOKUP($B864,COSTOS!$A$2:$B1014,2,FALSE)-150,VLOOKUP($B864,COSTOS!$A$2:$B1014,2,FALSE)),"No encontrado o error"))</f>
        <v/>
      </c>
      <c r="K864" s="264"/>
      <c r="L864" s="249"/>
      <c r="M864" s="189"/>
      <c r="N864" s="264"/>
      <c r="O864" s="249"/>
      <c r="P864" s="250"/>
      <c r="Q864" s="264"/>
      <c r="R864" s="249"/>
      <c r="S864" s="250"/>
      <c r="T864" s="264"/>
      <c r="U864" s="249"/>
      <c r="V864" s="250"/>
      <c r="W864" s="264"/>
      <c r="X864" s="394"/>
      <c r="Y864" s="429"/>
      <c r="Z864" s="395"/>
      <c r="AA864" s="394"/>
      <c r="AB864" s="118" t="str">
        <f>IF(OR(ISBLANK($B864),ISBLANK($AA864)),"",IFERROR(IF($AA864&lt;=DATE('ESTADO CONTABLE'!$B$2,9,5),VLOOKUP($B864,COSTOS!$A$2:$B1014,2,FALSE)-150,VLOOKUP($B864,COSTOS!$A$2:$B1014,2,FALSE)),"No encontrado o error"))</f>
        <v/>
      </c>
      <c r="AC864" s="395"/>
      <c r="AD864" s="394"/>
      <c r="AE864" s="429" t="str">
        <f>IF(OR(ISBLANK($B864),ISBLANK($AD864)),"",IFERROR(IF($AD864&lt;=DATE('ESTADO CONTABLE'!$B$2,10,5),VLOOKUP($B864,COSTOS!$A$2:$B1014,2,FALSE)-150,VLOOKUP($B864,COSTOS!$A$2:$B1014,2,FALSE)),"No encontrado o error"))</f>
        <v/>
      </c>
      <c r="AF864" s="395"/>
      <c r="AG864" s="394"/>
      <c r="AH864" s="429" t="str">
        <f>IF(OR(ISBLANK($B864),ISBLANK($AG864)),"",IFERROR(IF($AG864&lt;=DATE('ESTADO CONTABLE'!$B$2,11,5),VLOOKUP($B864,COSTOS!$A$2:$B1014,2,FALSE)-150,VLOOKUP($B864,COSTOS!$A$2:$B1014,2,FALSE)),"No encontrado o error"))</f>
        <v/>
      </c>
      <c r="AI864" s="395"/>
      <c r="AJ864" s="394"/>
      <c r="AK864" s="429" t="str">
        <f>IF(OR(ISBLANK($B864),ISBLANK($AJ864)),"",IFERROR(IF($AJ864&lt;=DATE('ESTADO CONTABLE'!$B$2,12,5),VLOOKUP($B864,COSTOS!$A$2:$B1014,2,FALSE)-150,VLOOKUP($B864,COSTOS!$A$2:$B1014,2,FALSE)),"No encontrado o error"))</f>
        <v/>
      </c>
      <c r="AL864" s="395"/>
      <c r="AM864" s="254"/>
      <c r="AN864" s="255"/>
      <c r="AO864" s="256"/>
    </row>
    <row r="865" ht="22.5" customHeight="1">
      <c r="A865" s="431" t="str">
        <f>'BASE DE DATOSS'!A939</f>
        <v/>
      </c>
      <c r="B865" s="432" t="str">
        <f>'BASE DE DATOSS'!C939</f>
        <v/>
      </c>
      <c r="C865" s="263"/>
      <c r="D865" s="249"/>
      <c r="E865" s="250"/>
      <c r="F865" s="251"/>
      <c r="G865" s="262"/>
      <c r="H865" s="257"/>
      <c r="I865" s="249"/>
      <c r="J865" s="193" t="str">
        <f>IF(OR(ISBLANK($B865),ISBLANK($I865)),"",IFERROR(IF($I865&lt;=DATE('ESTADO CONTABLE'!$B$2,3,5),VLOOKUP($B865,COSTOS!$A$2:$B1014,2,FALSE)-150,VLOOKUP($B865,COSTOS!$A$2:$B1014,2,FALSE)),"No encontrado o error"))</f>
        <v/>
      </c>
      <c r="K865" s="264"/>
      <c r="L865" s="249"/>
      <c r="M865" s="189"/>
      <c r="N865" s="264"/>
      <c r="O865" s="249"/>
      <c r="P865" s="250"/>
      <c r="Q865" s="264"/>
      <c r="R865" s="249"/>
      <c r="S865" s="250"/>
      <c r="T865" s="264"/>
      <c r="U865" s="249"/>
      <c r="V865" s="250"/>
      <c r="W865" s="264"/>
      <c r="X865" s="394"/>
      <c r="Y865" s="429"/>
      <c r="Z865" s="395"/>
      <c r="AA865" s="394"/>
      <c r="AB865" s="118" t="str">
        <f>IF(OR(ISBLANK($B865),ISBLANK($AA865)),"",IFERROR(IF($AA865&lt;=DATE('ESTADO CONTABLE'!$B$2,9,5),VLOOKUP($B865,COSTOS!$A$2:$B1014,2,FALSE)-150,VLOOKUP($B865,COSTOS!$A$2:$B1014,2,FALSE)),"No encontrado o error"))</f>
        <v/>
      </c>
      <c r="AC865" s="395"/>
      <c r="AD865" s="394"/>
      <c r="AE865" s="429" t="str">
        <f>IF(OR(ISBLANK($B865),ISBLANK($AD865)),"",IFERROR(IF($AD865&lt;=DATE('ESTADO CONTABLE'!$B$2,10,5),VLOOKUP($B865,COSTOS!$A$2:$B1014,2,FALSE)-150,VLOOKUP($B865,COSTOS!$A$2:$B1014,2,FALSE)),"No encontrado o error"))</f>
        <v/>
      </c>
      <c r="AF865" s="395"/>
      <c r="AG865" s="394"/>
      <c r="AH865" s="429" t="str">
        <f>IF(OR(ISBLANK($B865),ISBLANK($AG865)),"",IFERROR(IF($AG865&lt;=DATE('ESTADO CONTABLE'!$B$2,11,5),VLOOKUP($B865,COSTOS!$A$2:$B1014,2,FALSE)-150,VLOOKUP($B865,COSTOS!$A$2:$B1014,2,FALSE)),"No encontrado o error"))</f>
        <v/>
      </c>
      <c r="AI865" s="395"/>
      <c r="AJ865" s="394"/>
      <c r="AK865" s="429" t="str">
        <f>IF(OR(ISBLANK($B865),ISBLANK($AJ865)),"",IFERROR(IF($AJ865&lt;=DATE('ESTADO CONTABLE'!$B$2,12,5),VLOOKUP($B865,COSTOS!$A$2:$B1014,2,FALSE)-150,VLOOKUP($B865,COSTOS!$A$2:$B1014,2,FALSE)),"No encontrado o error"))</f>
        <v/>
      </c>
      <c r="AL865" s="395"/>
      <c r="AM865" s="254"/>
      <c r="AN865" s="255"/>
      <c r="AO865" s="256"/>
    </row>
    <row r="866" ht="22.5" customHeight="1">
      <c r="A866" s="431" t="str">
        <f>'BASE DE DATOSS'!A940</f>
        <v/>
      </c>
      <c r="B866" s="432" t="str">
        <f>'BASE DE DATOSS'!C940</f>
        <v/>
      </c>
      <c r="C866" s="263"/>
      <c r="D866" s="249"/>
      <c r="E866" s="250"/>
      <c r="F866" s="251"/>
      <c r="G866" s="262"/>
      <c r="H866" s="257"/>
      <c r="I866" s="249"/>
      <c r="J866" s="193" t="str">
        <f>IF(OR(ISBLANK($B866),ISBLANK($I866)),"",IFERROR(IF($I866&lt;=DATE('ESTADO CONTABLE'!$B$2,3,5),VLOOKUP($B866,COSTOS!$A$2:$B1014,2,FALSE)-150,VLOOKUP($B866,COSTOS!$A$2:$B1014,2,FALSE)),"No encontrado o error"))</f>
        <v/>
      </c>
      <c r="K866" s="264"/>
      <c r="L866" s="249"/>
      <c r="M866" s="189"/>
      <c r="N866" s="264"/>
      <c r="O866" s="249"/>
      <c r="P866" s="250"/>
      <c r="Q866" s="264"/>
      <c r="R866" s="249"/>
      <c r="S866" s="250"/>
      <c r="T866" s="264"/>
      <c r="U866" s="249"/>
      <c r="V866" s="250"/>
      <c r="W866" s="264"/>
      <c r="X866" s="394"/>
      <c r="Y866" s="429"/>
      <c r="Z866" s="395"/>
      <c r="AA866" s="394"/>
      <c r="AB866" s="118" t="str">
        <f>IF(OR(ISBLANK($B866),ISBLANK($AA866)),"",IFERROR(IF($AA866&lt;=DATE('ESTADO CONTABLE'!$B$2,9,5),VLOOKUP($B866,COSTOS!$A$2:$B1014,2,FALSE)-150,VLOOKUP($B866,COSTOS!$A$2:$B1014,2,FALSE)),"No encontrado o error"))</f>
        <v/>
      </c>
      <c r="AC866" s="395"/>
      <c r="AD866" s="394"/>
      <c r="AE866" s="429" t="str">
        <f>IF(OR(ISBLANK($B866),ISBLANK($AD866)),"",IFERROR(IF($AD866&lt;=DATE('ESTADO CONTABLE'!$B$2,10,5),VLOOKUP($B866,COSTOS!$A$2:$B1014,2,FALSE)-150,VLOOKUP($B866,COSTOS!$A$2:$B1014,2,FALSE)),"No encontrado o error"))</f>
        <v/>
      </c>
      <c r="AF866" s="395"/>
      <c r="AG866" s="394"/>
      <c r="AH866" s="429" t="str">
        <f>IF(OR(ISBLANK($B866),ISBLANK($AG866)),"",IFERROR(IF($AG866&lt;=DATE('ESTADO CONTABLE'!$B$2,11,5),VLOOKUP($B866,COSTOS!$A$2:$B1014,2,FALSE)-150,VLOOKUP($B866,COSTOS!$A$2:$B1014,2,FALSE)),"No encontrado o error"))</f>
        <v/>
      </c>
      <c r="AI866" s="395"/>
      <c r="AJ866" s="394"/>
      <c r="AK866" s="429" t="str">
        <f>IF(OR(ISBLANK($B866),ISBLANK($AJ866)),"",IFERROR(IF($AJ866&lt;=DATE('ESTADO CONTABLE'!$B$2,12,5),VLOOKUP($B866,COSTOS!$A$2:$B1014,2,FALSE)-150,VLOOKUP($B866,COSTOS!$A$2:$B1014,2,FALSE)),"No encontrado o error"))</f>
        <v/>
      </c>
      <c r="AL866" s="395"/>
      <c r="AM866" s="254"/>
      <c r="AN866" s="255"/>
      <c r="AO866" s="256"/>
    </row>
    <row r="867" ht="22.5" customHeight="1">
      <c r="A867" s="431" t="str">
        <f>'BASE DE DATOSS'!A941</f>
        <v/>
      </c>
      <c r="B867" s="432" t="str">
        <f>'BASE DE DATOSS'!C941</f>
        <v/>
      </c>
      <c r="C867" s="263"/>
      <c r="D867" s="249"/>
      <c r="E867" s="250"/>
      <c r="F867" s="251"/>
      <c r="G867" s="262"/>
      <c r="H867" s="257"/>
      <c r="I867" s="249"/>
      <c r="J867" s="193" t="str">
        <f>IF(OR(ISBLANK($B867),ISBLANK($I867)),"",IFERROR(IF($I867&lt;=DATE('ESTADO CONTABLE'!$B$2,3,5),VLOOKUP($B867,COSTOS!$A$2:$B1014,2,FALSE)-150,VLOOKUP($B867,COSTOS!$A$2:$B1014,2,FALSE)),"No encontrado o error"))</f>
        <v/>
      </c>
      <c r="K867" s="264"/>
      <c r="L867" s="249"/>
      <c r="M867" s="189"/>
      <c r="N867" s="264"/>
      <c r="O867" s="249"/>
      <c r="P867" s="250"/>
      <c r="Q867" s="264"/>
      <c r="R867" s="249"/>
      <c r="S867" s="250"/>
      <c r="T867" s="264"/>
      <c r="U867" s="249"/>
      <c r="V867" s="250"/>
      <c r="W867" s="264"/>
      <c r="X867" s="394"/>
      <c r="Y867" s="429"/>
      <c r="Z867" s="395"/>
      <c r="AA867" s="394"/>
      <c r="AB867" s="118" t="str">
        <f>IF(OR(ISBLANK($B867),ISBLANK($AA867)),"",IFERROR(IF($AA867&lt;=DATE('ESTADO CONTABLE'!$B$2,9,5),VLOOKUP($B867,COSTOS!$A$2:$B1014,2,FALSE)-150,VLOOKUP($B867,COSTOS!$A$2:$B1014,2,FALSE)),"No encontrado o error"))</f>
        <v/>
      </c>
      <c r="AC867" s="395"/>
      <c r="AD867" s="394"/>
      <c r="AE867" s="429" t="str">
        <f>IF(OR(ISBLANK($B867),ISBLANK($AD867)),"",IFERROR(IF($AD867&lt;=DATE('ESTADO CONTABLE'!$B$2,10,5),VLOOKUP($B867,COSTOS!$A$2:$B1014,2,FALSE)-150,VLOOKUP($B867,COSTOS!$A$2:$B1014,2,FALSE)),"No encontrado o error"))</f>
        <v/>
      </c>
      <c r="AF867" s="395"/>
      <c r="AG867" s="394"/>
      <c r="AH867" s="429" t="str">
        <f>IF(OR(ISBLANK($B867),ISBLANK($AG867)),"",IFERROR(IF($AG867&lt;=DATE('ESTADO CONTABLE'!$B$2,11,5),VLOOKUP($B867,COSTOS!$A$2:$B1014,2,FALSE)-150,VLOOKUP($B867,COSTOS!$A$2:$B1014,2,FALSE)),"No encontrado o error"))</f>
        <v/>
      </c>
      <c r="AI867" s="395"/>
      <c r="AJ867" s="394"/>
      <c r="AK867" s="429" t="str">
        <f>IF(OR(ISBLANK($B867),ISBLANK($AJ867)),"",IFERROR(IF($AJ867&lt;=DATE('ESTADO CONTABLE'!$B$2,12,5),VLOOKUP($B867,COSTOS!$A$2:$B1014,2,FALSE)-150,VLOOKUP($B867,COSTOS!$A$2:$B1014,2,FALSE)),"No encontrado o error"))</f>
        <v/>
      </c>
      <c r="AL867" s="395"/>
      <c r="AM867" s="254"/>
      <c r="AN867" s="255"/>
      <c r="AO867" s="256"/>
    </row>
    <row r="868" ht="22.5" customHeight="1">
      <c r="A868" s="431" t="str">
        <f>'BASE DE DATOSS'!A942</f>
        <v/>
      </c>
      <c r="B868" s="432" t="str">
        <f>'BASE DE DATOSS'!C942</f>
        <v/>
      </c>
      <c r="C868" s="263"/>
      <c r="D868" s="249"/>
      <c r="E868" s="250"/>
      <c r="F868" s="251"/>
      <c r="G868" s="262"/>
      <c r="H868" s="257"/>
      <c r="I868" s="249"/>
      <c r="J868" s="193" t="str">
        <f>IF(OR(ISBLANK($B868),ISBLANK($I868)),"",IFERROR(IF($I868&lt;=DATE('ESTADO CONTABLE'!$B$2,3,5),VLOOKUP($B868,COSTOS!$A$2:$B1014,2,FALSE)-150,VLOOKUP($B868,COSTOS!$A$2:$B1014,2,FALSE)),"No encontrado o error"))</f>
        <v/>
      </c>
      <c r="K868" s="264"/>
      <c r="L868" s="249"/>
      <c r="M868" s="189"/>
      <c r="N868" s="264"/>
      <c r="O868" s="249"/>
      <c r="P868" s="250"/>
      <c r="Q868" s="264"/>
      <c r="R868" s="249"/>
      <c r="S868" s="250"/>
      <c r="T868" s="264"/>
      <c r="U868" s="249"/>
      <c r="V868" s="250"/>
      <c r="W868" s="264"/>
      <c r="X868" s="394"/>
      <c r="Y868" s="429"/>
      <c r="Z868" s="395"/>
      <c r="AA868" s="394"/>
      <c r="AB868" s="118" t="str">
        <f>IF(OR(ISBLANK($B868),ISBLANK($AA868)),"",IFERROR(IF($AA868&lt;=DATE('ESTADO CONTABLE'!$B$2,9,5),VLOOKUP($B868,COSTOS!$A$2:$B1014,2,FALSE)-150,VLOOKUP($B868,COSTOS!$A$2:$B1014,2,FALSE)),"No encontrado o error"))</f>
        <v/>
      </c>
      <c r="AC868" s="395"/>
      <c r="AD868" s="394"/>
      <c r="AE868" s="429" t="str">
        <f>IF(OR(ISBLANK($B868),ISBLANK($AD868)),"",IFERROR(IF($AD868&lt;=DATE('ESTADO CONTABLE'!$B$2,10,5),VLOOKUP($B868,COSTOS!$A$2:$B1014,2,FALSE)-150,VLOOKUP($B868,COSTOS!$A$2:$B1014,2,FALSE)),"No encontrado o error"))</f>
        <v/>
      </c>
      <c r="AF868" s="395"/>
      <c r="AG868" s="394"/>
      <c r="AH868" s="429" t="str">
        <f>IF(OR(ISBLANK($B868),ISBLANK($AG868)),"",IFERROR(IF($AG868&lt;=DATE('ESTADO CONTABLE'!$B$2,11,5),VLOOKUP($B868,COSTOS!$A$2:$B1014,2,FALSE)-150,VLOOKUP($B868,COSTOS!$A$2:$B1014,2,FALSE)),"No encontrado o error"))</f>
        <v/>
      </c>
      <c r="AI868" s="395"/>
      <c r="AJ868" s="394"/>
      <c r="AK868" s="429" t="str">
        <f>IF(OR(ISBLANK($B868),ISBLANK($AJ868)),"",IFERROR(IF($AJ868&lt;=DATE('ESTADO CONTABLE'!$B$2,12,5),VLOOKUP($B868,COSTOS!$A$2:$B1014,2,FALSE)-150,VLOOKUP($B868,COSTOS!$A$2:$B1014,2,FALSE)),"No encontrado o error"))</f>
        <v/>
      </c>
      <c r="AL868" s="395"/>
      <c r="AM868" s="254"/>
      <c r="AN868" s="255"/>
      <c r="AO868" s="256"/>
    </row>
    <row r="869" ht="22.5" customHeight="1">
      <c r="A869" s="431" t="str">
        <f>'BASE DE DATOSS'!A943</f>
        <v/>
      </c>
      <c r="B869" s="432" t="str">
        <f>'BASE DE DATOSS'!C943</f>
        <v/>
      </c>
      <c r="C869" s="263"/>
      <c r="D869" s="249"/>
      <c r="E869" s="250"/>
      <c r="F869" s="251"/>
      <c r="G869" s="262"/>
      <c r="H869" s="257"/>
      <c r="I869" s="249"/>
      <c r="J869" s="193" t="str">
        <f>IF(OR(ISBLANK($B869),ISBLANK($I869)),"",IFERROR(IF($I869&lt;=DATE('ESTADO CONTABLE'!$B$2,3,5),VLOOKUP($B869,COSTOS!$A$2:$B1014,2,FALSE)-150,VLOOKUP($B869,COSTOS!$A$2:$B1014,2,FALSE)),"No encontrado o error"))</f>
        <v/>
      </c>
      <c r="K869" s="264"/>
      <c r="L869" s="249"/>
      <c r="M869" s="189"/>
      <c r="N869" s="264"/>
      <c r="O869" s="249"/>
      <c r="P869" s="250"/>
      <c r="Q869" s="264"/>
      <c r="R869" s="249"/>
      <c r="S869" s="250"/>
      <c r="T869" s="264"/>
      <c r="U869" s="249"/>
      <c r="V869" s="250"/>
      <c r="W869" s="264"/>
      <c r="X869" s="394"/>
      <c r="Y869" s="429"/>
      <c r="Z869" s="395"/>
      <c r="AA869" s="394"/>
      <c r="AB869" s="118" t="str">
        <f>IF(OR(ISBLANK($B869),ISBLANK($AA869)),"",IFERROR(IF($AA869&lt;=DATE('ESTADO CONTABLE'!$B$2,9,5),VLOOKUP($B869,COSTOS!$A$2:$B1014,2,FALSE)-150,VLOOKUP($B869,COSTOS!$A$2:$B1014,2,FALSE)),"No encontrado o error"))</f>
        <v/>
      </c>
      <c r="AC869" s="395"/>
      <c r="AD869" s="394"/>
      <c r="AE869" s="429" t="str">
        <f>IF(OR(ISBLANK($B869),ISBLANK($AD869)),"",IFERROR(IF($AD869&lt;=DATE('ESTADO CONTABLE'!$B$2,10,5),VLOOKUP($B869,COSTOS!$A$2:$B1014,2,FALSE)-150,VLOOKUP($B869,COSTOS!$A$2:$B1014,2,FALSE)),"No encontrado o error"))</f>
        <v/>
      </c>
      <c r="AF869" s="395"/>
      <c r="AG869" s="394"/>
      <c r="AH869" s="429" t="str">
        <f>IF(OR(ISBLANK($B869),ISBLANK($AG869)),"",IFERROR(IF($AG869&lt;=DATE('ESTADO CONTABLE'!$B$2,11,5),VLOOKUP($B869,COSTOS!$A$2:$B1014,2,FALSE)-150,VLOOKUP($B869,COSTOS!$A$2:$B1014,2,FALSE)),"No encontrado o error"))</f>
        <v/>
      </c>
      <c r="AI869" s="395"/>
      <c r="AJ869" s="394"/>
      <c r="AK869" s="429" t="str">
        <f>IF(OR(ISBLANK($B869),ISBLANK($AJ869)),"",IFERROR(IF($AJ869&lt;=DATE('ESTADO CONTABLE'!$B$2,12,5),VLOOKUP($B869,COSTOS!$A$2:$B1014,2,FALSE)-150,VLOOKUP($B869,COSTOS!$A$2:$B1014,2,FALSE)),"No encontrado o error"))</f>
        <v/>
      </c>
      <c r="AL869" s="395"/>
      <c r="AM869" s="254"/>
      <c r="AN869" s="255"/>
      <c r="AO869" s="256"/>
    </row>
    <row r="870" ht="22.5" customHeight="1">
      <c r="A870" s="431" t="str">
        <f>'BASE DE DATOSS'!A944</f>
        <v/>
      </c>
      <c r="B870" s="432" t="str">
        <f>'BASE DE DATOSS'!C944</f>
        <v/>
      </c>
      <c r="C870" s="263"/>
      <c r="D870" s="249"/>
      <c r="E870" s="250"/>
      <c r="F870" s="251"/>
      <c r="G870" s="262"/>
      <c r="H870" s="257"/>
      <c r="I870" s="249"/>
      <c r="J870" s="193" t="str">
        <f>IF(OR(ISBLANK($B870),ISBLANK($I870)),"",IFERROR(IF($I870&lt;=DATE('ESTADO CONTABLE'!$B$2,3,5),VLOOKUP($B870,COSTOS!$A$2:$B1014,2,FALSE)-150,VLOOKUP($B870,COSTOS!$A$2:$B1014,2,FALSE)),"No encontrado o error"))</f>
        <v/>
      </c>
      <c r="K870" s="264"/>
      <c r="L870" s="249"/>
      <c r="M870" s="189"/>
      <c r="N870" s="264"/>
      <c r="O870" s="249"/>
      <c r="P870" s="250"/>
      <c r="Q870" s="264"/>
      <c r="R870" s="249"/>
      <c r="S870" s="250"/>
      <c r="T870" s="264"/>
      <c r="U870" s="249"/>
      <c r="V870" s="250"/>
      <c r="W870" s="264"/>
      <c r="X870" s="394"/>
      <c r="Y870" s="429"/>
      <c r="Z870" s="395"/>
      <c r="AA870" s="394"/>
      <c r="AB870" s="118" t="str">
        <f>IF(OR(ISBLANK($B870),ISBLANK($AA870)),"",IFERROR(IF($AA870&lt;=DATE('ESTADO CONTABLE'!$B$2,9,5),VLOOKUP($B870,COSTOS!$A$2:$B1014,2,FALSE)-150,VLOOKUP($B870,COSTOS!$A$2:$B1014,2,FALSE)),"No encontrado o error"))</f>
        <v/>
      </c>
      <c r="AC870" s="395"/>
      <c r="AD870" s="394"/>
      <c r="AE870" s="429" t="str">
        <f>IF(OR(ISBLANK($B870),ISBLANK($AD870)),"",IFERROR(IF($AD870&lt;=DATE('ESTADO CONTABLE'!$B$2,10,5),VLOOKUP($B870,COSTOS!$A$2:$B1014,2,FALSE)-150,VLOOKUP($B870,COSTOS!$A$2:$B1014,2,FALSE)),"No encontrado o error"))</f>
        <v/>
      </c>
      <c r="AF870" s="395"/>
      <c r="AG870" s="394"/>
      <c r="AH870" s="429" t="str">
        <f>IF(OR(ISBLANK($B870),ISBLANK($AG870)),"",IFERROR(IF($AG870&lt;=DATE('ESTADO CONTABLE'!$B$2,11,5),VLOOKUP($B870,COSTOS!$A$2:$B1014,2,FALSE)-150,VLOOKUP($B870,COSTOS!$A$2:$B1014,2,FALSE)),"No encontrado o error"))</f>
        <v/>
      </c>
      <c r="AI870" s="395"/>
      <c r="AJ870" s="394"/>
      <c r="AK870" s="429" t="str">
        <f>IF(OR(ISBLANK($B870),ISBLANK($AJ870)),"",IFERROR(IF($AJ870&lt;=DATE('ESTADO CONTABLE'!$B$2,12,5),VLOOKUP($B870,COSTOS!$A$2:$B1014,2,FALSE)-150,VLOOKUP($B870,COSTOS!$A$2:$B1014,2,FALSE)),"No encontrado o error"))</f>
        <v/>
      </c>
      <c r="AL870" s="395"/>
      <c r="AM870" s="254"/>
      <c r="AN870" s="255"/>
      <c r="AO870" s="256"/>
    </row>
    <row r="871" ht="22.5" customHeight="1">
      <c r="A871" s="431" t="str">
        <f>'BASE DE DATOSS'!A945</f>
        <v/>
      </c>
      <c r="B871" s="432" t="str">
        <f>'BASE DE DATOSS'!C945</f>
        <v/>
      </c>
      <c r="C871" s="263"/>
      <c r="D871" s="249"/>
      <c r="E871" s="250"/>
      <c r="F871" s="251"/>
      <c r="G871" s="262"/>
      <c r="H871" s="257"/>
      <c r="I871" s="249"/>
      <c r="J871" s="193" t="str">
        <f>IF(OR(ISBLANK($B871),ISBLANK($I871)),"",IFERROR(IF($I871&lt;=DATE('ESTADO CONTABLE'!$B$2,3,5),VLOOKUP($B871,COSTOS!$A$2:$B1014,2,FALSE)-150,VLOOKUP($B871,COSTOS!$A$2:$B1014,2,FALSE)),"No encontrado o error"))</f>
        <v/>
      </c>
      <c r="K871" s="264"/>
      <c r="L871" s="249"/>
      <c r="M871" s="189"/>
      <c r="N871" s="264"/>
      <c r="O871" s="249"/>
      <c r="P871" s="250"/>
      <c r="Q871" s="264"/>
      <c r="R871" s="249"/>
      <c r="S871" s="250"/>
      <c r="T871" s="264"/>
      <c r="U871" s="249"/>
      <c r="V871" s="250"/>
      <c r="W871" s="264"/>
      <c r="X871" s="394"/>
      <c r="Y871" s="429"/>
      <c r="Z871" s="395"/>
      <c r="AA871" s="394"/>
      <c r="AB871" s="118" t="str">
        <f>IF(OR(ISBLANK($B871),ISBLANK($AA871)),"",IFERROR(IF($AA871&lt;=DATE('ESTADO CONTABLE'!$B$2,9,5),VLOOKUP($B871,COSTOS!$A$2:$B1014,2,FALSE)-150,VLOOKUP($B871,COSTOS!$A$2:$B1014,2,FALSE)),"No encontrado o error"))</f>
        <v/>
      </c>
      <c r="AC871" s="395"/>
      <c r="AD871" s="394"/>
      <c r="AE871" s="429" t="str">
        <f>IF(OR(ISBLANK($B871),ISBLANK($AD871)),"",IFERROR(IF($AD871&lt;=DATE('ESTADO CONTABLE'!$B$2,10,5),VLOOKUP($B871,COSTOS!$A$2:$B1014,2,FALSE)-150,VLOOKUP($B871,COSTOS!$A$2:$B1014,2,FALSE)),"No encontrado o error"))</f>
        <v/>
      </c>
      <c r="AF871" s="395"/>
      <c r="AG871" s="394"/>
      <c r="AH871" s="429" t="str">
        <f>IF(OR(ISBLANK($B871),ISBLANK($AG871)),"",IFERROR(IF($AG871&lt;=DATE('ESTADO CONTABLE'!$B$2,11,5),VLOOKUP($B871,COSTOS!$A$2:$B1014,2,FALSE)-150,VLOOKUP($B871,COSTOS!$A$2:$B1014,2,FALSE)),"No encontrado o error"))</f>
        <v/>
      </c>
      <c r="AI871" s="395"/>
      <c r="AJ871" s="394"/>
      <c r="AK871" s="429" t="str">
        <f>IF(OR(ISBLANK($B871),ISBLANK($AJ871)),"",IFERROR(IF($AJ871&lt;=DATE('ESTADO CONTABLE'!$B$2,12,5),VLOOKUP($B871,COSTOS!$A$2:$B1014,2,FALSE)-150,VLOOKUP($B871,COSTOS!$A$2:$B1014,2,FALSE)),"No encontrado o error"))</f>
        <v/>
      </c>
      <c r="AL871" s="395"/>
      <c r="AM871" s="254"/>
      <c r="AN871" s="255"/>
      <c r="AO871" s="256"/>
    </row>
    <row r="872" ht="22.5" customHeight="1">
      <c r="A872" s="431" t="str">
        <f>'BASE DE DATOSS'!A946</f>
        <v/>
      </c>
      <c r="B872" s="432" t="str">
        <f>'BASE DE DATOSS'!C946</f>
        <v/>
      </c>
      <c r="C872" s="263"/>
      <c r="D872" s="249"/>
      <c r="E872" s="250"/>
      <c r="F872" s="251"/>
      <c r="G872" s="262"/>
      <c r="H872" s="257"/>
      <c r="I872" s="249"/>
      <c r="J872" s="193" t="str">
        <f>IF(OR(ISBLANK($B872),ISBLANK($I872)),"",IFERROR(IF($I872&lt;=DATE('ESTADO CONTABLE'!$B$2,3,5),VLOOKUP($B872,COSTOS!$A$2:$B1014,2,FALSE)-150,VLOOKUP($B872,COSTOS!$A$2:$B1014,2,FALSE)),"No encontrado o error"))</f>
        <v/>
      </c>
      <c r="K872" s="264"/>
      <c r="L872" s="249"/>
      <c r="M872" s="189"/>
      <c r="N872" s="264"/>
      <c r="O872" s="249"/>
      <c r="P872" s="250"/>
      <c r="Q872" s="264"/>
      <c r="R872" s="249"/>
      <c r="S872" s="250"/>
      <c r="T872" s="264"/>
      <c r="U872" s="249"/>
      <c r="V872" s="250"/>
      <c r="W872" s="264"/>
      <c r="X872" s="394"/>
      <c r="Y872" s="429"/>
      <c r="Z872" s="395"/>
      <c r="AA872" s="394"/>
      <c r="AB872" s="118" t="str">
        <f>IF(OR(ISBLANK($B872),ISBLANK($AA872)),"",IFERROR(IF($AA872&lt;=DATE('ESTADO CONTABLE'!$B$2,9,5),VLOOKUP($B872,COSTOS!$A$2:$B1014,2,FALSE)-150,VLOOKUP($B872,COSTOS!$A$2:$B1014,2,FALSE)),"No encontrado o error"))</f>
        <v/>
      </c>
      <c r="AC872" s="395"/>
      <c r="AD872" s="394"/>
      <c r="AE872" s="429" t="str">
        <f>IF(OR(ISBLANK($B872),ISBLANK($AD872)),"",IFERROR(IF($AD872&lt;=DATE('ESTADO CONTABLE'!$B$2,10,5),VLOOKUP($B872,COSTOS!$A$2:$B1014,2,FALSE)-150,VLOOKUP($B872,COSTOS!$A$2:$B1014,2,FALSE)),"No encontrado o error"))</f>
        <v/>
      </c>
      <c r="AF872" s="395"/>
      <c r="AG872" s="394"/>
      <c r="AH872" s="429" t="str">
        <f>IF(OR(ISBLANK($B872),ISBLANK($AG872)),"",IFERROR(IF($AG872&lt;=DATE('ESTADO CONTABLE'!$B$2,11,5),VLOOKUP($B872,COSTOS!$A$2:$B1014,2,FALSE)-150,VLOOKUP($B872,COSTOS!$A$2:$B1014,2,FALSE)),"No encontrado o error"))</f>
        <v/>
      </c>
      <c r="AI872" s="395"/>
      <c r="AJ872" s="394"/>
      <c r="AK872" s="429" t="str">
        <f>IF(OR(ISBLANK($B872),ISBLANK($AJ872)),"",IFERROR(IF($AJ872&lt;=DATE('ESTADO CONTABLE'!$B$2,12,5),VLOOKUP($B872,COSTOS!$A$2:$B1014,2,FALSE)-150,VLOOKUP($B872,COSTOS!$A$2:$B1014,2,FALSE)),"No encontrado o error"))</f>
        <v/>
      </c>
      <c r="AL872" s="395"/>
      <c r="AM872" s="254"/>
      <c r="AN872" s="255"/>
      <c r="AO872" s="256"/>
    </row>
    <row r="873" ht="22.5" customHeight="1">
      <c r="A873" s="431" t="str">
        <f>'BASE DE DATOSS'!A947</f>
        <v/>
      </c>
      <c r="B873" s="432" t="str">
        <f>'BASE DE DATOSS'!C947</f>
        <v/>
      </c>
      <c r="C873" s="263"/>
      <c r="D873" s="249"/>
      <c r="E873" s="250"/>
      <c r="F873" s="251"/>
      <c r="G873" s="262"/>
      <c r="H873" s="257"/>
      <c r="I873" s="249"/>
      <c r="J873" s="193" t="str">
        <f>IF(OR(ISBLANK($B873),ISBLANK($I873)),"",IFERROR(IF($I873&lt;=DATE('ESTADO CONTABLE'!$B$2,3,5),VLOOKUP($B873,COSTOS!$A$2:$B1014,2,FALSE)-150,VLOOKUP($B873,COSTOS!$A$2:$B1014,2,FALSE)),"No encontrado o error"))</f>
        <v/>
      </c>
      <c r="K873" s="264"/>
      <c r="L873" s="249"/>
      <c r="M873" s="189"/>
      <c r="N873" s="264"/>
      <c r="O873" s="249"/>
      <c r="P873" s="250"/>
      <c r="Q873" s="264"/>
      <c r="R873" s="249"/>
      <c r="S873" s="250"/>
      <c r="T873" s="264"/>
      <c r="U873" s="249"/>
      <c r="V873" s="250"/>
      <c r="W873" s="264"/>
      <c r="X873" s="394"/>
      <c r="Y873" s="429"/>
      <c r="Z873" s="395"/>
      <c r="AA873" s="394"/>
      <c r="AB873" s="118" t="str">
        <f>IF(OR(ISBLANK($B873),ISBLANK($AA873)),"",IFERROR(IF($AA873&lt;=DATE('ESTADO CONTABLE'!$B$2,9,5),VLOOKUP($B873,COSTOS!$A$2:$B1014,2,FALSE)-150,VLOOKUP($B873,COSTOS!$A$2:$B1014,2,FALSE)),"No encontrado o error"))</f>
        <v/>
      </c>
      <c r="AC873" s="395"/>
      <c r="AD873" s="394"/>
      <c r="AE873" s="429" t="str">
        <f>IF(OR(ISBLANK($B873),ISBLANK($AD873)),"",IFERROR(IF($AD873&lt;=DATE('ESTADO CONTABLE'!$B$2,10,5),VLOOKUP($B873,COSTOS!$A$2:$B1014,2,FALSE)-150,VLOOKUP($B873,COSTOS!$A$2:$B1014,2,FALSE)),"No encontrado o error"))</f>
        <v/>
      </c>
      <c r="AF873" s="395"/>
      <c r="AG873" s="394"/>
      <c r="AH873" s="429" t="str">
        <f>IF(OR(ISBLANK($B873),ISBLANK($AG873)),"",IFERROR(IF($AG873&lt;=DATE('ESTADO CONTABLE'!$B$2,11,5),VLOOKUP($B873,COSTOS!$A$2:$B1014,2,FALSE)-150,VLOOKUP($B873,COSTOS!$A$2:$B1014,2,FALSE)),"No encontrado o error"))</f>
        <v/>
      </c>
      <c r="AI873" s="395"/>
      <c r="AJ873" s="394"/>
      <c r="AK873" s="429" t="str">
        <f>IF(OR(ISBLANK($B873),ISBLANK($AJ873)),"",IFERROR(IF($AJ873&lt;=DATE('ESTADO CONTABLE'!$B$2,12,5),VLOOKUP($B873,COSTOS!$A$2:$B1014,2,FALSE)-150,VLOOKUP($B873,COSTOS!$A$2:$B1014,2,FALSE)),"No encontrado o error"))</f>
        <v/>
      </c>
      <c r="AL873" s="395"/>
      <c r="AM873" s="254"/>
      <c r="AN873" s="255"/>
      <c r="AO873" s="256"/>
    </row>
    <row r="874" ht="22.5" customHeight="1">
      <c r="A874" s="431" t="str">
        <f>'BASE DE DATOSS'!A948</f>
        <v/>
      </c>
      <c r="B874" s="432" t="str">
        <f>'BASE DE DATOSS'!C948</f>
        <v/>
      </c>
      <c r="C874" s="263"/>
      <c r="D874" s="249"/>
      <c r="E874" s="250"/>
      <c r="F874" s="251"/>
      <c r="G874" s="262"/>
      <c r="H874" s="257"/>
      <c r="I874" s="249"/>
      <c r="J874" s="193" t="str">
        <f>IF(OR(ISBLANK($B874),ISBLANK($I874)),"",IFERROR(IF($I874&lt;=DATE('ESTADO CONTABLE'!$B$2,3,5),VLOOKUP($B874,COSTOS!$A$2:$B1014,2,FALSE)-150,VLOOKUP($B874,COSTOS!$A$2:$B1014,2,FALSE)),"No encontrado o error"))</f>
        <v/>
      </c>
      <c r="K874" s="264"/>
      <c r="L874" s="249"/>
      <c r="M874" s="189"/>
      <c r="N874" s="264"/>
      <c r="O874" s="249"/>
      <c r="P874" s="250"/>
      <c r="Q874" s="264"/>
      <c r="R874" s="249"/>
      <c r="S874" s="250"/>
      <c r="T874" s="264"/>
      <c r="U874" s="249"/>
      <c r="V874" s="250"/>
      <c r="W874" s="264"/>
      <c r="X874" s="394"/>
      <c r="Y874" s="429"/>
      <c r="Z874" s="395"/>
      <c r="AA874" s="394"/>
      <c r="AB874" s="118" t="str">
        <f>IF(OR(ISBLANK($B874),ISBLANK($AA874)),"",IFERROR(IF($AA874&lt;=DATE('ESTADO CONTABLE'!$B$2,9,5),VLOOKUP($B874,COSTOS!$A$2:$B1014,2,FALSE)-150,VLOOKUP($B874,COSTOS!$A$2:$B1014,2,FALSE)),"No encontrado o error"))</f>
        <v/>
      </c>
      <c r="AC874" s="395"/>
      <c r="AD874" s="394"/>
      <c r="AE874" s="429" t="str">
        <f>IF(OR(ISBLANK($B874),ISBLANK($AD874)),"",IFERROR(IF($AD874&lt;=DATE('ESTADO CONTABLE'!$B$2,10,5),VLOOKUP($B874,COSTOS!$A$2:$B1014,2,FALSE)-150,VLOOKUP($B874,COSTOS!$A$2:$B1014,2,FALSE)),"No encontrado o error"))</f>
        <v/>
      </c>
      <c r="AF874" s="395"/>
      <c r="AG874" s="394"/>
      <c r="AH874" s="429" t="str">
        <f>IF(OR(ISBLANK($B874),ISBLANK($AG874)),"",IFERROR(IF($AG874&lt;=DATE('ESTADO CONTABLE'!$B$2,11,5),VLOOKUP($B874,COSTOS!$A$2:$B1014,2,FALSE)-150,VLOOKUP($B874,COSTOS!$A$2:$B1014,2,FALSE)),"No encontrado o error"))</f>
        <v/>
      </c>
      <c r="AI874" s="395"/>
      <c r="AJ874" s="394"/>
      <c r="AK874" s="429" t="str">
        <f>IF(OR(ISBLANK($B874),ISBLANK($AJ874)),"",IFERROR(IF($AJ874&lt;=DATE('ESTADO CONTABLE'!$B$2,12,5),VLOOKUP($B874,COSTOS!$A$2:$B1014,2,FALSE)-150,VLOOKUP($B874,COSTOS!$A$2:$B1014,2,FALSE)),"No encontrado o error"))</f>
        <v/>
      </c>
      <c r="AL874" s="395"/>
      <c r="AM874" s="254"/>
      <c r="AN874" s="255"/>
      <c r="AO874" s="256"/>
    </row>
    <row r="875" ht="22.5" customHeight="1">
      <c r="A875" s="431" t="str">
        <f>'BASE DE DATOSS'!A949</f>
        <v/>
      </c>
      <c r="B875" s="432" t="str">
        <f>'BASE DE DATOSS'!C949</f>
        <v/>
      </c>
      <c r="C875" s="263"/>
      <c r="D875" s="249"/>
      <c r="E875" s="250"/>
      <c r="F875" s="251"/>
      <c r="G875" s="262"/>
      <c r="H875" s="257"/>
      <c r="I875" s="249"/>
      <c r="J875" s="193" t="str">
        <f>IF(OR(ISBLANK($B875),ISBLANK($I875)),"",IFERROR(IF($I875&lt;=DATE('ESTADO CONTABLE'!$B$2,3,5),VLOOKUP($B875,COSTOS!$A$2:$B1014,2,FALSE)-150,VLOOKUP($B875,COSTOS!$A$2:$B1014,2,FALSE)),"No encontrado o error"))</f>
        <v/>
      </c>
      <c r="K875" s="264"/>
      <c r="L875" s="249"/>
      <c r="M875" s="189"/>
      <c r="N875" s="264"/>
      <c r="O875" s="249"/>
      <c r="P875" s="250"/>
      <c r="Q875" s="264"/>
      <c r="R875" s="249"/>
      <c r="S875" s="250"/>
      <c r="T875" s="264"/>
      <c r="U875" s="249"/>
      <c r="V875" s="250"/>
      <c r="W875" s="264"/>
      <c r="X875" s="394"/>
      <c r="Y875" s="429"/>
      <c r="Z875" s="395"/>
      <c r="AA875" s="394"/>
      <c r="AB875" s="118" t="str">
        <f>IF(OR(ISBLANK($B875),ISBLANK($AA875)),"",IFERROR(IF($AA875&lt;=DATE('ESTADO CONTABLE'!$B$2,9,5),VLOOKUP($B875,COSTOS!$A$2:$B1014,2,FALSE)-150,VLOOKUP($B875,COSTOS!$A$2:$B1014,2,FALSE)),"No encontrado o error"))</f>
        <v/>
      </c>
      <c r="AC875" s="395"/>
      <c r="AD875" s="394"/>
      <c r="AE875" s="429" t="str">
        <f>IF(OR(ISBLANK($B875),ISBLANK($AD875)),"",IFERROR(IF($AD875&lt;=DATE('ESTADO CONTABLE'!$B$2,10,5),VLOOKUP($B875,COSTOS!$A$2:$B1014,2,FALSE)-150,VLOOKUP($B875,COSTOS!$A$2:$B1014,2,FALSE)),"No encontrado o error"))</f>
        <v/>
      </c>
      <c r="AF875" s="395"/>
      <c r="AG875" s="394"/>
      <c r="AH875" s="429" t="str">
        <f>IF(OR(ISBLANK($B875),ISBLANK($AG875)),"",IFERROR(IF($AG875&lt;=DATE('ESTADO CONTABLE'!$B$2,11,5),VLOOKUP($B875,COSTOS!$A$2:$B1014,2,FALSE)-150,VLOOKUP($B875,COSTOS!$A$2:$B1014,2,FALSE)),"No encontrado o error"))</f>
        <v/>
      </c>
      <c r="AI875" s="395"/>
      <c r="AJ875" s="394"/>
      <c r="AK875" s="429" t="str">
        <f>IF(OR(ISBLANK($B875),ISBLANK($AJ875)),"",IFERROR(IF($AJ875&lt;=DATE('ESTADO CONTABLE'!$B$2,12,5),VLOOKUP($B875,COSTOS!$A$2:$B1014,2,FALSE)-150,VLOOKUP($B875,COSTOS!$A$2:$B1014,2,FALSE)),"No encontrado o error"))</f>
        <v/>
      </c>
      <c r="AL875" s="395"/>
      <c r="AM875" s="254"/>
      <c r="AN875" s="255"/>
      <c r="AO875" s="256"/>
    </row>
    <row r="876" ht="22.5" customHeight="1">
      <c r="A876" s="431" t="str">
        <f>'BASE DE DATOSS'!A950</f>
        <v/>
      </c>
      <c r="B876" s="432" t="str">
        <f>'BASE DE DATOSS'!C950</f>
        <v/>
      </c>
      <c r="C876" s="263"/>
      <c r="D876" s="249"/>
      <c r="E876" s="250"/>
      <c r="F876" s="251"/>
      <c r="G876" s="262"/>
      <c r="H876" s="257"/>
      <c r="I876" s="249"/>
      <c r="J876" s="193" t="str">
        <f>IF(OR(ISBLANK($B876),ISBLANK($I876)),"",IFERROR(IF($I876&lt;=DATE('ESTADO CONTABLE'!$B$2,3,5),VLOOKUP($B876,COSTOS!$A$2:$B1014,2,FALSE)-150,VLOOKUP($B876,COSTOS!$A$2:$B1014,2,FALSE)),"No encontrado o error"))</f>
        <v/>
      </c>
      <c r="K876" s="264"/>
      <c r="L876" s="249"/>
      <c r="M876" s="189"/>
      <c r="N876" s="264"/>
      <c r="O876" s="249"/>
      <c r="P876" s="250"/>
      <c r="Q876" s="264"/>
      <c r="R876" s="249"/>
      <c r="S876" s="250"/>
      <c r="T876" s="264"/>
      <c r="U876" s="249"/>
      <c r="V876" s="250"/>
      <c r="W876" s="264"/>
      <c r="X876" s="394"/>
      <c r="Y876" s="429"/>
      <c r="Z876" s="395"/>
      <c r="AA876" s="394"/>
      <c r="AB876" s="118" t="str">
        <f>IF(OR(ISBLANK($B876),ISBLANK($AA876)),"",IFERROR(IF($AA876&lt;=DATE('ESTADO CONTABLE'!$B$2,9,5),VLOOKUP($B876,COSTOS!$A$2:$B1014,2,FALSE)-150,VLOOKUP($B876,COSTOS!$A$2:$B1014,2,FALSE)),"No encontrado o error"))</f>
        <v/>
      </c>
      <c r="AC876" s="395"/>
      <c r="AD876" s="394"/>
      <c r="AE876" s="429" t="str">
        <f>IF(OR(ISBLANK($B876),ISBLANK($AD876)),"",IFERROR(IF($AD876&lt;=DATE('ESTADO CONTABLE'!$B$2,10,5),VLOOKUP($B876,COSTOS!$A$2:$B1014,2,FALSE)-150,VLOOKUP($B876,COSTOS!$A$2:$B1014,2,FALSE)),"No encontrado o error"))</f>
        <v/>
      </c>
      <c r="AF876" s="395"/>
      <c r="AG876" s="394"/>
      <c r="AH876" s="429" t="str">
        <f>IF(OR(ISBLANK($B876),ISBLANK($AG876)),"",IFERROR(IF($AG876&lt;=DATE('ESTADO CONTABLE'!$B$2,11,5),VLOOKUP($B876,COSTOS!$A$2:$B1014,2,FALSE)-150,VLOOKUP($B876,COSTOS!$A$2:$B1014,2,FALSE)),"No encontrado o error"))</f>
        <v/>
      </c>
      <c r="AI876" s="395"/>
      <c r="AJ876" s="394"/>
      <c r="AK876" s="429" t="str">
        <f>IF(OR(ISBLANK($B876),ISBLANK($AJ876)),"",IFERROR(IF($AJ876&lt;=DATE('ESTADO CONTABLE'!$B$2,12,5),VLOOKUP($B876,COSTOS!$A$2:$B1014,2,FALSE)-150,VLOOKUP($B876,COSTOS!$A$2:$B1014,2,FALSE)),"No encontrado o error"))</f>
        <v/>
      </c>
      <c r="AL876" s="395"/>
      <c r="AM876" s="254"/>
      <c r="AN876" s="255"/>
      <c r="AO876" s="256"/>
    </row>
    <row r="877" ht="22.5" customHeight="1">
      <c r="A877" s="431" t="str">
        <f>'BASE DE DATOSS'!A951</f>
        <v/>
      </c>
      <c r="B877" s="432" t="str">
        <f>'BASE DE DATOSS'!C951</f>
        <v/>
      </c>
      <c r="C877" s="263"/>
      <c r="D877" s="249"/>
      <c r="E877" s="250"/>
      <c r="F877" s="251"/>
      <c r="G877" s="262"/>
      <c r="H877" s="257"/>
      <c r="I877" s="249"/>
      <c r="J877" s="193" t="str">
        <f>IF(OR(ISBLANK($B877),ISBLANK($I877)),"",IFERROR(IF($I877&lt;=DATE('ESTADO CONTABLE'!$B$2,3,5),VLOOKUP($B877,COSTOS!$A$2:$B1014,2,FALSE)-150,VLOOKUP($B877,COSTOS!$A$2:$B1014,2,FALSE)),"No encontrado o error"))</f>
        <v/>
      </c>
      <c r="K877" s="264"/>
      <c r="L877" s="249"/>
      <c r="M877" s="189"/>
      <c r="N877" s="264"/>
      <c r="O877" s="249"/>
      <c r="P877" s="250"/>
      <c r="Q877" s="264"/>
      <c r="R877" s="249"/>
      <c r="S877" s="250"/>
      <c r="T877" s="264"/>
      <c r="U877" s="249"/>
      <c r="V877" s="250"/>
      <c r="W877" s="264"/>
      <c r="X877" s="394"/>
      <c r="Y877" s="429"/>
      <c r="Z877" s="395"/>
      <c r="AA877" s="394"/>
      <c r="AB877" s="118" t="str">
        <f>IF(OR(ISBLANK($B877),ISBLANK($AA877)),"",IFERROR(IF($AA877&lt;=DATE('ESTADO CONTABLE'!$B$2,9,5),VLOOKUP($B877,COSTOS!$A$2:$B1014,2,FALSE)-150,VLOOKUP($B877,COSTOS!$A$2:$B1014,2,FALSE)),"No encontrado o error"))</f>
        <v/>
      </c>
      <c r="AC877" s="395"/>
      <c r="AD877" s="394"/>
      <c r="AE877" s="429" t="str">
        <f>IF(OR(ISBLANK($B877),ISBLANK($AD877)),"",IFERROR(IF($AD877&lt;=DATE('ESTADO CONTABLE'!$B$2,10,5),VLOOKUP($B877,COSTOS!$A$2:$B1014,2,FALSE)-150,VLOOKUP($B877,COSTOS!$A$2:$B1014,2,FALSE)),"No encontrado o error"))</f>
        <v/>
      </c>
      <c r="AF877" s="395"/>
      <c r="AG877" s="394"/>
      <c r="AH877" s="429" t="str">
        <f>IF(OR(ISBLANK($B877),ISBLANK($AG877)),"",IFERROR(IF($AG877&lt;=DATE('ESTADO CONTABLE'!$B$2,11,5),VLOOKUP($B877,COSTOS!$A$2:$B1014,2,FALSE)-150,VLOOKUP($B877,COSTOS!$A$2:$B1014,2,FALSE)),"No encontrado o error"))</f>
        <v/>
      </c>
      <c r="AI877" s="395"/>
      <c r="AJ877" s="394"/>
      <c r="AK877" s="429" t="str">
        <f>IF(OR(ISBLANK($B877),ISBLANK($AJ877)),"",IFERROR(IF($AJ877&lt;=DATE('ESTADO CONTABLE'!$B$2,12,5),VLOOKUP($B877,COSTOS!$A$2:$B1014,2,FALSE)-150,VLOOKUP($B877,COSTOS!$A$2:$B1014,2,FALSE)),"No encontrado o error"))</f>
        <v/>
      </c>
      <c r="AL877" s="395"/>
      <c r="AM877" s="254"/>
      <c r="AN877" s="255"/>
      <c r="AO877" s="256"/>
    </row>
    <row r="878" ht="22.5" customHeight="1">
      <c r="A878" s="431" t="str">
        <f>'BASE DE DATOSS'!A952</f>
        <v/>
      </c>
      <c r="B878" s="432" t="str">
        <f>'BASE DE DATOSS'!C952</f>
        <v/>
      </c>
      <c r="C878" s="263"/>
      <c r="D878" s="249"/>
      <c r="E878" s="250"/>
      <c r="F878" s="251"/>
      <c r="G878" s="262"/>
      <c r="H878" s="257"/>
      <c r="I878" s="249"/>
      <c r="J878" s="193" t="str">
        <f>IF(OR(ISBLANK($B878),ISBLANK($I878)),"",IFERROR(IF($I878&lt;=DATE('ESTADO CONTABLE'!$B$2,3,5),VLOOKUP($B878,COSTOS!$A$2:$B1014,2,FALSE)-150,VLOOKUP($B878,COSTOS!$A$2:$B1014,2,FALSE)),"No encontrado o error"))</f>
        <v/>
      </c>
      <c r="K878" s="264"/>
      <c r="L878" s="249"/>
      <c r="M878" s="189"/>
      <c r="N878" s="264"/>
      <c r="O878" s="249"/>
      <c r="P878" s="250"/>
      <c r="Q878" s="264"/>
      <c r="R878" s="249"/>
      <c r="S878" s="250"/>
      <c r="T878" s="264"/>
      <c r="U878" s="249"/>
      <c r="V878" s="250"/>
      <c r="W878" s="264"/>
      <c r="X878" s="394"/>
      <c r="Y878" s="429"/>
      <c r="Z878" s="395"/>
      <c r="AA878" s="394"/>
      <c r="AB878" s="118" t="str">
        <f>IF(OR(ISBLANK($B878),ISBLANK($AA878)),"",IFERROR(IF($AA878&lt;=DATE('ESTADO CONTABLE'!$B$2,9,5),VLOOKUP($B878,COSTOS!$A$2:$B1014,2,FALSE)-150,VLOOKUP($B878,COSTOS!$A$2:$B1014,2,FALSE)),"No encontrado o error"))</f>
        <v/>
      </c>
      <c r="AC878" s="395"/>
      <c r="AD878" s="394"/>
      <c r="AE878" s="429" t="str">
        <f>IF(OR(ISBLANK($B878),ISBLANK($AD878)),"",IFERROR(IF($AD878&lt;=DATE('ESTADO CONTABLE'!$B$2,10,5),VLOOKUP($B878,COSTOS!$A$2:$B1014,2,FALSE)-150,VLOOKUP($B878,COSTOS!$A$2:$B1014,2,FALSE)),"No encontrado o error"))</f>
        <v/>
      </c>
      <c r="AF878" s="395"/>
      <c r="AG878" s="394"/>
      <c r="AH878" s="429" t="str">
        <f>IF(OR(ISBLANK($B878),ISBLANK($AG878)),"",IFERROR(IF($AG878&lt;=DATE('ESTADO CONTABLE'!$B$2,11,5),VLOOKUP($B878,COSTOS!$A$2:$B1014,2,FALSE)-150,VLOOKUP($B878,COSTOS!$A$2:$B1014,2,FALSE)),"No encontrado o error"))</f>
        <v/>
      </c>
      <c r="AI878" s="395"/>
      <c r="AJ878" s="394"/>
      <c r="AK878" s="429" t="str">
        <f>IF(OR(ISBLANK($B878),ISBLANK($AJ878)),"",IFERROR(IF($AJ878&lt;=DATE('ESTADO CONTABLE'!$B$2,12,5),VLOOKUP($B878,COSTOS!$A$2:$B1014,2,FALSE)-150,VLOOKUP($B878,COSTOS!$A$2:$B1014,2,FALSE)),"No encontrado o error"))</f>
        <v/>
      </c>
      <c r="AL878" s="395"/>
      <c r="AM878" s="254"/>
      <c r="AN878" s="255"/>
      <c r="AO878" s="256"/>
    </row>
    <row r="879" ht="22.5" customHeight="1">
      <c r="A879" s="431" t="str">
        <f>'BASE DE DATOSS'!A953</f>
        <v/>
      </c>
      <c r="B879" s="432" t="str">
        <f>'BASE DE DATOSS'!C953</f>
        <v/>
      </c>
      <c r="C879" s="263"/>
      <c r="D879" s="249"/>
      <c r="E879" s="250"/>
      <c r="F879" s="251"/>
      <c r="G879" s="262"/>
      <c r="H879" s="257"/>
      <c r="I879" s="249"/>
      <c r="J879" s="193" t="str">
        <f>IF(OR(ISBLANK($B879),ISBLANK($I879)),"",IFERROR(IF($I879&lt;=DATE('ESTADO CONTABLE'!$B$2,3,5),VLOOKUP($B879,COSTOS!$A$2:$B1014,2,FALSE)-150,VLOOKUP($B879,COSTOS!$A$2:$B1014,2,FALSE)),"No encontrado o error"))</f>
        <v/>
      </c>
      <c r="K879" s="264"/>
      <c r="L879" s="249"/>
      <c r="M879" s="189"/>
      <c r="N879" s="264"/>
      <c r="O879" s="249"/>
      <c r="P879" s="250"/>
      <c r="Q879" s="264"/>
      <c r="R879" s="249"/>
      <c r="S879" s="250"/>
      <c r="T879" s="264"/>
      <c r="U879" s="249"/>
      <c r="V879" s="250"/>
      <c r="W879" s="264"/>
      <c r="X879" s="394"/>
      <c r="Y879" s="429"/>
      <c r="Z879" s="395"/>
      <c r="AA879" s="394"/>
      <c r="AB879" s="118" t="str">
        <f>IF(OR(ISBLANK($B879),ISBLANK($AA879)),"",IFERROR(IF($AA879&lt;=DATE('ESTADO CONTABLE'!$B$2,9,5),VLOOKUP($B879,COSTOS!$A$2:$B1014,2,FALSE)-150,VLOOKUP($B879,COSTOS!$A$2:$B1014,2,FALSE)),"No encontrado o error"))</f>
        <v/>
      </c>
      <c r="AC879" s="395"/>
      <c r="AD879" s="394"/>
      <c r="AE879" s="429" t="str">
        <f>IF(OR(ISBLANK($B879),ISBLANK($AD879)),"",IFERROR(IF($AD879&lt;=DATE('ESTADO CONTABLE'!$B$2,10,5),VLOOKUP($B879,COSTOS!$A$2:$B1014,2,FALSE)-150,VLOOKUP($B879,COSTOS!$A$2:$B1014,2,FALSE)),"No encontrado o error"))</f>
        <v/>
      </c>
      <c r="AF879" s="395"/>
      <c r="AG879" s="394"/>
      <c r="AH879" s="429" t="str">
        <f>IF(OR(ISBLANK($B879),ISBLANK($AG879)),"",IFERROR(IF($AG879&lt;=DATE('ESTADO CONTABLE'!$B$2,11,5),VLOOKUP($B879,COSTOS!$A$2:$B1014,2,FALSE)-150,VLOOKUP($B879,COSTOS!$A$2:$B1014,2,FALSE)),"No encontrado o error"))</f>
        <v/>
      </c>
      <c r="AI879" s="395"/>
      <c r="AJ879" s="394"/>
      <c r="AK879" s="429" t="str">
        <f>IF(OR(ISBLANK($B879),ISBLANK($AJ879)),"",IFERROR(IF($AJ879&lt;=DATE('ESTADO CONTABLE'!$B$2,12,5),VLOOKUP($B879,COSTOS!$A$2:$B1014,2,FALSE)-150,VLOOKUP($B879,COSTOS!$A$2:$B1014,2,FALSE)),"No encontrado o error"))</f>
        <v/>
      </c>
      <c r="AL879" s="395"/>
      <c r="AM879" s="254"/>
      <c r="AN879" s="255"/>
      <c r="AO879" s="256"/>
    </row>
    <row r="880" ht="22.5" customHeight="1">
      <c r="A880" s="431" t="str">
        <f>'BASE DE DATOSS'!A954</f>
        <v/>
      </c>
      <c r="B880" s="432" t="str">
        <f>'BASE DE DATOSS'!C954</f>
        <v/>
      </c>
      <c r="C880" s="263"/>
      <c r="D880" s="249"/>
      <c r="E880" s="250"/>
      <c r="F880" s="251"/>
      <c r="G880" s="262"/>
      <c r="H880" s="257"/>
      <c r="I880" s="249"/>
      <c r="J880" s="193" t="str">
        <f>IF(OR(ISBLANK($B880),ISBLANK($I880)),"",IFERROR(IF($I880&lt;=DATE('ESTADO CONTABLE'!$B$2,3,5),VLOOKUP($B880,COSTOS!$A$2:$B1014,2,FALSE)-150,VLOOKUP($B880,COSTOS!$A$2:$B1014,2,FALSE)),"No encontrado o error"))</f>
        <v/>
      </c>
      <c r="K880" s="264"/>
      <c r="L880" s="249"/>
      <c r="M880" s="189"/>
      <c r="N880" s="264"/>
      <c r="O880" s="249"/>
      <c r="P880" s="250"/>
      <c r="Q880" s="264"/>
      <c r="R880" s="249"/>
      <c r="S880" s="250"/>
      <c r="T880" s="264"/>
      <c r="U880" s="249"/>
      <c r="V880" s="250"/>
      <c r="W880" s="264"/>
      <c r="X880" s="394"/>
      <c r="Y880" s="429"/>
      <c r="Z880" s="395"/>
      <c r="AA880" s="394"/>
      <c r="AB880" s="118" t="str">
        <f>IF(OR(ISBLANK($B880),ISBLANK($AA880)),"",IFERROR(IF($AA880&lt;=DATE('ESTADO CONTABLE'!$B$2,9,5),VLOOKUP($B880,COSTOS!$A$2:$B1014,2,FALSE)-150,VLOOKUP($B880,COSTOS!$A$2:$B1014,2,FALSE)),"No encontrado o error"))</f>
        <v/>
      </c>
      <c r="AC880" s="395"/>
      <c r="AD880" s="394"/>
      <c r="AE880" s="429" t="str">
        <f>IF(OR(ISBLANK($B880),ISBLANK($AD880)),"",IFERROR(IF($AD880&lt;=DATE('ESTADO CONTABLE'!$B$2,10,5),VLOOKUP($B880,COSTOS!$A$2:$B1014,2,FALSE)-150,VLOOKUP($B880,COSTOS!$A$2:$B1014,2,FALSE)),"No encontrado o error"))</f>
        <v/>
      </c>
      <c r="AF880" s="395"/>
      <c r="AG880" s="394"/>
      <c r="AH880" s="429" t="str">
        <f>IF(OR(ISBLANK($B880),ISBLANK($AG880)),"",IFERROR(IF($AG880&lt;=DATE('ESTADO CONTABLE'!$B$2,11,5),VLOOKUP($B880,COSTOS!$A$2:$B1014,2,FALSE)-150,VLOOKUP($B880,COSTOS!$A$2:$B1014,2,FALSE)),"No encontrado o error"))</f>
        <v/>
      </c>
      <c r="AI880" s="395"/>
      <c r="AJ880" s="394"/>
      <c r="AK880" s="429" t="str">
        <f>IF(OR(ISBLANK($B880),ISBLANK($AJ880)),"",IFERROR(IF($AJ880&lt;=DATE('ESTADO CONTABLE'!$B$2,12,5),VLOOKUP($B880,COSTOS!$A$2:$B1014,2,FALSE)-150,VLOOKUP($B880,COSTOS!$A$2:$B1014,2,FALSE)),"No encontrado o error"))</f>
        <v/>
      </c>
      <c r="AL880" s="395"/>
      <c r="AM880" s="254"/>
      <c r="AN880" s="255"/>
      <c r="AO880" s="256"/>
    </row>
    <row r="881" ht="22.5" customHeight="1">
      <c r="A881" s="431" t="str">
        <f>'BASE DE DATOSS'!A955</f>
        <v/>
      </c>
      <c r="B881" s="432" t="str">
        <f>'BASE DE DATOSS'!C955</f>
        <v/>
      </c>
      <c r="C881" s="263"/>
      <c r="D881" s="249"/>
      <c r="E881" s="250"/>
      <c r="F881" s="251"/>
      <c r="G881" s="262"/>
      <c r="H881" s="257"/>
      <c r="I881" s="249"/>
      <c r="J881" s="193" t="str">
        <f>IF(OR(ISBLANK($B881),ISBLANK($I881)),"",IFERROR(IF($I881&lt;=DATE('ESTADO CONTABLE'!$B$2,3,5),VLOOKUP($B881,COSTOS!$A$2:$B1014,2,FALSE)-150,VLOOKUP($B881,COSTOS!$A$2:$B1014,2,FALSE)),"No encontrado o error"))</f>
        <v/>
      </c>
      <c r="K881" s="264"/>
      <c r="L881" s="249"/>
      <c r="M881" s="189"/>
      <c r="N881" s="264"/>
      <c r="O881" s="249"/>
      <c r="P881" s="250"/>
      <c r="Q881" s="264"/>
      <c r="R881" s="249"/>
      <c r="S881" s="250"/>
      <c r="T881" s="264"/>
      <c r="U881" s="249"/>
      <c r="V881" s="250"/>
      <c r="W881" s="264"/>
      <c r="X881" s="394"/>
      <c r="Y881" s="429"/>
      <c r="Z881" s="395"/>
      <c r="AA881" s="394"/>
      <c r="AB881" s="118" t="str">
        <f>IF(OR(ISBLANK($B881),ISBLANK($AA881)),"",IFERROR(IF($AA881&lt;=DATE('ESTADO CONTABLE'!$B$2,9,5),VLOOKUP($B881,COSTOS!$A$2:$B1014,2,FALSE)-150,VLOOKUP($B881,COSTOS!$A$2:$B1014,2,FALSE)),"No encontrado o error"))</f>
        <v/>
      </c>
      <c r="AC881" s="395"/>
      <c r="AD881" s="394"/>
      <c r="AE881" s="429" t="str">
        <f>IF(OR(ISBLANK($B881),ISBLANK($AD881)),"",IFERROR(IF($AD881&lt;=DATE('ESTADO CONTABLE'!$B$2,10,5),VLOOKUP($B881,COSTOS!$A$2:$B1014,2,FALSE)-150,VLOOKUP($B881,COSTOS!$A$2:$B1014,2,FALSE)),"No encontrado o error"))</f>
        <v/>
      </c>
      <c r="AF881" s="395"/>
      <c r="AG881" s="394"/>
      <c r="AH881" s="429" t="str">
        <f>IF(OR(ISBLANK($B881),ISBLANK($AG881)),"",IFERROR(IF($AG881&lt;=DATE('ESTADO CONTABLE'!$B$2,11,5),VLOOKUP($B881,COSTOS!$A$2:$B1014,2,FALSE)-150,VLOOKUP($B881,COSTOS!$A$2:$B1014,2,FALSE)),"No encontrado o error"))</f>
        <v/>
      </c>
      <c r="AI881" s="395"/>
      <c r="AJ881" s="394"/>
      <c r="AK881" s="429" t="str">
        <f>IF(OR(ISBLANK($B881),ISBLANK($AJ881)),"",IFERROR(IF($AJ881&lt;=DATE('ESTADO CONTABLE'!$B$2,12,5),VLOOKUP($B881,COSTOS!$A$2:$B1014,2,FALSE)-150,VLOOKUP($B881,COSTOS!$A$2:$B1014,2,FALSE)),"No encontrado o error"))</f>
        <v/>
      </c>
      <c r="AL881" s="395"/>
      <c r="AM881" s="254"/>
      <c r="AN881" s="255"/>
      <c r="AO881" s="256"/>
    </row>
    <row r="882" ht="22.5" customHeight="1">
      <c r="A882" s="431" t="str">
        <f>'BASE DE DATOSS'!A956</f>
        <v/>
      </c>
      <c r="B882" s="432" t="str">
        <f>'BASE DE DATOSS'!C956</f>
        <v/>
      </c>
      <c r="C882" s="263"/>
      <c r="D882" s="249"/>
      <c r="E882" s="250"/>
      <c r="F882" s="251"/>
      <c r="G882" s="262"/>
      <c r="H882" s="257"/>
      <c r="I882" s="249"/>
      <c r="J882" s="193" t="str">
        <f>IF(OR(ISBLANK($B882),ISBLANK($I882)),"",IFERROR(IF($I882&lt;=DATE('ESTADO CONTABLE'!$B$2,3,5),VLOOKUP($B882,COSTOS!$A$2:$B1014,2,FALSE)-150,VLOOKUP($B882,COSTOS!$A$2:$B1014,2,FALSE)),"No encontrado o error"))</f>
        <v/>
      </c>
      <c r="K882" s="264"/>
      <c r="L882" s="249"/>
      <c r="M882" s="189"/>
      <c r="N882" s="264"/>
      <c r="O882" s="249"/>
      <c r="P882" s="250"/>
      <c r="Q882" s="264"/>
      <c r="R882" s="249"/>
      <c r="S882" s="250"/>
      <c r="T882" s="264"/>
      <c r="U882" s="249"/>
      <c r="V882" s="250"/>
      <c r="W882" s="264"/>
      <c r="X882" s="394"/>
      <c r="Y882" s="429"/>
      <c r="Z882" s="395"/>
      <c r="AA882" s="394"/>
      <c r="AB882" s="118" t="str">
        <f>IF(OR(ISBLANK($B882),ISBLANK($AA882)),"",IFERROR(IF($AA882&lt;=DATE('ESTADO CONTABLE'!$B$2,9,5),VLOOKUP($B882,COSTOS!$A$2:$B1014,2,FALSE)-150,VLOOKUP($B882,COSTOS!$A$2:$B1014,2,FALSE)),"No encontrado o error"))</f>
        <v/>
      </c>
      <c r="AC882" s="395"/>
      <c r="AD882" s="394"/>
      <c r="AE882" s="429" t="str">
        <f>IF(OR(ISBLANK($B882),ISBLANK($AD882)),"",IFERROR(IF($AD882&lt;=DATE('ESTADO CONTABLE'!$B$2,10,5),VLOOKUP($B882,COSTOS!$A$2:$B1014,2,FALSE)-150,VLOOKUP($B882,COSTOS!$A$2:$B1014,2,FALSE)),"No encontrado o error"))</f>
        <v/>
      </c>
      <c r="AF882" s="395"/>
      <c r="AG882" s="394"/>
      <c r="AH882" s="429" t="str">
        <f>IF(OR(ISBLANK($B882),ISBLANK($AG882)),"",IFERROR(IF($AG882&lt;=DATE('ESTADO CONTABLE'!$B$2,11,5),VLOOKUP($B882,COSTOS!$A$2:$B1014,2,FALSE)-150,VLOOKUP($B882,COSTOS!$A$2:$B1014,2,FALSE)),"No encontrado o error"))</f>
        <v/>
      </c>
      <c r="AI882" s="395"/>
      <c r="AJ882" s="394"/>
      <c r="AK882" s="429" t="str">
        <f>IF(OR(ISBLANK($B882),ISBLANK($AJ882)),"",IFERROR(IF($AJ882&lt;=DATE('ESTADO CONTABLE'!$B$2,12,5),VLOOKUP($B882,COSTOS!$A$2:$B1014,2,FALSE)-150,VLOOKUP($B882,COSTOS!$A$2:$B1014,2,FALSE)),"No encontrado o error"))</f>
        <v/>
      </c>
      <c r="AL882" s="395"/>
      <c r="AM882" s="254"/>
      <c r="AN882" s="255"/>
      <c r="AO882" s="256"/>
    </row>
    <row r="883" ht="22.5" customHeight="1">
      <c r="A883" s="431" t="str">
        <f>'BASE DE DATOSS'!A957</f>
        <v/>
      </c>
      <c r="B883" s="432" t="str">
        <f>'BASE DE DATOSS'!C957</f>
        <v/>
      </c>
      <c r="C883" s="263"/>
      <c r="D883" s="249"/>
      <c r="E883" s="250"/>
      <c r="F883" s="251"/>
      <c r="G883" s="262"/>
      <c r="H883" s="257"/>
      <c r="I883" s="249"/>
      <c r="J883" s="193" t="str">
        <f>IF(OR(ISBLANK($B883),ISBLANK($I883)),"",IFERROR(IF($I883&lt;=DATE('ESTADO CONTABLE'!$B$2,3,5),VLOOKUP($B883,COSTOS!$A$2:$B1014,2,FALSE)-150,VLOOKUP($B883,COSTOS!$A$2:$B1014,2,FALSE)),"No encontrado o error"))</f>
        <v/>
      </c>
      <c r="K883" s="264"/>
      <c r="L883" s="249"/>
      <c r="M883" s="189"/>
      <c r="N883" s="264"/>
      <c r="O883" s="249"/>
      <c r="P883" s="250"/>
      <c r="Q883" s="264"/>
      <c r="R883" s="249"/>
      <c r="S883" s="250"/>
      <c r="T883" s="264"/>
      <c r="U883" s="249"/>
      <c r="V883" s="250"/>
      <c r="W883" s="264"/>
      <c r="X883" s="394"/>
      <c r="Y883" s="429"/>
      <c r="Z883" s="395"/>
      <c r="AA883" s="394"/>
      <c r="AB883" s="118" t="str">
        <f>IF(OR(ISBLANK($B883),ISBLANK($AA883)),"",IFERROR(IF($AA883&lt;=DATE('ESTADO CONTABLE'!$B$2,9,5),VLOOKUP($B883,COSTOS!$A$2:$B1014,2,FALSE)-150,VLOOKUP($B883,COSTOS!$A$2:$B1014,2,FALSE)),"No encontrado o error"))</f>
        <v/>
      </c>
      <c r="AC883" s="395"/>
      <c r="AD883" s="394"/>
      <c r="AE883" s="429" t="str">
        <f>IF(OR(ISBLANK($B883),ISBLANK($AD883)),"",IFERROR(IF($AD883&lt;=DATE('ESTADO CONTABLE'!$B$2,10,5),VLOOKUP($B883,COSTOS!$A$2:$B1014,2,FALSE)-150,VLOOKUP($B883,COSTOS!$A$2:$B1014,2,FALSE)),"No encontrado o error"))</f>
        <v/>
      </c>
      <c r="AF883" s="395"/>
      <c r="AG883" s="394"/>
      <c r="AH883" s="429" t="str">
        <f>IF(OR(ISBLANK($B883),ISBLANK($AG883)),"",IFERROR(IF($AG883&lt;=DATE('ESTADO CONTABLE'!$B$2,11,5),VLOOKUP($B883,COSTOS!$A$2:$B1014,2,FALSE)-150,VLOOKUP($B883,COSTOS!$A$2:$B1014,2,FALSE)),"No encontrado o error"))</f>
        <v/>
      </c>
      <c r="AI883" s="395"/>
      <c r="AJ883" s="394"/>
      <c r="AK883" s="429" t="str">
        <f>IF(OR(ISBLANK($B883),ISBLANK($AJ883)),"",IFERROR(IF($AJ883&lt;=DATE('ESTADO CONTABLE'!$B$2,12,5),VLOOKUP($B883,COSTOS!$A$2:$B1014,2,FALSE)-150,VLOOKUP($B883,COSTOS!$A$2:$B1014,2,FALSE)),"No encontrado o error"))</f>
        <v/>
      </c>
      <c r="AL883" s="395"/>
      <c r="AM883" s="254"/>
      <c r="AN883" s="255"/>
      <c r="AO883" s="256"/>
    </row>
    <row r="884" ht="22.5" customHeight="1">
      <c r="A884" s="431" t="str">
        <f>'BASE DE DATOSS'!A958</f>
        <v/>
      </c>
      <c r="B884" s="432" t="str">
        <f>'BASE DE DATOSS'!C958</f>
        <v/>
      </c>
      <c r="C884" s="263"/>
      <c r="D884" s="249"/>
      <c r="E884" s="250"/>
      <c r="F884" s="251"/>
      <c r="G884" s="262"/>
      <c r="H884" s="257"/>
      <c r="I884" s="249"/>
      <c r="J884" s="193" t="str">
        <f>IF(OR(ISBLANK($B884),ISBLANK($I884)),"",IFERROR(IF($I884&lt;=DATE('ESTADO CONTABLE'!$B$2,3,5),VLOOKUP($B884,COSTOS!$A$2:$B1014,2,FALSE)-150,VLOOKUP($B884,COSTOS!$A$2:$B1014,2,FALSE)),"No encontrado o error"))</f>
        <v/>
      </c>
      <c r="K884" s="264"/>
      <c r="L884" s="249"/>
      <c r="M884" s="189"/>
      <c r="N884" s="264"/>
      <c r="O884" s="249"/>
      <c r="P884" s="250"/>
      <c r="Q884" s="264"/>
      <c r="R884" s="249"/>
      <c r="S884" s="250"/>
      <c r="T884" s="264"/>
      <c r="U884" s="249"/>
      <c r="V884" s="250"/>
      <c r="W884" s="264"/>
      <c r="X884" s="394"/>
      <c r="Y884" s="429"/>
      <c r="Z884" s="395"/>
      <c r="AA884" s="394"/>
      <c r="AB884" s="118" t="str">
        <f>IF(OR(ISBLANK($B884),ISBLANK($AA884)),"",IFERROR(IF($AA884&lt;=DATE('ESTADO CONTABLE'!$B$2,9,5),VLOOKUP($B884,COSTOS!$A$2:$B1014,2,FALSE)-150,VLOOKUP($B884,COSTOS!$A$2:$B1014,2,FALSE)),"No encontrado o error"))</f>
        <v/>
      </c>
      <c r="AC884" s="395"/>
      <c r="AD884" s="394"/>
      <c r="AE884" s="429" t="str">
        <f>IF(OR(ISBLANK($B884),ISBLANK($AD884)),"",IFERROR(IF($AD884&lt;=DATE('ESTADO CONTABLE'!$B$2,10,5),VLOOKUP($B884,COSTOS!$A$2:$B1014,2,FALSE)-150,VLOOKUP($B884,COSTOS!$A$2:$B1014,2,FALSE)),"No encontrado o error"))</f>
        <v/>
      </c>
      <c r="AF884" s="395"/>
      <c r="AG884" s="394"/>
      <c r="AH884" s="429" t="str">
        <f>IF(OR(ISBLANK($B884),ISBLANK($AG884)),"",IFERROR(IF($AG884&lt;=DATE('ESTADO CONTABLE'!$B$2,11,5),VLOOKUP($B884,COSTOS!$A$2:$B1014,2,FALSE)-150,VLOOKUP($B884,COSTOS!$A$2:$B1014,2,FALSE)),"No encontrado o error"))</f>
        <v/>
      </c>
      <c r="AI884" s="395"/>
      <c r="AJ884" s="394"/>
      <c r="AK884" s="429" t="str">
        <f>IF(OR(ISBLANK($B884),ISBLANK($AJ884)),"",IFERROR(IF($AJ884&lt;=DATE('ESTADO CONTABLE'!$B$2,12,5),VLOOKUP($B884,COSTOS!$A$2:$B1014,2,FALSE)-150,VLOOKUP($B884,COSTOS!$A$2:$B1014,2,FALSE)),"No encontrado o error"))</f>
        <v/>
      </c>
      <c r="AL884" s="395"/>
      <c r="AM884" s="254"/>
      <c r="AN884" s="255"/>
      <c r="AO884" s="256"/>
    </row>
    <row r="885" ht="22.5" customHeight="1">
      <c r="A885" s="431" t="str">
        <f>'BASE DE DATOSS'!A959</f>
        <v/>
      </c>
      <c r="B885" s="432" t="str">
        <f>'BASE DE DATOSS'!C959</f>
        <v/>
      </c>
      <c r="C885" s="263"/>
      <c r="D885" s="249"/>
      <c r="E885" s="250"/>
      <c r="F885" s="251"/>
      <c r="G885" s="262"/>
      <c r="H885" s="257"/>
      <c r="I885" s="249"/>
      <c r="J885" s="193" t="str">
        <f>IF(OR(ISBLANK($B885),ISBLANK($I885)),"",IFERROR(IF($I885&lt;=DATE('ESTADO CONTABLE'!$B$2,3,5),VLOOKUP($B885,COSTOS!$A$2:$B1014,2,FALSE)-150,VLOOKUP($B885,COSTOS!$A$2:$B1014,2,FALSE)),"No encontrado o error"))</f>
        <v/>
      </c>
      <c r="K885" s="264"/>
      <c r="L885" s="249"/>
      <c r="M885" s="189"/>
      <c r="N885" s="264"/>
      <c r="O885" s="249"/>
      <c r="P885" s="250"/>
      <c r="Q885" s="264"/>
      <c r="R885" s="249"/>
      <c r="S885" s="250"/>
      <c r="T885" s="264"/>
      <c r="U885" s="249"/>
      <c r="V885" s="250"/>
      <c r="W885" s="264"/>
      <c r="X885" s="394"/>
      <c r="Y885" s="429"/>
      <c r="Z885" s="395"/>
      <c r="AA885" s="394"/>
      <c r="AB885" s="118" t="str">
        <f>IF(OR(ISBLANK($B885),ISBLANK($AA885)),"",IFERROR(IF($AA885&lt;=DATE('ESTADO CONTABLE'!$B$2,9,5),VLOOKUP($B885,COSTOS!$A$2:$B1014,2,FALSE)-150,VLOOKUP($B885,COSTOS!$A$2:$B1014,2,FALSE)),"No encontrado o error"))</f>
        <v/>
      </c>
      <c r="AC885" s="395"/>
      <c r="AD885" s="394"/>
      <c r="AE885" s="429" t="str">
        <f>IF(OR(ISBLANK($B885),ISBLANK($AD885)),"",IFERROR(IF($AD885&lt;=DATE('ESTADO CONTABLE'!$B$2,10,5),VLOOKUP($B885,COSTOS!$A$2:$B1014,2,FALSE)-150,VLOOKUP($B885,COSTOS!$A$2:$B1014,2,FALSE)),"No encontrado o error"))</f>
        <v/>
      </c>
      <c r="AF885" s="395"/>
      <c r="AG885" s="394"/>
      <c r="AH885" s="429" t="str">
        <f>IF(OR(ISBLANK($B885),ISBLANK($AG885)),"",IFERROR(IF($AG885&lt;=DATE('ESTADO CONTABLE'!$B$2,11,5),VLOOKUP($B885,COSTOS!$A$2:$B1014,2,FALSE)-150,VLOOKUP($B885,COSTOS!$A$2:$B1014,2,FALSE)),"No encontrado o error"))</f>
        <v/>
      </c>
      <c r="AI885" s="395"/>
      <c r="AJ885" s="394"/>
      <c r="AK885" s="429" t="str">
        <f>IF(OR(ISBLANK($B885),ISBLANK($AJ885)),"",IFERROR(IF($AJ885&lt;=DATE('ESTADO CONTABLE'!$B$2,12,5),VLOOKUP($B885,COSTOS!$A$2:$B1014,2,FALSE)-150,VLOOKUP($B885,COSTOS!$A$2:$B1014,2,FALSE)),"No encontrado o error"))</f>
        <v/>
      </c>
      <c r="AL885" s="395"/>
      <c r="AM885" s="254"/>
      <c r="AN885" s="255"/>
      <c r="AO885" s="256"/>
    </row>
    <row r="886" ht="22.5" customHeight="1">
      <c r="A886" s="431" t="str">
        <f>'BASE DE DATOSS'!A960</f>
        <v/>
      </c>
      <c r="B886" s="432" t="str">
        <f>'BASE DE DATOSS'!C960</f>
        <v/>
      </c>
      <c r="C886" s="263"/>
      <c r="D886" s="249"/>
      <c r="E886" s="250"/>
      <c r="F886" s="251"/>
      <c r="G886" s="262"/>
      <c r="H886" s="257"/>
      <c r="I886" s="249"/>
      <c r="J886" s="193" t="str">
        <f>IF(OR(ISBLANK($B886),ISBLANK($I886)),"",IFERROR(IF($I886&lt;=DATE('ESTADO CONTABLE'!$B$2,3,5),VLOOKUP($B886,COSTOS!$A$2:$B1014,2,FALSE)-150,VLOOKUP($B886,COSTOS!$A$2:$B1014,2,FALSE)),"No encontrado o error"))</f>
        <v/>
      </c>
      <c r="K886" s="264"/>
      <c r="L886" s="249"/>
      <c r="M886" s="189"/>
      <c r="N886" s="264"/>
      <c r="O886" s="249"/>
      <c r="P886" s="250"/>
      <c r="Q886" s="264"/>
      <c r="R886" s="249"/>
      <c r="S886" s="250"/>
      <c r="T886" s="264"/>
      <c r="U886" s="249"/>
      <c r="V886" s="250"/>
      <c r="W886" s="264"/>
      <c r="X886" s="394"/>
      <c r="Y886" s="429"/>
      <c r="Z886" s="395"/>
      <c r="AA886" s="394"/>
      <c r="AB886" s="118" t="str">
        <f>IF(OR(ISBLANK($B886),ISBLANK($AA886)),"",IFERROR(IF($AA886&lt;=DATE('ESTADO CONTABLE'!$B$2,9,5),VLOOKUP($B886,COSTOS!$A$2:$B1014,2,FALSE)-150,VLOOKUP($B886,COSTOS!$A$2:$B1014,2,FALSE)),"No encontrado o error"))</f>
        <v/>
      </c>
      <c r="AC886" s="395"/>
      <c r="AD886" s="394"/>
      <c r="AE886" s="429" t="str">
        <f>IF(OR(ISBLANK($B886),ISBLANK($AD886)),"",IFERROR(IF($AD886&lt;=DATE('ESTADO CONTABLE'!$B$2,10,5),VLOOKUP($B886,COSTOS!$A$2:$B1014,2,FALSE)-150,VLOOKUP($B886,COSTOS!$A$2:$B1014,2,FALSE)),"No encontrado o error"))</f>
        <v/>
      </c>
      <c r="AF886" s="395"/>
      <c r="AG886" s="394"/>
      <c r="AH886" s="429" t="str">
        <f>IF(OR(ISBLANK($B886),ISBLANK($AG886)),"",IFERROR(IF($AG886&lt;=DATE('ESTADO CONTABLE'!$B$2,11,5),VLOOKUP($B886,COSTOS!$A$2:$B1014,2,FALSE)-150,VLOOKUP($B886,COSTOS!$A$2:$B1014,2,FALSE)),"No encontrado o error"))</f>
        <v/>
      </c>
      <c r="AI886" s="395"/>
      <c r="AJ886" s="394"/>
      <c r="AK886" s="429" t="str">
        <f>IF(OR(ISBLANK($B886),ISBLANK($AJ886)),"",IFERROR(IF($AJ886&lt;=DATE('ESTADO CONTABLE'!$B$2,12,5),VLOOKUP($B886,COSTOS!$A$2:$B1014,2,FALSE)-150,VLOOKUP($B886,COSTOS!$A$2:$B1014,2,FALSE)),"No encontrado o error"))</f>
        <v/>
      </c>
      <c r="AL886" s="395"/>
      <c r="AM886" s="254"/>
      <c r="AN886" s="255"/>
      <c r="AO886" s="256"/>
    </row>
    <row r="887" ht="22.5" customHeight="1">
      <c r="A887" s="431" t="str">
        <f>'BASE DE DATOSS'!A961</f>
        <v/>
      </c>
      <c r="B887" s="432" t="str">
        <f>'BASE DE DATOSS'!C961</f>
        <v/>
      </c>
      <c r="C887" s="263"/>
      <c r="D887" s="249"/>
      <c r="E887" s="250"/>
      <c r="F887" s="251"/>
      <c r="G887" s="262"/>
      <c r="H887" s="257"/>
      <c r="I887" s="249"/>
      <c r="J887" s="193" t="str">
        <f>IF(OR(ISBLANK($B887),ISBLANK($I887)),"",IFERROR(IF($I887&lt;=DATE('ESTADO CONTABLE'!$B$2,3,5),VLOOKUP($B887,COSTOS!$A$2:$B1014,2,FALSE)-150,VLOOKUP($B887,COSTOS!$A$2:$B1014,2,FALSE)),"No encontrado o error"))</f>
        <v/>
      </c>
      <c r="K887" s="264"/>
      <c r="L887" s="249"/>
      <c r="M887" s="189"/>
      <c r="N887" s="264"/>
      <c r="O887" s="249"/>
      <c r="P887" s="250"/>
      <c r="Q887" s="264"/>
      <c r="R887" s="249"/>
      <c r="S887" s="250"/>
      <c r="T887" s="264"/>
      <c r="U887" s="249"/>
      <c r="V887" s="250"/>
      <c r="W887" s="264"/>
      <c r="X887" s="394"/>
      <c r="Y887" s="429"/>
      <c r="Z887" s="395"/>
      <c r="AA887" s="394"/>
      <c r="AB887" s="118" t="str">
        <f>IF(OR(ISBLANK($B887),ISBLANK($AA887)),"",IFERROR(IF($AA887&lt;=DATE('ESTADO CONTABLE'!$B$2,9,5),VLOOKUP($B887,COSTOS!$A$2:$B1014,2,FALSE)-150,VLOOKUP($B887,COSTOS!$A$2:$B1014,2,FALSE)),"No encontrado o error"))</f>
        <v/>
      </c>
      <c r="AC887" s="395"/>
      <c r="AD887" s="394"/>
      <c r="AE887" s="429" t="str">
        <f>IF(OR(ISBLANK($B887),ISBLANK($AD887)),"",IFERROR(IF($AD887&lt;=DATE('ESTADO CONTABLE'!$B$2,10,5),VLOOKUP($B887,COSTOS!$A$2:$B1014,2,FALSE)-150,VLOOKUP($B887,COSTOS!$A$2:$B1014,2,FALSE)),"No encontrado o error"))</f>
        <v/>
      </c>
      <c r="AF887" s="395"/>
      <c r="AG887" s="394"/>
      <c r="AH887" s="429" t="str">
        <f>IF(OR(ISBLANK($B887),ISBLANK($AG887)),"",IFERROR(IF($AG887&lt;=DATE('ESTADO CONTABLE'!$B$2,11,5),VLOOKUP($B887,COSTOS!$A$2:$B1014,2,FALSE)-150,VLOOKUP($B887,COSTOS!$A$2:$B1014,2,FALSE)),"No encontrado o error"))</f>
        <v/>
      </c>
      <c r="AI887" s="395"/>
      <c r="AJ887" s="394"/>
      <c r="AK887" s="429" t="str">
        <f>IF(OR(ISBLANK($B887),ISBLANK($AJ887)),"",IFERROR(IF($AJ887&lt;=DATE('ESTADO CONTABLE'!$B$2,12,5),VLOOKUP($B887,COSTOS!$A$2:$B1014,2,FALSE)-150,VLOOKUP($B887,COSTOS!$A$2:$B1014,2,FALSE)),"No encontrado o error"))</f>
        <v/>
      </c>
      <c r="AL887" s="395"/>
      <c r="AM887" s="254"/>
      <c r="AN887" s="255"/>
      <c r="AO887" s="256"/>
    </row>
    <row r="888" ht="22.5" customHeight="1">
      <c r="A888" s="431" t="str">
        <f>'BASE DE DATOSS'!A962</f>
        <v/>
      </c>
      <c r="B888" s="432" t="str">
        <f>'BASE DE DATOSS'!C962</f>
        <v/>
      </c>
      <c r="C888" s="263"/>
      <c r="D888" s="249"/>
      <c r="E888" s="250"/>
      <c r="F888" s="251"/>
      <c r="G888" s="262"/>
      <c r="H888" s="257"/>
      <c r="I888" s="249"/>
      <c r="J888" s="193" t="str">
        <f>IF(OR(ISBLANK($B888),ISBLANK($I888)),"",IFERROR(IF($I888&lt;=DATE('ESTADO CONTABLE'!$B$2,3,5),VLOOKUP($B888,COSTOS!$A$2:$B1014,2,FALSE)-150,VLOOKUP($B888,COSTOS!$A$2:$B1014,2,FALSE)),"No encontrado o error"))</f>
        <v/>
      </c>
      <c r="K888" s="264"/>
      <c r="L888" s="249"/>
      <c r="M888" s="189"/>
      <c r="N888" s="264"/>
      <c r="O888" s="249"/>
      <c r="P888" s="250"/>
      <c r="Q888" s="264"/>
      <c r="R888" s="249"/>
      <c r="S888" s="250"/>
      <c r="T888" s="264"/>
      <c r="U888" s="249"/>
      <c r="V888" s="250"/>
      <c r="W888" s="264"/>
      <c r="X888" s="394"/>
      <c r="Y888" s="429"/>
      <c r="Z888" s="395"/>
      <c r="AA888" s="394"/>
      <c r="AB888" s="118" t="str">
        <f>IF(OR(ISBLANK($B888),ISBLANK($AA888)),"",IFERROR(IF($AA888&lt;=DATE('ESTADO CONTABLE'!$B$2,9,5),VLOOKUP($B888,COSTOS!$A$2:$B1014,2,FALSE)-150,VLOOKUP($B888,COSTOS!$A$2:$B1014,2,FALSE)),"No encontrado o error"))</f>
        <v/>
      </c>
      <c r="AC888" s="395"/>
      <c r="AD888" s="394"/>
      <c r="AE888" s="429" t="str">
        <f>IF(OR(ISBLANK($B888),ISBLANK($AD888)),"",IFERROR(IF($AD888&lt;=DATE('ESTADO CONTABLE'!$B$2,10,5),VLOOKUP($B888,COSTOS!$A$2:$B1014,2,FALSE)-150,VLOOKUP($B888,COSTOS!$A$2:$B1014,2,FALSE)),"No encontrado o error"))</f>
        <v/>
      </c>
      <c r="AF888" s="395"/>
      <c r="AG888" s="394"/>
      <c r="AH888" s="429" t="str">
        <f>IF(OR(ISBLANK($B888),ISBLANK($AG888)),"",IFERROR(IF($AG888&lt;=DATE('ESTADO CONTABLE'!$B$2,11,5),VLOOKUP($B888,COSTOS!$A$2:$B1014,2,FALSE)-150,VLOOKUP($B888,COSTOS!$A$2:$B1014,2,FALSE)),"No encontrado o error"))</f>
        <v/>
      </c>
      <c r="AI888" s="395"/>
      <c r="AJ888" s="394"/>
      <c r="AK888" s="429" t="str">
        <f>IF(OR(ISBLANK($B888),ISBLANK($AJ888)),"",IFERROR(IF($AJ888&lt;=DATE('ESTADO CONTABLE'!$B$2,12,5),VLOOKUP($B888,COSTOS!$A$2:$B1014,2,FALSE)-150,VLOOKUP($B888,COSTOS!$A$2:$B1014,2,FALSE)),"No encontrado o error"))</f>
        <v/>
      </c>
      <c r="AL888" s="395"/>
      <c r="AM888" s="254"/>
      <c r="AN888" s="255"/>
      <c r="AO888" s="256"/>
    </row>
    <row r="889" ht="22.5" customHeight="1">
      <c r="A889" s="431" t="str">
        <f>'BASE DE DATOSS'!A963</f>
        <v/>
      </c>
      <c r="B889" s="432" t="str">
        <f>'BASE DE DATOSS'!C963</f>
        <v/>
      </c>
      <c r="C889" s="263"/>
      <c r="D889" s="249"/>
      <c r="E889" s="250"/>
      <c r="F889" s="251"/>
      <c r="G889" s="262"/>
      <c r="H889" s="257"/>
      <c r="I889" s="249"/>
      <c r="J889" s="193" t="str">
        <f>IF(OR(ISBLANK($B889),ISBLANK($I889)),"",IFERROR(IF($I889&lt;=DATE('ESTADO CONTABLE'!$B$2,3,5),VLOOKUP($B889,COSTOS!$A$2:$B1014,2,FALSE)-150,VLOOKUP($B889,COSTOS!$A$2:$B1014,2,FALSE)),"No encontrado o error"))</f>
        <v/>
      </c>
      <c r="K889" s="264"/>
      <c r="L889" s="249"/>
      <c r="M889" s="189"/>
      <c r="N889" s="264"/>
      <c r="O889" s="249"/>
      <c r="P889" s="250"/>
      <c r="Q889" s="264"/>
      <c r="R889" s="249"/>
      <c r="S889" s="250"/>
      <c r="T889" s="264"/>
      <c r="U889" s="249"/>
      <c r="V889" s="250"/>
      <c r="W889" s="264"/>
      <c r="X889" s="394"/>
      <c r="Y889" s="429"/>
      <c r="Z889" s="395"/>
      <c r="AA889" s="394"/>
      <c r="AB889" s="118" t="str">
        <f>IF(OR(ISBLANK($B889),ISBLANK($AA889)),"",IFERROR(IF($AA889&lt;=DATE('ESTADO CONTABLE'!$B$2,9,5),VLOOKUP($B889,COSTOS!$A$2:$B1014,2,FALSE)-150,VLOOKUP($B889,COSTOS!$A$2:$B1014,2,FALSE)),"No encontrado o error"))</f>
        <v/>
      </c>
      <c r="AC889" s="395"/>
      <c r="AD889" s="394"/>
      <c r="AE889" s="429" t="str">
        <f>IF(OR(ISBLANK($B889),ISBLANK($AD889)),"",IFERROR(IF($AD889&lt;=DATE('ESTADO CONTABLE'!$B$2,10,5),VLOOKUP($B889,COSTOS!$A$2:$B1014,2,FALSE)-150,VLOOKUP($B889,COSTOS!$A$2:$B1014,2,FALSE)),"No encontrado o error"))</f>
        <v/>
      </c>
      <c r="AF889" s="395"/>
      <c r="AG889" s="394"/>
      <c r="AH889" s="429" t="str">
        <f>IF(OR(ISBLANK($B889),ISBLANK($AG889)),"",IFERROR(IF($AG889&lt;=DATE('ESTADO CONTABLE'!$B$2,11,5),VLOOKUP($B889,COSTOS!$A$2:$B1014,2,FALSE)-150,VLOOKUP($B889,COSTOS!$A$2:$B1014,2,FALSE)),"No encontrado o error"))</f>
        <v/>
      </c>
      <c r="AI889" s="395"/>
      <c r="AJ889" s="394"/>
      <c r="AK889" s="429" t="str">
        <f>IF(OR(ISBLANK($B889),ISBLANK($AJ889)),"",IFERROR(IF($AJ889&lt;=DATE('ESTADO CONTABLE'!$B$2,12,5),VLOOKUP($B889,COSTOS!$A$2:$B1014,2,FALSE)-150,VLOOKUP($B889,COSTOS!$A$2:$B1014,2,FALSE)),"No encontrado o error"))</f>
        <v/>
      </c>
      <c r="AL889" s="395"/>
      <c r="AM889" s="254"/>
      <c r="AN889" s="255"/>
      <c r="AO889" s="256"/>
    </row>
    <row r="890" ht="22.5" customHeight="1">
      <c r="A890" s="431" t="str">
        <f>'BASE DE DATOSS'!A964</f>
        <v/>
      </c>
      <c r="B890" s="432" t="str">
        <f>'BASE DE DATOSS'!C964</f>
        <v/>
      </c>
      <c r="C890" s="263"/>
      <c r="D890" s="249"/>
      <c r="E890" s="250"/>
      <c r="F890" s="251"/>
      <c r="G890" s="262"/>
      <c r="H890" s="257"/>
      <c r="I890" s="249"/>
      <c r="J890" s="193" t="str">
        <f>IF(OR(ISBLANK($B890),ISBLANK($I890)),"",IFERROR(IF($I890&lt;=DATE('ESTADO CONTABLE'!$B$2,3,5),VLOOKUP($B890,COSTOS!$A$2:$B1014,2,FALSE)-150,VLOOKUP($B890,COSTOS!$A$2:$B1014,2,FALSE)),"No encontrado o error"))</f>
        <v/>
      </c>
      <c r="K890" s="264"/>
      <c r="L890" s="249"/>
      <c r="M890" s="189"/>
      <c r="N890" s="264"/>
      <c r="O890" s="249"/>
      <c r="P890" s="250"/>
      <c r="Q890" s="264"/>
      <c r="R890" s="249"/>
      <c r="S890" s="250"/>
      <c r="T890" s="264"/>
      <c r="U890" s="249"/>
      <c r="V890" s="250"/>
      <c r="W890" s="264"/>
      <c r="X890" s="394"/>
      <c r="Y890" s="429"/>
      <c r="Z890" s="395"/>
      <c r="AA890" s="394"/>
      <c r="AB890" s="118" t="str">
        <f>IF(OR(ISBLANK($B890),ISBLANK($AA890)),"",IFERROR(IF($AA890&lt;=DATE('ESTADO CONTABLE'!$B$2,9,5),VLOOKUP($B890,COSTOS!$A$2:$B1014,2,FALSE)-150,VLOOKUP($B890,COSTOS!$A$2:$B1014,2,FALSE)),"No encontrado o error"))</f>
        <v/>
      </c>
      <c r="AC890" s="395"/>
      <c r="AD890" s="394"/>
      <c r="AE890" s="429" t="str">
        <f>IF(OR(ISBLANK($B890),ISBLANK($AD890)),"",IFERROR(IF($AD890&lt;=DATE('ESTADO CONTABLE'!$B$2,10,5),VLOOKUP($B890,COSTOS!$A$2:$B1014,2,FALSE)-150,VLOOKUP($B890,COSTOS!$A$2:$B1014,2,FALSE)),"No encontrado o error"))</f>
        <v/>
      </c>
      <c r="AF890" s="395"/>
      <c r="AG890" s="394"/>
      <c r="AH890" s="429" t="str">
        <f>IF(OR(ISBLANK($B890),ISBLANK($AG890)),"",IFERROR(IF($AG890&lt;=DATE('ESTADO CONTABLE'!$B$2,11,5),VLOOKUP($B890,COSTOS!$A$2:$B1014,2,FALSE)-150,VLOOKUP($B890,COSTOS!$A$2:$B1014,2,FALSE)),"No encontrado o error"))</f>
        <v/>
      </c>
      <c r="AI890" s="395"/>
      <c r="AJ890" s="394"/>
      <c r="AK890" s="429" t="str">
        <f>IF(OR(ISBLANK($B890),ISBLANK($AJ890)),"",IFERROR(IF($AJ890&lt;=DATE('ESTADO CONTABLE'!$B$2,12,5),VLOOKUP($B890,COSTOS!$A$2:$B1014,2,FALSE)-150,VLOOKUP($B890,COSTOS!$A$2:$B1014,2,FALSE)),"No encontrado o error"))</f>
        <v/>
      </c>
      <c r="AL890" s="395"/>
      <c r="AM890" s="254"/>
      <c r="AN890" s="255"/>
      <c r="AO890" s="256"/>
    </row>
    <row r="891" ht="22.5" customHeight="1">
      <c r="A891" s="431" t="str">
        <f>'BASE DE DATOSS'!A965</f>
        <v/>
      </c>
      <c r="B891" s="432" t="str">
        <f>'BASE DE DATOSS'!C965</f>
        <v/>
      </c>
      <c r="C891" s="263"/>
      <c r="D891" s="249"/>
      <c r="E891" s="250"/>
      <c r="F891" s="251"/>
      <c r="G891" s="262"/>
      <c r="H891" s="257"/>
      <c r="I891" s="249"/>
      <c r="J891" s="193" t="str">
        <f>IF(OR(ISBLANK($B891),ISBLANK($I891)),"",IFERROR(IF($I891&lt;=DATE('ESTADO CONTABLE'!$B$2,3,5),VLOOKUP($B891,COSTOS!$A$2:$B1014,2,FALSE)-150,VLOOKUP($B891,COSTOS!$A$2:$B1014,2,FALSE)),"No encontrado o error"))</f>
        <v/>
      </c>
      <c r="K891" s="264"/>
      <c r="L891" s="249"/>
      <c r="M891" s="189"/>
      <c r="N891" s="264"/>
      <c r="O891" s="249"/>
      <c r="P891" s="250"/>
      <c r="Q891" s="264"/>
      <c r="R891" s="249"/>
      <c r="S891" s="250"/>
      <c r="T891" s="264"/>
      <c r="U891" s="249"/>
      <c r="V891" s="250"/>
      <c r="W891" s="264"/>
      <c r="X891" s="394"/>
      <c r="Y891" s="429"/>
      <c r="Z891" s="395"/>
      <c r="AA891" s="394"/>
      <c r="AB891" s="118" t="str">
        <f>IF(OR(ISBLANK($B891),ISBLANK($AA891)),"",IFERROR(IF($AA891&lt;=DATE('ESTADO CONTABLE'!$B$2,9,5),VLOOKUP($B891,COSTOS!$A$2:$B1014,2,FALSE)-150,VLOOKUP($B891,COSTOS!$A$2:$B1014,2,FALSE)),"No encontrado o error"))</f>
        <v/>
      </c>
      <c r="AC891" s="395"/>
      <c r="AD891" s="394"/>
      <c r="AE891" s="429" t="str">
        <f>IF(OR(ISBLANK($B891),ISBLANK($AD891)),"",IFERROR(IF($AD891&lt;=DATE('ESTADO CONTABLE'!$B$2,10,5),VLOOKUP($B891,COSTOS!$A$2:$B1014,2,FALSE)-150,VLOOKUP($B891,COSTOS!$A$2:$B1014,2,FALSE)),"No encontrado o error"))</f>
        <v/>
      </c>
      <c r="AF891" s="395"/>
      <c r="AG891" s="394"/>
      <c r="AH891" s="429" t="str">
        <f>IF(OR(ISBLANK($B891),ISBLANK($AG891)),"",IFERROR(IF($AG891&lt;=DATE('ESTADO CONTABLE'!$B$2,11,5),VLOOKUP($B891,COSTOS!$A$2:$B1014,2,FALSE)-150,VLOOKUP($B891,COSTOS!$A$2:$B1014,2,FALSE)),"No encontrado o error"))</f>
        <v/>
      </c>
      <c r="AI891" s="395"/>
      <c r="AJ891" s="394"/>
      <c r="AK891" s="429" t="str">
        <f>IF(OR(ISBLANK($B891),ISBLANK($AJ891)),"",IFERROR(IF($AJ891&lt;=DATE('ESTADO CONTABLE'!$B$2,12,5),VLOOKUP($B891,COSTOS!$A$2:$B1014,2,FALSE)-150,VLOOKUP($B891,COSTOS!$A$2:$B1014,2,FALSE)),"No encontrado o error"))</f>
        <v/>
      </c>
      <c r="AL891" s="395"/>
      <c r="AM891" s="254"/>
      <c r="AN891" s="255"/>
      <c r="AO891" s="256"/>
    </row>
    <row r="892" ht="22.5" customHeight="1">
      <c r="A892" s="431" t="str">
        <f>'BASE DE DATOSS'!A966</f>
        <v/>
      </c>
      <c r="B892" s="432" t="str">
        <f>'BASE DE DATOSS'!C966</f>
        <v/>
      </c>
      <c r="C892" s="263"/>
      <c r="D892" s="249"/>
      <c r="E892" s="250"/>
      <c r="F892" s="251"/>
      <c r="G892" s="262"/>
      <c r="H892" s="257"/>
      <c r="I892" s="249"/>
      <c r="J892" s="193" t="str">
        <f>IF(OR(ISBLANK($B892),ISBLANK($I892)),"",IFERROR(IF($I892&lt;=DATE('ESTADO CONTABLE'!$B$2,3,5),VLOOKUP($B892,COSTOS!$A$2:$B1014,2,FALSE)-150,VLOOKUP($B892,COSTOS!$A$2:$B1014,2,FALSE)),"No encontrado o error"))</f>
        <v/>
      </c>
      <c r="K892" s="264"/>
      <c r="L892" s="249"/>
      <c r="M892" s="189"/>
      <c r="N892" s="264"/>
      <c r="O892" s="249"/>
      <c r="P892" s="250"/>
      <c r="Q892" s="264"/>
      <c r="R892" s="249"/>
      <c r="S892" s="250"/>
      <c r="T892" s="264"/>
      <c r="U892" s="249"/>
      <c r="V892" s="250"/>
      <c r="W892" s="264"/>
      <c r="X892" s="394"/>
      <c r="Y892" s="429"/>
      <c r="Z892" s="395"/>
      <c r="AA892" s="394"/>
      <c r="AB892" s="118" t="str">
        <f>IF(OR(ISBLANK($B892),ISBLANK($AA892)),"",IFERROR(IF($AA892&lt;=DATE('ESTADO CONTABLE'!$B$2,9,5),VLOOKUP($B892,COSTOS!$A$2:$B1014,2,FALSE)-150,VLOOKUP($B892,COSTOS!$A$2:$B1014,2,FALSE)),"No encontrado o error"))</f>
        <v/>
      </c>
      <c r="AC892" s="395"/>
      <c r="AD892" s="394"/>
      <c r="AE892" s="429" t="str">
        <f>IF(OR(ISBLANK($B892),ISBLANK($AD892)),"",IFERROR(IF($AD892&lt;=DATE('ESTADO CONTABLE'!$B$2,10,5),VLOOKUP($B892,COSTOS!$A$2:$B1014,2,FALSE)-150,VLOOKUP($B892,COSTOS!$A$2:$B1014,2,FALSE)),"No encontrado o error"))</f>
        <v/>
      </c>
      <c r="AF892" s="395"/>
      <c r="AG892" s="394"/>
      <c r="AH892" s="429" t="str">
        <f>IF(OR(ISBLANK($B892),ISBLANK($AG892)),"",IFERROR(IF($AG892&lt;=DATE('ESTADO CONTABLE'!$B$2,11,5),VLOOKUP($B892,COSTOS!$A$2:$B1014,2,FALSE)-150,VLOOKUP($B892,COSTOS!$A$2:$B1014,2,FALSE)),"No encontrado o error"))</f>
        <v/>
      </c>
      <c r="AI892" s="395"/>
      <c r="AJ892" s="394"/>
      <c r="AK892" s="429" t="str">
        <f>IF(OR(ISBLANK($B892),ISBLANK($AJ892)),"",IFERROR(IF($AJ892&lt;=DATE('ESTADO CONTABLE'!$B$2,12,5),VLOOKUP($B892,COSTOS!$A$2:$B1014,2,FALSE)-150,VLOOKUP($B892,COSTOS!$A$2:$B1014,2,FALSE)),"No encontrado o error"))</f>
        <v/>
      </c>
      <c r="AL892" s="395"/>
      <c r="AM892" s="254"/>
      <c r="AN892" s="255"/>
      <c r="AO892" s="256"/>
    </row>
    <row r="893" ht="22.5" customHeight="1">
      <c r="A893" s="431" t="str">
        <f>'BASE DE DATOSS'!A967</f>
        <v/>
      </c>
      <c r="B893" s="432" t="str">
        <f>'BASE DE DATOSS'!C967</f>
        <v/>
      </c>
      <c r="C893" s="263"/>
      <c r="D893" s="249"/>
      <c r="E893" s="250"/>
      <c r="F893" s="251"/>
      <c r="G893" s="262"/>
      <c r="H893" s="257"/>
      <c r="I893" s="249"/>
      <c r="J893" s="193" t="str">
        <f>IF(OR(ISBLANK($B893),ISBLANK($I893)),"",IFERROR(IF($I893&lt;=DATE('ESTADO CONTABLE'!$B$2,3,5),VLOOKUP($B893,COSTOS!$A$2:$B1014,2,FALSE)-150,VLOOKUP($B893,COSTOS!$A$2:$B1014,2,FALSE)),"No encontrado o error"))</f>
        <v/>
      </c>
      <c r="K893" s="264"/>
      <c r="L893" s="249"/>
      <c r="M893" s="189"/>
      <c r="N893" s="264"/>
      <c r="O893" s="249"/>
      <c r="P893" s="250"/>
      <c r="Q893" s="264"/>
      <c r="R893" s="249"/>
      <c r="S893" s="250"/>
      <c r="T893" s="264"/>
      <c r="U893" s="249"/>
      <c r="V893" s="250"/>
      <c r="W893" s="264"/>
      <c r="X893" s="394"/>
      <c r="Y893" s="429"/>
      <c r="Z893" s="395"/>
      <c r="AA893" s="394"/>
      <c r="AB893" s="118" t="str">
        <f>IF(OR(ISBLANK($B893),ISBLANK($AA893)),"",IFERROR(IF($AA893&lt;=DATE('ESTADO CONTABLE'!$B$2,9,5),VLOOKUP($B893,COSTOS!$A$2:$B1014,2,FALSE)-150,VLOOKUP($B893,COSTOS!$A$2:$B1014,2,FALSE)),"No encontrado o error"))</f>
        <v/>
      </c>
      <c r="AC893" s="395"/>
      <c r="AD893" s="394"/>
      <c r="AE893" s="429" t="str">
        <f>IF(OR(ISBLANK($B893),ISBLANK($AD893)),"",IFERROR(IF($AD893&lt;=DATE('ESTADO CONTABLE'!$B$2,10,5),VLOOKUP($B893,COSTOS!$A$2:$B1014,2,FALSE)-150,VLOOKUP($B893,COSTOS!$A$2:$B1014,2,FALSE)),"No encontrado o error"))</f>
        <v/>
      </c>
      <c r="AF893" s="395"/>
      <c r="AG893" s="394"/>
      <c r="AH893" s="429" t="str">
        <f>IF(OR(ISBLANK($B893),ISBLANK($AG893)),"",IFERROR(IF($AG893&lt;=DATE('ESTADO CONTABLE'!$B$2,11,5),VLOOKUP($B893,COSTOS!$A$2:$B1014,2,FALSE)-150,VLOOKUP($B893,COSTOS!$A$2:$B1014,2,FALSE)),"No encontrado o error"))</f>
        <v/>
      </c>
      <c r="AI893" s="395"/>
      <c r="AJ893" s="394"/>
      <c r="AK893" s="429" t="str">
        <f>IF(OR(ISBLANK($B893),ISBLANK($AJ893)),"",IFERROR(IF($AJ893&lt;=DATE('ESTADO CONTABLE'!$B$2,12,5),VLOOKUP($B893,COSTOS!$A$2:$B1014,2,FALSE)-150,VLOOKUP($B893,COSTOS!$A$2:$B1014,2,FALSE)),"No encontrado o error"))</f>
        <v/>
      </c>
      <c r="AL893" s="395"/>
      <c r="AM893" s="254"/>
      <c r="AN893" s="255"/>
      <c r="AO893" s="256"/>
    </row>
    <row r="894" ht="22.5" customHeight="1">
      <c r="A894" s="431" t="str">
        <f>'BASE DE DATOSS'!A968</f>
        <v/>
      </c>
      <c r="B894" s="432" t="str">
        <f>'BASE DE DATOSS'!C968</f>
        <v/>
      </c>
      <c r="C894" s="263"/>
      <c r="D894" s="249"/>
      <c r="E894" s="250"/>
      <c r="F894" s="251"/>
      <c r="G894" s="262"/>
      <c r="H894" s="257"/>
      <c r="I894" s="249"/>
      <c r="J894" s="193" t="str">
        <f>IF(OR(ISBLANK($B894),ISBLANK($I894)),"",IFERROR(IF($I894&lt;=DATE('ESTADO CONTABLE'!$B$2,3,5),VLOOKUP($B894,COSTOS!$A$2:$B1014,2,FALSE)-150,VLOOKUP($B894,COSTOS!$A$2:$B1014,2,FALSE)),"No encontrado o error"))</f>
        <v/>
      </c>
      <c r="K894" s="264"/>
      <c r="L894" s="249"/>
      <c r="M894" s="189"/>
      <c r="N894" s="264"/>
      <c r="O894" s="249"/>
      <c r="P894" s="250"/>
      <c r="Q894" s="264"/>
      <c r="R894" s="249"/>
      <c r="S894" s="250"/>
      <c r="T894" s="264"/>
      <c r="U894" s="249"/>
      <c r="V894" s="250"/>
      <c r="W894" s="264"/>
      <c r="X894" s="394"/>
      <c r="Y894" s="429"/>
      <c r="Z894" s="395"/>
      <c r="AA894" s="394"/>
      <c r="AB894" s="118" t="str">
        <f>IF(OR(ISBLANK($B894),ISBLANK($AA894)),"",IFERROR(IF($AA894&lt;=DATE('ESTADO CONTABLE'!$B$2,9,5),VLOOKUP($B894,COSTOS!$A$2:$B1014,2,FALSE)-150,VLOOKUP($B894,COSTOS!$A$2:$B1014,2,FALSE)),"No encontrado o error"))</f>
        <v/>
      </c>
      <c r="AC894" s="395"/>
      <c r="AD894" s="394"/>
      <c r="AE894" s="429" t="str">
        <f>IF(OR(ISBLANK($B894),ISBLANK($AD894)),"",IFERROR(IF($AD894&lt;=DATE('ESTADO CONTABLE'!$B$2,10,5),VLOOKUP($B894,COSTOS!$A$2:$B1014,2,FALSE)-150,VLOOKUP($B894,COSTOS!$A$2:$B1014,2,FALSE)),"No encontrado o error"))</f>
        <v/>
      </c>
      <c r="AF894" s="395"/>
      <c r="AG894" s="394"/>
      <c r="AH894" s="429" t="str">
        <f>IF(OR(ISBLANK($B894),ISBLANK($AG894)),"",IFERROR(IF($AG894&lt;=DATE('ESTADO CONTABLE'!$B$2,11,5),VLOOKUP($B894,COSTOS!$A$2:$B1014,2,FALSE)-150,VLOOKUP($B894,COSTOS!$A$2:$B1014,2,FALSE)),"No encontrado o error"))</f>
        <v/>
      </c>
      <c r="AI894" s="395"/>
      <c r="AJ894" s="394"/>
      <c r="AK894" s="429" t="str">
        <f>IF(OR(ISBLANK($B894),ISBLANK($AJ894)),"",IFERROR(IF($AJ894&lt;=DATE('ESTADO CONTABLE'!$B$2,12,5),VLOOKUP($B894,COSTOS!$A$2:$B1014,2,FALSE)-150,VLOOKUP($B894,COSTOS!$A$2:$B1014,2,FALSE)),"No encontrado o error"))</f>
        <v/>
      </c>
      <c r="AL894" s="395"/>
      <c r="AM894" s="254"/>
      <c r="AN894" s="255"/>
      <c r="AO894" s="256"/>
    </row>
    <row r="895" ht="22.5" customHeight="1">
      <c r="A895" s="431" t="str">
        <f>'BASE DE DATOSS'!A969</f>
        <v/>
      </c>
      <c r="B895" s="432" t="str">
        <f>'BASE DE DATOSS'!C969</f>
        <v/>
      </c>
      <c r="C895" s="263"/>
      <c r="D895" s="249"/>
      <c r="E895" s="250"/>
      <c r="F895" s="251"/>
      <c r="G895" s="262"/>
      <c r="H895" s="257"/>
      <c r="I895" s="249"/>
      <c r="J895" s="193" t="str">
        <f>IF(OR(ISBLANK($B895),ISBLANK($I895)),"",IFERROR(IF($I895&lt;=DATE('ESTADO CONTABLE'!$B$2,3,5),VLOOKUP($B895,COSTOS!$A$2:$B1014,2,FALSE)-150,VLOOKUP($B895,COSTOS!$A$2:$B1014,2,FALSE)),"No encontrado o error"))</f>
        <v/>
      </c>
      <c r="K895" s="264"/>
      <c r="L895" s="249"/>
      <c r="M895" s="189"/>
      <c r="N895" s="264"/>
      <c r="O895" s="249"/>
      <c r="P895" s="250"/>
      <c r="Q895" s="264"/>
      <c r="R895" s="249"/>
      <c r="S895" s="250"/>
      <c r="T895" s="264"/>
      <c r="U895" s="249"/>
      <c r="V895" s="250"/>
      <c r="W895" s="264"/>
      <c r="X895" s="394"/>
      <c r="Y895" s="429"/>
      <c r="Z895" s="395"/>
      <c r="AA895" s="394"/>
      <c r="AB895" s="118" t="str">
        <f>IF(OR(ISBLANK($B895),ISBLANK($AA895)),"",IFERROR(IF($AA895&lt;=DATE('ESTADO CONTABLE'!$B$2,9,5),VLOOKUP($B895,COSTOS!$A$2:$B1014,2,FALSE)-150,VLOOKUP($B895,COSTOS!$A$2:$B1014,2,FALSE)),"No encontrado o error"))</f>
        <v/>
      </c>
      <c r="AC895" s="395"/>
      <c r="AD895" s="394"/>
      <c r="AE895" s="429" t="str">
        <f>IF(OR(ISBLANK($B895),ISBLANK($AD895)),"",IFERROR(IF($AD895&lt;=DATE('ESTADO CONTABLE'!$B$2,10,5),VLOOKUP($B895,COSTOS!$A$2:$B1014,2,FALSE)-150,VLOOKUP($B895,COSTOS!$A$2:$B1014,2,FALSE)),"No encontrado o error"))</f>
        <v/>
      </c>
      <c r="AF895" s="395"/>
      <c r="AG895" s="394"/>
      <c r="AH895" s="429" t="str">
        <f>IF(OR(ISBLANK($B895),ISBLANK($AG895)),"",IFERROR(IF($AG895&lt;=DATE('ESTADO CONTABLE'!$B$2,11,5),VLOOKUP($B895,COSTOS!$A$2:$B1014,2,FALSE)-150,VLOOKUP($B895,COSTOS!$A$2:$B1014,2,FALSE)),"No encontrado o error"))</f>
        <v/>
      </c>
      <c r="AI895" s="395"/>
      <c r="AJ895" s="394"/>
      <c r="AK895" s="429" t="str">
        <f>IF(OR(ISBLANK($B895),ISBLANK($AJ895)),"",IFERROR(IF($AJ895&lt;=DATE('ESTADO CONTABLE'!$B$2,12,5),VLOOKUP($B895,COSTOS!$A$2:$B1014,2,FALSE)-150,VLOOKUP($B895,COSTOS!$A$2:$B1014,2,FALSE)),"No encontrado o error"))</f>
        <v/>
      </c>
      <c r="AL895" s="395"/>
      <c r="AM895" s="254"/>
      <c r="AN895" s="255"/>
      <c r="AO895" s="256"/>
    </row>
    <row r="896" ht="22.5" customHeight="1">
      <c r="A896" s="431" t="str">
        <f>'BASE DE DATOSS'!A970</f>
        <v/>
      </c>
      <c r="B896" s="432" t="str">
        <f>'BASE DE DATOSS'!C970</f>
        <v/>
      </c>
      <c r="C896" s="263"/>
      <c r="D896" s="249"/>
      <c r="E896" s="250"/>
      <c r="F896" s="251"/>
      <c r="G896" s="262"/>
      <c r="H896" s="257"/>
      <c r="I896" s="249"/>
      <c r="J896" s="193" t="str">
        <f>IF(OR(ISBLANK($B896),ISBLANK($I896)),"",IFERROR(IF($I896&lt;=DATE('ESTADO CONTABLE'!$B$2,3,5),VLOOKUP($B896,COSTOS!$A$2:$B1014,2,FALSE)-150,VLOOKUP($B896,COSTOS!$A$2:$B1014,2,FALSE)),"No encontrado o error"))</f>
        <v/>
      </c>
      <c r="K896" s="264"/>
      <c r="L896" s="249"/>
      <c r="M896" s="189"/>
      <c r="N896" s="264"/>
      <c r="O896" s="249"/>
      <c r="P896" s="250"/>
      <c r="Q896" s="264"/>
      <c r="R896" s="249"/>
      <c r="S896" s="250"/>
      <c r="T896" s="264"/>
      <c r="U896" s="249"/>
      <c r="V896" s="250"/>
      <c r="W896" s="264"/>
      <c r="X896" s="394"/>
      <c r="Y896" s="429"/>
      <c r="Z896" s="395"/>
      <c r="AA896" s="394"/>
      <c r="AB896" s="118" t="str">
        <f>IF(OR(ISBLANK($B896),ISBLANK($AA896)),"",IFERROR(IF($AA896&lt;=DATE('ESTADO CONTABLE'!$B$2,9,5),VLOOKUP($B896,COSTOS!$A$2:$B1014,2,FALSE)-150,VLOOKUP($B896,COSTOS!$A$2:$B1014,2,FALSE)),"No encontrado o error"))</f>
        <v/>
      </c>
      <c r="AC896" s="395"/>
      <c r="AD896" s="394"/>
      <c r="AE896" s="429" t="str">
        <f>IF(OR(ISBLANK($B896),ISBLANK($AD896)),"",IFERROR(IF($AD896&lt;=DATE('ESTADO CONTABLE'!$B$2,10,5),VLOOKUP($B896,COSTOS!$A$2:$B1014,2,FALSE)-150,VLOOKUP($B896,COSTOS!$A$2:$B1014,2,FALSE)),"No encontrado o error"))</f>
        <v/>
      </c>
      <c r="AF896" s="395"/>
      <c r="AG896" s="394"/>
      <c r="AH896" s="429" t="str">
        <f>IF(OR(ISBLANK($B896),ISBLANK($AG896)),"",IFERROR(IF($AG896&lt;=DATE('ESTADO CONTABLE'!$B$2,11,5),VLOOKUP($B896,COSTOS!$A$2:$B1014,2,FALSE)-150,VLOOKUP($B896,COSTOS!$A$2:$B1014,2,FALSE)),"No encontrado o error"))</f>
        <v/>
      </c>
      <c r="AI896" s="395"/>
      <c r="AJ896" s="394"/>
      <c r="AK896" s="429" t="str">
        <f>IF(OR(ISBLANK($B896),ISBLANK($AJ896)),"",IFERROR(IF($AJ896&lt;=DATE('ESTADO CONTABLE'!$B$2,12,5),VLOOKUP($B896,COSTOS!$A$2:$B1014,2,FALSE)-150,VLOOKUP($B896,COSTOS!$A$2:$B1014,2,FALSE)),"No encontrado o error"))</f>
        <v/>
      </c>
      <c r="AL896" s="395"/>
      <c r="AM896" s="254"/>
      <c r="AN896" s="255"/>
      <c r="AO896" s="256"/>
    </row>
    <row r="897" ht="22.5" customHeight="1">
      <c r="A897" s="431" t="str">
        <f>'BASE DE DATOSS'!A971</f>
        <v/>
      </c>
      <c r="B897" s="432" t="str">
        <f>'BASE DE DATOSS'!C971</f>
        <v/>
      </c>
      <c r="C897" s="263"/>
      <c r="D897" s="249"/>
      <c r="E897" s="250"/>
      <c r="F897" s="251"/>
      <c r="G897" s="262"/>
      <c r="H897" s="257"/>
      <c r="I897" s="249"/>
      <c r="J897" s="193" t="str">
        <f>IF(OR(ISBLANK($B897),ISBLANK($I897)),"",IFERROR(IF($I897&lt;=DATE('ESTADO CONTABLE'!$B$2,3,5),VLOOKUP($B897,COSTOS!$A$2:$B1014,2,FALSE)-150,VLOOKUP($B897,COSTOS!$A$2:$B1014,2,FALSE)),"No encontrado o error"))</f>
        <v/>
      </c>
      <c r="K897" s="264"/>
      <c r="L897" s="249"/>
      <c r="M897" s="189"/>
      <c r="N897" s="264"/>
      <c r="O897" s="249"/>
      <c r="P897" s="250"/>
      <c r="Q897" s="264"/>
      <c r="R897" s="249"/>
      <c r="S897" s="250"/>
      <c r="T897" s="264"/>
      <c r="U897" s="249"/>
      <c r="V897" s="250"/>
      <c r="W897" s="264"/>
      <c r="X897" s="394"/>
      <c r="Y897" s="429"/>
      <c r="Z897" s="395"/>
      <c r="AA897" s="394"/>
      <c r="AB897" s="118" t="str">
        <f>IF(OR(ISBLANK($B897),ISBLANK($AA897)),"",IFERROR(IF($AA897&lt;=DATE('ESTADO CONTABLE'!$B$2,9,5),VLOOKUP($B897,COSTOS!$A$2:$B1014,2,FALSE)-150,VLOOKUP($B897,COSTOS!$A$2:$B1014,2,FALSE)),"No encontrado o error"))</f>
        <v/>
      </c>
      <c r="AC897" s="395"/>
      <c r="AD897" s="394"/>
      <c r="AE897" s="429" t="str">
        <f>IF(OR(ISBLANK($B897),ISBLANK($AD897)),"",IFERROR(IF($AD897&lt;=DATE('ESTADO CONTABLE'!$B$2,10,5),VLOOKUP($B897,COSTOS!$A$2:$B1014,2,FALSE)-150,VLOOKUP($B897,COSTOS!$A$2:$B1014,2,FALSE)),"No encontrado o error"))</f>
        <v/>
      </c>
      <c r="AF897" s="395"/>
      <c r="AG897" s="394"/>
      <c r="AH897" s="429" t="str">
        <f>IF(OR(ISBLANK($B897),ISBLANK($AG897)),"",IFERROR(IF($AG897&lt;=DATE('ESTADO CONTABLE'!$B$2,11,5),VLOOKUP($B897,COSTOS!$A$2:$B1014,2,FALSE)-150,VLOOKUP($B897,COSTOS!$A$2:$B1014,2,FALSE)),"No encontrado o error"))</f>
        <v/>
      </c>
      <c r="AI897" s="395"/>
      <c r="AJ897" s="394"/>
      <c r="AK897" s="429" t="str">
        <f>IF(OR(ISBLANK($B897),ISBLANK($AJ897)),"",IFERROR(IF($AJ897&lt;=DATE('ESTADO CONTABLE'!$B$2,12,5),VLOOKUP($B897,COSTOS!$A$2:$B1014,2,FALSE)-150,VLOOKUP($B897,COSTOS!$A$2:$B1014,2,FALSE)),"No encontrado o error"))</f>
        <v/>
      </c>
      <c r="AL897" s="395"/>
      <c r="AM897" s="254"/>
      <c r="AN897" s="255"/>
      <c r="AO897" s="256"/>
    </row>
    <row r="898" ht="22.5" customHeight="1">
      <c r="A898" s="431" t="str">
        <f>'BASE DE DATOSS'!A972</f>
        <v/>
      </c>
      <c r="B898" s="432" t="str">
        <f>'BASE DE DATOSS'!C972</f>
        <v/>
      </c>
      <c r="C898" s="263"/>
      <c r="D898" s="249"/>
      <c r="E898" s="250"/>
      <c r="F898" s="251"/>
      <c r="G898" s="262"/>
      <c r="H898" s="257"/>
      <c r="I898" s="249"/>
      <c r="J898" s="193" t="str">
        <f>IF(OR(ISBLANK($B898),ISBLANK($I898)),"",IFERROR(IF($I898&lt;=DATE('ESTADO CONTABLE'!$B$2,3,5),VLOOKUP($B898,COSTOS!$A$2:$B1014,2,FALSE)-150,VLOOKUP($B898,COSTOS!$A$2:$B1014,2,FALSE)),"No encontrado o error"))</f>
        <v/>
      </c>
      <c r="K898" s="264"/>
      <c r="L898" s="249"/>
      <c r="M898" s="189"/>
      <c r="N898" s="264"/>
      <c r="O898" s="249"/>
      <c r="P898" s="250"/>
      <c r="Q898" s="264"/>
      <c r="R898" s="249"/>
      <c r="S898" s="250"/>
      <c r="T898" s="264"/>
      <c r="U898" s="249"/>
      <c r="V898" s="250"/>
      <c r="W898" s="264"/>
      <c r="X898" s="394"/>
      <c r="Y898" s="429"/>
      <c r="Z898" s="395"/>
      <c r="AA898" s="394"/>
      <c r="AB898" s="118" t="str">
        <f>IF(OR(ISBLANK($B898),ISBLANK($AA898)),"",IFERROR(IF($AA898&lt;=DATE('ESTADO CONTABLE'!$B$2,9,5),VLOOKUP($B898,COSTOS!$A$2:$B1014,2,FALSE)-150,VLOOKUP($B898,COSTOS!$A$2:$B1014,2,FALSE)),"No encontrado o error"))</f>
        <v/>
      </c>
      <c r="AC898" s="395"/>
      <c r="AD898" s="394"/>
      <c r="AE898" s="429" t="str">
        <f>IF(OR(ISBLANK($B898),ISBLANK($AD898)),"",IFERROR(IF($AD898&lt;=DATE('ESTADO CONTABLE'!$B$2,10,5),VLOOKUP($B898,COSTOS!$A$2:$B1014,2,FALSE)-150,VLOOKUP($B898,COSTOS!$A$2:$B1014,2,FALSE)),"No encontrado o error"))</f>
        <v/>
      </c>
      <c r="AF898" s="395"/>
      <c r="AG898" s="394"/>
      <c r="AH898" s="429" t="str">
        <f>IF(OR(ISBLANK($B898),ISBLANK($AG898)),"",IFERROR(IF($AG898&lt;=DATE('ESTADO CONTABLE'!$B$2,11,5),VLOOKUP($B898,COSTOS!$A$2:$B1014,2,FALSE)-150,VLOOKUP($B898,COSTOS!$A$2:$B1014,2,FALSE)),"No encontrado o error"))</f>
        <v/>
      </c>
      <c r="AI898" s="395"/>
      <c r="AJ898" s="394"/>
      <c r="AK898" s="429" t="str">
        <f>IF(OR(ISBLANK($B898),ISBLANK($AJ898)),"",IFERROR(IF($AJ898&lt;=DATE('ESTADO CONTABLE'!$B$2,12,5),VLOOKUP($B898,COSTOS!$A$2:$B1014,2,FALSE)-150,VLOOKUP($B898,COSTOS!$A$2:$B1014,2,FALSE)),"No encontrado o error"))</f>
        <v/>
      </c>
      <c r="AL898" s="395"/>
      <c r="AM898" s="254"/>
      <c r="AN898" s="255"/>
      <c r="AO898" s="256"/>
    </row>
    <row r="899" ht="22.5" customHeight="1">
      <c r="A899" s="431" t="str">
        <f>'BASE DE DATOSS'!A973</f>
        <v/>
      </c>
      <c r="B899" s="432" t="str">
        <f>'BASE DE DATOSS'!C973</f>
        <v/>
      </c>
      <c r="C899" s="263"/>
      <c r="D899" s="249"/>
      <c r="E899" s="250"/>
      <c r="F899" s="251"/>
      <c r="G899" s="262"/>
      <c r="H899" s="257"/>
      <c r="I899" s="249"/>
      <c r="J899" s="193" t="str">
        <f>IF(OR(ISBLANK($B899),ISBLANK($I899)),"",IFERROR(IF($I899&lt;=DATE('ESTADO CONTABLE'!$B$2,3,5),VLOOKUP($B899,COSTOS!$A$2:$B1014,2,FALSE)-150,VLOOKUP($B899,COSTOS!$A$2:$B1014,2,FALSE)),"No encontrado o error"))</f>
        <v/>
      </c>
      <c r="K899" s="264"/>
      <c r="L899" s="249"/>
      <c r="M899" s="189"/>
      <c r="N899" s="264"/>
      <c r="O899" s="249"/>
      <c r="P899" s="250"/>
      <c r="Q899" s="264"/>
      <c r="R899" s="249"/>
      <c r="S899" s="250"/>
      <c r="T899" s="264"/>
      <c r="U899" s="249"/>
      <c r="V899" s="250"/>
      <c r="W899" s="264"/>
      <c r="X899" s="394"/>
      <c r="Y899" s="429"/>
      <c r="Z899" s="395"/>
      <c r="AA899" s="394"/>
      <c r="AB899" s="118" t="str">
        <f>IF(OR(ISBLANK($B899),ISBLANK($AA899)),"",IFERROR(IF($AA899&lt;=DATE('ESTADO CONTABLE'!$B$2,9,5),VLOOKUP($B899,COSTOS!$A$2:$B1014,2,FALSE)-150,VLOOKUP($B899,COSTOS!$A$2:$B1014,2,FALSE)),"No encontrado o error"))</f>
        <v/>
      </c>
      <c r="AC899" s="395"/>
      <c r="AD899" s="394"/>
      <c r="AE899" s="429" t="str">
        <f>IF(OR(ISBLANK($B899),ISBLANK($AD899)),"",IFERROR(IF($AD899&lt;=DATE('ESTADO CONTABLE'!$B$2,10,5),VLOOKUP($B899,COSTOS!$A$2:$B1014,2,FALSE)-150,VLOOKUP($B899,COSTOS!$A$2:$B1014,2,FALSE)),"No encontrado o error"))</f>
        <v/>
      </c>
      <c r="AF899" s="395"/>
      <c r="AG899" s="394"/>
      <c r="AH899" s="429" t="str">
        <f>IF(OR(ISBLANK($B899),ISBLANK($AG899)),"",IFERROR(IF($AG899&lt;=DATE('ESTADO CONTABLE'!$B$2,11,5),VLOOKUP($B899,COSTOS!$A$2:$B1014,2,FALSE)-150,VLOOKUP($B899,COSTOS!$A$2:$B1014,2,FALSE)),"No encontrado o error"))</f>
        <v/>
      </c>
      <c r="AI899" s="395"/>
      <c r="AJ899" s="394"/>
      <c r="AK899" s="429" t="str">
        <f>IF(OR(ISBLANK($B899),ISBLANK($AJ899)),"",IFERROR(IF($AJ899&lt;=DATE('ESTADO CONTABLE'!$B$2,12,5),VLOOKUP($B899,COSTOS!$A$2:$B1014,2,FALSE)-150,VLOOKUP($B899,COSTOS!$A$2:$B1014,2,FALSE)),"No encontrado o error"))</f>
        <v/>
      </c>
      <c r="AL899" s="395"/>
      <c r="AM899" s="254"/>
      <c r="AN899" s="255"/>
      <c r="AO899" s="256"/>
    </row>
    <row r="900" ht="22.5" customHeight="1">
      <c r="A900" s="431" t="str">
        <f>'BASE DE DATOSS'!A974</f>
        <v/>
      </c>
      <c r="B900" s="432" t="str">
        <f>'BASE DE DATOSS'!C974</f>
        <v/>
      </c>
      <c r="C900" s="263"/>
      <c r="D900" s="249"/>
      <c r="E900" s="250"/>
      <c r="F900" s="251"/>
      <c r="G900" s="262"/>
      <c r="H900" s="257"/>
      <c r="I900" s="249"/>
      <c r="J900" s="193" t="str">
        <f>IF(OR(ISBLANK($B900),ISBLANK($I900)),"",IFERROR(IF($I900&lt;=DATE('ESTADO CONTABLE'!$B$2,3,5),VLOOKUP($B900,COSTOS!$A$2:$B1014,2,FALSE)-150,VLOOKUP($B900,COSTOS!$A$2:$B1014,2,FALSE)),"No encontrado o error"))</f>
        <v/>
      </c>
      <c r="K900" s="264"/>
      <c r="L900" s="249"/>
      <c r="M900" s="189"/>
      <c r="N900" s="264"/>
      <c r="O900" s="249"/>
      <c r="P900" s="250"/>
      <c r="Q900" s="264"/>
      <c r="R900" s="249"/>
      <c r="S900" s="250"/>
      <c r="T900" s="264"/>
      <c r="U900" s="249"/>
      <c r="V900" s="250"/>
      <c r="W900" s="264"/>
      <c r="X900" s="394"/>
      <c r="Y900" s="429"/>
      <c r="Z900" s="395"/>
      <c r="AA900" s="394"/>
      <c r="AB900" s="118" t="str">
        <f>IF(OR(ISBLANK($B900),ISBLANK($AA900)),"",IFERROR(IF($AA900&lt;=DATE('ESTADO CONTABLE'!$B$2,9,5),VLOOKUP($B900,COSTOS!$A$2:$B1014,2,FALSE)-150,VLOOKUP($B900,COSTOS!$A$2:$B1014,2,FALSE)),"No encontrado o error"))</f>
        <v/>
      </c>
      <c r="AC900" s="395"/>
      <c r="AD900" s="394"/>
      <c r="AE900" s="429" t="str">
        <f>IF(OR(ISBLANK($B900),ISBLANK($AD900)),"",IFERROR(IF($AD900&lt;=DATE('ESTADO CONTABLE'!$B$2,10,5),VLOOKUP($B900,COSTOS!$A$2:$B1014,2,FALSE)-150,VLOOKUP($B900,COSTOS!$A$2:$B1014,2,FALSE)),"No encontrado o error"))</f>
        <v/>
      </c>
      <c r="AF900" s="395"/>
      <c r="AG900" s="394"/>
      <c r="AH900" s="429" t="str">
        <f>IF(OR(ISBLANK($B900),ISBLANK($AG900)),"",IFERROR(IF($AG900&lt;=DATE('ESTADO CONTABLE'!$B$2,11,5),VLOOKUP($B900,COSTOS!$A$2:$B1014,2,FALSE)-150,VLOOKUP($B900,COSTOS!$A$2:$B1014,2,FALSE)),"No encontrado o error"))</f>
        <v/>
      </c>
      <c r="AI900" s="395"/>
      <c r="AJ900" s="394"/>
      <c r="AK900" s="429" t="str">
        <f>IF(OR(ISBLANK($B900),ISBLANK($AJ900)),"",IFERROR(IF($AJ900&lt;=DATE('ESTADO CONTABLE'!$B$2,12,5),VLOOKUP($B900,COSTOS!$A$2:$B1014,2,FALSE)-150,VLOOKUP($B900,COSTOS!$A$2:$B1014,2,FALSE)),"No encontrado o error"))</f>
        <v/>
      </c>
      <c r="AL900" s="395"/>
      <c r="AM900" s="254"/>
      <c r="AN900" s="255"/>
      <c r="AO900" s="256"/>
    </row>
    <row r="901" ht="22.5" customHeight="1">
      <c r="A901" s="431" t="str">
        <f>'BASE DE DATOSS'!A975</f>
        <v/>
      </c>
      <c r="B901" s="432" t="str">
        <f>'BASE DE DATOSS'!C975</f>
        <v/>
      </c>
      <c r="C901" s="263"/>
      <c r="D901" s="249"/>
      <c r="E901" s="250"/>
      <c r="F901" s="251"/>
      <c r="G901" s="262"/>
      <c r="H901" s="257"/>
      <c r="I901" s="249"/>
      <c r="J901" s="193" t="str">
        <f>IF(OR(ISBLANK($B901),ISBLANK($I901)),"",IFERROR(IF($I901&lt;=DATE('ESTADO CONTABLE'!$B$2,3,5),VLOOKUP($B901,COSTOS!$A$2:$B1014,2,FALSE)-150,VLOOKUP($B901,COSTOS!$A$2:$B1014,2,FALSE)),"No encontrado o error"))</f>
        <v/>
      </c>
      <c r="K901" s="264"/>
      <c r="L901" s="249"/>
      <c r="M901" s="189"/>
      <c r="N901" s="264"/>
      <c r="O901" s="249"/>
      <c r="P901" s="250"/>
      <c r="Q901" s="264"/>
      <c r="R901" s="249"/>
      <c r="S901" s="250"/>
      <c r="T901" s="264"/>
      <c r="U901" s="249"/>
      <c r="V901" s="250"/>
      <c r="W901" s="264"/>
      <c r="X901" s="394"/>
      <c r="Y901" s="429"/>
      <c r="Z901" s="395"/>
      <c r="AA901" s="394"/>
      <c r="AB901" s="118" t="str">
        <f>IF(OR(ISBLANK($B901),ISBLANK($AA901)),"",IFERROR(IF($AA901&lt;=DATE('ESTADO CONTABLE'!$B$2,9,5),VLOOKUP($B901,COSTOS!$A$2:$B1014,2,FALSE)-150,VLOOKUP($B901,COSTOS!$A$2:$B1014,2,FALSE)),"No encontrado o error"))</f>
        <v/>
      </c>
      <c r="AC901" s="395"/>
      <c r="AD901" s="394"/>
      <c r="AE901" s="429" t="str">
        <f>IF(OR(ISBLANK($B901),ISBLANK($AD901)),"",IFERROR(IF($AD901&lt;=DATE('ESTADO CONTABLE'!$B$2,10,5),VLOOKUP($B901,COSTOS!$A$2:$B1014,2,FALSE)-150,VLOOKUP($B901,COSTOS!$A$2:$B1014,2,FALSE)),"No encontrado o error"))</f>
        <v/>
      </c>
      <c r="AF901" s="395"/>
      <c r="AG901" s="394"/>
      <c r="AH901" s="429" t="str">
        <f>IF(OR(ISBLANK($B901),ISBLANK($AG901)),"",IFERROR(IF($AG901&lt;=DATE('ESTADO CONTABLE'!$B$2,11,5),VLOOKUP($B901,COSTOS!$A$2:$B1014,2,FALSE)-150,VLOOKUP($B901,COSTOS!$A$2:$B1014,2,FALSE)),"No encontrado o error"))</f>
        <v/>
      </c>
      <c r="AI901" s="395"/>
      <c r="AJ901" s="394"/>
      <c r="AK901" s="429" t="str">
        <f>IF(OR(ISBLANK($B901),ISBLANK($AJ901)),"",IFERROR(IF($AJ901&lt;=DATE('ESTADO CONTABLE'!$B$2,12,5),VLOOKUP($B901,COSTOS!$A$2:$B1014,2,FALSE)-150,VLOOKUP($B901,COSTOS!$A$2:$B1014,2,FALSE)),"No encontrado o error"))</f>
        <v/>
      </c>
      <c r="AL901" s="395"/>
      <c r="AM901" s="254"/>
      <c r="AN901" s="255"/>
      <c r="AO901" s="256"/>
    </row>
    <row r="902" ht="22.5" customHeight="1">
      <c r="A902" s="431" t="str">
        <f>'BASE DE DATOSS'!A976</f>
        <v/>
      </c>
      <c r="B902" s="432" t="str">
        <f>'BASE DE DATOSS'!C976</f>
        <v/>
      </c>
      <c r="C902" s="263"/>
      <c r="D902" s="249"/>
      <c r="E902" s="250"/>
      <c r="F902" s="251"/>
      <c r="G902" s="262"/>
      <c r="H902" s="257"/>
      <c r="I902" s="249"/>
      <c r="J902" s="193" t="str">
        <f>IF(OR(ISBLANK($B902),ISBLANK($I902)),"",IFERROR(IF($I902&lt;=DATE('ESTADO CONTABLE'!$B$2,3,5),VLOOKUP($B902,COSTOS!$A$2:$B1014,2,FALSE)-150,VLOOKUP($B902,COSTOS!$A$2:$B1014,2,FALSE)),"No encontrado o error"))</f>
        <v/>
      </c>
      <c r="K902" s="264"/>
      <c r="L902" s="249"/>
      <c r="M902" s="189"/>
      <c r="N902" s="264"/>
      <c r="O902" s="249"/>
      <c r="P902" s="250"/>
      <c r="Q902" s="264"/>
      <c r="R902" s="249"/>
      <c r="S902" s="250"/>
      <c r="T902" s="264"/>
      <c r="U902" s="249"/>
      <c r="V902" s="250"/>
      <c r="W902" s="264"/>
      <c r="X902" s="394"/>
      <c r="Y902" s="429"/>
      <c r="Z902" s="395"/>
      <c r="AA902" s="394"/>
      <c r="AB902" s="118" t="str">
        <f>IF(OR(ISBLANK($B902),ISBLANK($AA902)),"",IFERROR(IF($AA902&lt;=DATE('ESTADO CONTABLE'!$B$2,9,5),VLOOKUP($B902,COSTOS!$A$2:$B1014,2,FALSE)-150,VLOOKUP($B902,COSTOS!$A$2:$B1014,2,FALSE)),"No encontrado o error"))</f>
        <v/>
      </c>
      <c r="AC902" s="395"/>
      <c r="AD902" s="394"/>
      <c r="AE902" s="429" t="str">
        <f>IF(OR(ISBLANK($B902),ISBLANK($AD902)),"",IFERROR(IF($AD902&lt;=DATE('ESTADO CONTABLE'!$B$2,10,5),VLOOKUP($B902,COSTOS!$A$2:$B1014,2,FALSE)-150,VLOOKUP($B902,COSTOS!$A$2:$B1014,2,FALSE)),"No encontrado o error"))</f>
        <v/>
      </c>
      <c r="AF902" s="395"/>
      <c r="AG902" s="394"/>
      <c r="AH902" s="429" t="str">
        <f>IF(OR(ISBLANK($B902),ISBLANK($AG902)),"",IFERROR(IF($AG902&lt;=DATE('ESTADO CONTABLE'!$B$2,11,5),VLOOKUP($B902,COSTOS!$A$2:$B1014,2,FALSE)-150,VLOOKUP($B902,COSTOS!$A$2:$B1014,2,FALSE)),"No encontrado o error"))</f>
        <v/>
      </c>
      <c r="AI902" s="395"/>
      <c r="AJ902" s="394"/>
      <c r="AK902" s="429" t="str">
        <f>IF(OR(ISBLANK($B902),ISBLANK($AJ902)),"",IFERROR(IF($AJ902&lt;=DATE('ESTADO CONTABLE'!$B$2,12,5),VLOOKUP($B902,COSTOS!$A$2:$B1014,2,FALSE)-150,VLOOKUP($B902,COSTOS!$A$2:$B1014,2,FALSE)),"No encontrado o error"))</f>
        <v/>
      </c>
      <c r="AL902" s="395"/>
      <c r="AM902" s="254"/>
      <c r="AN902" s="255"/>
      <c r="AO902" s="256"/>
    </row>
    <row r="903" ht="22.5" customHeight="1">
      <c r="A903" s="431" t="str">
        <f>'BASE DE DATOSS'!A977</f>
        <v/>
      </c>
      <c r="B903" s="432" t="str">
        <f>'BASE DE DATOSS'!C977</f>
        <v/>
      </c>
      <c r="C903" s="263"/>
      <c r="D903" s="249"/>
      <c r="E903" s="250"/>
      <c r="F903" s="251"/>
      <c r="G903" s="262"/>
      <c r="H903" s="257"/>
      <c r="I903" s="249"/>
      <c r="J903" s="193" t="str">
        <f>IF(OR(ISBLANK($B903),ISBLANK($I903)),"",IFERROR(IF($I903&lt;=DATE('ESTADO CONTABLE'!$B$2,3,5),VLOOKUP($B903,COSTOS!$A$2:$B1014,2,FALSE)-150,VLOOKUP($B903,COSTOS!$A$2:$B1014,2,FALSE)),"No encontrado o error"))</f>
        <v/>
      </c>
      <c r="K903" s="264"/>
      <c r="L903" s="249"/>
      <c r="M903" s="189"/>
      <c r="N903" s="264"/>
      <c r="O903" s="249"/>
      <c r="P903" s="250"/>
      <c r="Q903" s="264"/>
      <c r="R903" s="249"/>
      <c r="S903" s="250"/>
      <c r="T903" s="264"/>
      <c r="U903" s="249"/>
      <c r="V903" s="250"/>
      <c r="W903" s="264"/>
      <c r="X903" s="394"/>
      <c r="Y903" s="429"/>
      <c r="Z903" s="395"/>
      <c r="AA903" s="394"/>
      <c r="AB903" s="118" t="str">
        <f>IF(OR(ISBLANK($B903),ISBLANK($AA903)),"",IFERROR(IF($AA903&lt;=DATE('ESTADO CONTABLE'!$B$2,9,5),VLOOKUP($B903,COSTOS!$A$2:$B1014,2,FALSE)-150,VLOOKUP($B903,COSTOS!$A$2:$B1014,2,FALSE)),"No encontrado o error"))</f>
        <v/>
      </c>
      <c r="AC903" s="395"/>
      <c r="AD903" s="394"/>
      <c r="AE903" s="429" t="str">
        <f>IF(OR(ISBLANK($B903),ISBLANK($AD903)),"",IFERROR(IF($AD903&lt;=DATE('ESTADO CONTABLE'!$B$2,10,5),VLOOKUP($B903,COSTOS!$A$2:$B1014,2,FALSE)-150,VLOOKUP($B903,COSTOS!$A$2:$B1014,2,FALSE)),"No encontrado o error"))</f>
        <v/>
      </c>
      <c r="AF903" s="395"/>
      <c r="AG903" s="394"/>
      <c r="AH903" s="429" t="str">
        <f>IF(OR(ISBLANK($B903),ISBLANK($AG903)),"",IFERROR(IF($AG903&lt;=DATE('ESTADO CONTABLE'!$B$2,11,5),VLOOKUP($B903,COSTOS!$A$2:$B1014,2,FALSE)-150,VLOOKUP($B903,COSTOS!$A$2:$B1014,2,FALSE)),"No encontrado o error"))</f>
        <v/>
      </c>
      <c r="AI903" s="395"/>
      <c r="AJ903" s="394"/>
      <c r="AK903" s="429" t="str">
        <f>IF(OR(ISBLANK($B903),ISBLANK($AJ903)),"",IFERROR(IF($AJ903&lt;=DATE('ESTADO CONTABLE'!$B$2,12,5),VLOOKUP($B903,COSTOS!$A$2:$B1014,2,FALSE)-150,VLOOKUP($B903,COSTOS!$A$2:$B1014,2,FALSE)),"No encontrado o error"))</f>
        <v/>
      </c>
      <c r="AL903" s="395"/>
      <c r="AM903" s="254"/>
      <c r="AN903" s="255"/>
      <c r="AO903" s="256"/>
    </row>
    <row r="904" ht="22.5" customHeight="1">
      <c r="A904" s="431" t="str">
        <f>'BASE DE DATOSS'!A978</f>
        <v/>
      </c>
      <c r="B904" s="432" t="str">
        <f>'BASE DE DATOSS'!C978</f>
        <v/>
      </c>
      <c r="C904" s="263"/>
      <c r="D904" s="249"/>
      <c r="E904" s="250"/>
      <c r="F904" s="251"/>
      <c r="G904" s="262"/>
      <c r="H904" s="257"/>
      <c r="I904" s="249"/>
      <c r="J904" s="193" t="str">
        <f>IF(OR(ISBLANK($B904),ISBLANK($I904)),"",IFERROR(IF($I904&lt;=DATE('ESTADO CONTABLE'!$B$2,3,5),VLOOKUP($B904,COSTOS!$A$2:$B1014,2,FALSE)-150,VLOOKUP($B904,COSTOS!$A$2:$B1014,2,FALSE)),"No encontrado o error"))</f>
        <v/>
      </c>
      <c r="K904" s="264"/>
      <c r="L904" s="249"/>
      <c r="M904" s="189"/>
      <c r="N904" s="264"/>
      <c r="O904" s="249"/>
      <c r="P904" s="250"/>
      <c r="Q904" s="264"/>
      <c r="R904" s="249"/>
      <c r="S904" s="250"/>
      <c r="T904" s="264"/>
      <c r="U904" s="249"/>
      <c r="V904" s="250"/>
      <c r="W904" s="264"/>
      <c r="X904" s="394"/>
      <c r="Y904" s="429"/>
      <c r="Z904" s="395"/>
      <c r="AA904" s="394"/>
      <c r="AB904" s="118" t="str">
        <f>IF(OR(ISBLANK($B904),ISBLANK($AA904)),"",IFERROR(IF($AA904&lt;=DATE('ESTADO CONTABLE'!$B$2,9,5),VLOOKUP($B904,COSTOS!$A$2:$B1014,2,FALSE)-150,VLOOKUP($B904,COSTOS!$A$2:$B1014,2,FALSE)),"No encontrado o error"))</f>
        <v/>
      </c>
      <c r="AC904" s="395"/>
      <c r="AD904" s="394"/>
      <c r="AE904" s="429" t="str">
        <f>IF(OR(ISBLANK($B904),ISBLANK($AD904)),"",IFERROR(IF($AD904&lt;=DATE('ESTADO CONTABLE'!$B$2,10,5),VLOOKUP($B904,COSTOS!$A$2:$B1014,2,FALSE)-150,VLOOKUP($B904,COSTOS!$A$2:$B1014,2,FALSE)),"No encontrado o error"))</f>
        <v/>
      </c>
      <c r="AF904" s="395"/>
      <c r="AG904" s="394"/>
      <c r="AH904" s="429" t="str">
        <f>IF(OR(ISBLANK($B904),ISBLANK($AG904)),"",IFERROR(IF($AG904&lt;=DATE('ESTADO CONTABLE'!$B$2,11,5),VLOOKUP($B904,COSTOS!$A$2:$B1014,2,FALSE)-150,VLOOKUP($B904,COSTOS!$A$2:$B1014,2,FALSE)),"No encontrado o error"))</f>
        <v/>
      </c>
      <c r="AI904" s="395"/>
      <c r="AJ904" s="394"/>
      <c r="AK904" s="429" t="str">
        <f>IF(OR(ISBLANK($B904),ISBLANK($AJ904)),"",IFERROR(IF($AJ904&lt;=DATE('ESTADO CONTABLE'!$B$2,12,5),VLOOKUP($B904,COSTOS!$A$2:$B1014,2,FALSE)-150,VLOOKUP($B904,COSTOS!$A$2:$B1014,2,FALSE)),"No encontrado o error"))</f>
        <v/>
      </c>
      <c r="AL904" s="395"/>
      <c r="AM904" s="254"/>
      <c r="AN904" s="255"/>
      <c r="AO904" s="256"/>
    </row>
    <row r="905" ht="22.5" customHeight="1">
      <c r="A905" s="431" t="str">
        <f>'BASE DE DATOSS'!A979</f>
        <v/>
      </c>
      <c r="B905" s="432" t="str">
        <f>'BASE DE DATOSS'!C979</f>
        <v/>
      </c>
      <c r="C905" s="263"/>
      <c r="D905" s="249"/>
      <c r="E905" s="250"/>
      <c r="F905" s="251"/>
      <c r="G905" s="262"/>
      <c r="H905" s="257"/>
      <c r="I905" s="249"/>
      <c r="J905" s="193" t="str">
        <f>IF(OR(ISBLANK($B905),ISBLANK($I905)),"",IFERROR(IF($I905&lt;=DATE('ESTADO CONTABLE'!$B$2,3,5),VLOOKUP($B905,COSTOS!$A$2:$B1014,2,FALSE)-150,VLOOKUP($B905,COSTOS!$A$2:$B1014,2,FALSE)),"No encontrado o error"))</f>
        <v/>
      </c>
      <c r="K905" s="264"/>
      <c r="L905" s="249"/>
      <c r="M905" s="189"/>
      <c r="N905" s="264"/>
      <c r="O905" s="249"/>
      <c r="P905" s="250"/>
      <c r="Q905" s="264"/>
      <c r="R905" s="249"/>
      <c r="S905" s="250"/>
      <c r="T905" s="264"/>
      <c r="U905" s="249"/>
      <c r="V905" s="250"/>
      <c r="W905" s="264"/>
      <c r="X905" s="394"/>
      <c r="Y905" s="429"/>
      <c r="Z905" s="395"/>
      <c r="AA905" s="394"/>
      <c r="AB905" s="118" t="str">
        <f>IF(OR(ISBLANK($B905),ISBLANK($AA905)),"",IFERROR(IF($AA905&lt;=DATE('ESTADO CONTABLE'!$B$2,9,5),VLOOKUP($B905,COSTOS!$A$2:$B1014,2,FALSE)-150,VLOOKUP($B905,COSTOS!$A$2:$B1014,2,FALSE)),"No encontrado o error"))</f>
        <v/>
      </c>
      <c r="AC905" s="395"/>
      <c r="AD905" s="394"/>
      <c r="AE905" s="429" t="str">
        <f>IF(OR(ISBLANK($B905),ISBLANK($AD905)),"",IFERROR(IF($AD905&lt;=DATE('ESTADO CONTABLE'!$B$2,10,5),VLOOKUP($B905,COSTOS!$A$2:$B1014,2,FALSE)-150,VLOOKUP($B905,COSTOS!$A$2:$B1014,2,FALSE)),"No encontrado o error"))</f>
        <v/>
      </c>
      <c r="AF905" s="395"/>
      <c r="AG905" s="394"/>
      <c r="AH905" s="429" t="str">
        <f>IF(OR(ISBLANK($B905),ISBLANK($AG905)),"",IFERROR(IF($AG905&lt;=DATE('ESTADO CONTABLE'!$B$2,11,5),VLOOKUP($B905,COSTOS!$A$2:$B1014,2,FALSE)-150,VLOOKUP($B905,COSTOS!$A$2:$B1014,2,FALSE)),"No encontrado o error"))</f>
        <v/>
      </c>
      <c r="AI905" s="395"/>
      <c r="AJ905" s="394"/>
      <c r="AK905" s="429" t="str">
        <f>IF(OR(ISBLANK($B905),ISBLANK($AJ905)),"",IFERROR(IF($AJ905&lt;=DATE('ESTADO CONTABLE'!$B$2,12,5),VLOOKUP($B905,COSTOS!$A$2:$B1014,2,FALSE)-150,VLOOKUP($B905,COSTOS!$A$2:$B1014,2,FALSE)),"No encontrado o error"))</f>
        <v/>
      </c>
      <c r="AL905" s="395"/>
      <c r="AM905" s="254"/>
      <c r="AN905" s="255"/>
      <c r="AO905" s="256"/>
    </row>
    <row r="906" ht="22.5" customHeight="1">
      <c r="A906" s="431" t="str">
        <f>'BASE DE DATOSS'!A980</f>
        <v/>
      </c>
      <c r="B906" s="432" t="str">
        <f>'BASE DE DATOSS'!C980</f>
        <v/>
      </c>
      <c r="C906" s="263"/>
      <c r="D906" s="249"/>
      <c r="E906" s="250"/>
      <c r="F906" s="251"/>
      <c r="G906" s="262"/>
      <c r="H906" s="257"/>
      <c r="I906" s="249"/>
      <c r="J906" s="193" t="str">
        <f>IF(OR(ISBLANK($B906),ISBLANK($I906)),"",IFERROR(IF($I906&lt;=DATE('ESTADO CONTABLE'!$B$2,3,5),VLOOKUP($B906,COSTOS!$A$2:$B1014,2,FALSE)-150,VLOOKUP($B906,COSTOS!$A$2:$B1014,2,FALSE)),"No encontrado o error"))</f>
        <v/>
      </c>
      <c r="K906" s="264"/>
      <c r="L906" s="249"/>
      <c r="M906" s="189"/>
      <c r="N906" s="264"/>
      <c r="O906" s="249"/>
      <c r="P906" s="250"/>
      <c r="Q906" s="264"/>
      <c r="R906" s="249"/>
      <c r="S906" s="250"/>
      <c r="T906" s="264"/>
      <c r="U906" s="249"/>
      <c r="V906" s="250"/>
      <c r="W906" s="264"/>
      <c r="X906" s="394"/>
      <c r="Y906" s="429"/>
      <c r="Z906" s="395"/>
      <c r="AA906" s="394"/>
      <c r="AB906" s="118" t="str">
        <f>IF(OR(ISBLANK($B906),ISBLANK($AA906)),"",IFERROR(IF($AA906&lt;=DATE('ESTADO CONTABLE'!$B$2,9,5),VLOOKUP($B906,COSTOS!$A$2:$B1014,2,FALSE)-150,VLOOKUP($B906,COSTOS!$A$2:$B1014,2,FALSE)),"No encontrado o error"))</f>
        <v/>
      </c>
      <c r="AC906" s="395"/>
      <c r="AD906" s="394"/>
      <c r="AE906" s="429" t="str">
        <f>IF(OR(ISBLANK($B906),ISBLANK($AD906)),"",IFERROR(IF($AD906&lt;=DATE('ESTADO CONTABLE'!$B$2,10,5),VLOOKUP($B906,COSTOS!$A$2:$B1014,2,FALSE)-150,VLOOKUP($B906,COSTOS!$A$2:$B1014,2,FALSE)),"No encontrado o error"))</f>
        <v/>
      </c>
      <c r="AF906" s="395"/>
      <c r="AG906" s="394"/>
      <c r="AH906" s="429" t="str">
        <f>IF(OR(ISBLANK($B906),ISBLANK($AG906)),"",IFERROR(IF($AG906&lt;=DATE('ESTADO CONTABLE'!$B$2,11,5),VLOOKUP($B906,COSTOS!$A$2:$B1014,2,FALSE)-150,VLOOKUP($B906,COSTOS!$A$2:$B1014,2,FALSE)),"No encontrado o error"))</f>
        <v/>
      </c>
      <c r="AI906" s="395"/>
      <c r="AJ906" s="394"/>
      <c r="AK906" s="429" t="str">
        <f>IF(OR(ISBLANK($B906),ISBLANK($AJ906)),"",IFERROR(IF($AJ906&lt;=DATE('ESTADO CONTABLE'!$B$2,12,5),VLOOKUP($B906,COSTOS!$A$2:$B1014,2,FALSE)-150,VLOOKUP($B906,COSTOS!$A$2:$B1014,2,FALSE)),"No encontrado o error"))</f>
        <v/>
      </c>
      <c r="AL906" s="395"/>
      <c r="AM906" s="254"/>
      <c r="AN906" s="255"/>
      <c r="AO906" s="256"/>
    </row>
    <row r="907" ht="22.5" customHeight="1">
      <c r="A907" s="431" t="str">
        <f>'BASE DE DATOSS'!A981</f>
        <v/>
      </c>
      <c r="B907" s="432" t="str">
        <f>'BASE DE DATOSS'!C981</f>
        <v/>
      </c>
      <c r="C907" s="263"/>
      <c r="D907" s="249"/>
      <c r="E907" s="250"/>
      <c r="F907" s="251"/>
      <c r="G907" s="262"/>
      <c r="H907" s="257"/>
      <c r="I907" s="249"/>
      <c r="J907" s="193" t="str">
        <f>IF(OR(ISBLANK($B907),ISBLANK($I907)),"",IFERROR(IF($I907&lt;=DATE('ESTADO CONTABLE'!$B$2,3,5),VLOOKUP($B907,COSTOS!$A$2:$B1014,2,FALSE)-150,VLOOKUP($B907,COSTOS!$A$2:$B1014,2,FALSE)),"No encontrado o error"))</f>
        <v/>
      </c>
      <c r="K907" s="264"/>
      <c r="L907" s="249"/>
      <c r="M907" s="189"/>
      <c r="N907" s="264"/>
      <c r="O907" s="249"/>
      <c r="P907" s="250"/>
      <c r="Q907" s="264"/>
      <c r="R907" s="249"/>
      <c r="S907" s="250"/>
      <c r="T907" s="264"/>
      <c r="U907" s="249"/>
      <c r="V907" s="250"/>
      <c r="W907" s="264"/>
      <c r="X907" s="394"/>
      <c r="Y907" s="429"/>
      <c r="Z907" s="395"/>
      <c r="AA907" s="394"/>
      <c r="AB907" s="118" t="str">
        <f>IF(OR(ISBLANK($B907),ISBLANK($AA907)),"",IFERROR(IF($AA907&lt;=DATE('ESTADO CONTABLE'!$B$2,9,5),VLOOKUP($B907,COSTOS!$A$2:$B1014,2,FALSE)-150,VLOOKUP($B907,COSTOS!$A$2:$B1014,2,FALSE)),"No encontrado o error"))</f>
        <v/>
      </c>
      <c r="AC907" s="395"/>
      <c r="AD907" s="394"/>
      <c r="AE907" s="429" t="str">
        <f>IF(OR(ISBLANK($B907),ISBLANK($AD907)),"",IFERROR(IF($AD907&lt;=DATE('ESTADO CONTABLE'!$B$2,10,5),VLOOKUP($B907,COSTOS!$A$2:$B1014,2,FALSE)-150,VLOOKUP($B907,COSTOS!$A$2:$B1014,2,FALSE)),"No encontrado o error"))</f>
        <v/>
      </c>
      <c r="AF907" s="395"/>
      <c r="AG907" s="394"/>
      <c r="AH907" s="429" t="str">
        <f>IF(OR(ISBLANK($B907),ISBLANK($AG907)),"",IFERROR(IF($AG907&lt;=DATE('ESTADO CONTABLE'!$B$2,11,5),VLOOKUP($B907,COSTOS!$A$2:$B1014,2,FALSE)-150,VLOOKUP($B907,COSTOS!$A$2:$B1014,2,FALSE)),"No encontrado o error"))</f>
        <v/>
      </c>
      <c r="AI907" s="395"/>
      <c r="AJ907" s="394"/>
      <c r="AK907" s="429" t="str">
        <f>IF(OR(ISBLANK($B907),ISBLANK($AJ907)),"",IFERROR(IF($AJ907&lt;=DATE('ESTADO CONTABLE'!$B$2,12,5),VLOOKUP($B907,COSTOS!$A$2:$B1014,2,FALSE)-150,VLOOKUP($B907,COSTOS!$A$2:$B1014,2,FALSE)),"No encontrado o error"))</f>
        <v/>
      </c>
      <c r="AL907" s="395"/>
      <c r="AM907" s="254"/>
      <c r="AN907" s="255"/>
      <c r="AO907" s="256"/>
    </row>
    <row r="908" ht="22.5" customHeight="1">
      <c r="A908" s="431" t="str">
        <f>'BASE DE DATOSS'!A982</f>
        <v/>
      </c>
      <c r="B908" s="432" t="str">
        <f>'BASE DE DATOSS'!C982</f>
        <v/>
      </c>
      <c r="C908" s="263"/>
      <c r="D908" s="249"/>
      <c r="E908" s="250"/>
      <c r="F908" s="251"/>
      <c r="G908" s="262"/>
      <c r="H908" s="257"/>
      <c r="I908" s="249"/>
      <c r="J908" s="193" t="str">
        <f>IF(OR(ISBLANK($B908),ISBLANK($I908)),"",IFERROR(IF($I908&lt;=DATE('ESTADO CONTABLE'!$B$2,3,5),VLOOKUP($B908,COSTOS!$A$2:$B1014,2,FALSE)-150,VLOOKUP($B908,COSTOS!$A$2:$B1014,2,FALSE)),"No encontrado o error"))</f>
        <v/>
      </c>
      <c r="K908" s="264"/>
      <c r="L908" s="249"/>
      <c r="M908" s="189"/>
      <c r="N908" s="264"/>
      <c r="O908" s="249"/>
      <c r="P908" s="250"/>
      <c r="Q908" s="264"/>
      <c r="R908" s="249"/>
      <c r="S908" s="250"/>
      <c r="T908" s="264"/>
      <c r="U908" s="249"/>
      <c r="V908" s="250"/>
      <c r="W908" s="264"/>
      <c r="X908" s="394"/>
      <c r="Y908" s="429"/>
      <c r="Z908" s="395"/>
      <c r="AA908" s="394"/>
      <c r="AB908" s="118" t="str">
        <f>IF(OR(ISBLANK($B908),ISBLANK($AA908)),"",IFERROR(IF($AA908&lt;=DATE('ESTADO CONTABLE'!$B$2,9,5),VLOOKUP($B908,COSTOS!$A$2:$B1014,2,FALSE)-150,VLOOKUP($B908,COSTOS!$A$2:$B1014,2,FALSE)),"No encontrado o error"))</f>
        <v/>
      </c>
      <c r="AC908" s="395"/>
      <c r="AD908" s="394"/>
      <c r="AE908" s="429" t="str">
        <f>IF(OR(ISBLANK($B908),ISBLANK($AD908)),"",IFERROR(IF($AD908&lt;=DATE('ESTADO CONTABLE'!$B$2,10,5),VLOOKUP($B908,COSTOS!$A$2:$B1014,2,FALSE)-150,VLOOKUP($B908,COSTOS!$A$2:$B1014,2,FALSE)),"No encontrado o error"))</f>
        <v/>
      </c>
      <c r="AF908" s="395"/>
      <c r="AG908" s="394"/>
      <c r="AH908" s="429" t="str">
        <f>IF(OR(ISBLANK($B908),ISBLANK($AG908)),"",IFERROR(IF($AG908&lt;=DATE('ESTADO CONTABLE'!$B$2,11,5),VLOOKUP($B908,COSTOS!$A$2:$B1014,2,FALSE)-150,VLOOKUP($B908,COSTOS!$A$2:$B1014,2,FALSE)),"No encontrado o error"))</f>
        <v/>
      </c>
      <c r="AI908" s="395"/>
      <c r="AJ908" s="394"/>
      <c r="AK908" s="429" t="str">
        <f>IF(OR(ISBLANK($B908),ISBLANK($AJ908)),"",IFERROR(IF($AJ908&lt;=DATE('ESTADO CONTABLE'!$B$2,12,5),VLOOKUP($B908,COSTOS!$A$2:$B1014,2,FALSE)-150,VLOOKUP($B908,COSTOS!$A$2:$B1014,2,FALSE)),"No encontrado o error"))</f>
        <v/>
      </c>
      <c r="AL908" s="395"/>
      <c r="AM908" s="254"/>
      <c r="AN908" s="255"/>
      <c r="AO908" s="256"/>
    </row>
    <row r="909" ht="22.5" customHeight="1">
      <c r="A909" s="431" t="str">
        <f>'BASE DE DATOSS'!A983</f>
        <v/>
      </c>
      <c r="B909" s="432" t="str">
        <f>'BASE DE DATOSS'!C983</f>
        <v/>
      </c>
      <c r="C909" s="263"/>
      <c r="D909" s="249"/>
      <c r="E909" s="250"/>
      <c r="F909" s="251"/>
      <c r="G909" s="262"/>
      <c r="H909" s="257"/>
      <c r="I909" s="249"/>
      <c r="J909" s="193" t="str">
        <f>IF(OR(ISBLANK($B909),ISBLANK($I909)),"",IFERROR(IF($I909&lt;=DATE('ESTADO CONTABLE'!$B$2,3,5),VLOOKUP($B909,COSTOS!$A$2:$B1014,2,FALSE)-150,VLOOKUP($B909,COSTOS!$A$2:$B1014,2,FALSE)),"No encontrado o error"))</f>
        <v/>
      </c>
      <c r="K909" s="264"/>
      <c r="L909" s="249"/>
      <c r="M909" s="189"/>
      <c r="N909" s="264"/>
      <c r="O909" s="249"/>
      <c r="P909" s="250"/>
      <c r="Q909" s="264"/>
      <c r="R909" s="249"/>
      <c r="S909" s="250"/>
      <c r="T909" s="264"/>
      <c r="U909" s="249"/>
      <c r="V909" s="250"/>
      <c r="W909" s="264"/>
      <c r="X909" s="394"/>
      <c r="Y909" s="429"/>
      <c r="Z909" s="395"/>
      <c r="AA909" s="394"/>
      <c r="AB909" s="118" t="str">
        <f>IF(OR(ISBLANK($B909),ISBLANK($AA909)),"",IFERROR(IF($AA909&lt;=DATE('ESTADO CONTABLE'!$B$2,9,5),VLOOKUP($B909,COSTOS!$A$2:$B1014,2,FALSE)-150,VLOOKUP($B909,COSTOS!$A$2:$B1014,2,FALSE)),"No encontrado o error"))</f>
        <v/>
      </c>
      <c r="AC909" s="395"/>
      <c r="AD909" s="394"/>
      <c r="AE909" s="429" t="str">
        <f>IF(OR(ISBLANK($B909),ISBLANK($AD909)),"",IFERROR(IF($AD909&lt;=DATE('ESTADO CONTABLE'!$B$2,10,5),VLOOKUP($B909,COSTOS!$A$2:$B1014,2,FALSE)-150,VLOOKUP($B909,COSTOS!$A$2:$B1014,2,FALSE)),"No encontrado o error"))</f>
        <v/>
      </c>
      <c r="AF909" s="395"/>
      <c r="AG909" s="394"/>
      <c r="AH909" s="429" t="str">
        <f>IF(OR(ISBLANK($B909),ISBLANK($AG909)),"",IFERROR(IF($AG909&lt;=DATE('ESTADO CONTABLE'!$B$2,11,5),VLOOKUP($B909,COSTOS!$A$2:$B1014,2,FALSE)-150,VLOOKUP($B909,COSTOS!$A$2:$B1014,2,FALSE)),"No encontrado o error"))</f>
        <v/>
      </c>
      <c r="AI909" s="395"/>
      <c r="AJ909" s="394"/>
      <c r="AK909" s="429" t="str">
        <f>IF(OR(ISBLANK($B909),ISBLANK($AJ909)),"",IFERROR(IF($AJ909&lt;=DATE('ESTADO CONTABLE'!$B$2,12,5),VLOOKUP($B909,COSTOS!$A$2:$B1014,2,FALSE)-150,VLOOKUP($B909,COSTOS!$A$2:$B1014,2,FALSE)),"No encontrado o error"))</f>
        <v/>
      </c>
      <c r="AL909" s="395"/>
      <c r="AM909" s="254"/>
      <c r="AN909" s="255"/>
      <c r="AO909" s="256"/>
    </row>
    <row r="910" ht="22.5" customHeight="1">
      <c r="A910" s="431" t="str">
        <f>'BASE DE DATOSS'!A984</f>
        <v/>
      </c>
      <c r="B910" s="432" t="str">
        <f>'BASE DE DATOSS'!C984</f>
        <v/>
      </c>
      <c r="C910" s="263"/>
      <c r="D910" s="249"/>
      <c r="E910" s="250"/>
      <c r="F910" s="251"/>
      <c r="G910" s="262"/>
      <c r="H910" s="257"/>
      <c r="I910" s="249"/>
      <c r="J910" s="193" t="str">
        <f>IF(OR(ISBLANK($B910),ISBLANK($I910)),"",IFERROR(IF($I910&lt;=DATE('ESTADO CONTABLE'!$B$2,3,5),VLOOKUP($B910,COSTOS!$A$2:$B1014,2,FALSE)-150,VLOOKUP($B910,COSTOS!$A$2:$B1014,2,FALSE)),"No encontrado o error"))</f>
        <v/>
      </c>
      <c r="K910" s="264"/>
      <c r="L910" s="249"/>
      <c r="M910" s="189"/>
      <c r="N910" s="264"/>
      <c r="O910" s="249"/>
      <c r="P910" s="250"/>
      <c r="Q910" s="264"/>
      <c r="R910" s="249"/>
      <c r="S910" s="250"/>
      <c r="T910" s="264"/>
      <c r="U910" s="249"/>
      <c r="V910" s="250"/>
      <c r="W910" s="264"/>
      <c r="X910" s="394"/>
      <c r="Y910" s="429"/>
      <c r="Z910" s="395"/>
      <c r="AA910" s="394"/>
      <c r="AB910" s="118" t="str">
        <f>IF(OR(ISBLANK($B910),ISBLANK($AA910)),"",IFERROR(IF($AA910&lt;=DATE('ESTADO CONTABLE'!$B$2,9,5),VLOOKUP($B910,COSTOS!$A$2:$B1014,2,FALSE)-150,VLOOKUP($B910,COSTOS!$A$2:$B1014,2,FALSE)),"No encontrado o error"))</f>
        <v/>
      </c>
      <c r="AC910" s="395"/>
      <c r="AD910" s="394"/>
      <c r="AE910" s="429" t="str">
        <f>IF(OR(ISBLANK($B910),ISBLANK($AD910)),"",IFERROR(IF($AD910&lt;=DATE('ESTADO CONTABLE'!$B$2,10,5),VLOOKUP($B910,COSTOS!$A$2:$B1014,2,FALSE)-150,VLOOKUP($B910,COSTOS!$A$2:$B1014,2,FALSE)),"No encontrado o error"))</f>
        <v/>
      </c>
      <c r="AF910" s="395"/>
      <c r="AG910" s="394"/>
      <c r="AH910" s="429" t="str">
        <f>IF(OR(ISBLANK($B910),ISBLANK($AG910)),"",IFERROR(IF($AG910&lt;=DATE('ESTADO CONTABLE'!$B$2,11,5),VLOOKUP($B910,COSTOS!$A$2:$B1014,2,FALSE)-150,VLOOKUP($B910,COSTOS!$A$2:$B1014,2,FALSE)),"No encontrado o error"))</f>
        <v/>
      </c>
      <c r="AI910" s="395"/>
      <c r="AJ910" s="394"/>
      <c r="AK910" s="429" t="str">
        <f>IF(OR(ISBLANK($B910),ISBLANK($AJ910)),"",IFERROR(IF($AJ910&lt;=DATE('ESTADO CONTABLE'!$B$2,12,5),VLOOKUP($B910,COSTOS!$A$2:$B1014,2,FALSE)-150,VLOOKUP($B910,COSTOS!$A$2:$B1014,2,FALSE)),"No encontrado o error"))</f>
        <v/>
      </c>
      <c r="AL910" s="395"/>
      <c r="AM910" s="254"/>
      <c r="AN910" s="255"/>
      <c r="AO910" s="256"/>
    </row>
    <row r="911" ht="22.5" customHeight="1">
      <c r="A911" s="431" t="str">
        <f>'BASE DE DATOSS'!A985</f>
        <v/>
      </c>
      <c r="B911" s="432" t="str">
        <f>'BASE DE DATOSS'!C985</f>
        <v/>
      </c>
      <c r="C911" s="263"/>
      <c r="D911" s="249"/>
      <c r="E911" s="250"/>
      <c r="F911" s="251"/>
      <c r="G911" s="262"/>
      <c r="H911" s="257"/>
      <c r="I911" s="249"/>
      <c r="J911" s="193" t="str">
        <f>IF(OR(ISBLANK($B911),ISBLANK($I911)),"",IFERROR(IF($I911&lt;=DATE('ESTADO CONTABLE'!$B$2,3,5),VLOOKUP($B911,COSTOS!$A$2:$B1014,2,FALSE)-150,VLOOKUP($B911,COSTOS!$A$2:$B1014,2,FALSE)),"No encontrado o error"))</f>
        <v/>
      </c>
      <c r="K911" s="264"/>
      <c r="L911" s="249"/>
      <c r="M911" s="189"/>
      <c r="N911" s="264"/>
      <c r="O911" s="249"/>
      <c r="P911" s="250"/>
      <c r="Q911" s="264"/>
      <c r="R911" s="249"/>
      <c r="S911" s="250"/>
      <c r="T911" s="264"/>
      <c r="U911" s="249"/>
      <c r="V911" s="250"/>
      <c r="W911" s="264"/>
      <c r="X911" s="394"/>
      <c r="Y911" s="429"/>
      <c r="Z911" s="395"/>
      <c r="AA911" s="394"/>
      <c r="AB911" s="118" t="str">
        <f>IF(OR(ISBLANK($B911),ISBLANK($AA911)),"",IFERROR(IF($AA911&lt;=DATE('ESTADO CONTABLE'!$B$2,9,5),VLOOKUP($B911,COSTOS!$A$2:$B1014,2,FALSE)-150,VLOOKUP($B911,COSTOS!$A$2:$B1014,2,FALSE)),"No encontrado o error"))</f>
        <v/>
      </c>
      <c r="AC911" s="395"/>
      <c r="AD911" s="394"/>
      <c r="AE911" s="429" t="str">
        <f>IF(OR(ISBLANK($B911),ISBLANK($AD911)),"",IFERROR(IF($AD911&lt;=DATE('ESTADO CONTABLE'!$B$2,10,5),VLOOKUP($B911,COSTOS!$A$2:$B1014,2,FALSE)-150,VLOOKUP($B911,COSTOS!$A$2:$B1014,2,FALSE)),"No encontrado o error"))</f>
        <v/>
      </c>
      <c r="AF911" s="395"/>
      <c r="AG911" s="394"/>
      <c r="AH911" s="429" t="str">
        <f>IF(OR(ISBLANK($B911),ISBLANK($AG911)),"",IFERROR(IF($AG911&lt;=DATE('ESTADO CONTABLE'!$B$2,11,5),VLOOKUP($B911,COSTOS!$A$2:$B1014,2,FALSE)-150,VLOOKUP($B911,COSTOS!$A$2:$B1014,2,FALSE)),"No encontrado o error"))</f>
        <v/>
      </c>
      <c r="AI911" s="395"/>
      <c r="AJ911" s="394"/>
      <c r="AK911" s="429" t="str">
        <f>IF(OR(ISBLANK($B911),ISBLANK($AJ911)),"",IFERROR(IF($AJ911&lt;=DATE('ESTADO CONTABLE'!$B$2,12,5),VLOOKUP($B911,COSTOS!$A$2:$B1014,2,FALSE)-150,VLOOKUP($B911,COSTOS!$A$2:$B1014,2,FALSE)),"No encontrado o error"))</f>
        <v/>
      </c>
      <c r="AL911" s="395"/>
      <c r="AM911" s="254"/>
      <c r="AN911" s="255"/>
      <c r="AO911" s="256"/>
    </row>
    <row r="912" ht="22.5" customHeight="1">
      <c r="A912" s="431" t="str">
        <f>'BASE DE DATOSS'!A986</f>
        <v/>
      </c>
      <c r="B912" s="432" t="str">
        <f>'BASE DE DATOSS'!C986</f>
        <v/>
      </c>
      <c r="C912" s="263"/>
      <c r="D912" s="249"/>
      <c r="E912" s="250"/>
      <c r="F912" s="251"/>
      <c r="G912" s="262"/>
      <c r="H912" s="257"/>
      <c r="I912" s="249"/>
      <c r="J912" s="193" t="str">
        <f>IF(OR(ISBLANK($B912),ISBLANK($I912)),"",IFERROR(IF($I912&lt;=DATE('ESTADO CONTABLE'!$B$2,3,5),VLOOKUP($B912,COSTOS!$A$2:$B1014,2,FALSE)-150,VLOOKUP($B912,COSTOS!$A$2:$B1014,2,FALSE)),"No encontrado o error"))</f>
        <v/>
      </c>
      <c r="K912" s="264"/>
      <c r="L912" s="249"/>
      <c r="M912" s="189"/>
      <c r="N912" s="264"/>
      <c r="O912" s="249"/>
      <c r="P912" s="250"/>
      <c r="Q912" s="264"/>
      <c r="R912" s="249"/>
      <c r="S912" s="250"/>
      <c r="T912" s="264"/>
      <c r="U912" s="249"/>
      <c r="V912" s="250"/>
      <c r="W912" s="264"/>
      <c r="X912" s="394"/>
      <c r="Y912" s="429"/>
      <c r="Z912" s="395"/>
      <c r="AA912" s="394"/>
      <c r="AB912" s="118" t="str">
        <f>IF(OR(ISBLANK($B912),ISBLANK($AA912)),"",IFERROR(IF($AA912&lt;=DATE('ESTADO CONTABLE'!$B$2,9,5),VLOOKUP($B912,COSTOS!$A$2:$B1014,2,FALSE)-150,VLOOKUP($B912,COSTOS!$A$2:$B1014,2,FALSE)),"No encontrado o error"))</f>
        <v/>
      </c>
      <c r="AC912" s="395"/>
      <c r="AD912" s="394"/>
      <c r="AE912" s="429" t="str">
        <f>IF(OR(ISBLANK($B912),ISBLANK($AD912)),"",IFERROR(IF($AD912&lt;=DATE('ESTADO CONTABLE'!$B$2,10,5),VLOOKUP($B912,COSTOS!$A$2:$B1014,2,FALSE)-150,VLOOKUP($B912,COSTOS!$A$2:$B1014,2,FALSE)),"No encontrado o error"))</f>
        <v/>
      </c>
      <c r="AF912" s="395"/>
      <c r="AG912" s="394"/>
      <c r="AH912" s="429" t="str">
        <f>IF(OR(ISBLANK($B912),ISBLANK($AG912)),"",IFERROR(IF($AG912&lt;=DATE('ESTADO CONTABLE'!$B$2,11,5),VLOOKUP($B912,COSTOS!$A$2:$B1014,2,FALSE)-150,VLOOKUP($B912,COSTOS!$A$2:$B1014,2,FALSE)),"No encontrado o error"))</f>
        <v/>
      </c>
      <c r="AI912" s="395"/>
      <c r="AJ912" s="394"/>
      <c r="AK912" s="429" t="str">
        <f>IF(OR(ISBLANK($B912),ISBLANK($AJ912)),"",IFERROR(IF($AJ912&lt;=DATE('ESTADO CONTABLE'!$B$2,12,5),VLOOKUP($B912,COSTOS!$A$2:$B1014,2,FALSE)-150,VLOOKUP($B912,COSTOS!$A$2:$B1014,2,FALSE)),"No encontrado o error"))</f>
        <v/>
      </c>
      <c r="AL912" s="395"/>
      <c r="AM912" s="254"/>
      <c r="AN912" s="255"/>
      <c r="AO912" s="256"/>
    </row>
    <row r="913" ht="22.5" customHeight="1">
      <c r="A913" s="431" t="str">
        <f>'BASE DE DATOSS'!A987</f>
        <v/>
      </c>
      <c r="B913" s="432" t="str">
        <f>'BASE DE DATOSS'!C987</f>
        <v/>
      </c>
      <c r="C913" s="263"/>
      <c r="D913" s="249"/>
      <c r="E913" s="250"/>
      <c r="F913" s="251"/>
      <c r="G913" s="262"/>
      <c r="H913" s="257"/>
      <c r="I913" s="249"/>
      <c r="J913" s="193" t="str">
        <f>IF(OR(ISBLANK($B913),ISBLANK($I913)),"",IFERROR(IF($I913&lt;=DATE('ESTADO CONTABLE'!$B$2,3,5),VLOOKUP($B913,COSTOS!$A$2:$B1014,2,FALSE)-150,VLOOKUP($B913,COSTOS!$A$2:$B1014,2,FALSE)),"No encontrado o error"))</f>
        <v/>
      </c>
      <c r="K913" s="264"/>
      <c r="L913" s="249"/>
      <c r="M913" s="189"/>
      <c r="N913" s="264"/>
      <c r="O913" s="249"/>
      <c r="P913" s="250"/>
      <c r="Q913" s="264"/>
      <c r="R913" s="249"/>
      <c r="S913" s="250"/>
      <c r="T913" s="264"/>
      <c r="U913" s="249"/>
      <c r="V913" s="250"/>
      <c r="W913" s="264"/>
      <c r="X913" s="394"/>
      <c r="Y913" s="429"/>
      <c r="Z913" s="395"/>
      <c r="AA913" s="394"/>
      <c r="AB913" s="118" t="str">
        <f>IF(OR(ISBLANK($B913),ISBLANK($AA913)),"",IFERROR(IF($AA913&lt;=DATE('ESTADO CONTABLE'!$B$2,9,5),VLOOKUP($B913,COSTOS!$A$2:$B1014,2,FALSE)-150,VLOOKUP($B913,COSTOS!$A$2:$B1014,2,FALSE)),"No encontrado o error"))</f>
        <v/>
      </c>
      <c r="AC913" s="395"/>
      <c r="AD913" s="394"/>
      <c r="AE913" s="429" t="str">
        <f>IF(OR(ISBLANK($B913),ISBLANK($AD913)),"",IFERROR(IF($AD913&lt;=DATE('ESTADO CONTABLE'!$B$2,10,5),VLOOKUP($B913,COSTOS!$A$2:$B1014,2,FALSE)-150,VLOOKUP($B913,COSTOS!$A$2:$B1014,2,FALSE)),"No encontrado o error"))</f>
        <v/>
      </c>
      <c r="AF913" s="395"/>
      <c r="AG913" s="394"/>
      <c r="AH913" s="429" t="str">
        <f>IF(OR(ISBLANK($B913),ISBLANK($AG913)),"",IFERROR(IF($AG913&lt;=DATE('ESTADO CONTABLE'!$B$2,11,5),VLOOKUP($B913,COSTOS!$A$2:$B1014,2,FALSE)-150,VLOOKUP($B913,COSTOS!$A$2:$B1014,2,FALSE)),"No encontrado o error"))</f>
        <v/>
      </c>
      <c r="AI913" s="395"/>
      <c r="AJ913" s="394"/>
      <c r="AK913" s="429" t="str">
        <f>IF(OR(ISBLANK($B913),ISBLANK($AJ913)),"",IFERROR(IF($AJ913&lt;=DATE('ESTADO CONTABLE'!$B$2,12,5),VLOOKUP($B913,COSTOS!$A$2:$B1014,2,FALSE)-150,VLOOKUP($B913,COSTOS!$A$2:$B1014,2,FALSE)),"No encontrado o error"))</f>
        <v/>
      </c>
      <c r="AL913" s="395"/>
      <c r="AM913" s="254"/>
      <c r="AN913" s="255"/>
      <c r="AO913" s="256"/>
    </row>
    <row r="914" ht="22.5" customHeight="1">
      <c r="A914" s="431" t="str">
        <f>'BASE DE DATOSS'!A988</f>
        <v/>
      </c>
      <c r="B914" s="432" t="str">
        <f>'BASE DE DATOSS'!C988</f>
        <v/>
      </c>
      <c r="C914" s="263"/>
      <c r="D914" s="249"/>
      <c r="E914" s="250"/>
      <c r="F914" s="251"/>
      <c r="G914" s="262"/>
      <c r="H914" s="257"/>
      <c r="I914" s="249"/>
      <c r="J914" s="193" t="str">
        <f>IF(OR(ISBLANK($B914),ISBLANK($I914)),"",IFERROR(IF($I914&lt;=DATE('ESTADO CONTABLE'!$B$2,3,5),VLOOKUP($B914,COSTOS!$A$2:$B1014,2,FALSE)-150,VLOOKUP($B914,COSTOS!$A$2:$B1014,2,FALSE)),"No encontrado o error"))</f>
        <v/>
      </c>
      <c r="K914" s="264"/>
      <c r="L914" s="249"/>
      <c r="M914" s="189"/>
      <c r="N914" s="264"/>
      <c r="O914" s="249"/>
      <c r="P914" s="250"/>
      <c r="Q914" s="264"/>
      <c r="R914" s="249"/>
      <c r="S914" s="250"/>
      <c r="T914" s="264"/>
      <c r="U914" s="249"/>
      <c r="V914" s="250"/>
      <c r="W914" s="264"/>
      <c r="X914" s="394"/>
      <c r="Y914" s="429"/>
      <c r="Z914" s="395"/>
      <c r="AA914" s="394"/>
      <c r="AB914" s="118" t="str">
        <f>IF(OR(ISBLANK($B914),ISBLANK($AA914)),"",IFERROR(IF($AA914&lt;=DATE('ESTADO CONTABLE'!$B$2,9,5),VLOOKUP($B914,COSTOS!$A$2:$B1014,2,FALSE)-150,VLOOKUP($B914,COSTOS!$A$2:$B1014,2,FALSE)),"No encontrado o error"))</f>
        <v/>
      </c>
      <c r="AC914" s="395"/>
      <c r="AD914" s="394"/>
      <c r="AE914" s="429" t="str">
        <f>IF(OR(ISBLANK($B914),ISBLANK($AD914)),"",IFERROR(IF($AD914&lt;=DATE('ESTADO CONTABLE'!$B$2,10,5),VLOOKUP($B914,COSTOS!$A$2:$B1014,2,FALSE)-150,VLOOKUP($B914,COSTOS!$A$2:$B1014,2,FALSE)),"No encontrado o error"))</f>
        <v/>
      </c>
      <c r="AF914" s="395"/>
      <c r="AG914" s="394"/>
      <c r="AH914" s="429" t="str">
        <f>IF(OR(ISBLANK($B914),ISBLANK($AG914)),"",IFERROR(IF($AG914&lt;=DATE('ESTADO CONTABLE'!$B$2,11,5),VLOOKUP($B914,COSTOS!$A$2:$B1014,2,FALSE)-150,VLOOKUP($B914,COSTOS!$A$2:$B1014,2,FALSE)),"No encontrado o error"))</f>
        <v/>
      </c>
      <c r="AI914" s="395"/>
      <c r="AJ914" s="394"/>
      <c r="AK914" s="429" t="str">
        <f>IF(OR(ISBLANK($B914),ISBLANK($AJ914)),"",IFERROR(IF($AJ914&lt;=DATE('ESTADO CONTABLE'!$B$2,12,5),VLOOKUP($B914,COSTOS!$A$2:$B1014,2,FALSE)-150,VLOOKUP($B914,COSTOS!$A$2:$B1014,2,FALSE)),"No encontrado o error"))</f>
        <v/>
      </c>
      <c r="AL914" s="395"/>
      <c r="AM914" s="254"/>
      <c r="AN914" s="255"/>
      <c r="AO914" s="256"/>
    </row>
    <row r="915" ht="22.5" customHeight="1">
      <c r="A915" s="431" t="str">
        <f>'BASE DE DATOSS'!A989</f>
        <v/>
      </c>
      <c r="B915" s="432" t="str">
        <f>'BASE DE DATOSS'!C989</f>
        <v/>
      </c>
      <c r="C915" s="263"/>
      <c r="D915" s="249"/>
      <c r="E915" s="250"/>
      <c r="F915" s="251"/>
      <c r="G915" s="262"/>
      <c r="H915" s="257"/>
      <c r="I915" s="249"/>
      <c r="J915" s="193" t="str">
        <f>IF(OR(ISBLANK($B915),ISBLANK($I915)),"",IFERROR(IF($I915&lt;=DATE('ESTADO CONTABLE'!$B$2,3,5),VLOOKUP($B915,COSTOS!$A$2:$B1014,2,FALSE)-150,VLOOKUP($B915,COSTOS!$A$2:$B1014,2,FALSE)),"No encontrado o error"))</f>
        <v/>
      </c>
      <c r="K915" s="264"/>
      <c r="L915" s="249"/>
      <c r="M915" s="189"/>
      <c r="N915" s="264"/>
      <c r="O915" s="249"/>
      <c r="P915" s="250"/>
      <c r="Q915" s="264"/>
      <c r="R915" s="249"/>
      <c r="S915" s="250"/>
      <c r="T915" s="264"/>
      <c r="U915" s="249"/>
      <c r="V915" s="250"/>
      <c r="W915" s="264"/>
      <c r="X915" s="394"/>
      <c r="Y915" s="429"/>
      <c r="Z915" s="395"/>
      <c r="AA915" s="394"/>
      <c r="AB915" s="118" t="str">
        <f>IF(OR(ISBLANK($B915),ISBLANK($AA915)),"",IFERROR(IF($AA915&lt;=DATE('ESTADO CONTABLE'!$B$2,9,5),VLOOKUP($B915,COSTOS!$A$2:$B1014,2,FALSE)-150,VLOOKUP($B915,COSTOS!$A$2:$B1014,2,FALSE)),"No encontrado o error"))</f>
        <v/>
      </c>
      <c r="AC915" s="395"/>
      <c r="AD915" s="394"/>
      <c r="AE915" s="429" t="str">
        <f>IF(OR(ISBLANK($B915),ISBLANK($AD915)),"",IFERROR(IF($AD915&lt;=DATE('ESTADO CONTABLE'!$B$2,10,5),VLOOKUP($B915,COSTOS!$A$2:$B1014,2,FALSE)-150,VLOOKUP($B915,COSTOS!$A$2:$B1014,2,FALSE)),"No encontrado o error"))</f>
        <v/>
      </c>
      <c r="AF915" s="395"/>
      <c r="AG915" s="394"/>
      <c r="AH915" s="429" t="str">
        <f>IF(OR(ISBLANK($B915),ISBLANK($AG915)),"",IFERROR(IF($AG915&lt;=DATE('ESTADO CONTABLE'!$B$2,11,5),VLOOKUP($B915,COSTOS!$A$2:$B1014,2,FALSE)-150,VLOOKUP($B915,COSTOS!$A$2:$B1014,2,FALSE)),"No encontrado o error"))</f>
        <v/>
      </c>
      <c r="AI915" s="395"/>
      <c r="AJ915" s="394"/>
      <c r="AK915" s="429" t="str">
        <f>IF(OR(ISBLANK($B915),ISBLANK($AJ915)),"",IFERROR(IF($AJ915&lt;=DATE('ESTADO CONTABLE'!$B$2,12,5),VLOOKUP($B915,COSTOS!$A$2:$B1014,2,FALSE)-150,VLOOKUP($B915,COSTOS!$A$2:$B1014,2,FALSE)),"No encontrado o error"))</f>
        <v/>
      </c>
      <c r="AL915" s="395"/>
      <c r="AM915" s="254"/>
      <c r="AN915" s="255"/>
      <c r="AO915" s="256"/>
    </row>
    <row r="916" ht="22.5" customHeight="1">
      <c r="A916" s="431" t="str">
        <f>'BASE DE DATOSS'!A990</f>
        <v/>
      </c>
      <c r="B916" s="432" t="str">
        <f>'BASE DE DATOSS'!C990</f>
        <v/>
      </c>
      <c r="C916" s="263"/>
      <c r="D916" s="249"/>
      <c r="E916" s="250"/>
      <c r="F916" s="251"/>
      <c r="G916" s="262"/>
      <c r="H916" s="257"/>
      <c r="I916" s="249"/>
      <c r="J916" s="193" t="str">
        <f>IF(OR(ISBLANK($B916),ISBLANK($I916)),"",IFERROR(IF($I916&lt;=DATE('ESTADO CONTABLE'!$B$2,3,5),VLOOKUP($B916,COSTOS!$A$2:$B1014,2,FALSE)-150,VLOOKUP($B916,COSTOS!$A$2:$B1014,2,FALSE)),"No encontrado o error"))</f>
        <v/>
      </c>
      <c r="K916" s="264"/>
      <c r="L916" s="249"/>
      <c r="M916" s="189"/>
      <c r="N916" s="264"/>
      <c r="O916" s="249"/>
      <c r="P916" s="250"/>
      <c r="Q916" s="264"/>
      <c r="R916" s="249"/>
      <c r="S916" s="250"/>
      <c r="T916" s="264"/>
      <c r="U916" s="249"/>
      <c r="V916" s="250"/>
      <c r="W916" s="264"/>
      <c r="X916" s="394"/>
      <c r="Y916" s="429"/>
      <c r="Z916" s="395"/>
      <c r="AA916" s="394"/>
      <c r="AB916" s="118" t="str">
        <f>IF(OR(ISBLANK($B916),ISBLANK($AA916)),"",IFERROR(IF($AA916&lt;=DATE('ESTADO CONTABLE'!$B$2,9,5),VLOOKUP($B916,COSTOS!$A$2:$B1014,2,FALSE)-150,VLOOKUP($B916,COSTOS!$A$2:$B1014,2,FALSE)),"No encontrado o error"))</f>
        <v/>
      </c>
      <c r="AC916" s="395"/>
      <c r="AD916" s="394"/>
      <c r="AE916" s="429" t="str">
        <f>IF(OR(ISBLANK($B916),ISBLANK($AD916)),"",IFERROR(IF($AD916&lt;=DATE('ESTADO CONTABLE'!$B$2,10,5),VLOOKUP($B916,COSTOS!$A$2:$B1014,2,FALSE)-150,VLOOKUP($B916,COSTOS!$A$2:$B1014,2,FALSE)),"No encontrado o error"))</f>
        <v/>
      </c>
      <c r="AF916" s="395"/>
      <c r="AG916" s="394"/>
      <c r="AH916" s="429" t="str">
        <f>IF(OR(ISBLANK($B916),ISBLANK($AG916)),"",IFERROR(IF($AG916&lt;=DATE('ESTADO CONTABLE'!$B$2,11,5),VLOOKUP($B916,COSTOS!$A$2:$B1014,2,FALSE)-150,VLOOKUP($B916,COSTOS!$A$2:$B1014,2,FALSE)),"No encontrado o error"))</f>
        <v/>
      </c>
      <c r="AI916" s="395"/>
      <c r="AJ916" s="394"/>
      <c r="AK916" s="429" t="str">
        <f>IF(OR(ISBLANK($B916),ISBLANK($AJ916)),"",IFERROR(IF($AJ916&lt;=DATE('ESTADO CONTABLE'!$B$2,12,5),VLOOKUP($B916,COSTOS!$A$2:$B1014,2,FALSE)-150,VLOOKUP($B916,COSTOS!$A$2:$B1014,2,FALSE)),"No encontrado o error"))</f>
        <v/>
      </c>
      <c r="AL916" s="395"/>
      <c r="AM916" s="254"/>
      <c r="AN916" s="255"/>
      <c r="AO916" s="256"/>
    </row>
    <row r="917" ht="22.5" customHeight="1">
      <c r="A917" s="431" t="str">
        <f>'BASE DE DATOSS'!A991</f>
        <v/>
      </c>
      <c r="B917" s="432" t="str">
        <f>'BASE DE DATOSS'!C991</f>
        <v/>
      </c>
      <c r="C917" s="263"/>
      <c r="D917" s="249"/>
      <c r="E917" s="250"/>
      <c r="F917" s="251"/>
      <c r="G917" s="262"/>
      <c r="H917" s="257"/>
      <c r="I917" s="249"/>
      <c r="J917" s="193" t="str">
        <f>IF(OR(ISBLANK($B917),ISBLANK($I917)),"",IFERROR(IF($I917&lt;=DATE('ESTADO CONTABLE'!$B$2,3,5),VLOOKUP($B917,COSTOS!$A$2:$B1014,2,FALSE)-150,VLOOKUP($B917,COSTOS!$A$2:$B1014,2,FALSE)),"No encontrado o error"))</f>
        <v/>
      </c>
      <c r="K917" s="264"/>
      <c r="L917" s="249"/>
      <c r="M917" s="189"/>
      <c r="N917" s="264"/>
      <c r="O917" s="249"/>
      <c r="P917" s="250"/>
      <c r="Q917" s="264"/>
      <c r="R917" s="249"/>
      <c r="S917" s="250"/>
      <c r="T917" s="264"/>
      <c r="U917" s="249"/>
      <c r="V917" s="250"/>
      <c r="W917" s="264"/>
      <c r="X917" s="394"/>
      <c r="Y917" s="429"/>
      <c r="Z917" s="395"/>
      <c r="AA917" s="394"/>
      <c r="AB917" s="118" t="str">
        <f>IF(OR(ISBLANK($B917),ISBLANK($AA917)),"",IFERROR(IF($AA917&lt;=DATE('ESTADO CONTABLE'!$B$2,9,5),VLOOKUP($B917,COSTOS!$A$2:$B1014,2,FALSE)-150,VLOOKUP($B917,COSTOS!$A$2:$B1014,2,FALSE)),"No encontrado o error"))</f>
        <v/>
      </c>
      <c r="AC917" s="395"/>
      <c r="AD917" s="394"/>
      <c r="AE917" s="429" t="str">
        <f>IF(OR(ISBLANK($B917),ISBLANK($AD917)),"",IFERROR(IF($AD917&lt;=DATE('ESTADO CONTABLE'!$B$2,10,5),VLOOKUP($B917,COSTOS!$A$2:$B1014,2,FALSE)-150,VLOOKUP($B917,COSTOS!$A$2:$B1014,2,FALSE)),"No encontrado o error"))</f>
        <v/>
      </c>
      <c r="AF917" s="395"/>
      <c r="AG917" s="394"/>
      <c r="AH917" s="429" t="str">
        <f>IF(OR(ISBLANK($B917),ISBLANK($AG917)),"",IFERROR(IF($AG917&lt;=DATE('ESTADO CONTABLE'!$B$2,11,5),VLOOKUP($B917,COSTOS!$A$2:$B1014,2,FALSE)-150,VLOOKUP($B917,COSTOS!$A$2:$B1014,2,FALSE)),"No encontrado o error"))</f>
        <v/>
      </c>
      <c r="AI917" s="395"/>
      <c r="AJ917" s="394"/>
      <c r="AK917" s="429" t="str">
        <f>IF(OR(ISBLANK($B917),ISBLANK($AJ917)),"",IFERROR(IF($AJ917&lt;=DATE('ESTADO CONTABLE'!$B$2,12,5),VLOOKUP($B917,COSTOS!$A$2:$B1014,2,FALSE)-150,VLOOKUP($B917,COSTOS!$A$2:$B1014,2,FALSE)),"No encontrado o error"))</f>
        <v/>
      </c>
      <c r="AL917" s="395"/>
      <c r="AM917" s="254"/>
      <c r="AN917" s="255"/>
      <c r="AO917" s="256"/>
    </row>
    <row r="918" ht="22.5" customHeight="1">
      <c r="A918" s="431" t="str">
        <f>'BASE DE DATOSS'!A992</f>
        <v/>
      </c>
      <c r="B918" s="432" t="str">
        <f>'BASE DE DATOSS'!C992</f>
        <v/>
      </c>
      <c r="C918" s="263"/>
      <c r="D918" s="249"/>
      <c r="E918" s="250"/>
      <c r="F918" s="251"/>
      <c r="G918" s="262"/>
      <c r="H918" s="257"/>
      <c r="I918" s="249"/>
      <c r="J918" s="193" t="str">
        <f>IF(OR(ISBLANK($B918),ISBLANK($I918)),"",IFERROR(IF($I918&lt;=DATE('ESTADO CONTABLE'!$B$2,3,5),VLOOKUP($B918,COSTOS!$A$2:$B1014,2,FALSE)-150,VLOOKUP($B918,COSTOS!$A$2:$B1014,2,FALSE)),"No encontrado o error"))</f>
        <v/>
      </c>
      <c r="K918" s="264"/>
      <c r="L918" s="249"/>
      <c r="M918" s="189"/>
      <c r="N918" s="264"/>
      <c r="O918" s="249"/>
      <c r="P918" s="250"/>
      <c r="Q918" s="264"/>
      <c r="R918" s="249"/>
      <c r="S918" s="250"/>
      <c r="T918" s="264"/>
      <c r="U918" s="249"/>
      <c r="V918" s="250"/>
      <c r="W918" s="264"/>
      <c r="X918" s="394"/>
      <c r="Y918" s="429"/>
      <c r="Z918" s="395"/>
      <c r="AA918" s="394"/>
      <c r="AB918" s="118" t="str">
        <f>IF(OR(ISBLANK($B918),ISBLANK($AA918)),"",IFERROR(IF($AA918&lt;=DATE('ESTADO CONTABLE'!$B$2,9,5),VLOOKUP($B918,COSTOS!$A$2:$B1014,2,FALSE)-150,VLOOKUP($B918,COSTOS!$A$2:$B1014,2,FALSE)),"No encontrado o error"))</f>
        <v/>
      </c>
      <c r="AC918" s="395"/>
      <c r="AD918" s="394"/>
      <c r="AE918" s="429" t="str">
        <f>IF(OR(ISBLANK($B918),ISBLANK($AD918)),"",IFERROR(IF($AD918&lt;=DATE('ESTADO CONTABLE'!$B$2,10,5),VLOOKUP($B918,COSTOS!$A$2:$B1014,2,FALSE)-150,VLOOKUP($B918,COSTOS!$A$2:$B1014,2,FALSE)),"No encontrado o error"))</f>
        <v/>
      </c>
      <c r="AF918" s="395"/>
      <c r="AG918" s="394"/>
      <c r="AH918" s="429" t="str">
        <f>IF(OR(ISBLANK($B918),ISBLANK($AG918)),"",IFERROR(IF($AG918&lt;=DATE('ESTADO CONTABLE'!$B$2,11,5),VLOOKUP($B918,COSTOS!$A$2:$B1014,2,FALSE)-150,VLOOKUP($B918,COSTOS!$A$2:$B1014,2,FALSE)),"No encontrado o error"))</f>
        <v/>
      </c>
      <c r="AI918" s="395"/>
      <c r="AJ918" s="394"/>
      <c r="AK918" s="429" t="str">
        <f>IF(OR(ISBLANK($B918),ISBLANK($AJ918)),"",IFERROR(IF($AJ918&lt;=DATE('ESTADO CONTABLE'!$B$2,12,5),VLOOKUP($B918,COSTOS!$A$2:$B1014,2,FALSE)-150,VLOOKUP($B918,COSTOS!$A$2:$B1014,2,FALSE)),"No encontrado o error"))</f>
        <v/>
      </c>
      <c r="AL918" s="395"/>
      <c r="AM918" s="254"/>
      <c r="AN918" s="255"/>
      <c r="AO918" s="256"/>
    </row>
    <row r="919" ht="22.5" customHeight="1">
      <c r="A919" s="431" t="str">
        <f>'BASE DE DATOSS'!A993</f>
        <v/>
      </c>
      <c r="B919" s="432" t="str">
        <f>'BASE DE DATOSS'!C993</f>
        <v/>
      </c>
      <c r="C919" s="263"/>
      <c r="D919" s="249"/>
      <c r="E919" s="250"/>
      <c r="F919" s="251"/>
      <c r="G919" s="262"/>
      <c r="H919" s="257"/>
      <c r="I919" s="249"/>
      <c r="J919" s="193" t="str">
        <f>IF(OR(ISBLANK($B919),ISBLANK($I919)),"",IFERROR(IF($I919&lt;=DATE('ESTADO CONTABLE'!$B$2,3,5),VLOOKUP($B919,COSTOS!$A$2:$B1014,2,FALSE)-150,VLOOKUP($B919,COSTOS!$A$2:$B1014,2,FALSE)),"No encontrado o error"))</f>
        <v/>
      </c>
      <c r="K919" s="264"/>
      <c r="L919" s="249"/>
      <c r="M919" s="189"/>
      <c r="N919" s="264"/>
      <c r="O919" s="249"/>
      <c r="P919" s="250"/>
      <c r="Q919" s="264"/>
      <c r="R919" s="249"/>
      <c r="S919" s="250"/>
      <c r="T919" s="264"/>
      <c r="U919" s="249"/>
      <c r="V919" s="250"/>
      <c r="W919" s="264"/>
      <c r="X919" s="394"/>
      <c r="Y919" s="429"/>
      <c r="Z919" s="395"/>
      <c r="AA919" s="394"/>
      <c r="AB919" s="118" t="str">
        <f>IF(OR(ISBLANK($B919),ISBLANK($AA919)),"",IFERROR(IF($AA919&lt;=DATE('ESTADO CONTABLE'!$B$2,9,5),VLOOKUP($B919,COSTOS!$A$2:$B1014,2,FALSE)-150,VLOOKUP($B919,COSTOS!$A$2:$B1014,2,FALSE)),"No encontrado o error"))</f>
        <v/>
      </c>
      <c r="AC919" s="395"/>
      <c r="AD919" s="394"/>
      <c r="AE919" s="429" t="str">
        <f>IF(OR(ISBLANK($B919),ISBLANK($AD919)),"",IFERROR(IF($AD919&lt;=DATE('ESTADO CONTABLE'!$B$2,10,5),VLOOKUP($B919,COSTOS!$A$2:$B1014,2,FALSE)-150,VLOOKUP($B919,COSTOS!$A$2:$B1014,2,FALSE)),"No encontrado o error"))</f>
        <v/>
      </c>
      <c r="AF919" s="395"/>
      <c r="AG919" s="394"/>
      <c r="AH919" s="429" t="str">
        <f>IF(OR(ISBLANK($B919),ISBLANK($AG919)),"",IFERROR(IF($AG919&lt;=DATE('ESTADO CONTABLE'!$B$2,11,5),VLOOKUP($B919,COSTOS!$A$2:$B1014,2,FALSE)-150,VLOOKUP($B919,COSTOS!$A$2:$B1014,2,FALSE)),"No encontrado o error"))</f>
        <v/>
      </c>
      <c r="AI919" s="395"/>
      <c r="AJ919" s="394"/>
      <c r="AK919" s="429" t="str">
        <f>IF(OR(ISBLANK($B919),ISBLANK($AJ919)),"",IFERROR(IF($AJ919&lt;=DATE('ESTADO CONTABLE'!$B$2,12,5),VLOOKUP($B919,COSTOS!$A$2:$B1014,2,FALSE)-150,VLOOKUP($B919,COSTOS!$A$2:$B1014,2,FALSE)),"No encontrado o error"))</f>
        <v/>
      </c>
      <c r="AL919" s="395"/>
      <c r="AM919" s="254"/>
      <c r="AN919" s="255"/>
      <c r="AO919" s="256"/>
    </row>
    <row r="920" ht="22.5" customHeight="1">
      <c r="A920" s="431" t="str">
        <f>'BASE DE DATOSS'!A994</f>
        <v/>
      </c>
      <c r="B920" s="432" t="str">
        <f>'BASE DE DATOSS'!C994</f>
        <v/>
      </c>
      <c r="C920" s="263"/>
      <c r="D920" s="249"/>
      <c r="E920" s="250"/>
      <c r="F920" s="251"/>
      <c r="G920" s="262"/>
      <c r="H920" s="257"/>
      <c r="I920" s="249"/>
      <c r="J920" s="193" t="str">
        <f>IF(OR(ISBLANK($B920),ISBLANK($I920)),"",IFERROR(IF($I920&lt;=DATE('ESTADO CONTABLE'!$B$2,3,5),VLOOKUP($B920,COSTOS!$A$2:$B1014,2,FALSE)-150,VLOOKUP($B920,COSTOS!$A$2:$B1014,2,FALSE)),"No encontrado o error"))</f>
        <v/>
      </c>
      <c r="K920" s="264"/>
      <c r="L920" s="249"/>
      <c r="M920" s="189"/>
      <c r="N920" s="264"/>
      <c r="O920" s="249"/>
      <c r="P920" s="250"/>
      <c r="Q920" s="264"/>
      <c r="R920" s="249"/>
      <c r="S920" s="250"/>
      <c r="T920" s="264"/>
      <c r="U920" s="249"/>
      <c r="V920" s="250"/>
      <c r="W920" s="264"/>
      <c r="X920" s="394"/>
      <c r="Y920" s="429"/>
      <c r="Z920" s="395"/>
      <c r="AA920" s="394"/>
      <c r="AB920" s="118" t="str">
        <f>IF(OR(ISBLANK($B920),ISBLANK($AA920)),"",IFERROR(IF($AA920&lt;=DATE('ESTADO CONTABLE'!$B$2,9,5),VLOOKUP($B920,COSTOS!$A$2:$B1014,2,FALSE)-150,VLOOKUP($B920,COSTOS!$A$2:$B1014,2,FALSE)),"No encontrado o error"))</f>
        <v/>
      </c>
      <c r="AC920" s="395"/>
      <c r="AD920" s="394"/>
      <c r="AE920" s="429" t="str">
        <f>IF(OR(ISBLANK($B920),ISBLANK($AD920)),"",IFERROR(IF($AD920&lt;=DATE('ESTADO CONTABLE'!$B$2,10,5),VLOOKUP($B920,COSTOS!$A$2:$B1014,2,FALSE)-150,VLOOKUP($B920,COSTOS!$A$2:$B1014,2,FALSE)),"No encontrado o error"))</f>
        <v/>
      </c>
      <c r="AF920" s="395"/>
      <c r="AG920" s="394"/>
      <c r="AH920" s="429" t="str">
        <f>IF(OR(ISBLANK($B920),ISBLANK($AG920)),"",IFERROR(IF($AG920&lt;=DATE('ESTADO CONTABLE'!$B$2,11,5),VLOOKUP($B920,COSTOS!$A$2:$B1014,2,FALSE)-150,VLOOKUP($B920,COSTOS!$A$2:$B1014,2,FALSE)),"No encontrado o error"))</f>
        <v/>
      </c>
      <c r="AI920" s="395"/>
      <c r="AJ920" s="394"/>
      <c r="AK920" s="429" t="str">
        <f>IF(OR(ISBLANK($B920),ISBLANK($AJ920)),"",IFERROR(IF($AJ920&lt;=DATE('ESTADO CONTABLE'!$B$2,12,5),VLOOKUP($B920,COSTOS!$A$2:$B1014,2,FALSE)-150,VLOOKUP($B920,COSTOS!$A$2:$B1014,2,FALSE)),"No encontrado o error"))</f>
        <v/>
      </c>
      <c r="AL920" s="395"/>
      <c r="AM920" s="254"/>
      <c r="AN920" s="255"/>
      <c r="AO920" s="256"/>
    </row>
    <row r="921" ht="22.5" customHeight="1">
      <c r="A921" s="431" t="str">
        <f>'BASE DE DATOSS'!A995</f>
        <v/>
      </c>
      <c r="B921" s="432" t="str">
        <f>'BASE DE DATOSS'!C995</f>
        <v/>
      </c>
      <c r="C921" s="263"/>
      <c r="D921" s="249"/>
      <c r="E921" s="250"/>
      <c r="F921" s="251"/>
      <c r="G921" s="262"/>
      <c r="H921" s="257"/>
      <c r="I921" s="249"/>
      <c r="J921" s="193" t="str">
        <f>IF(OR(ISBLANK($B921),ISBLANK($I921)),"",IFERROR(IF($I921&lt;=DATE('ESTADO CONTABLE'!$B$2,3,5),VLOOKUP($B921,COSTOS!$A$2:$B1014,2,FALSE)-150,VLOOKUP($B921,COSTOS!$A$2:$B1014,2,FALSE)),"No encontrado o error"))</f>
        <v/>
      </c>
      <c r="K921" s="264"/>
      <c r="L921" s="249"/>
      <c r="M921" s="189"/>
      <c r="N921" s="264"/>
      <c r="O921" s="249"/>
      <c r="P921" s="250"/>
      <c r="Q921" s="264"/>
      <c r="R921" s="249"/>
      <c r="S921" s="250"/>
      <c r="T921" s="264"/>
      <c r="U921" s="249"/>
      <c r="V921" s="250"/>
      <c r="W921" s="264"/>
      <c r="X921" s="394"/>
      <c r="Y921" s="429"/>
      <c r="Z921" s="395"/>
      <c r="AA921" s="394"/>
      <c r="AB921" s="118" t="str">
        <f>IF(OR(ISBLANK($B921),ISBLANK($AA921)),"",IFERROR(IF($AA921&lt;=DATE('ESTADO CONTABLE'!$B$2,9,5),VLOOKUP($B921,COSTOS!$A$2:$B1014,2,FALSE)-150,VLOOKUP($B921,COSTOS!$A$2:$B1014,2,FALSE)),"No encontrado o error"))</f>
        <v/>
      </c>
      <c r="AC921" s="395"/>
      <c r="AD921" s="394"/>
      <c r="AE921" s="429" t="str">
        <f>IF(OR(ISBLANK($B921),ISBLANK($AD921)),"",IFERROR(IF($AD921&lt;=DATE('ESTADO CONTABLE'!$B$2,10,5),VLOOKUP($B921,COSTOS!$A$2:$B1014,2,FALSE)-150,VLOOKUP($B921,COSTOS!$A$2:$B1014,2,FALSE)),"No encontrado o error"))</f>
        <v/>
      </c>
      <c r="AF921" s="395"/>
      <c r="AG921" s="394"/>
      <c r="AH921" s="429" t="str">
        <f>IF(OR(ISBLANK($B921),ISBLANK($AG921)),"",IFERROR(IF($AG921&lt;=DATE('ESTADO CONTABLE'!$B$2,11,5),VLOOKUP($B921,COSTOS!$A$2:$B1014,2,FALSE)-150,VLOOKUP($B921,COSTOS!$A$2:$B1014,2,FALSE)),"No encontrado o error"))</f>
        <v/>
      </c>
      <c r="AI921" s="395"/>
      <c r="AJ921" s="394"/>
      <c r="AK921" s="429" t="str">
        <f>IF(OR(ISBLANK($B921),ISBLANK($AJ921)),"",IFERROR(IF($AJ921&lt;=DATE('ESTADO CONTABLE'!$B$2,12,5),VLOOKUP($B921,COSTOS!$A$2:$B1014,2,FALSE)-150,VLOOKUP($B921,COSTOS!$A$2:$B1014,2,FALSE)),"No encontrado o error"))</f>
        <v/>
      </c>
      <c r="AL921" s="395"/>
      <c r="AM921" s="254"/>
      <c r="AN921" s="255"/>
      <c r="AO921" s="256"/>
    </row>
    <row r="922" ht="22.5" customHeight="1">
      <c r="A922" s="431" t="str">
        <f>'BASE DE DATOSS'!A996</f>
        <v/>
      </c>
      <c r="B922" s="432" t="str">
        <f>'BASE DE DATOSS'!C996</f>
        <v/>
      </c>
      <c r="C922" s="263"/>
      <c r="D922" s="249"/>
      <c r="E922" s="250"/>
      <c r="F922" s="251"/>
      <c r="G922" s="262"/>
      <c r="H922" s="257"/>
      <c r="I922" s="249"/>
      <c r="J922" s="193" t="str">
        <f>IF(OR(ISBLANK($B922),ISBLANK($I922)),"",IFERROR(IF($I922&lt;=DATE('ESTADO CONTABLE'!$B$2,3,5),VLOOKUP($B922,COSTOS!$A$2:$B1014,2,FALSE)-150,VLOOKUP($B922,COSTOS!$A$2:$B1014,2,FALSE)),"No encontrado o error"))</f>
        <v/>
      </c>
      <c r="K922" s="264"/>
      <c r="L922" s="249"/>
      <c r="M922" s="189"/>
      <c r="N922" s="264"/>
      <c r="O922" s="249"/>
      <c r="P922" s="250"/>
      <c r="Q922" s="264"/>
      <c r="R922" s="249"/>
      <c r="S922" s="250"/>
      <c r="T922" s="264"/>
      <c r="U922" s="249"/>
      <c r="V922" s="250"/>
      <c r="W922" s="264"/>
      <c r="X922" s="394"/>
      <c r="Y922" s="429"/>
      <c r="Z922" s="395"/>
      <c r="AA922" s="394"/>
      <c r="AB922" s="118" t="str">
        <f>IF(OR(ISBLANK($B922),ISBLANK($AA922)),"",IFERROR(IF($AA922&lt;=DATE('ESTADO CONTABLE'!$B$2,9,5),VLOOKUP($B922,COSTOS!$A$2:$B1014,2,FALSE)-150,VLOOKUP($B922,COSTOS!$A$2:$B1014,2,FALSE)),"No encontrado o error"))</f>
        <v/>
      </c>
      <c r="AC922" s="395"/>
      <c r="AD922" s="394"/>
      <c r="AE922" s="429" t="str">
        <f>IF(OR(ISBLANK($B922),ISBLANK($AD922)),"",IFERROR(IF($AD922&lt;=DATE('ESTADO CONTABLE'!$B$2,10,5),VLOOKUP($B922,COSTOS!$A$2:$B1014,2,FALSE)-150,VLOOKUP($B922,COSTOS!$A$2:$B1014,2,FALSE)),"No encontrado o error"))</f>
        <v/>
      </c>
      <c r="AF922" s="395"/>
      <c r="AG922" s="394"/>
      <c r="AH922" s="429" t="str">
        <f>IF(OR(ISBLANK($B922),ISBLANK($AG922)),"",IFERROR(IF($AG922&lt;=DATE('ESTADO CONTABLE'!$B$2,11,5),VLOOKUP($B922,COSTOS!$A$2:$B1014,2,FALSE)-150,VLOOKUP($B922,COSTOS!$A$2:$B1014,2,FALSE)),"No encontrado o error"))</f>
        <v/>
      </c>
      <c r="AI922" s="395"/>
      <c r="AJ922" s="394"/>
      <c r="AK922" s="429" t="str">
        <f>IF(OR(ISBLANK($B922),ISBLANK($AJ922)),"",IFERROR(IF($AJ922&lt;=DATE('ESTADO CONTABLE'!$B$2,12,5),VLOOKUP($B922,COSTOS!$A$2:$B1014,2,FALSE)-150,VLOOKUP($B922,COSTOS!$A$2:$B1014,2,FALSE)),"No encontrado o error"))</f>
        <v/>
      </c>
      <c r="AL922" s="395"/>
      <c r="AM922" s="254"/>
      <c r="AN922" s="255"/>
      <c r="AO922" s="256"/>
    </row>
    <row r="923" ht="22.5" customHeight="1">
      <c r="A923" s="431" t="str">
        <f>'BASE DE DATOSS'!A997</f>
        <v/>
      </c>
      <c r="B923" s="432" t="str">
        <f>'BASE DE DATOSS'!C997</f>
        <v/>
      </c>
      <c r="C923" s="263"/>
      <c r="D923" s="249"/>
      <c r="E923" s="250"/>
      <c r="F923" s="251"/>
      <c r="G923" s="262"/>
      <c r="H923" s="257"/>
      <c r="I923" s="249"/>
      <c r="J923" s="193" t="str">
        <f>IF(OR(ISBLANK($B923),ISBLANK($I923)),"",IFERROR(IF($I923&lt;=DATE('ESTADO CONTABLE'!$B$2,3,5),VLOOKUP($B923,COSTOS!$A$2:$B1014,2,FALSE)-150,VLOOKUP($B923,COSTOS!$A$2:$B1014,2,FALSE)),"No encontrado o error"))</f>
        <v/>
      </c>
      <c r="K923" s="264"/>
      <c r="L923" s="249"/>
      <c r="M923" s="189"/>
      <c r="N923" s="264"/>
      <c r="O923" s="249"/>
      <c r="P923" s="250"/>
      <c r="Q923" s="264"/>
      <c r="R923" s="249"/>
      <c r="S923" s="250"/>
      <c r="T923" s="264"/>
      <c r="U923" s="249"/>
      <c r="V923" s="250"/>
      <c r="W923" s="264"/>
      <c r="X923" s="394"/>
      <c r="Y923" s="429"/>
      <c r="Z923" s="395"/>
      <c r="AA923" s="394"/>
      <c r="AB923" s="118" t="str">
        <f>IF(OR(ISBLANK($B923),ISBLANK($AA923)),"",IFERROR(IF($AA923&lt;=DATE('ESTADO CONTABLE'!$B$2,9,5),VLOOKUP($B923,COSTOS!$A$2:$B1014,2,FALSE)-150,VLOOKUP($B923,COSTOS!$A$2:$B1014,2,FALSE)),"No encontrado o error"))</f>
        <v/>
      </c>
      <c r="AC923" s="395"/>
      <c r="AD923" s="394"/>
      <c r="AE923" s="429" t="str">
        <f>IF(OR(ISBLANK($B923),ISBLANK($AD923)),"",IFERROR(IF($AD923&lt;=DATE('ESTADO CONTABLE'!$B$2,10,5),VLOOKUP($B923,COSTOS!$A$2:$B1014,2,FALSE)-150,VLOOKUP($B923,COSTOS!$A$2:$B1014,2,FALSE)),"No encontrado o error"))</f>
        <v/>
      </c>
      <c r="AF923" s="395"/>
      <c r="AG923" s="394"/>
      <c r="AH923" s="429" t="str">
        <f>IF(OR(ISBLANK($B923),ISBLANK($AG923)),"",IFERROR(IF($AG923&lt;=DATE('ESTADO CONTABLE'!$B$2,11,5),VLOOKUP($B923,COSTOS!$A$2:$B1014,2,FALSE)-150,VLOOKUP($B923,COSTOS!$A$2:$B1014,2,FALSE)),"No encontrado o error"))</f>
        <v/>
      </c>
      <c r="AI923" s="395"/>
      <c r="AJ923" s="394"/>
      <c r="AK923" s="429" t="str">
        <f>IF(OR(ISBLANK($B923),ISBLANK($AJ923)),"",IFERROR(IF($AJ923&lt;=DATE('ESTADO CONTABLE'!$B$2,12,5),VLOOKUP($B923,COSTOS!$A$2:$B1014,2,FALSE)-150,VLOOKUP($B923,COSTOS!$A$2:$B1014,2,FALSE)),"No encontrado o error"))</f>
        <v/>
      </c>
      <c r="AL923" s="395"/>
      <c r="AM923" s="254"/>
      <c r="AN923" s="255"/>
      <c r="AO923" s="256"/>
    </row>
    <row r="924" ht="22.5" customHeight="1">
      <c r="A924" s="431" t="str">
        <f>'BASE DE DATOSS'!A998</f>
        <v/>
      </c>
      <c r="B924" s="432" t="str">
        <f>'BASE DE DATOSS'!C998</f>
        <v/>
      </c>
      <c r="C924" s="263"/>
      <c r="D924" s="249"/>
      <c r="E924" s="250"/>
      <c r="F924" s="251"/>
      <c r="G924" s="262"/>
      <c r="H924" s="257"/>
      <c r="I924" s="249"/>
      <c r="J924" s="193" t="str">
        <f>IF(OR(ISBLANK($B924),ISBLANK($I924)),"",IFERROR(IF($I924&lt;=DATE('ESTADO CONTABLE'!$B$2,3,5),VLOOKUP($B924,COSTOS!$A$2:$B1014,2,FALSE)-150,VLOOKUP($B924,COSTOS!$A$2:$B1014,2,FALSE)),"No encontrado o error"))</f>
        <v/>
      </c>
      <c r="K924" s="264"/>
      <c r="L924" s="249"/>
      <c r="M924" s="189"/>
      <c r="N924" s="264"/>
      <c r="O924" s="249"/>
      <c r="P924" s="250"/>
      <c r="Q924" s="264"/>
      <c r="R924" s="249"/>
      <c r="S924" s="250"/>
      <c r="T924" s="264"/>
      <c r="U924" s="249"/>
      <c r="V924" s="250"/>
      <c r="W924" s="264"/>
      <c r="X924" s="394"/>
      <c r="Y924" s="429"/>
      <c r="Z924" s="395"/>
      <c r="AA924" s="394"/>
      <c r="AB924" s="118" t="str">
        <f>IF(OR(ISBLANK($B924),ISBLANK($AA924)),"",IFERROR(IF($AA924&lt;=DATE('ESTADO CONTABLE'!$B$2,9,5),VLOOKUP($B924,COSTOS!$A$2:$B1014,2,FALSE)-150,VLOOKUP($B924,COSTOS!$A$2:$B1014,2,FALSE)),"No encontrado o error"))</f>
        <v/>
      </c>
      <c r="AC924" s="395"/>
      <c r="AD924" s="394"/>
      <c r="AE924" s="429" t="str">
        <f>IF(OR(ISBLANK($B924),ISBLANK($AD924)),"",IFERROR(IF($AD924&lt;=DATE('ESTADO CONTABLE'!$B$2,10,5),VLOOKUP($B924,COSTOS!$A$2:$B1014,2,FALSE)-150,VLOOKUP($B924,COSTOS!$A$2:$B1014,2,FALSE)),"No encontrado o error"))</f>
        <v/>
      </c>
      <c r="AF924" s="395"/>
      <c r="AG924" s="394"/>
      <c r="AH924" s="429" t="str">
        <f>IF(OR(ISBLANK($B924),ISBLANK($AG924)),"",IFERROR(IF($AG924&lt;=DATE('ESTADO CONTABLE'!$B$2,11,5),VLOOKUP($B924,COSTOS!$A$2:$B1014,2,FALSE)-150,VLOOKUP($B924,COSTOS!$A$2:$B1014,2,FALSE)),"No encontrado o error"))</f>
        <v/>
      </c>
      <c r="AI924" s="395"/>
      <c r="AJ924" s="394"/>
      <c r="AK924" s="429" t="str">
        <f>IF(OR(ISBLANK($B924),ISBLANK($AJ924)),"",IFERROR(IF($AJ924&lt;=DATE('ESTADO CONTABLE'!$B$2,12,5),VLOOKUP($B924,COSTOS!$A$2:$B1014,2,FALSE)-150,VLOOKUP($B924,COSTOS!$A$2:$B1014,2,FALSE)),"No encontrado o error"))</f>
        <v/>
      </c>
      <c r="AL924" s="395"/>
      <c r="AM924" s="254"/>
      <c r="AN924" s="255"/>
      <c r="AO924" s="256"/>
    </row>
    <row r="925" ht="22.5" customHeight="1">
      <c r="A925" s="431" t="str">
        <f>'BASE DE DATOSS'!A999</f>
        <v/>
      </c>
      <c r="B925" s="432" t="str">
        <f>'BASE DE DATOSS'!C999</f>
        <v/>
      </c>
      <c r="C925" s="263"/>
      <c r="D925" s="249"/>
      <c r="E925" s="250"/>
      <c r="F925" s="251"/>
      <c r="G925" s="262"/>
      <c r="H925" s="257"/>
      <c r="I925" s="249"/>
      <c r="J925" s="193" t="str">
        <f>IF(OR(ISBLANK($B925),ISBLANK($I925)),"",IFERROR(IF($I925&lt;=DATE('ESTADO CONTABLE'!$B$2,3,5),VLOOKUP($B925,COSTOS!$A$2:$B1014,2,FALSE)-150,VLOOKUP($B925,COSTOS!$A$2:$B1014,2,FALSE)),"No encontrado o error"))</f>
        <v/>
      </c>
      <c r="K925" s="264"/>
      <c r="L925" s="249"/>
      <c r="M925" s="189"/>
      <c r="N925" s="264"/>
      <c r="O925" s="249"/>
      <c r="P925" s="250"/>
      <c r="Q925" s="264"/>
      <c r="R925" s="249"/>
      <c r="S925" s="250"/>
      <c r="T925" s="264"/>
      <c r="U925" s="249"/>
      <c r="V925" s="250"/>
      <c r="W925" s="264"/>
      <c r="X925" s="394"/>
      <c r="Y925" s="429"/>
      <c r="Z925" s="395"/>
      <c r="AA925" s="394"/>
      <c r="AB925" s="118" t="str">
        <f>IF(OR(ISBLANK($B925),ISBLANK($AA925)),"",IFERROR(IF($AA925&lt;=DATE('ESTADO CONTABLE'!$B$2,9,5),VLOOKUP($B925,COSTOS!$A$2:$B1014,2,FALSE)-150,VLOOKUP($B925,COSTOS!$A$2:$B1014,2,FALSE)),"No encontrado o error"))</f>
        <v/>
      </c>
      <c r="AC925" s="395"/>
      <c r="AD925" s="394"/>
      <c r="AE925" s="429" t="str">
        <f>IF(OR(ISBLANK($B925),ISBLANK($AD925)),"",IFERROR(IF($AD925&lt;=DATE('ESTADO CONTABLE'!$B$2,10,5),VLOOKUP($B925,COSTOS!$A$2:$B1014,2,FALSE)-150,VLOOKUP($B925,COSTOS!$A$2:$B1014,2,FALSE)),"No encontrado o error"))</f>
        <v/>
      </c>
      <c r="AF925" s="395"/>
      <c r="AG925" s="394"/>
      <c r="AH925" s="429" t="str">
        <f>IF(OR(ISBLANK($B925),ISBLANK($AG925)),"",IFERROR(IF($AG925&lt;=DATE('ESTADO CONTABLE'!$B$2,11,5),VLOOKUP($B925,COSTOS!$A$2:$B1014,2,FALSE)-150,VLOOKUP($B925,COSTOS!$A$2:$B1014,2,FALSE)),"No encontrado o error"))</f>
        <v/>
      </c>
      <c r="AI925" s="395"/>
      <c r="AJ925" s="394"/>
      <c r="AK925" s="429" t="str">
        <f>IF(OR(ISBLANK($B925),ISBLANK($AJ925)),"",IFERROR(IF($AJ925&lt;=DATE('ESTADO CONTABLE'!$B$2,12,5),VLOOKUP($B925,COSTOS!$A$2:$B1014,2,FALSE)-150,VLOOKUP($B925,COSTOS!$A$2:$B1014,2,FALSE)),"No encontrado o error"))</f>
        <v/>
      </c>
      <c r="AL925" s="395"/>
      <c r="AM925" s="254"/>
      <c r="AN925" s="255"/>
      <c r="AO925" s="256"/>
    </row>
    <row r="926" ht="22.5" customHeight="1">
      <c r="A926" s="431" t="str">
        <f>'BASE DE DATOSS'!A1000</f>
        <v/>
      </c>
      <c r="B926" s="432" t="str">
        <f>'BASE DE DATOSS'!C1000</f>
        <v/>
      </c>
      <c r="C926" s="263"/>
      <c r="D926" s="249"/>
      <c r="E926" s="250"/>
      <c r="F926" s="251"/>
      <c r="G926" s="262"/>
      <c r="H926" s="257"/>
      <c r="I926" s="249"/>
      <c r="J926" s="193" t="str">
        <f>IF(OR(ISBLANK($B926),ISBLANK($I926)),"",IFERROR(IF($I926&lt;=DATE('ESTADO CONTABLE'!$B$2,3,5),VLOOKUP($B926,COSTOS!$A$2:$B1014,2,FALSE)-150,VLOOKUP($B926,COSTOS!$A$2:$B1014,2,FALSE)),"No encontrado o error"))</f>
        <v/>
      </c>
      <c r="K926" s="264"/>
      <c r="L926" s="249"/>
      <c r="M926" s="189"/>
      <c r="N926" s="264"/>
      <c r="O926" s="249"/>
      <c r="P926" s="250"/>
      <c r="Q926" s="264"/>
      <c r="R926" s="249"/>
      <c r="S926" s="250"/>
      <c r="T926" s="264"/>
      <c r="U926" s="249"/>
      <c r="V926" s="250"/>
      <c r="W926" s="264"/>
      <c r="X926" s="394"/>
      <c r="Y926" s="429"/>
      <c r="Z926" s="395"/>
      <c r="AA926" s="394"/>
      <c r="AB926" s="118" t="str">
        <f>IF(OR(ISBLANK($B926),ISBLANK($AA926)),"",IFERROR(IF($AA926&lt;=DATE('ESTADO CONTABLE'!$B$2,9,5),VLOOKUP($B926,COSTOS!$A$2:$B1014,2,FALSE)-150,VLOOKUP($B926,COSTOS!$A$2:$B1014,2,FALSE)),"No encontrado o error"))</f>
        <v/>
      </c>
      <c r="AC926" s="395"/>
      <c r="AD926" s="394"/>
      <c r="AE926" s="429" t="str">
        <f>IF(OR(ISBLANK($B926),ISBLANK($AD926)),"",IFERROR(IF($AD926&lt;=DATE('ESTADO CONTABLE'!$B$2,10,5),VLOOKUP($B926,COSTOS!$A$2:$B1014,2,FALSE)-150,VLOOKUP($B926,COSTOS!$A$2:$B1014,2,FALSE)),"No encontrado o error"))</f>
        <v/>
      </c>
      <c r="AF926" s="395"/>
      <c r="AG926" s="394"/>
      <c r="AH926" s="429" t="str">
        <f>IF(OR(ISBLANK($B926),ISBLANK($AG926)),"",IFERROR(IF($AG926&lt;=DATE('ESTADO CONTABLE'!$B$2,11,5),VLOOKUP($B926,COSTOS!$A$2:$B1014,2,FALSE)-150,VLOOKUP($B926,COSTOS!$A$2:$B1014,2,FALSE)),"No encontrado o error"))</f>
        <v/>
      </c>
      <c r="AI926" s="395"/>
      <c r="AJ926" s="394"/>
      <c r="AK926" s="429" t="str">
        <f>IF(OR(ISBLANK($B926),ISBLANK($AJ926)),"",IFERROR(IF($AJ926&lt;=DATE('ESTADO CONTABLE'!$B$2,12,5),VLOOKUP($B926,COSTOS!$A$2:$B1014,2,FALSE)-150,VLOOKUP($B926,COSTOS!$A$2:$B1014,2,FALSE)),"No encontrado o error"))</f>
        <v/>
      </c>
      <c r="AL926" s="395"/>
      <c r="AM926" s="254"/>
      <c r="AN926" s="255"/>
      <c r="AO926" s="256"/>
    </row>
    <row r="927" ht="22.5" customHeight="1">
      <c r="A927" s="431" t="str">
        <f>'BASE DE DATOSS'!A1001</f>
        <v/>
      </c>
      <c r="B927" s="432" t="str">
        <f>'BASE DE DATOSS'!C1001</f>
        <v/>
      </c>
      <c r="C927" s="263"/>
      <c r="D927" s="249"/>
      <c r="E927" s="250"/>
      <c r="F927" s="251"/>
      <c r="G927" s="262"/>
      <c r="H927" s="257"/>
      <c r="I927" s="249"/>
      <c r="J927" s="193" t="str">
        <f>IF(OR(ISBLANK($B927),ISBLANK($I927)),"",IFERROR(IF($I927&lt;=DATE('ESTADO CONTABLE'!$B$2,3,5),VLOOKUP($B927,COSTOS!$A$2:$B1014,2,FALSE)-150,VLOOKUP($B927,COSTOS!$A$2:$B1014,2,FALSE)),"No encontrado o error"))</f>
        <v/>
      </c>
      <c r="K927" s="264"/>
      <c r="L927" s="249"/>
      <c r="M927" s="189"/>
      <c r="N927" s="264"/>
      <c r="O927" s="249"/>
      <c r="P927" s="250"/>
      <c r="Q927" s="264"/>
      <c r="R927" s="249"/>
      <c r="S927" s="250"/>
      <c r="T927" s="264"/>
      <c r="U927" s="249"/>
      <c r="V927" s="250"/>
      <c r="W927" s="264"/>
      <c r="X927" s="394"/>
      <c r="Y927" s="429"/>
      <c r="Z927" s="395"/>
      <c r="AA927" s="394"/>
      <c r="AB927" s="118" t="str">
        <f>IF(OR(ISBLANK($B927),ISBLANK($AA927)),"",IFERROR(IF($AA927&lt;=DATE('ESTADO CONTABLE'!$B$2,9,5),VLOOKUP($B927,COSTOS!$A$2:$B1014,2,FALSE)-150,VLOOKUP($B927,COSTOS!$A$2:$B1014,2,FALSE)),"No encontrado o error"))</f>
        <v/>
      </c>
      <c r="AC927" s="395"/>
      <c r="AD927" s="394"/>
      <c r="AE927" s="429" t="str">
        <f>IF(OR(ISBLANK($B927),ISBLANK($AD927)),"",IFERROR(IF($AD927&lt;=DATE('ESTADO CONTABLE'!$B$2,10,5),VLOOKUP($B927,COSTOS!$A$2:$B1014,2,FALSE)-150,VLOOKUP($B927,COSTOS!$A$2:$B1014,2,FALSE)),"No encontrado o error"))</f>
        <v/>
      </c>
      <c r="AF927" s="395"/>
      <c r="AG927" s="394"/>
      <c r="AH927" s="429" t="str">
        <f>IF(OR(ISBLANK($B927),ISBLANK($AG927)),"",IFERROR(IF($AG927&lt;=DATE('ESTADO CONTABLE'!$B$2,11,5),VLOOKUP($B927,COSTOS!$A$2:$B1014,2,FALSE)-150,VLOOKUP($B927,COSTOS!$A$2:$B1014,2,FALSE)),"No encontrado o error"))</f>
        <v/>
      </c>
      <c r="AI927" s="395"/>
      <c r="AJ927" s="394"/>
      <c r="AK927" s="429" t="str">
        <f>IF(OR(ISBLANK($B927),ISBLANK($AJ927)),"",IFERROR(IF($AJ927&lt;=DATE('ESTADO CONTABLE'!$B$2,12,5),VLOOKUP($B927,COSTOS!$A$2:$B1014,2,FALSE)-150,VLOOKUP($B927,COSTOS!$A$2:$B1014,2,FALSE)),"No encontrado o error"))</f>
        <v/>
      </c>
      <c r="AL927" s="395"/>
      <c r="AM927" s="254"/>
      <c r="AN927" s="255"/>
      <c r="AO927" s="256"/>
    </row>
    <row r="928" ht="22.5" customHeight="1">
      <c r="A928" s="431" t="str">
        <f>'BASE DE DATOSS'!A1002</f>
        <v/>
      </c>
      <c r="B928" s="432" t="str">
        <f>'BASE DE DATOSS'!C1002</f>
        <v/>
      </c>
      <c r="C928" s="263"/>
      <c r="D928" s="249"/>
      <c r="E928" s="250"/>
      <c r="F928" s="251"/>
      <c r="G928" s="262"/>
      <c r="H928" s="257"/>
      <c r="I928" s="249"/>
      <c r="J928" s="193" t="str">
        <f>IF(OR(ISBLANK($B928),ISBLANK($I928)),"",IFERROR(IF($I928&lt;=DATE('ESTADO CONTABLE'!$B$2,3,5),VLOOKUP($B928,COSTOS!$A$2:$B1014,2,FALSE)-150,VLOOKUP($B928,COSTOS!$A$2:$B1014,2,FALSE)),"No encontrado o error"))</f>
        <v/>
      </c>
      <c r="K928" s="264"/>
      <c r="L928" s="249"/>
      <c r="M928" s="189"/>
      <c r="N928" s="264"/>
      <c r="O928" s="249"/>
      <c r="P928" s="250"/>
      <c r="Q928" s="264"/>
      <c r="R928" s="249"/>
      <c r="S928" s="250"/>
      <c r="T928" s="264"/>
      <c r="U928" s="249"/>
      <c r="V928" s="250"/>
      <c r="W928" s="264"/>
      <c r="X928" s="394"/>
      <c r="Y928" s="429"/>
      <c r="Z928" s="395"/>
      <c r="AA928" s="394"/>
      <c r="AB928" s="118" t="str">
        <f>IF(OR(ISBLANK($B928),ISBLANK($AA928)),"",IFERROR(IF($AA928&lt;=DATE('ESTADO CONTABLE'!$B$2,9,5),VLOOKUP($B928,COSTOS!$A$2:$B1014,2,FALSE)-150,VLOOKUP($B928,COSTOS!$A$2:$B1014,2,FALSE)),"No encontrado o error"))</f>
        <v/>
      </c>
      <c r="AC928" s="395"/>
      <c r="AD928" s="394"/>
      <c r="AE928" s="429" t="str">
        <f>IF(OR(ISBLANK($B928),ISBLANK($AD928)),"",IFERROR(IF($AD928&lt;=DATE('ESTADO CONTABLE'!$B$2,10,5),VLOOKUP($B928,COSTOS!$A$2:$B1014,2,FALSE)-150,VLOOKUP($B928,COSTOS!$A$2:$B1014,2,FALSE)),"No encontrado o error"))</f>
        <v/>
      </c>
      <c r="AF928" s="395"/>
      <c r="AG928" s="394"/>
      <c r="AH928" s="429" t="str">
        <f>IF(OR(ISBLANK($B928),ISBLANK($AG928)),"",IFERROR(IF($AG928&lt;=DATE('ESTADO CONTABLE'!$B$2,11,5),VLOOKUP($B928,COSTOS!$A$2:$B1014,2,FALSE)-150,VLOOKUP($B928,COSTOS!$A$2:$B1014,2,FALSE)),"No encontrado o error"))</f>
        <v/>
      </c>
      <c r="AI928" s="395"/>
      <c r="AJ928" s="394"/>
      <c r="AK928" s="429" t="str">
        <f>IF(OR(ISBLANK($B928),ISBLANK($AJ928)),"",IFERROR(IF($AJ928&lt;=DATE('ESTADO CONTABLE'!$B$2,12,5),VLOOKUP($B928,COSTOS!$A$2:$B1014,2,FALSE)-150,VLOOKUP($B928,COSTOS!$A$2:$B1014,2,FALSE)),"No encontrado o error"))</f>
        <v/>
      </c>
      <c r="AL928" s="395"/>
      <c r="AM928" s="254"/>
      <c r="AN928" s="255"/>
      <c r="AO928" s="256"/>
    </row>
    <row r="929" ht="22.5" customHeight="1">
      <c r="A929" s="431" t="str">
        <f>'BASE DE DATOSS'!A1003</f>
        <v/>
      </c>
      <c r="B929" s="432" t="str">
        <f>'BASE DE DATOSS'!C1003</f>
        <v/>
      </c>
      <c r="C929" s="263"/>
      <c r="D929" s="249"/>
      <c r="E929" s="250"/>
      <c r="F929" s="251"/>
      <c r="G929" s="262"/>
      <c r="H929" s="257"/>
      <c r="I929" s="249"/>
      <c r="J929" s="193" t="str">
        <f>IF(OR(ISBLANK($B929),ISBLANK($I929)),"",IFERROR(IF($I929&lt;=DATE('ESTADO CONTABLE'!$B$2,3,5),VLOOKUP($B929,COSTOS!$A$2:$B1014,2,FALSE)-150,VLOOKUP($B929,COSTOS!$A$2:$B1014,2,FALSE)),"No encontrado o error"))</f>
        <v/>
      </c>
      <c r="K929" s="264"/>
      <c r="L929" s="249"/>
      <c r="M929" s="189"/>
      <c r="N929" s="264"/>
      <c r="O929" s="249"/>
      <c r="P929" s="250"/>
      <c r="Q929" s="264"/>
      <c r="R929" s="249"/>
      <c r="S929" s="250"/>
      <c r="T929" s="264"/>
      <c r="U929" s="249"/>
      <c r="V929" s="250"/>
      <c r="W929" s="264"/>
      <c r="X929" s="394"/>
      <c r="Y929" s="429"/>
      <c r="Z929" s="395"/>
      <c r="AA929" s="394"/>
      <c r="AB929" s="118" t="str">
        <f>IF(OR(ISBLANK($B929),ISBLANK($AA929)),"",IFERROR(IF($AA929&lt;=DATE('ESTADO CONTABLE'!$B$2,9,5),VLOOKUP($B929,COSTOS!$A$2:$B1014,2,FALSE)-150,VLOOKUP($B929,COSTOS!$A$2:$B1014,2,FALSE)),"No encontrado o error"))</f>
        <v/>
      </c>
      <c r="AC929" s="395"/>
      <c r="AD929" s="394"/>
      <c r="AE929" s="429" t="str">
        <f>IF(OR(ISBLANK($B929),ISBLANK($AD929)),"",IFERROR(IF($AD929&lt;=DATE('ESTADO CONTABLE'!$B$2,10,5),VLOOKUP($B929,COSTOS!$A$2:$B1014,2,FALSE)-150,VLOOKUP($B929,COSTOS!$A$2:$B1014,2,FALSE)),"No encontrado o error"))</f>
        <v/>
      </c>
      <c r="AF929" s="395"/>
      <c r="AG929" s="394"/>
      <c r="AH929" s="429" t="str">
        <f>IF(OR(ISBLANK($B929),ISBLANK($AG929)),"",IFERROR(IF($AG929&lt;=DATE('ESTADO CONTABLE'!$B$2,11,5),VLOOKUP($B929,COSTOS!$A$2:$B1014,2,FALSE)-150,VLOOKUP($B929,COSTOS!$A$2:$B1014,2,FALSE)),"No encontrado o error"))</f>
        <v/>
      </c>
      <c r="AI929" s="395"/>
      <c r="AJ929" s="394"/>
      <c r="AK929" s="429" t="str">
        <f>IF(OR(ISBLANK($B929),ISBLANK($AJ929)),"",IFERROR(IF($AJ929&lt;=DATE('ESTADO CONTABLE'!$B$2,12,5),VLOOKUP($B929,COSTOS!$A$2:$B1014,2,FALSE)-150,VLOOKUP($B929,COSTOS!$A$2:$B1014,2,FALSE)),"No encontrado o error"))</f>
        <v/>
      </c>
      <c r="AL929" s="395"/>
      <c r="AM929" s="254"/>
      <c r="AN929" s="255"/>
      <c r="AO929" s="256"/>
    </row>
    <row r="930" ht="22.5" customHeight="1">
      <c r="A930" s="431" t="str">
        <f>'BASE DE DATOSS'!A1004</f>
        <v/>
      </c>
      <c r="B930" s="432" t="str">
        <f>'BASE DE DATOSS'!C1004</f>
        <v/>
      </c>
      <c r="C930" s="263"/>
      <c r="D930" s="249"/>
      <c r="E930" s="250"/>
      <c r="F930" s="251"/>
      <c r="G930" s="262"/>
      <c r="H930" s="257"/>
      <c r="I930" s="249"/>
      <c r="J930" s="193" t="str">
        <f>IF(OR(ISBLANK($B930),ISBLANK($I930)),"",IFERROR(IF($I930&lt;=DATE('ESTADO CONTABLE'!$B$2,3,5),VLOOKUP($B930,COSTOS!$A$2:$B1014,2,FALSE)-150,VLOOKUP($B930,COSTOS!$A$2:$B1014,2,FALSE)),"No encontrado o error"))</f>
        <v/>
      </c>
      <c r="K930" s="264"/>
      <c r="L930" s="249"/>
      <c r="M930" s="189"/>
      <c r="N930" s="264"/>
      <c r="O930" s="249"/>
      <c r="P930" s="250"/>
      <c r="Q930" s="264"/>
      <c r="R930" s="249"/>
      <c r="S930" s="250"/>
      <c r="T930" s="264"/>
      <c r="U930" s="249"/>
      <c r="V930" s="250"/>
      <c r="W930" s="264"/>
      <c r="X930" s="394"/>
      <c r="Y930" s="429"/>
      <c r="Z930" s="395"/>
      <c r="AA930" s="394"/>
      <c r="AB930" s="118" t="str">
        <f>IF(OR(ISBLANK($B930),ISBLANK($AA930)),"",IFERROR(IF($AA930&lt;=DATE('ESTADO CONTABLE'!$B$2,9,5),VLOOKUP($B930,COSTOS!$A$2:$B1014,2,FALSE)-150,VLOOKUP($B930,COSTOS!$A$2:$B1014,2,FALSE)),"No encontrado o error"))</f>
        <v/>
      </c>
      <c r="AC930" s="395"/>
      <c r="AD930" s="394"/>
      <c r="AE930" s="429" t="str">
        <f>IF(OR(ISBLANK($B930),ISBLANK($AD930)),"",IFERROR(IF($AD930&lt;=DATE('ESTADO CONTABLE'!$B$2,10,5),VLOOKUP($B930,COSTOS!$A$2:$B1014,2,FALSE)-150,VLOOKUP($B930,COSTOS!$A$2:$B1014,2,FALSE)),"No encontrado o error"))</f>
        <v/>
      </c>
      <c r="AF930" s="395"/>
      <c r="AG930" s="394"/>
      <c r="AH930" s="429" t="str">
        <f>IF(OR(ISBLANK($B930),ISBLANK($AG930)),"",IFERROR(IF($AG930&lt;=DATE('ESTADO CONTABLE'!$B$2,11,5),VLOOKUP($B930,COSTOS!$A$2:$B1014,2,FALSE)-150,VLOOKUP($B930,COSTOS!$A$2:$B1014,2,FALSE)),"No encontrado o error"))</f>
        <v/>
      </c>
      <c r="AI930" s="395"/>
      <c r="AJ930" s="394"/>
      <c r="AK930" s="429" t="str">
        <f>IF(OR(ISBLANK($B930),ISBLANK($AJ930)),"",IFERROR(IF($AJ930&lt;=DATE('ESTADO CONTABLE'!$B$2,12,5),VLOOKUP($B930,COSTOS!$A$2:$B1014,2,FALSE)-150,VLOOKUP($B930,COSTOS!$A$2:$B1014,2,FALSE)),"No encontrado o error"))</f>
        <v/>
      </c>
      <c r="AL930" s="395"/>
      <c r="AM930" s="254"/>
      <c r="AN930" s="255"/>
      <c r="AO930" s="256"/>
    </row>
    <row r="931" ht="22.5" customHeight="1">
      <c r="A931" s="431" t="str">
        <f>'BASE DE DATOSS'!A1005</f>
        <v/>
      </c>
      <c r="B931" s="432" t="str">
        <f>'BASE DE DATOSS'!C1005</f>
        <v/>
      </c>
      <c r="C931" s="263"/>
      <c r="D931" s="249"/>
      <c r="E931" s="250"/>
      <c r="F931" s="251"/>
      <c r="G931" s="262"/>
      <c r="H931" s="257"/>
      <c r="I931" s="249"/>
      <c r="J931" s="193" t="str">
        <f>IF(OR(ISBLANK($B931),ISBLANK($I931)),"",IFERROR(IF($I931&lt;=DATE('ESTADO CONTABLE'!$B$2,3,5),VLOOKUP($B931,COSTOS!$A$2:$B1014,2,FALSE)-150,VLOOKUP($B931,COSTOS!$A$2:$B1014,2,FALSE)),"No encontrado o error"))</f>
        <v/>
      </c>
      <c r="K931" s="264"/>
      <c r="L931" s="249"/>
      <c r="M931" s="189"/>
      <c r="N931" s="264"/>
      <c r="O931" s="249"/>
      <c r="P931" s="250"/>
      <c r="Q931" s="264"/>
      <c r="R931" s="249"/>
      <c r="S931" s="250"/>
      <c r="T931" s="264"/>
      <c r="U931" s="249"/>
      <c r="V931" s="250"/>
      <c r="W931" s="264"/>
      <c r="X931" s="394"/>
      <c r="Y931" s="429"/>
      <c r="Z931" s="395"/>
      <c r="AA931" s="394"/>
      <c r="AB931" s="118" t="str">
        <f>IF(OR(ISBLANK($B931),ISBLANK($AA931)),"",IFERROR(IF($AA931&lt;=DATE('ESTADO CONTABLE'!$B$2,9,5),VLOOKUP($B931,COSTOS!$A$2:$B1014,2,FALSE)-150,VLOOKUP($B931,COSTOS!$A$2:$B1014,2,FALSE)),"No encontrado o error"))</f>
        <v/>
      </c>
      <c r="AC931" s="395"/>
      <c r="AD931" s="394"/>
      <c r="AE931" s="429" t="str">
        <f>IF(OR(ISBLANK($B931),ISBLANK($AD931)),"",IFERROR(IF($AD931&lt;=DATE('ESTADO CONTABLE'!$B$2,10,5),VLOOKUP($B931,COSTOS!$A$2:$B1014,2,FALSE)-150,VLOOKUP($B931,COSTOS!$A$2:$B1014,2,FALSE)),"No encontrado o error"))</f>
        <v/>
      </c>
      <c r="AF931" s="395"/>
      <c r="AG931" s="394"/>
      <c r="AH931" s="429" t="str">
        <f>IF(OR(ISBLANK($B931),ISBLANK($AG931)),"",IFERROR(IF($AG931&lt;=DATE('ESTADO CONTABLE'!$B$2,11,5),VLOOKUP($B931,COSTOS!$A$2:$B1014,2,FALSE)-150,VLOOKUP($B931,COSTOS!$A$2:$B1014,2,FALSE)),"No encontrado o error"))</f>
        <v/>
      </c>
      <c r="AI931" s="395"/>
      <c r="AJ931" s="394"/>
      <c r="AK931" s="429" t="str">
        <f>IF(OR(ISBLANK($B931),ISBLANK($AJ931)),"",IFERROR(IF($AJ931&lt;=DATE('ESTADO CONTABLE'!$B$2,12,5),VLOOKUP($B931,COSTOS!$A$2:$B1014,2,FALSE)-150,VLOOKUP($B931,COSTOS!$A$2:$B1014,2,FALSE)),"No encontrado o error"))</f>
        <v/>
      </c>
      <c r="AL931" s="395"/>
      <c r="AM931" s="254"/>
      <c r="AN931" s="255"/>
      <c r="AO931" s="256"/>
    </row>
    <row r="932" ht="22.5" customHeight="1">
      <c r="A932" s="431" t="str">
        <f>'BASE DE DATOSS'!A1006</f>
        <v/>
      </c>
      <c r="B932" s="432" t="str">
        <f>'BASE DE DATOSS'!C1006</f>
        <v/>
      </c>
      <c r="C932" s="263"/>
      <c r="D932" s="249"/>
      <c r="E932" s="250"/>
      <c r="F932" s="251"/>
      <c r="G932" s="262"/>
      <c r="H932" s="257"/>
      <c r="I932" s="249"/>
      <c r="J932" s="193" t="str">
        <f>IF(OR(ISBLANK($B932),ISBLANK($I932)),"",IFERROR(IF($I932&lt;=DATE('ESTADO CONTABLE'!$B$2,3,5),VLOOKUP($B932,COSTOS!$A$2:$B1014,2,FALSE)-150,VLOOKUP($B932,COSTOS!$A$2:$B1014,2,FALSE)),"No encontrado o error"))</f>
        <v/>
      </c>
      <c r="K932" s="264"/>
      <c r="L932" s="249"/>
      <c r="M932" s="189"/>
      <c r="N932" s="264"/>
      <c r="O932" s="249"/>
      <c r="P932" s="250"/>
      <c r="Q932" s="264"/>
      <c r="R932" s="249"/>
      <c r="S932" s="250"/>
      <c r="T932" s="264"/>
      <c r="U932" s="249"/>
      <c r="V932" s="250"/>
      <c r="W932" s="264"/>
      <c r="X932" s="394"/>
      <c r="Y932" s="429"/>
      <c r="Z932" s="395"/>
      <c r="AA932" s="394"/>
      <c r="AB932" s="118" t="str">
        <f>IF(OR(ISBLANK($B932),ISBLANK($AA932)),"",IFERROR(IF($AA932&lt;=DATE('ESTADO CONTABLE'!$B$2,9,5),VLOOKUP($B932,COSTOS!$A$2:$B1014,2,FALSE)-150,VLOOKUP($B932,COSTOS!$A$2:$B1014,2,FALSE)),"No encontrado o error"))</f>
        <v/>
      </c>
      <c r="AC932" s="395"/>
      <c r="AD932" s="394"/>
      <c r="AE932" s="429" t="str">
        <f>IF(OR(ISBLANK($B932),ISBLANK($AD932)),"",IFERROR(IF($AD932&lt;=DATE('ESTADO CONTABLE'!$B$2,10,5),VLOOKUP($B932,COSTOS!$A$2:$B1014,2,FALSE)-150,VLOOKUP($B932,COSTOS!$A$2:$B1014,2,FALSE)),"No encontrado o error"))</f>
        <v/>
      </c>
      <c r="AF932" s="395"/>
      <c r="AG932" s="394"/>
      <c r="AH932" s="429" t="str">
        <f>IF(OR(ISBLANK($B932),ISBLANK($AG932)),"",IFERROR(IF($AG932&lt;=DATE('ESTADO CONTABLE'!$B$2,11,5),VLOOKUP($B932,COSTOS!$A$2:$B1014,2,FALSE)-150,VLOOKUP($B932,COSTOS!$A$2:$B1014,2,FALSE)),"No encontrado o error"))</f>
        <v/>
      </c>
      <c r="AI932" s="395"/>
      <c r="AJ932" s="394"/>
      <c r="AK932" s="429" t="str">
        <f>IF(OR(ISBLANK($B932),ISBLANK($AJ932)),"",IFERROR(IF($AJ932&lt;=DATE('ESTADO CONTABLE'!$B$2,12,5),VLOOKUP($B932,COSTOS!$A$2:$B1014,2,FALSE)-150,VLOOKUP($B932,COSTOS!$A$2:$B1014,2,FALSE)),"No encontrado o error"))</f>
        <v/>
      </c>
      <c r="AL932" s="395"/>
      <c r="AM932" s="254"/>
      <c r="AN932" s="255"/>
      <c r="AO932" s="256"/>
    </row>
    <row r="933" ht="22.5" customHeight="1">
      <c r="A933" s="431" t="str">
        <f>'BASE DE DATOSS'!A1007</f>
        <v/>
      </c>
      <c r="B933" s="432" t="str">
        <f>'BASE DE DATOSS'!C1007</f>
        <v/>
      </c>
      <c r="C933" s="263"/>
      <c r="D933" s="249"/>
      <c r="E933" s="250"/>
      <c r="F933" s="251"/>
      <c r="G933" s="262"/>
      <c r="H933" s="257"/>
      <c r="I933" s="249"/>
      <c r="J933" s="193" t="str">
        <f>IF(OR(ISBLANK($B933),ISBLANK($I933)),"",IFERROR(IF($I933&lt;=DATE('ESTADO CONTABLE'!$B$2,3,5),VLOOKUP($B933,COSTOS!$A$2:$B1014,2,FALSE)-150,VLOOKUP($B933,COSTOS!$A$2:$B1014,2,FALSE)),"No encontrado o error"))</f>
        <v/>
      </c>
      <c r="K933" s="264"/>
      <c r="L933" s="249"/>
      <c r="M933" s="189"/>
      <c r="N933" s="264"/>
      <c r="O933" s="249"/>
      <c r="P933" s="250"/>
      <c r="Q933" s="264"/>
      <c r="R933" s="249"/>
      <c r="S933" s="250"/>
      <c r="T933" s="264"/>
      <c r="U933" s="249"/>
      <c r="V933" s="250"/>
      <c r="W933" s="264"/>
      <c r="X933" s="394"/>
      <c r="Y933" s="429"/>
      <c r="Z933" s="395"/>
      <c r="AA933" s="394"/>
      <c r="AB933" s="118" t="str">
        <f>IF(OR(ISBLANK($B933),ISBLANK($AA933)),"",IFERROR(IF($AA933&lt;=DATE('ESTADO CONTABLE'!$B$2,9,5),VLOOKUP($B933,COSTOS!$A$2:$B1014,2,FALSE)-150,VLOOKUP($B933,COSTOS!$A$2:$B1014,2,FALSE)),"No encontrado o error"))</f>
        <v/>
      </c>
      <c r="AC933" s="395"/>
      <c r="AD933" s="394"/>
      <c r="AE933" s="429" t="str">
        <f>IF(OR(ISBLANK($B933),ISBLANK($AD933)),"",IFERROR(IF($AD933&lt;=DATE('ESTADO CONTABLE'!$B$2,10,5),VLOOKUP($B933,COSTOS!$A$2:$B1014,2,FALSE)-150,VLOOKUP($B933,COSTOS!$A$2:$B1014,2,FALSE)),"No encontrado o error"))</f>
        <v/>
      </c>
      <c r="AF933" s="395"/>
      <c r="AG933" s="394"/>
      <c r="AH933" s="429" t="str">
        <f>IF(OR(ISBLANK($B933),ISBLANK($AG933)),"",IFERROR(IF($AG933&lt;=DATE('ESTADO CONTABLE'!$B$2,11,5),VLOOKUP($B933,COSTOS!$A$2:$B1014,2,FALSE)-150,VLOOKUP($B933,COSTOS!$A$2:$B1014,2,FALSE)),"No encontrado o error"))</f>
        <v/>
      </c>
      <c r="AI933" s="395"/>
      <c r="AJ933" s="394"/>
      <c r="AK933" s="429" t="str">
        <f>IF(OR(ISBLANK($B933),ISBLANK($AJ933)),"",IFERROR(IF($AJ933&lt;=DATE('ESTADO CONTABLE'!$B$2,12,5),VLOOKUP($B933,COSTOS!$A$2:$B1014,2,FALSE)-150,VLOOKUP($B933,COSTOS!$A$2:$B1014,2,FALSE)),"No encontrado o error"))</f>
        <v/>
      </c>
      <c r="AL933" s="395"/>
      <c r="AM933" s="254"/>
      <c r="AN933" s="255"/>
      <c r="AO933" s="256"/>
    </row>
    <row r="934" ht="22.5" customHeight="1">
      <c r="A934" s="431" t="str">
        <f>'BASE DE DATOSS'!A1008</f>
        <v/>
      </c>
      <c r="B934" s="432" t="str">
        <f>'BASE DE DATOSS'!C1008</f>
        <v/>
      </c>
      <c r="C934" s="263"/>
      <c r="D934" s="249"/>
      <c r="E934" s="250"/>
      <c r="F934" s="251"/>
      <c r="G934" s="262"/>
      <c r="H934" s="257"/>
      <c r="I934" s="249"/>
      <c r="J934" s="193" t="str">
        <f>IF(OR(ISBLANK($B934),ISBLANK($I934)),"",IFERROR(IF($I934&lt;=DATE('ESTADO CONTABLE'!$B$2,3,5),VLOOKUP($B934,COSTOS!$A$2:$B1014,2,FALSE)-150,VLOOKUP($B934,COSTOS!$A$2:$B1014,2,FALSE)),"No encontrado o error"))</f>
        <v/>
      </c>
      <c r="K934" s="264"/>
      <c r="L934" s="249"/>
      <c r="M934" s="189"/>
      <c r="N934" s="264"/>
      <c r="O934" s="249"/>
      <c r="P934" s="250"/>
      <c r="Q934" s="264"/>
      <c r="R934" s="249"/>
      <c r="S934" s="250"/>
      <c r="T934" s="264"/>
      <c r="U934" s="249"/>
      <c r="V934" s="250"/>
      <c r="W934" s="264"/>
      <c r="X934" s="394"/>
      <c r="Y934" s="429"/>
      <c r="Z934" s="395"/>
      <c r="AA934" s="394"/>
      <c r="AB934" s="118" t="str">
        <f>IF(OR(ISBLANK($B934),ISBLANK($AA934)),"",IFERROR(IF($AA934&lt;=DATE('ESTADO CONTABLE'!$B$2,9,5),VLOOKUP($B934,COSTOS!$A$2:$B1014,2,FALSE)-150,VLOOKUP($B934,COSTOS!$A$2:$B1014,2,FALSE)),"No encontrado o error"))</f>
        <v/>
      </c>
      <c r="AC934" s="395"/>
      <c r="AD934" s="394"/>
      <c r="AE934" s="429" t="str">
        <f>IF(OR(ISBLANK($B934),ISBLANK($AD934)),"",IFERROR(IF($AD934&lt;=DATE('ESTADO CONTABLE'!$B$2,10,5),VLOOKUP($B934,COSTOS!$A$2:$B1014,2,FALSE)-150,VLOOKUP($B934,COSTOS!$A$2:$B1014,2,FALSE)),"No encontrado o error"))</f>
        <v/>
      </c>
      <c r="AF934" s="395"/>
      <c r="AG934" s="394"/>
      <c r="AH934" s="429" t="str">
        <f>IF(OR(ISBLANK($B934),ISBLANK($AG934)),"",IFERROR(IF($AG934&lt;=DATE('ESTADO CONTABLE'!$B$2,11,5),VLOOKUP($B934,COSTOS!$A$2:$B1014,2,FALSE)-150,VLOOKUP($B934,COSTOS!$A$2:$B1014,2,FALSE)),"No encontrado o error"))</f>
        <v/>
      </c>
      <c r="AI934" s="395"/>
      <c r="AJ934" s="394"/>
      <c r="AK934" s="429" t="str">
        <f>IF(OR(ISBLANK($B934),ISBLANK($AJ934)),"",IFERROR(IF($AJ934&lt;=DATE('ESTADO CONTABLE'!$B$2,12,5),VLOOKUP($B934,COSTOS!$A$2:$B1014,2,FALSE)-150,VLOOKUP($B934,COSTOS!$A$2:$B1014,2,FALSE)),"No encontrado o error"))</f>
        <v/>
      </c>
      <c r="AL934" s="395"/>
      <c r="AM934" s="254"/>
      <c r="AN934" s="255"/>
      <c r="AO934" s="256"/>
    </row>
    <row r="935" ht="22.5" customHeight="1">
      <c r="A935" s="431" t="str">
        <f>'BASE DE DATOSS'!A1009</f>
        <v/>
      </c>
      <c r="B935" s="432" t="str">
        <f>'BASE DE DATOSS'!C1009</f>
        <v/>
      </c>
      <c r="C935" s="263"/>
      <c r="D935" s="249"/>
      <c r="E935" s="250"/>
      <c r="F935" s="251"/>
      <c r="G935" s="262"/>
      <c r="H935" s="257"/>
      <c r="I935" s="249"/>
      <c r="J935" s="193" t="str">
        <f>IF(OR(ISBLANK($B935),ISBLANK($I935)),"",IFERROR(IF($I935&lt;=DATE('ESTADO CONTABLE'!$B$2,3,5),VLOOKUP($B935,COSTOS!$A$2:$B1014,2,FALSE)-150,VLOOKUP($B935,COSTOS!$A$2:$B1014,2,FALSE)),"No encontrado o error"))</f>
        <v/>
      </c>
      <c r="K935" s="264"/>
      <c r="L935" s="249"/>
      <c r="M935" s="189"/>
      <c r="N935" s="264"/>
      <c r="O935" s="249"/>
      <c r="P935" s="250"/>
      <c r="Q935" s="264"/>
      <c r="R935" s="249"/>
      <c r="S935" s="250"/>
      <c r="T935" s="264"/>
      <c r="U935" s="249"/>
      <c r="V935" s="250"/>
      <c r="W935" s="264"/>
      <c r="X935" s="394"/>
      <c r="Y935" s="429"/>
      <c r="Z935" s="395"/>
      <c r="AA935" s="394"/>
      <c r="AB935" s="118" t="str">
        <f>IF(OR(ISBLANK($B935),ISBLANK($AA935)),"",IFERROR(IF($AA935&lt;=DATE('ESTADO CONTABLE'!$B$2,9,5),VLOOKUP($B935,COSTOS!$A$2:$B1014,2,FALSE)-150,VLOOKUP($B935,COSTOS!$A$2:$B1014,2,FALSE)),"No encontrado o error"))</f>
        <v/>
      </c>
      <c r="AC935" s="395"/>
      <c r="AD935" s="394"/>
      <c r="AE935" s="429" t="str">
        <f>IF(OR(ISBLANK($B935),ISBLANK($AD935)),"",IFERROR(IF($AD935&lt;=DATE('ESTADO CONTABLE'!$B$2,10,5),VLOOKUP($B935,COSTOS!$A$2:$B1014,2,FALSE)-150,VLOOKUP($B935,COSTOS!$A$2:$B1014,2,FALSE)),"No encontrado o error"))</f>
        <v/>
      </c>
      <c r="AF935" s="395"/>
      <c r="AG935" s="394"/>
      <c r="AH935" s="429" t="str">
        <f>IF(OR(ISBLANK($B935),ISBLANK($AG935)),"",IFERROR(IF($AG935&lt;=DATE('ESTADO CONTABLE'!$B$2,11,5),VLOOKUP($B935,COSTOS!$A$2:$B1014,2,FALSE)-150,VLOOKUP($B935,COSTOS!$A$2:$B1014,2,FALSE)),"No encontrado o error"))</f>
        <v/>
      </c>
      <c r="AI935" s="395"/>
      <c r="AJ935" s="394"/>
      <c r="AK935" s="429" t="str">
        <f>IF(OR(ISBLANK($B935),ISBLANK($AJ935)),"",IFERROR(IF($AJ935&lt;=DATE('ESTADO CONTABLE'!$B$2,12,5),VLOOKUP($B935,COSTOS!$A$2:$B1014,2,FALSE)-150,VLOOKUP($B935,COSTOS!$A$2:$B1014,2,FALSE)),"No encontrado o error"))</f>
        <v/>
      </c>
      <c r="AL935" s="395"/>
      <c r="AM935" s="254"/>
      <c r="AN935" s="255"/>
      <c r="AO935" s="256"/>
    </row>
    <row r="936" ht="22.5" customHeight="1">
      <c r="A936" s="431" t="str">
        <f>'BASE DE DATOSS'!A1010</f>
        <v/>
      </c>
      <c r="B936" s="432" t="str">
        <f>'BASE DE DATOSS'!C1010</f>
        <v/>
      </c>
      <c r="C936" s="263"/>
      <c r="D936" s="249"/>
      <c r="E936" s="250"/>
      <c r="F936" s="251"/>
      <c r="G936" s="262"/>
      <c r="H936" s="257"/>
      <c r="I936" s="249"/>
      <c r="J936" s="193" t="str">
        <f>IF(OR(ISBLANK($B936),ISBLANK($I936)),"",IFERROR(IF($I936&lt;=DATE('ESTADO CONTABLE'!$B$2,3,5),VLOOKUP($B936,COSTOS!$A$2:$B1014,2,FALSE)-150,VLOOKUP($B936,COSTOS!$A$2:$B1014,2,FALSE)),"No encontrado o error"))</f>
        <v/>
      </c>
      <c r="K936" s="264"/>
      <c r="L936" s="249"/>
      <c r="M936" s="189"/>
      <c r="N936" s="264"/>
      <c r="O936" s="249"/>
      <c r="P936" s="250"/>
      <c r="Q936" s="264"/>
      <c r="R936" s="249"/>
      <c r="S936" s="250"/>
      <c r="T936" s="264"/>
      <c r="U936" s="249"/>
      <c r="V936" s="250"/>
      <c r="W936" s="264"/>
      <c r="X936" s="394"/>
      <c r="Y936" s="429"/>
      <c r="Z936" s="395"/>
      <c r="AA936" s="394"/>
      <c r="AB936" s="118" t="str">
        <f>IF(OR(ISBLANK($B936),ISBLANK($AA936)),"",IFERROR(IF($AA936&lt;=DATE('ESTADO CONTABLE'!$B$2,9,5),VLOOKUP($B936,COSTOS!$A$2:$B1014,2,FALSE)-150,VLOOKUP($B936,COSTOS!$A$2:$B1014,2,FALSE)),"No encontrado o error"))</f>
        <v/>
      </c>
      <c r="AC936" s="395"/>
      <c r="AD936" s="394"/>
      <c r="AE936" s="429" t="str">
        <f>IF(OR(ISBLANK($B936),ISBLANK($AD936)),"",IFERROR(IF($AD936&lt;=DATE('ESTADO CONTABLE'!$B$2,10,5),VLOOKUP($B936,COSTOS!$A$2:$B1014,2,FALSE)-150,VLOOKUP($B936,COSTOS!$A$2:$B1014,2,FALSE)),"No encontrado o error"))</f>
        <v/>
      </c>
      <c r="AF936" s="395"/>
      <c r="AG936" s="394"/>
      <c r="AH936" s="429" t="str">
        <f>IF(OR(ISBLANK($B936),ISBLANK($AG936)),"",IFERROR(IF($AG936&lt;=DATE('ESTADO CONTABLE'!$B$2,11,5),VLOOKUP($B936,COSTOS!$A$2:$B1014,2,FALSE)-150,VLOOKUP($B936,COSTOS!$A$2:$B1014,2,FALSE)),"No encontrado o error"))</f>
        <v/>
      </c>
      <c r="AI936" s="395"/>
      <c r="AJ936" s="394"/>
      <c r="AK936" s="429" t="str">
        <f>IF(OR(ISBLANK($B936),ISBLANK($AJ936)),"",IFERROR(IF($AJ936&lt;=DATE('ESTADO CONTABLE'!$B$2,12,5),VLOOKUP($B936,COSTOS!$A$2:$B1014,2,FALSE)-150,VLOOKUP($B936,COSTOS!$A$2:$B1014,2,FALSE)),"No encontrado o error"))</f>
        <v/>
      </c>
      <c r="AL936" s="395"/>
      <c r="AM936" s="254"/>
      <c r="AN936" s="255"/>
      <c r="AO936" s="256"/>
    </row>
    <row r="937" ht="22.5" customHeight="1">
      <c r="A937" s="431" t="str">
        <f>'BASE DE DATOSS'!A1011</f>
        <v/>
      </c>
      <c r="B937" s="432" t="str">
        <f>'BASE DE DATOSS'!C1011</f>
        <v/>
      </c>
      <c r="C937" s="263"/>
      <c r="D937" s="249"/>
      <c r="E937" s="250"/>
      <c r="F937" s="251"/>
      <c r="G937" s="262"/>
      <c r="H937" s="257"/>
      <c r="I937" s="249"/>
      <c r="J937" s="193" t="str">
        <f>IF(OR(ISBLANK($B937),ISBLANK($I937)),"",IFERROR(IF($I937&lt;=DATE('ESTADO CONTABLE'!$B$2,3,5),VLOOKUP($B937,COSTOS!$A$2:$B1014,2,FALSE)-150,VLOOKUP($B937,COSTOS!$A$2:$B1014,2,FALSE)),"No encontrado o error"))</f>
        <v/>
      </c>
      <c r="K937" s="264"/>
      <c r="L937" s="249"/>
      <c r="M937" s="189"/>
      <c r="N937" s="264"/>
      <c r="O937" s="249"/>
      <c r="P937" s="250"/>
      <c r="Q937" s="264"/>
      <c r="R937" s="249"/>
      <c r="S937" s="250"/>
      <c r="T937" s="264"/>
      <c r="U937" s="249"/>
      <c r="V937" s="250"/>
      <c r="W937" s="264"/>
      <c r="X937" s="394"/>
      <c r="Y937" s="429"/>
      <c r="Z937" s="395"/>
      <c r="AA937" s="394"/>
      <c r="AB937" s="118" t="str">
        <f>IF(OR(ISBLANK($B937),ISBLANK($AA937)),"",IFERROR(IF($AA937&lt;=DATE('ESTADO CONTABLE'!$B$2,9,5),VLOOKUP($B937,COSTOS!$A$2:$B1014,2,FALSE)-150,VLOOKUP($B937,COSTOS!$A$2:$B1014,2,FALSE)),"No encontrado o error"))</f>
        <v/>
      </c>
      <c r="AC937" s="395"/>
      <c r="AD937" s="394"/>
      <c r="AE937" s="429" t="str">
        <f>IF(OR(ISBLANK($B937),ISBLANK($AD937)),"",IFERROR(IF($AD937&lt;=DATE('ESTADO CONTABLE'!$B$2,10,5),VLOOKUP($B937,COSTOS!$A$2:$B1014,2,FALSE)-150,VLOOKUP($B937,COSTOS!$A$2:$B1014,2,FALSE)),"No encontrado o error"))</f>
        <v/>
      </c>
      <c r="AF937" s="395"/>
      <c r="AG937" s="394"/>
      <c r="AH937" s="429" t="str">
        <f>IF(OR(ISBLANK($B937),ISBLANK($AG937)),"",IFERROR(IF($AG937&lt;=DATE('ESTADO CONTABLE'!$B$2,11,5),VLOOKUP($B937,COSTOS!$A$2:$B1014,2,FALSE)-150,VLOOKUP($B937,COSTOS!$A$2:$B1014,2,FALSE)),"No encontrado o error"))</f>
        <v/>
      </c>
      <c r="AI937" s="395"/>
      <c r="AJ937" s="394"/>
      <c r="AK937" s="429" t="str">
        <f>IF(OR(ISBLANK($B937),ISBLANK($AJ937)),"",IFERROR(IF($AJ937&lt;=DATE('ESTADO CONTABLE'!$B$2,12,5),VLOOKUP($B937,COSTOS!$A$2:$B1014,2,FALSE)-150,VLOOKUP($B937,COSTOS!$A$2:$B1014,2,FALSE)),"No encontrado o error"))</f>
        <v/>
      </c>
      <c r="AL937" s="395"/>
      <c r="AM937" s="254"/>
      <c r="AN937" s="255"/>
      <c r="AO937" s="256"/>
    </row>
    <row r="938" ht="22.5" customHeight="1">
      <c r="A938" s="431" t="str">
        <f>'BASE DE DATOSS'!A1012</f>
        <v/>
      </c>
      <c r="B938" s="432" t="str">
        <f>'BASE DE DATOSS'!C1012</f>
        <v/>
      </c>
      <c r="C938" s="263"/>
      <c r="D938" s="249"/>
      <c r="E938" s="250"/>
      <c r="F938" s="251"/>
      <c r="G938" s="262"/>
      <c r="H938" s="257"/>
      <c r="I938" s="249"/>
      <c r="J938" s="193" t="str">
        <f>IF(OR(ISBLANK($B938),ISBLANK($I938)),"",IFERROR(IF($I938&lt;=DATE('ESTADO CONTABLE'!$B$2,3,5),VLOOKUP($B938,COSTOS!$A$2:$B1014,2,FALSE)-150,VLOOKUP($B938,COSTOS!$A$2:$B1014,2,FALSE)),"No encontrado o error"))</f>
        <v/>
      </c>
      <c r="K938" s="264"/>
      <c r="L938" s="249"/>
      <c r="M938" s="189"/>
      <c r="N938" s="264"/>
      <c r="O938" s="249"/>
      <c r="P938" s="250"/>
      <c r="Q938" s="264"/>
      <c r="R938" s="249"/>
      <c r="S938" s="250"/>
      <c r="T938" s="264"/>
      <c r="U938" s="249"/>
      <c r="V938" s="250"/>
      <c r="W938" s="264"/>
      <c r="X938" s="394"/>
      <c r="Y938" s="429"/>
      <c r="Z938" s="395"/>
      <c r="AA938" s="394"/>
      <c r="AB938" s="118" t="str">
        <f>IF(OR(ISBLANK($B938),ISBLANK($AA938)),"",IFERROR(IF($AA938&lt;=DATE('ESTADO CONTABLE'!$B$2,9,5),VLOOKUP($B938,COSTOS!$A$2:$B1014,2,FALSE)-150,VLOOKUP($B938,COSTOS!$A$2:$B1014,2,FALSE)),"No encontrado o error"))</f>
        <v/>
      </c>
      <c r="AC938" s="395"/>
      <c r="AD938" s="394"/>
      <c r="AE938" s="429" t="str">
        <f>IF(OR(ISBLANK($B938),ISBLANK($AD938)),"",IFERROR(IF($AD938&lt;=DATE('ESTADO CONTABLE'!$B$2,10,5),VLOOKUP($B938,COSTOS!$A$2:$B1014,2,FALSE)-150,VLOOKUP($B938,COSTOS!$A$2:$B1014,2,FALSE)),"No encontrado o error"))</f>
        <v/>
      </c>
      <c r="AF938" s="395"/>
      <c r="AG938" s="394"/>
      <c r="AH938" s="429" t="str">
        <f>IF(OR(ISBLANK($B938),ISBLANK($AG938)),"",IFERROR(IF($AG938&lt;=DATE('ESTADO CONTABLE'!$B$2,11,5),VLOOKUP($B938,COSTOS!$A$2:$B1014,2,FALSE)-150,VLOOKUP($B938,COSTOS!$A$2:$B1014,2,FALSE)),"No encontrado o error"))</f>
        <v/>
      </c>
      <c r="AI938" s="395"/>
      <c r="AJ938" s="394"/>
      <c r="AK938" s="429" t="str">
        <f>IF(OR(ISBLANK($B938),ISBLANK($AJ938)),"",IFERROR(IF($AJ938&lt;=DATE('ESTADO CONTABLE'!$B$2,12,5),VLOOKUP($B938,COSTOS!$A$2:$B1014,2,FALSE)-150,VLOOKUP($B938,COSTOS!$A$2:$B1014,2,FALSE)),"No encontrado o error"))</f>
        <v/>
      </c>
      <c r="AL938" s="395"/>
      <c r="AM938" s="254"/>
      <c r="AN938" s="255"/>
      <c r="AO938" s="256"/>
    </row>
    <row r="939" ht="22.5" customHeight="1">
      <c r="A939" s="431" t="str">
        <f>'BASE DE DATOSS'!A1013</f>
        <v/>
      </c>
      <c r="B939" s="432" t="str">
        <f>'BASE DE DATOSS'!C1013</f>
        <v/>
      </c>
      <c r="C939" s="263"/>
      <c r="D939" s="249"/>
      <c r="E939" s="250"/>
      <c r="F939" s="251"/>
      <c r="G939" s="262"/>
      <c r="H939" s="257"/>
      <c r="I939" s="249"/>
      <c r="J939" s="193" t="str">
        <f>IF(OR(ISBLANK($B939),ISBLANK($I939)),"",IFERROR(IF($I939&lt;=DATE('ESTADO CONTABLE'!$B$2,3,5),VLOOKUP($B939,COSTOS!$A$2:$B1014,2,FALSE)-150,VLOOKUP($B939,COSTOS!$A$2:$B1014,2,FALSE)),"No encontrado o error"))</f>
        <v/>
      </c>
      <c r="K939" s="264"/>
      <c r="L939" s="249"/>
      <c r="M939" s="189"/>
      <c r="N939" s="264"/>
      <c r="O939" s="249"/>
      <c r="P939" s="250"/>
      <c r="Q939" s="264"/>
      <c r="R939" s="249"/>
      <c r="S939" s="250"/>
      <c r="T939" s="264"/>
      <c r="U939" s="249"/>
      <c r="V939" s="250"/>
      <c r="W939" s="264"/>
      <c r="X939" s="394"/>
      <c r="Y939" s="429"/>
      <c r="Z939" s="395"/>
      <c r="AA939" s="394"/>
      <c r="AB939" s="118" t="str">
        <f>IF(OR(ISBLANK($B939),ISBLANK($AA939)),"",IFERROR(IF($AA939&lt;=DATE('ESTADO CONTABLE'!$B$2,9,5),VLOOKUP($B939,COSTOS!$A$2:$B1014,2,FALSE)-150,VLOOKUP($B939,COSTOS!$A$2:$B1014,2,FALSE)),"No encontrado o error"))</f>
        <v/>
      </c>
      <c r="AC939" s="395"/>
      <c r="AD939" s="394"/>
      <c r="AE939" s="429" t="str">
        <f>IF(OR(ISBLANK($B939),ISBLANK($AD939)),"",IFERROR(IF($AD939&lt;=DATE('ESTADO CONTABLE'!$B$2,10,5),VLOOKUP($B939,COSTOS!$A$2:$B1014,2,FALSE)-150,VLOOKUP($B939,COSTOS!$A$2:$B1014,2,FALSE)),"No encontrado o error"))</f>
        <v/>
      </c>
      <c r="AF939" s="395"/>
      <c r="AG939" s="394"/>
      <c r="AH939" s="429" t="str">
        <f>IF(OR(ISBLANK($B939),ISBLANK($AG939)),"",IFERROR(IF($AG939&lt;=DATE('ESTADO CONTABLE'!$B$2,11,5),VLOOKUP($B939,COSTOS!$A$2:$B1014,2,FALSE)-150,VLOOKUP($B939,COSTOS!$A$2:$B1014,2,FALSE)),"No encontrado o error"))</f>
        <v/>
      </c>
      <c r="AI939" s="395"/>
      <c r="AJ939" s="394"/>
      <c r="AK939" s="429" t="str">
        <f>IF(OR(ISBLANK($B939),ISBLANK($AJ939)),"",IFERROR(IF($AJ939&lt;=DATE('ESTADO CONTABLE'!$B$2,12,5),VLOOKUP($B939,COSTOS!$A$2:$B1014,2,FALSE)-150,VLOOKUP($B939,COSTOS!$A$2:$B1014,2,FALSE)),"No encontrado o error"))</f>
        <v/>
      </c>
      <c r="AL939" s="395"/>
      <c r="AM939" s="254"/>
      <c r="AN939" s="255"/>
      <c r="AO939" s="256"/>
    </row>
    <row r="940" ht="22.5" customHeight="1">
      <c r="A940" s="431" t="str">
        <f>'BASE DE DATOSS'!A1014</f>
        <v/>
      </c>
      <c r="B940" s="432" t="str">
        <f>'BASE DE DATOSS'!C1014</f>
        <v/>
      </c>
      <c r="C940" s="263"/>
      <c r="D940" s="249"/>
      <c r="E940" s="250"/>
      <c r="F940" s="251"/>
      <c r="G940" s="262"/>
      <c r="H940" s="257"/>
      <c r="I940" s="249"/>
      <c r="J940" s="193" t="str">
        <f>IF(OR(ISBLANK($B940),ISBLANK($I940)),"",IFERROR(IF($I940&lt;=DATE('ESTADO CONTABLE'!$B$2,3,5),VLOOKUP($B940,COSTOS!$A$2:$B1014,2,FALSE)-150,VLOOKUP($B940,COSTOS!$A$2:$B1014,2,FALSE)),"No encontrado o error"))</f>
        <v/>
      </c>
      <c r="K940" s="264"/>
      <c r="L940" s="249"/>
      <c r="M940" s="189"/>
      <c r="N940" s="264"/>
      <c r="O940" s="249"/>
      <c r="P940" s="250"/>
      <c r="Q940" s="264"/>
      <c r="R940" s="249"/>
      <c r="S940" s="250"/>
      <c r="T940" s="264"/>
      <c r="U940" s="249"/>
      <c r="V940" s="250"/>
      <c r="W940" s="264"/>
      <c r="X940" s="394"/>
      <c r="Y940" s="429"/>
      <c r="Z940" s="395"/>
      <c r="AA940" s="394"/>
      <c r="AB940" s="118" t="str">
        <f>IF(OR(ISBLANK($B940),ISBLANK($AA940)),"",IFERROR(IF($AA940&lt;=DATE('ESTADO CONTABLE'!$B$2,9,5),VLOOKUP($B940,COSTOS!$A$2:$B1014,2,FALSE)-150,VLOOKUP($B940,COSTOS!$A$2:$B1014,2,FALSE)),"No encontrado o error"))</f>
        <v/>
      </c>
      <c r="AC940" s="395"/>
      <c r="AD940" s="394"/>
      <c r="AE940" s="429" t="str">
        <f>IF(OR(ISBLANK($B940),ISBLANK($AD940)),"",IFERROR(IF($AD940&lt;=DATE('ESTADO CONTABLE'!$B$2,10,5),VLOOKUP($B940,COSTOS!$A$2:$B1014,2,FALSE)-150,VLOOKUP($B940,COSTOS!$A$2:$B1014,2,FALSE)),"No encontrado o error"))</f>
        <v/>
      </c>
      <c r="AF940" s="395"/>
      <c r="AG940" s="394"/>
      <c r="AH940" s="429" t="str">
        <f>IF(OR(ISBLANK($B940),ISBLANK($AG940)),"",IFERROR(IF($AG940&lt;=DATE('ESTADO CONTABLE'!$B$2,11,5),VLOOKUP($B940,COSTOS!$A$2:$B1014,2,FALSE)-150,VLOOKUP($B940,COSTOS!$A$2:$B1014,2,FALSE)),"No encontrado o error"))</f>
        <v/>
      </c>
      <c r="AI940" s="395"/>
      <c r="AJ940" s="394"/>
      <c r="AK940" s="429" t="str">
        <f>IF(OR(ISBLANK($B940),ISBLANK($AJ940)),"",IFERROR(IF($AJ940&lt;=DATE('ESTADO CONTABLE'!$B$2,12,5),VLOOKUP($B940,COSTOS!$A$2:$B1014,2,FALSE)-150,VLOOKUP($B940,COSTOS!$A$2:$B1014,2,FALSE)),"No encontrado o error"))</f>
        <v/>
      </c>
      <c r="AL940" s="395"/>
      <c r="AM940" s="254"/>
      <c r="AN940" s="255"/>
      <c r="AO940" s="256"/>
    </row>
    <row r="941" ht="22.5" customHeight="1">
      <c r="A941" s="431" t="str">
        <f>'BASE DE DATOSS'!A1015</f>
        <v/>
      </c>
      <c r="B941" s="432" t="str">
        <f>'BASE DE DATOSS'!C1015</f>
        <v/>
      </c>
      <c r="C941" s="263"/>
      <c r="D941" s="249"/>
      <c r="E941" s="250"/>
      <c r="F941" s="251"/>
      <c r="G941" s="262"/>
      <c r="H941" s="257"/>
      <c r="I941" s="249"/>
      <c r="J941" s="193" t="str">
        <f>IF(OR(ISBLANK($B941),ISBLANK($I941)),"",IFERROR(IF($I941&lt;=DATE('ESTADO CONTABLE'!$B$2,3,5),VLOOKUP($B941,COSTOS!$A$2:$B1014,2,FALSE)-150,VLOOKUP($B941,COSTOS!$A$2:$B1014,2,FALSE)),"No encontrado o error"))</f>
        <v/>
      </c>
      <c r="K941" s="264"/>
      <c r="L941" s="249"/>
      <c r="M941" s="189"/>
      <c r="N941" s="264"/>
      <c r="O941" s="249"/>
      <c r="P941" s="250"/>
      <c r="Q941" s="264"/>
      <c r="R941" s="249"/>
      <c r="S941" s="250"/>
      <c r="T941" s="264"/>
      <c r="U941" s="249"/>
      <c r="V941" s="250"/>
      <c r="W941" s="264"/>
      <c r="X941" s="394"/>
      <c r="Y941" s="429"/>
      <c r="Z941" s="395"/>
      <c r="AA941" s="394"/>
      <c r="AB941" s="118" t="str">
        <f>IF(OR(ISBLANK($B941),ISBLANK($AA941)),"",IFERROR(IF($AA941&lt;=DATE('ESTADO CONTABLE'!$B$2,9,5),VLOOKUP($B941,COSTOS!$A$2:$B1014,2,FALSE)-150,VLOOKUP($B941,COSTOS!$A$2:$B1014,2,FALSE)),"No encontrado o error"))</f>
        <v/>
      </c>
      <c r="AC941" s="395"/>
      <c r="AD941" s="394"/>
      <c r="AE941" s="429" t="str">
        <f>IF(OR(ISBLANK($B941),ISBLANK($AD941)),"",IFERROR(IF($AD941&lt;=DATE('ESTADO CONTABLE'!$B$2,10,5),VLOOKUP($B941,COSTOS!$A$2:$B1014,2,FALSE)-150,VLOOKUP($B941,COSTOS!$A$2:$B1014,2,FALSE)),"No encontrado o error"))</f>
        <v/>
      </c>
      <c r="AF941" s="395"/>
      <c r="AG941" s="394"/>
      <c r="AH941" s="429" t="str">
        <f>IF(OR(ISBLANK($B941),ISBLANK($AG941)),"",IFERROR(IF($AG941&lt;=DATE('ESTADO CONTABLE'!$B$2,11,5),VLOOKUP($B941,COSTOS!$A$2:$B1014,2,FALSE)-150,VLOOKUP($B941,COSTOS!$A$2:$B1014,2,FALSE)),"No encontrado o error"))</f>
        <v/>
      </c>
      <c r="AI941" s="395"/>
      <c r="AJ941" s="394"/>
      <c r="AK941" s="429" t="str">
        <f>IF(OR(ISBLANK($B941),ISBLANK($AJ941)),"",IFERROR(IF($AJ941&lt;=DATE('ESTADO CONTABLE'!$B$2,12,5),VLOOKUP($B941,COSTOS!$A$2:$B1014,2,FALSE)-150,VLOOKUP($B941,COSTOS!$A$2:$B1014,2,FALSE)),"No encontrado o error"))</f>
        <v/>
      </c>
      <c r="AL941" s="395"/>
      <c r="AM941" s="254"/>
      <c r="AN941" s="255"/>
      <c r="AO941" s="256"/>
    </row>
    <row r="942" ht="22.5" customHeight="1">
      <c r="A942" s="431" t="str">
        <f>'BASE DE DATOSS'!A1016</f>
        <v/>
      </c>
      <c r="B942" s="432" t="str">
        <f>'BASE DE DATOSS'!C1016</f>
        <v/>
      </c>
      <c r="C942" s="263"/>
      <c r="D942" s="249"/>
      <c r="E942" s="250"/>
      <c r="F942" s="251"/>
      <c r="G942" s="262"/>
      <c r="H942" s="257"/>
      <c r="I942" s="249"/>
      <c r="J942" s="193" t="str">
        <f>IF(OR(ISBLANK($B942),ISBLANK($I942)),"",IFERROR(IF($I942&lt;=DATE('ESTADO CONTABLE'!$B$2,3,5),VLOOKUP($B942,COSTOS!$A$2:$B1014,2,FALSE)-150,VLOOKUP($B942,COSTOS!$A$2:$B1014,2,FALSE)),"No encontrado o error"))</f>
        <v/>
      </c>
      <c r="K942" s="264"/>
      <c r="L942" s="249"/>
      <c r="M942" s="189"/>
      <c r="N942" s="264"/>
      <c r="O942" s="249"/>
      <c r="P942" s="250"/>
      <c r="Q942" s="264"/>
      <c r="R942" s="249"/>
      <c r="S942" s="250"/>
      <c r="T942" s="264"/>
      <c r="U942" s="249"/>
      <c r="V942" s="250"/>
      <c r="W942" s="264"/>
      <c r="X942" s="394"/>
      <c r="Y942" s="429"/>
      <c r="Z942" s="395"/>
      <c r="AA942" s="394"/>
      <c r="AB942" s="118" t="str">
        <f>IF(OR(ISBLANK($B942),ISBLANK($AA942)),"",IFERROR(IF($AA942&lt;=DATE('ESTADO CONTABLE'!$B$2,9,5),VLOOKUP($B942,COSTOS!$A$2:$B1014,2,FALSE)-150,VLOOKUP($B942,COSTOS!$A$2:$B1014,2,FALSE)),"No encontrado o error"))</f>
        <v/>
      </c>
      <c r="AC942" s="395"/>
      <c r="AD942" s="394"/>
      <c r="AE942" s="429" t="str">
        <f>IF(OR(ISBLANK($B942),ISBLANK($AD942)),"",IFERROR(IF($AD942&lt;=DATE('ESTADO CONTABLE'!$B$2,10,5),VLOOKUP($B942,COSTOS!$A$2:$B1014,2,FALSE)-150,VLOOKUP($B942,COSTOS!$A$2:$B1014,2,FALSE)),"No encontrado o error"))</f>
        <v/>
      </c>
      <c r="AF942" s="395"/>
      <c r="AG942" s="394"/>
      <c r="AH942" s="429" t="str">
        <f>IF(OR(ISBLANK($B942),ISBLANK($AG942)),"",IFERROR(IF($AG942&lt;=DATE('ESTADO CONTABLE'!$B$2,11,5),VLOOKUP($B942,COSTOS!$A$2:$B1014,2,FALSE)-150,VLOOKUP($B942,COSTOS!$A$2:$B1014,2,FALSE)),"No encontrado o error"))</f>
        <v/>
      </c>
      <c r="AI942" s="395"/>
      <c r="AJ942" s="394"/>
      <c r="AK942" s="429" t="str">
        <f>IF(OR(ISBLANK($B942),ISBLANK($AJ942)),"",IFERROR(IF($AJ942&lt;=DATE('ESTADO CONTABLE'!$B$2,12,5),VLOOKUP($B942,COSTOS!$A$2:$B1014,2,FALSE)-150,VLOOKUP($B942,COSTOS!$A$2:$B1014,2,FALSE)),"No encontrado o error"))</f>
        <v/>
      </c>
      <c r="AL942" s="395"/>
      <c r="AM942" s="254"/>
      <c r="AN942" s="255"/>
      <c r="AO942" s="256"/>
    </row>
    <row r="943" ht="22.5" customHeight="1">
      <c r="A943" s="431" t="str">
        <f>'BASE DE DATOSS'!A1017</f>
        <v/>
      </c>
      <c r="B943" s="432" t="str">
        <f>'BASE DE DATOSS'!C1017</f>
        <v/>
      </c>
      <c r="C943" s="263"/>
      <c r="D943" s="249"/>
      <c r="E943" s="250"/>
      <c r="F943" s="251"/>
      <c r="G943" s="262"/>
      <c r="H943" s="257"/>
      <c r="I943" s="249"/>
      <c r="J943" s="193" t="str">
        <f>IF(OR(ISBLANK($B943),ISBLANK($I943)),"",IFERROR(IF($I943&lt;=DATE('ESTADO CONTABLE'!$B$2,3,5),VLOOKUP($B943,COSTOS!$A$2:$B1014,2,FALSE)-150,VLOOKUP($B943,COSTOS!$A$2:$B1014,2,FALSE)),"No encontrado o error"))</f>
        <v/>
      </c>
      <c r="K943" s="264"/>
      <c r="L943" s="249"/>
      <c r="M943" s="189"/>
      <c r="N943" s="264"/>
      <c r="O943" s="249"/>
      <c r="P943" s="250"/>
      <c r="Q943" s="264"/>
      <c r="R943" s="249"/>
      <c r="S943" s="250"/>
      <c r="T943" s="264"/>
      <c r="U943" s="249"/>
      <c r="V943" s="250"/>
      <c r="W943" s="264"/>
      <c r="X943" s="394"/>
      <c r="Y943" s="429"/>
      <c r="Z943" s="395"/>
      <c r="AA943" s="394"/>
      <c r="AB943" s="118" t="str">
        <f>IF(OR(ISBLANK($B943),ISBLANK($AA943)),"",IFERROR(IF($AA943&lt;=DATE('ESTADO CONTABLE'!$B$2,9,5),VLOOKUP($B943,COSTOS!$A$2:$B1014,2,FALSE)-150,VLOOKUP($B943,COSTOS!$A$2:$B1014,2,FALSE)),"No encontrado o error"))</f>
        <v/>
      </c>
      <c r="AC943" s="395"/>
      <c r="AD943" s="394"/>
      <c r="AE943" s="429" t="str">
        <f>IF(OR(ISBLANK($B943),ISBLANK($AD943)),"",IFERROR(IF($AD943&lt;=DATE('ESTADO CONTABLE'!$B$2,10,5),VLOOKUP($B943,COSTOS!$A$2:$B1014,2,FALSE)-150,VLOOKUP($B943,COSTOS!$A$2:$B1014,2,FALSE)),"No encontrado o error"))</f>
        <v/>
      </c>
      <c r="AF943" s="395"/>
      <c r="AG943" s="394"/>
      <c r="AH943" s="429" t="str">
        <f>IF(OR(ISBLANK($B943),ISBLANK($AG943)),"",IFERROR(IF($AG943&lt;=DATE('ESTADO CONTABLE'!$B$2,11,5),VLOOKUP($B943,COSTOS!$A$2:$B1014,2,FALSE)-150,VLOOKUP($B943,COSTOS!$A$2:$B1014,2,FALSE)),"No encontrado o error"))</f>
        <v/>
      </c>
      <c r="AI943" s="395"/>
      <c r="AJ943" s="394"/>
      <c r="AK943" s="429" t="str">
        <f>IF(OR(ISBLANK($B943),ISBLANK($AJ943)),"",IFERROR(IF($AJ943&lt;=DATE('ESTADO CONTABLE'!$B$2,12,5),VLOOKUP($B943,COSTOS!$A$2:$B1014,2,FALSE)-150,VLOOKUP($B943,COSTOS!$A$2:$B1014,2,FALSE)),"No encontrado o error"))</f>
        <v/>
      </c>
      <c r="AL943" s="395"/>
      <c r="AM943" s="254"/>
      <c r="AN943" s="255"/>
      <c r="AO943" s="256"/>
    </row>
    <row r="944" ht="22.5" customHeight="1">
      <c r="A944" s="431" t="str">
        <f>'BASE DE DATOSS'!A1018</f>
        <v/>
      </c>
      <c r="B944" s="432" t="str">
        <f>'BASE DE DATOSS'!C1018</f>
        <v/>
      </c>
      <c r="C944" s="263"/>
      <c r="D944" s="249"/>
      <c r="E944" s="250"/>
      <c r="F944" s="251"/>
      <c r="G944" s="262"/>
      <c r="H944" s="257"/>
      <c r="I944" s="249"/>
      <c r="J944" s="193" t="str">
        <f>IF(OR(ISBLANK($B944),ISBLANK($I944)),"",IFERROR(IF($I944&lt;=DATE('ESTADO CONTABLE'!$B$2,3,5),VLOOKUP($B944,COSTOS!$A$2:$B1014,2,FALSE)-150,VLOOKUP($B944,COSTOS!$A$2:$B1014,2,FALSE)),"No encontrado o error"))</f>
        <v/>
      </c>
      <c r="K944" s="264"/>
      <c r="L944" s="249"/>
      <c r="M944" s="189"/>
      <c r="N944" s="264"/>
      <c r="O944" s="249"/>
      <c r="P944" s="250"/>
      <c r="Q944" s="264"/>
      <c r="R944" s="249"/>
      <c r="S944" s="250"/>
      <c r="T944" s="264"/>
      <c r="U944" s="249"/>
      <c r="V944" s="250"/>
      <c r="W944" s="264"/>
      <c r="X944" s="394"/>
      <c r="Y944" s="429"/>
      <c r="Z944" s="395"/>
      <c r="AA944" s="394"/>
      <c r="AB944" s="118" t="str">
        <f>IF(OR(ISBLANK($B944),ISBLANK($AA944)),"",IFERROR(IF($AA944&lt;=DATE('ESTADO CONTABLE'!$B$2,9,5),VLOOKUP($B944,COSTOS!$A$2:$B1014,2,FALSE)-150,VLOOKUP($B944,COSTOS!$A$2:$B1014,2,FALSE)),"No encontrado o error"))</f>
        <v/>
      </c>
      <c r="AC944" s="395"/>
      <c r="AD944" s="394"/>
      <c r="AE944" s="429" t="str">
        <f>IF(OR(ISBLANK($B944),ISBLANK($AD944)),"",IFERROR(IF($AD944&lt;=DATE('ESTADO CONTABLE'!$B$2,10,5),VLOOKUP($B944,COSTOS!$A$2:$B1014,2,FALSE)-150,VLOOKUP($B944,COSTOS!$A$2:$B1014,2,FALSE)),"No encontrado o error"))</f>
        <v/>
      </c>
      <c r="AF944" s="395"/>
      <c r="AG944" s="394"/>
      <c r="AH944" s="429" t="str">
        <f>IF(OR(ISBLANK($B944),ISBLANK($AG944)),"",IFERROR(IF($AG944&lt;=DATE('ESTADO CONTABLE'!$B$2,11,5),VLOOKUP($B944,COSTOS!$A$2:$B1014,2,FALSE)-150,VLOOKUP($B944,COSTOS!$A$2:$B1014,2,FALSE)),"No encontrado o error"))</f>
        <v/>
      </c>
      <c r="AI944" s="395"/>
      <c r="AJ944" s="394"/>
      <c r="AK944" s="429" t="str">
        <f>IF(OR(ISBLANK($B944),ISBLANK($AJ944)),"",IFERROR(IF($AJ944&lt;=DATE('ESTADO CONTABLE'!$B$2,12,5),VLOOKUP($B944,COSTOS!$A$2:$B1014,2,FALSE)-150,VLOOKUP($B944,COSTOS!$A$2:$B1014,2,FALSE)),"No encontrado o error"))</f>
        <v/>
      </c>
      <c r="AL944" s="395"/>
      <c r="AM944" s="254"/>
      <c r="AN944" s="255"/>
      <c r="AO944" s="256"/>
    </row>
    <row r="945" ht="22.5" customHeight="1">
      <c r="A945" s="431" t="str">
        <f>'BASE DE DATOSS'!A1019</f>
        <v/>
      </c>
      <c r="B945" s="432" t="str">
        <f>'BASE DE DATOSS'!C1019</f>
        <v/>
      </c>
      <c r="C945" s="263"/>
      <c r="D945" s="249"/>
      <c r="E945" s="250"/>
      <c r="F945" s="251"/>
      <c r="G945" s="262"/>
      <c r="H945" s="257"/>
      <c r="I945" s="249"/>
      <c r="J945" s="193" t="str">
        <f>IF(OR(ISBLANK($B945),ISBLANK($I945)),"",IFERROR(IF($I945&lt;=DATE('ESTADO CONTABLE'!$B$2,3,5),VLOOKUP($B945,COSTOS!$A$2:$B1014,2,FALSE)-150,VLOOKUP($B945,COSTOS!$A$2:$B1014,2,FALSE)),"No encontrado o error"))</f>
        <v/>
      </c>
      <c r="K945" s="264"/>
      <c r="L945" s="249"/>
      <c r="M945" s="189"/>
      <c r="N945" s="264"/>
      <c r="O945" s="249"/>
      <c r="P945" s="250"/>
      <c r="Q945" s="264"/>
      <c r="R945" s="249"/>
      <c r="S945" s="250"/>
      <c r="T945" s="264"/>
      <c r="U945" s="249"/>
      <c r="V945" s="250"/>
      <c r="W945" s="264"/>
      <c r="X945" s="394"/>
      <c r="Y945" s="429"/>
      <c r="Z945" s="395"/>
      <c r="AA945" s="394"/>
      <c r="AB945" s="118" t="str">
        <f>IF(OR(ISBLANK($B945),ISBLANK($AA945)),"",IFERROR(IF($AA945&lt;=DATE('ESTADO CONTABLE'!$B$2,9,5),VLOOKUP($B945,COSTOS!$A$2:$B1014,2,FALSE)-150,VLOOKUP($B945,COSTOS!$A$2:$B1014,2,FALSE)),"No encontrado o error"))</f>
        <v/>
      </c>
      <c r="AC945" s="395"/>
      <c r="AD945" s="394"/>
      <c r="AE945" s="429" t="str">
        <f>IF(OR(ISBLANK($B945),ISBLANK($AD945)),"",IFERROR(IF($AD945&lt;=DATE('ESTADO CONTABLE'!$B$2,10,5),VLOOKUP($B945,COSTOS!$A$2:$B1014,2,FALSE)-150,VLOOKUP($B945,COSTOS!$A$2:$B1014,2,FALSE)),"No encontrado o error"))</f>
        <v/>
      </c>
      <c r="AF945" s="395"/>
      <c r="AG945" s="394"/>
      <c r="AH945" s="429" t="str">
        <f>IF(OR(ISBLANK($B945),ISBLANK($AG945)),"",IFERROR(IF($AG945&lt;=DATE('ESTADO CONTABLE'!$B$2,11,5),VLOOKUP($B945,COSTOS!$A$2:$B1014,2,FALSE)-150,VLOOKUP($B945,COSTOS!$A$2:$B1014,2,FALSE)),"No encontrado o error"))</f>
        <v/>
      </c>
      <c r="AI945" s="395"/>
      <c r="AJ945" s="394"/>
      <c r="AK945" s="429" t="str">
        <f>IF(OR(ISBLANK($B945),ISBLANK($AJ945)),"",IFERROR(IF($AJ945&lt;=DATE('ESTADO CONTABLE'!$B$2,12,5),VLOOKUP($B945,COSTOS!$A$2:$B1014,2,FALSE)-150,VLOOKUP($B945,COSTOS!$A$2:$B1014,2,FALSE)),"No encontrado o error"))</f>
        <v/>
      </c>
      <c r="AL945" s="395"/>
      <c r="AM945" s="254"/>
      <c r="AN945" s="255"/>
      <c r="AO945" s="256"/>
    </row>
    <row r="946" ht="22.5" customHeight="1">
      <c r="A946" s="431" t="str">
        <f>'BASE DE DATOSS'!A1020</f>
        <v/>
      </c>
      <c r="B946" s="432" t="str">
        <f>'BASE DE DATOSS'!C1020</f>
        <v/>
      </c>
      <c r="C946" s="263"/>
      <c r="D946" s="249"/>
      <c r="E946" s="250"/>
      <c r="F946" s="251"/>
      <c r="G946" s="262"/>
      <c r="H946" s="257"/>
      <c r="I946" s="249"/>
      <c r="J946" s="193" t="str">
        <f>IF(OR(ISBLANK($B946),ISBLANK($I946)),"",IFERROR(IF($I946&lt;=DATE('ESTADO CONTABLE'!$B$2,3,5),VLOOKUP($B946,COSTOS!$A$2:$B1014,2,FALSE)-150,VLOOKUP($B946,COSTOS!$A$2:$B1014,2,FALSE)),"No encontrado o error"))</f>
        <v/>
      </c>
      <c r="K946" s="264"/>
      <c r="L946" s="249"/>
      <c r="M946" s="189"/>
      <c r="N946" s="264"/>
      <c r="O946" s="249"/>
      <c r="P946" s="250"/>
      <c r="Q946" s="264"/>
      <c r="R946" s="249"/>
      <c r="S946" s="250"/>
      <c r="T946" s="264"/>
      <c r="U946" s="249"/>
      <c r="V946" s="250"/>
      <c r="W946" s="264"/>
      <c r="X946" s="394"/>
      <c r="Y946" s="429"/>
      <c r="Z946" s="395"/>
      <c r="AA946" s="394"/>
      <c r="AB946" s="118" t="str">
        <f>IF(OR(ISBLANK($B946),ISBLANK($AA946)),"",IFERROR(IF($AA946&lt;=DATE('ESTADO CONTABLE'!$B$2,9,5),VLOOKUP($B946,COSTOS!$A$2:$B1014,2,FALSE)-150,VLOOKUP($B946,COSTOS!$A$2:$B1014,2,FALSE)),"No encontrado o error"))</f>
        <v/>
      </c>
      <c r="AC946" s="395"/>
      <c r="AD946" s="394"/>
      <c r="AE946" s="429" t="str">
        <f>IF(OR(ISBLANK($B946),ISBLANK($AD946)),"",IFERROR(IF($AD946&lt;=DATE('ESTADO CONTABLE'!$B$2,10,5),VLOOKUP($B946,COSTOS!$A$2:$B1014,2,FALSE)-150,VLOOKUP($B946,COSTOS!$A$2:$B1014,2,FALSE)),"No encontrado o error"))</f>
        <v/>
      </c>
      <c r="AF946" s="395"/>
      <c r="AG946" s="394"/>
      <c r="AH946" s="429" t="str">
        <f>IF(OR(ISBLANK($B946),ISBLANK($AG946)),"",IFERROR(IF($AG946&lt;=DATE('ESTADO CONTABLE'!$B$2,11,5),VLOOKUP($B946,COSTOS!$A$2:$B1014,2,FALSE)-150,VLOOKUP($B946,COSTOS!$A$2:$B1014,2,FALSE)),"No encontrado o error"))</f>
        <v/>
      </c>
      <c r="AI946" s="395"/>
      <c r="AJ946" s="394"/>
      <c r="AK946" s="429" t="str">
        <f>IF(OR(ISBLANK($B946),ISBLANK($AJ946)),"",IFERROR(IF($AJ946&lt;=DATE('ESTADO CONTABLE'!$B$2,12,5),VLOOKUP($B946,COSTOS!$A$2:$B1014,2,FALSE)-150,VLOOKUP($B946,COSTOS!$A$2:$B1014,2,FALSE)),"No encontrado o error"))</f>
        <v/>
      </c>
      <c r="AL946" s="395"/>
      <c r="AM946" s="254"/>
      <c r="AN946" s="255"/>
      <c r="AO946" s="256"/>
    </row>
    <row r="947" ht="22.5" customHeight="1">
      <c r="A947" s="431" t="str">
        <f>'BASE DE DATOSS'!A1021</f>
        <v/>
      </c>
      <c r="B947" s="432" t="str">
        <f>'BASE DE DATOSS'!C1021</f>
        <v/>
      </c>
      <c r="C947" s="263"/>
      <c r="D947" s="249"/>
      <c r="E947" s="250"/>
      <c r="F947" s="251"/>
      <c r="G947" s="262"/>
      <c r="H947" s="257"/>
      <c r="I947" s="249"/>
      <c r="J947" s="193" t="str">
        <f>IF(OR(ISBLANK($B947),ISBLANK($I947)),"",IFERROR(IF($I947&lt;=DATE('ESTADO CONTABLE'!$B$2,3,5),VLOOKUP($B947,COSTOS!$A$2:$B1014,2,FALSE)-150,VLOOKUP($B947,COSTOS!$A$2:$B1014,2,FALSE)),"No encontrado o error"))</f>
        <v/>
      </c>
      <c r="K947" s="264"/>
      <c r="L947" s="249"/>
      <c r="M947" s="189"/>
      <c r="N947" s="264"/>
      <c r="O947" s="249"/>
      <c r="P947" s="250"/>
      <c r="Q947" s="264"/>
      <c r="R947" s="249"/>
      <c r="S947" s="250"/>
      <c r="T947" s="264"/>
      <c r="U947" s="249"/>
      <c r="V947" s="250"/>
      <c r="W947" s="264"/>
      <c r="X947" s="394"/>
      <c r="Y947" s="429"/>
      <c r="Z947" s="395"/>
      <c r="AA947" s="394"/>
      <c r="AB947" s="118" t="str">
        <f>IF(OR(ISBLANK($B947),ISBLANK($AA947)),"",IFERROR(IF($AA947&lt;=DATE('ESTADO CONTABLE'!$B$2,9,5),VLOOKUP($B947,COSTOS!$A$2:$B1014,2,FALSE)-150,VLOOKUP($B947,COSTOS!$A$2:$B1014,2,FALSE)),"No encontrado o error"))</f>
        <v/>
      </c>
      <c r="AC947" s="395"/>
      <c r="AD947" s="394"/>
      <c r="AE947" s="429" t="str">
        <f>IF(OR(ISBLANK($B947),ISBLANK($AD947)),"",IFERROR(IF($AD947&lt;=DATE('ESTADO CONTABLE'!$B$2,10,5),VLOOKUP($B947,COSTOS!$A$2:$B1014,2,FALSE)-150,VLOOKUP($B947,COSTOS!$A$2:$B1014,2,FALSE)),"No encontrado o error"))</f>
        <v/>
      </c>
      <c r="AF947" s="395"/>
      <c r="AG947" s="394"/>
      <c r="AH947" s="429" t="str">
        <f>IF(OR(ISBLANK($B947),ISBLANK($AG947)),"",IFERROR(IF($AG947&lt;=DATE('ESTADO CONTABLE'!$B$2,11,5),VLOOKUP($B947,COSTOS!$A$2:$B1014,2,FALSE)-150,VLOOKUP($B947,COSTOS!$A$2:$B1014,2,FALSE)),"No encontrado o error"))</f>
        <v/>
      </c>
      <c r="AI947" s="395"/>
      <c r="AJ947" s="394"/>
      <c r="AK947" s="429" t="str">
        <f>IF(OR(ISBLANK($B947),ISBLANK($AJ947)),"",IFERROR(IF($AJ947&lt;=DATE('ESTADO CONTABLE'!$B$2,12,5),VLOOKUP($B947,COSTOS!$A$2:$B1014,2,FALSE)-150,VLOOKUP($B947,COSTOS!$A$2:$B1014,2,FALSE)),"No encontrado o error"))</f>
        <v/>
      </c>
      <c r="AL947" s="395"/>
      <c r="AM947" s="254"/>
      <c r="AN947" s="255"/>
      <c r="AO947" s="256"/>
    </row>
    <row r="948" ht="22.5" customHeight="1">
      <c r="A948" s="431" t="str">
        <f>'BASE DE DATOSS'!A1022</f>
        <v/>
      </c>
      <c r="B948" s="432" t="str">
        <f>'BASE DE DATOSS'!C1022</f>
        <v/>
      </c>
      <c r="C948" s="263"/>
      <c r="D948" s="249"/>
      <c r="E948" s="250"/>
      <c r="F948" s="251"/>
      <c r="G948" s="262"/>
      <c r="H948" s="257"/>
      <c r="I948" s="249"/>
      <c r="J948" s="193" t="str">
        <f>IF(OR(ISBLANK($B948),ISBLANK($I948)),"",IFERROR(IF($I948&lt;=DATE('ESTADO CONTABLE'!$B$2,3,5),VLOOKUP($B948,COSTOS!$A$2:$B1014,2,FALSE)-150,VLOOKUP($B948,COSTOS!$A$2:$B1014,2,FALSE)),"No encontrado o error"))</f>
        <v/>
      </c>
      <c r="K948" s="264"/>
      <c r="L948" s="249"/>
      <c r="M948" s="189"/>
      <c r="N948" s="264"/>
      <c r="O948" s="249"/>
      <c r="P948" s="250"/>
      <c r="Q948" s="264"/>
      <c r="R948" s="249"/>
      <c r="S948" s="250"/>
      <c r="T948" s="264"/>
      <c r="U948" s="249"/>
      <c r="V948" s="250"/>
      <c r="W948" s="264"/>
      <c r="X948" s="394"/>
      <c r="Y948" s="429"/>
      <c r="Z948" s="395"/>
      <c r="AA948" s="394"/>
      <c r="AB948" s="118" t="str">
        <f>IF(OR(ISBLANK($B948),ISBLANK($AA948)),"",IFERROR(IF($AA948&lt;=DATE('ESTADO CONTABLE'!$B$2,9,5),VLOOKUP($B948,COSTOS!$A$2:$B1014,2,FALSE)-150,VLOOKUP($B948,COSTOS!$A$2:$B1014,2,FALSE)),"No encontrado o error"))</f>
        <v/>
      </c>
      <c r="AC948" s="395"/>
      <c r="AD948" s="394"/>
      <c r="AE948" s="429" t="str">
        <f>IF(OR(ISBLANK($B948),ISBLANK($AD948)),"",IFERROR(IF($AD948&lt;=DATE('ESTADO CONTABLE'!$B$2,10,5),VLOOKUP($B948,COSTOS!$A$2:$B1014,2,FALSE)-150,VLOOKUP($B948,COSTOS!$A$2:$B1014,2,FALSE)),"No encontrado o error"))</f>
        <v/>
      </c>
      <c r="AF948" s="395"/>
      <c r="AG948" s="394"/>
      <c r="AH948" s="429" t="str">
        <f>IF(OR(ISBLANK($B948),ISBLANK($AG948)),"",IFERROR(IF($AG948&lt;=DATE('ESTADO CONTABLE'!$B$2,11,5),VLOOKUP($B948,COSTOS!$A$2:$B1014,2,FALSE)-150,VLOOKUP($B948,COSTOS!$A$2:$B1014,2,FALSE)),"No encontrado o error"))</f>
        <v/>
      </c>
      <c r="AI948" s="395"/>
      <c r="AJ948" s="394"/>
      <c r="AK948" s="429" t="str">
        <f>IF(OR(ISBLANK($B948),ISBLANK($AJ948)),"",IFERROR(IF($AJ948&lt;=DATE('ESTADO CONTABLE'!$B$2,12,5),VLOOKUP($B948,COSTOS!$A$2:$B1014,2,FALSE)-150,VLOOKUP($B948,COSTOS!$A$2:$B1014,2,FALSE)),"No encontrado o error"))</f>
        <v/>
      </c>
      <c r="AL948" s="395"/>
      <c r="AM948" s="254"/>
      <c r="AN948" s="255"/>
      <c r="AO948" s="256"/>
    </row>
    <row r="949" ht="22.5" customHeight="1">
      <c r="A949" s="431" t="str">
        <f>'BASE DE DATOSS'!A1023</f>
        <v/>
      </c>
      <c r="B949" s="432" t="str">
        <f>'BASE DE DATOSS'!C1023</f>
        <v/>
      </c>
      <c r="C949" s="263"/>
      <c r="D949" s="249"/>
      <c r="E949" s="250"/>
      <c r="F949" s="251"/>
      <c r="G949" s="262"/>
      <c r="H949" s="257"/>
      <c r="I949" s="249"/>
      <c r="J949" s="193" t="str">
        <f>IF(OR(ISBLANK($B949),ISBLANK($I949)),"",IFERROR(IF($I949&lt;=DATE('ESTADO CONTABLE'!$B$2,3,5),VLOOKUP($B949,COSTOS!$A$2:$B1014,2,FALSE)-150,VLOOKUP($B949,COSTOS!$A$2:$B1014,2,FALSE)),"No encontrado o error"))</f>
        <v/>
      </c>
      <c r="K949" s="264"/>
      <c r="L949" s="249"/>
      <c r="M949" s="189"/>
      <c r="N949" s="264"/>
      <c r="O949" s="249"/>
      <c r="P949" s="250"/>
      <c r="Q949" s="264"/>
      <c r="R949" s="249"/>
      <c r="S949" s="250"/>
      <c r="T949" s="264"/>
      <c r="U949" s="249"/>
      <c r="V949" s="250"/>
      <c r="W949" s="264"/>
      <c r="X949" s="394"/>
      <c r="Y949" s="429"/>
      <c r="Z949" s="395"/>
      <c r="AA949" s="394"/>
      <c r="AB949" s="118" t="str">
        <f>IF(OR(ISBLANK($B949),ISBLANK($AA949)),"",IFERROR(IF($AA949&lt;=DATE('ESTADO CONTABLE'!$B$2,9,5),VLOOKUP($B949,COSTOS!$A$2:$B1014,2,FALSE)-150,VLOOKUP($B949,COSTOS!$A$2:$B1014,2,FALSE)),"No encontrado o error"))</f>
        <v/>
      </c>
      <c r="AC949" s="395"/>
      <c r="AD949" s="394"/>
      <c r="AE949" s="429" t="str">
        <f>IF(OR(ISBLANK($B949),ISBLANK($AD949)),"",IFERROR(IF($AD949&lt;=DATE('ESTADO CONTABLE'!$B$2,10,5),VLOOKUP($B949,COSTOS!$A$2:$B1014,2,FALSE)-150,VLOOKUP($B949,COSTOS!$A$2:$B1014,2,FALSE)),"No encontrado o error"))</f>
        <v/>
      </c>
      <c r="AF949" s="395"/>
      <c r="AG949" s="394"/>
      <c r="AH949" s="429" t="str">
        <f>IF(OR(ISBLANK($B949),ISBLANK($AG949)),"",IFERROR(IF($AG949&lt;=DATE('ESTADO CONTABLE'!$B$2,11,5),VLOOKUP($B949,COSTOS!$A$2:$B1014,2,FALSE)-150,VLOOKUP($B949,COSTOS!$A$2:$B1014,2,FALSE)),"No encontrado o error"))</f>
        <v/>
      </c>
      <c r="AI949" s="395"/>
      <c r="AJ949" s="394"/>
      <c r="AK949" s="429" t="str">
        <f>IF(OR(ISBLANK($B949),ISBLANK($AJ949)),"",IFERROR(IF($AJ949&lt;=DATE('ESTADO CONTABLE'!$B$2,12,5),VLOOKUP($B949,COSTOS!$A$2:$B1014,2,FALSE)-150,VLOOKUP($B949,COSTOS!$A$2:$B1014,2,FALSE)),"No encontrado o error"))</f>
        <v/>
      </c>
      <c r="AL949" s="395"/>
      <c r="AM949" s="254"/>
      <c r="AN949" s="255"/>
      <c r="AO949" s="256"/>
    </row>
    <row r="950" ht="22.5" customHeight="1">
      <c r="A950" s="431" t="str">
        <f>'BASE DE DATOSS'!A1024</f>
        <v/>
      </c>
      <c r="B950" s="432" t="str">
        <f>'BASE DE DATOSS'!C1024</f>
        <v/>
      </c>
      <c r="C950" s="263"/>
      <c r="D950" s="249"/>
      <c r="E950" s="250"/>
      <c r="F950" s="251"/>
      <c r="G950" s="262"/>
      <c r="H950" s="257"/>
      <c r="I950" s="249"/>
      <c r="J950" s="193" t="str">
        <f>IF(OR(ISBLANK($B950),ISBLANK($I950)),"",IFERROR(IF($I950&lt;=DATE('ESTADO CONTABLE'!$B$2,3,5),VLOOKUP($B950,COSTOS!$A$2:$B1014,2,FALSE)-150,VLOOKUP($B950,COSTOS!$A$2:$B1014,2,FALSE)),"No encontrado o error"))</f>
        <v/>
      </c>
      <c r="K950" s="264"/>
      <c r="L950" s="249"/>
      <c r="M950" s="189"/>
      <c r="N950" s="264"/>
      <c r="O950" s="249"/>
      <c r="P950" s="250"/>
      <c r="Q950" s="264"/>
      <c r="R950" s="249"/>
      <c r="S950" s="250"/>
      <c r="T950" s="264"/>
      <c r="U950" s="249"/>
      <c r="V950" s="250"/>
      <c r="W950" s="264"/>
      <c r="X950" s="394"/>
      <c r="Y950" s="429"/>
      <c r="Z950" s="395"/>
      <c r="AA950" s="394"/>
      <c r="AB950" s="118" t="str">
        <f>IF(OR(ISBLANK($B950),ISBLANK($AA950)),"",IFERROR(IF($AA950&lt;=DATE('ESTADO CONTABLE'!$B$2,9,5),VLOOKUP($B950,COSTOS!$A$2:$B1014,2,FALSE)-150,VLOOKUP($B950,COSTOS!$A$2:$B1014,2,FALSE)),"No encontrado o error"))</f>
        <v/>
      </c>
      <c r="AC950" s="395"/>
      <c r="AD950" s="394"/>
      <c r="AE950" s="429" t="str">
        <f>IF(OR(ISBLANK($B950),ISBLANK($AD950)),"",IFERROR(IF($AD950&lt;=DATE('ESTADO CONTABLE'!$B$2,10,5),VLOOKUP($B950,COSTOS!$A$2:$B1014,2,FALSE)-150,VLOOKUP($B950,COSTOS!$A$2:$B1014,2,FALSE)),"No encontrado o error"))</f>
        <v/>
      </c>
      <c r="AF950" s="395"/>
      <c r="AG950" s="394"/>
      <c r="AH950" s="429" t="str">
        <f>IF(OR(ISBLANK($B950),ISBLANK($AG950)),"",IFERROR(IF($AG950&lt;=DATE('ESTADO CONTABLE'!$B$2,11,5),VLOOKUP($B950,COSTOS!$A$2:$B1014,2,FALSE)-150,VLOOKUP($B950,COSTOS!$A$2:$B1014,2,FALSE)),"No encontrado o error"))</f>
        <v/>
      </c>
      <c r="AI950" s="395"/>
      <c r="AJ950" s="394"/>
      <c r="AK950" s="429" t="str">
        <f>IF(OR(ISBLANK($B950),ISBLANK($AJ950)),"",IFERROR(IF($AJ950&lt;=DATE('ESTADO CONTABLE'!$B$2,12,5),VLOOKUP($B950,COSTOS!$A$2:$B1014,2,FALSE)-150,VLOOKUP($B950,COSTOS!$A$2:$B1014,2,FALSE)),"No encontrado o error"))</f>
        <v/>
      </c>
      <c r="AL950" s="395"/>
      <c r="AM950" s="254"/>
      <c r="AN950" s="255"/>
      <c r="AO950" s="256"/>
    </row>
    <row r="951" ht="22.5" customHeight="1">
      <c r="A951" s="431" t="str">
        <f>'BASE DE DATOSS'!A1025</f>
        <v/>
      </c>
      <c r="B951" s="432" t="str">
        <f>'BASE DE DATOSS'!C1025</f>
        <v/>
      </c>
      <c r="C951" s="263"/>
      <c r="D951" s="249"/>
      <c r="E951" s="250"/>
      <c r="F951" s="251"/>
      <c r="G951" s="262"/>
      <c r="H951" s="257"/>
      <c r="I951" s="249"/>
      <c r="J951" s="193" t="str">
        <f>IF(OR(ISBLANK($B951),ISBLANK($I951)),"",IFERROR(IF($I951&lt;=DATE('ESTADO CONTABLE'!$B$2,3,5),VLOOKUP($B951,COSTOS!$A$2:$B1014,2,FALSE)-150,VLOOKUP($B951,COSTOS!$A$2:$B1014,2,FALSE)),"No encontrado o error"))</f>
        <v/>
      </c>
      <c r="K951" s="264"/>
      <c r="L951" s="249"/>
      <c r="M951" s="189"/>
      <c r="N951" s="264"/>
      <c r="O951" s="249"/>
      <c r="P951" s="250"/>
      <c r="Q951" s="264"/>
      <c r="R951" s="249"/>
      <c r="S951" s="250"/>
      <c r="T951" s="264"/>
      <c r="U951" s="249"/>
      <c r="V951" s="250"/>
      <c r="W951" s="264"/>
      <c r="X951" s="394"/>
      <c r="Y951" s="429"/>
      <c r="Z951" s="395"/>
      <c r="AA951" s="394"/>
      <c r="AB951" s="118" t="str">
        <f>IF(OR(ISBLANK($B951),ISBLANK($AA951)),"",IFERROR(IF($AA951&lt;=DATE('ESTADO CONTABLE'!$B$2,9,5),VLOOKUP($B951,COSTOS!$A$2:$B1014,2,FALSE)-150,VLOOKUP($B951,COSTOS!$A$2:$B1014,2,FALSE)),"No encontrado o error"))</f>
        <v/>
      </c>
      <c r="AC951" s="395"/>
      <c r="AD951" s="394"/>
      <c r="AE951" s="429" t="str">
        <f>IF(OR(ISBLANK($B951),ISBLANK($AD951)),"",IFERROR(IF($AD951&lt;=DATE('ESTADO CONTABLE'!$B$2,10,5),VLOOKUP($B951,COSTOS!$A$2:$B1014,2,FALSE)-150,VLOOKUP($B951,COSTOS!$A$2:$B1014,2,FALSE)),"No encontrado o error"))</f>
        <v/>
      </c>
      <c r="AF951" s="395"/>
      <c r="AG951" s="394"/>
      <c r="AH951" s="429" t="str">
        <f>IF(OR(ISBLANK($B951),ISBLANK($AG951)),"",IFERROR(IF($AG951&lt;=DATE('ESTADO CONTABLE'!$B$2,11,5),VLOOKUP($B951,COSTOS!$A$2:$B1014,2,FALSE)-150,VLOOKUP($B951,COSTOS!$A$2:$B1014,2,FALSE)),"No encontrado o error"))</f>
        <v/>
      </c>
      <c r="AI951" s="395"/>
      <c r="AJ951" s="394"/>
      <c r="AK951" s="429" t="str">
        <f>IF(OR(ISBLANK($B951),ISBLANK($AJ951)),"",IFERROR(IF($AJ951&lt;=DATE('ESTADO CONTABLE'!$B$2,12,5),VLOOKUP($B951,COSTOS!$A$2:$B1014,2,FALSE)-150,VLOOKUP($B951,COSTOS!$A$2:$B1014,2,FALSE)),"No encontrado o error"))</f>
        <v/>
      </c>
      <c r="AL951" s="395"/>
      <c r="AM951" s="254"/>
      <c r="AN951" s="255"/>
      <c r="AO951" s="256"/>
    </row>
    <row r="952" ht="22.5" customHeight="1">
      <c r="A952" s="431" t="str">
        <f>'BASE DE DATOSS'!A1026</f>
        <v/>
      </c>
      <c r="B952" s="432" t="str">
        <f>'BASE DE DATOSS'!C1026</f>
        <v/>
      </c>
      <c r="C952" s="263"/>
      <c r="D952" s="249"/>
      <c r="E952" s="250"/>
      <c r="F952" s="251"/>
      <c r="G952" s="262"/>
      <c r="H952" s="257"/>
      <c r="I952" s="249"/>
      <c r="J952" s="193" t="str">
        <f>IF(OR(ISBLANK($B952),ISBLANK($I952)),"",IFERROR(IF($I952&lt;=DATE('ESTADO CONTABLE'!$B$2,3,5),VLOOKUP($B952,COSTOS!$A$2:$B1014,2,FALSE)-150,VLOOKUP($B952,COSTOS!$A$2:$B1014,2,FALSE)),"No encontrado o error"))</f>
        <v/>
      </c>
      <c r="K952" s="264"/>
      <c r="L952" s="249"/>
      <c r="M952" s="189"/>
      <c r="N952" s="264"/>
      <c r="O952" s="249"/>
      <c r="P952" s="250"/>
      <c r="Q952" s="264"/>
      <c r="R952" s="249"/>
      <c r="S952" s="250"/>
      <c r="T952" s="264"/>
      <c r="U952" s="249"/>
      <c r="V952" s="250"/>
      <c r="W952" s="264"/>
      <c r="X952" s="394"/>
      <c r="Y952" s="429"/>
      <c r="Z952" s="395"/>
      <c r="AA952" s="394"/>
      <c r="AB952" s="118" t="str">
        <f>IF(OR(ISBLANK($B952),ISBLANK($AA952)),"",IFERROR(IF($AA952&lt;=DATE('ESTADO CONTABLE'!$B$2,9,5),VLOOKUP($B952,COSTOS!$A$2:$B1014,2,FALSE)-150,VLOOKUP($B952,COSTOS!$A$2:$B1014,2,FALSE)),"No encontrado o error"))</f>
        <v/>
      </c>
      <c r="AC952" s="395"/>
      <c r="AD952" s="394"/>
      <c r="AE952" s="429" t="str">
        <f>IF(OR(ISBLANK($B952),ISBLANK($AD952)),"",IFERROR(IF($AD952&lt;=DATE('ESTADO CONTABLE'!$B$2,10,5),VLOOKUP($B952,COSTOS!$A$2:$B1014,2,FALSE)-150,VLOOKUP($B952,COSTOS!$A$2:$B1014,2,FALSE)),"No encontrado o error"))</f>
        <v/>
      </c>
      <c r="AF952" s="395"/>
      <c r="AG952" s="394"/>
      <c r="AH952" s="429" t="str">
        <f>IF(OR(ISBLANK($B952),ISBLANK($AG952)),"",IFERROR(IF($AG952&lt;=DATE('ESTADO CONTABLE'!$B$2,11,5),VLOOKUP($B952,COSTOS!$A$2:$B1014,2,FALSE)-150,VLOOKUP($B952,COSTOS!$A$2:$B1014,2,FALSE)),"No encontrado o error"))</f>
        <v/>
      </c>
      <c r="AI952" s="395"/>
      <c r="AJ952" s="394"/>
      <c r="AK952" s="429" t="str">
        <f>IF(OR(ISBLANK($B952),ISBLANK($AJ952)),"",IFERROR(IF($AJ952&lt;=DATE('ESTADO CONTABLE'!$B$2,12,5),VLOOKUP($B952,COSTOS!$A$2:$B1014,2,FALSE)-150,VLOOKUP($B952,COSTOS!$A$2:$B1014,2,FALSE)),"No encontrado o error"))</f>
        <v/>
      </c>
      <c r="AL952" s="395"/>
      <c r="AM952" s="254"/>
      <c r="AN952" s="255"/>
      <c r="AO952" s="256"/>
    </row>
    <row r="953" ht="22.5" customHeight="1">
      <c r="A953" s="431" t="str">
        <f>'BASE DE DATOSS'!A1027</f>
        <v/>
      </c>
      <c r="B953" s="432" t="str">
        <f>'BASE DE DATOSS'!C1027</f>
        <v/>
      </c>
      <c r="C953" s="263"/>
      <c r="D953" s="249"/>
      <c r="E953" s="250"/>
      <c r="F953" s="251"/>
      <c r="G953" s="262"/>
      <c r="H953" s="257"/>
      <c r="I953" s="249"/>
      <c r="J953" s="193" t="str">
        <f>IF(OR(ISBLANK($B953),ISBLANK($I953)),"",IFERROR(IF($I953&lt;=DATE('ESTADO CONTABLE'!$B$2,3,5),VLOOKUP($B953,COSTOS!$A$2:$B1014,2,FALSE)-150,VLOOKUP($B953,COSTOS!$A$2:$B1014,2,FALSE)),"No encontrado o error"))</f>
        <v/>
      </c>
      <c r="K953" s="264"/>
      <c r="L953" s="249"/>
      <c r="M953" s="189"/>
      <c r="N953" s="264"/>
      <c r="O953" s="249"/>
      <c r="P953" s="250"/>
      <c r="Q953" s="264"/>
      <c r="R953" s="249"/>
      <c r="S953" s="250"/>
      <c r="T953" s="264"/>
      <c r="U953" s="249"/>
      <c r="V953" s="250"/>
      <c r="W953" s="264"/>
      <c r="X953" s="394"/>
      <c r="Y953" s="429"/>
      <c r="Z953" s="395"/>
      <c r="AA953" s="394"/>
      <c r="AB953" s="118" t="str">
        <f>IF(OR(ISBLANK($B953),ISBLANK($AA953)),"",IFERROR(IF($AA953&lt;=DATE('ESTADO CONTABLE'!$B$2,9,5),VLOOKUP($B953,COSTOS!$A$2:$B1014,2,FALSE)-150,VLOOKUP($B953,COSTOS!$A$2:$B1014,2,FALSE)),"No encontrado o error"))</f>
        <v/>
      </c>
      <c r="AC953" s="395"/>
      <c r="AD953" s="394"/>
      <c r="AE953" s="429" t="str">
        <f>IF(OR(ISBLANK($B953),ISBLANK($AD953)),"",IFERROR(IF($AD953&lt;=DATE('ESTADO CONTABLE'!$B$2,10,5),VLOOKUP($B953,COSTOS!$A$2:$B1014,2,FALSE)-150,VLOOKUP($B953,COSTOS!$A$2:$B1014,2,FALSE)),"No encontrado o error"))</f>
        <v/>
      </c>
      <c r="AF953" s="395"/>
      <c r="AG953" s="394"/>
      <c r="AH953" s="429" t="str">
        <f>IF(OR(ISBLANK($B953),ISBLANK($AG953)),"",IFERROR(IF($AG953&lt;=DATE('ESTADO CONTABLE'!$B$2,11,5),VLOOKUP($B953,COSTOS!$A$2:$B1014,2,FALSE)-150,VLOOKUP($B953,COSTOS!$A$2:$B1014,2,FALSE)),"No encontrado o error"))</f>
        <v/>
      </c>
      <c r="AI953" s="395"/>
      <c r="AJ953" s="394"/>
      <c r="AK953" s="429" t="str">
        <f>IF(OR(ISBLANK($B953),ISBLANK($AJ953)),"",IFERROR(IF($AJ953&lt;=DATE('ESTADO CONTABLE'!$B$2,12,5),VLOOKUP($B953,COSTOS!$A$2:$B1014,2,FALSE)-150,VLOOKUP($B953,COSTOS!$A$2:$B1014,2,FALSE)),"No encontrado o error"))</f>
        <v/>
      </c>
      <c r="AL953" s="395"/>
      <c r="AM953" s="254"/>
      <c r="AN953" s="255"/>
      <c r="AO953" s="256"/>
    </row>
    <row r="954" ht="22.5" customHeight="1">
      <c r="A954" s="431" t="str">
        <f>'BASE DE DATOSS'!A1028</f>
        <v/>
      </c>
      <c r="B954" s="432" t="str">
        <f>'BASE DE DATOSS'!C1028</f>
        <v/>
      </c>
      <c r="C954" s="263"/>
      <c r="D954" s="249"/>
      <c r="E954" s="250"/>
      <c r="F954" s="251"/>
      <c r="G954" s="262"/>
      <c r="H954" s="257"/>
      <c r="I954" s="249"/>
      <c r="J954" s="193" t="str">
        <f>IF(OR(ISBLANK($B954),ISBLANK($I954)),"",IFERROR(IF($I954&lt;=DATE('ESTADO CONTABLE'!$B$2,3,5),VLOOKUP($B954,COSTOS!$A$2:$B1014,2,FALSE)-150,VLOOKUP($B954,COSTOS!$A$2:$B1014,2,FALSE)),"No encontrado o error"))</f>
        <v/>
      </c>
      <c r="K954" s="264"/>
      <c r="L954" s="249"/>
      <c r="M954" s="189"/>
      <c r="N954" s="264"/>
      <c r="O954" s="249"/>
      <c r="P954" s="250"/>
      <c r="Q954" s="264"/>
      <c r="R954" s="249"/>
      <c r="S954" s="250"/>
      <c r="T954" s="264"/>
      <c r="U954" s="249"/>
      <c r="V954" s="250"/>
      <c r="W954" s="264"/>
      <c r="X954" s="394"/>
      <c r="Y954" s="429"/>
      <c r="Z954" s="395"/>
      <c r="AA954" s="394"/>
      <c r="AB954" s="118" t="str">
        <f>IF(OR(ISBLANK($B954),ISBLANK($AA954)),"",IFERROR(IF($AA954&lt;=DATE('ESTADO CONTABLE'!$B$2,9,5),VLOOKUP($B954,COSTOS!$A$2:$B1014,2,FALSE)-150,VLOOKUP($B954,COSTOS!$A$2:$B1014,2,FALSE)),"No encontrado o error"))</f>
        <v/>
      </c>
      <c r="AC954" s="395"/>
      <c r="AD954" s="394"/>
      <c r="AE954" s="429" t="str">
        <f>IF(OR(ISBLANK($B954),ISBLANK($AD954)),"",IFERROR(IF($AD954&lt;=DATE('ESTADO CONTABLE'!$B$2,10,5),VLOOKUP($B954,COSTOS!$A$2:$B1014,2,FALSE)-150,VLOOKUP($B954,COSTOS!$A$2:$B1014,2,FALSE)),"No encontrado o error"))</f>
        <v/>
      </c>
      <c r="AF954" s="395"/>
      <c r="AG954" s="394"/>
      <c r="AH954" s="429" t="str">
        <f>IF(OR(ISBLANK($B954),ISBLANK($AG954)),"",IFERROR(IF($AG954&lt;=DATE('ESTADO CONTABLE'!$B$2,11,5),VLOOKUP($B954,COSTOS!$A$2:$B1014,2,FALSE)-150,VLOOKUP($B954,COSTOS!$A$2:$B1014,2,FALSE)),"No encontrado o error"))</f>
        <v/>
      </c>
      <c r="AI954" s="395"/>
      <c r="AJ954" s="394"/>
      <c r="AK954" s="429" t="str">
        <f>IF(OR(ISBLANK($B954),ISBLANK($AJ954)),"",IFERROR(IF($AJ954&lt;=DATE('ESTADO CONTABLE'!$B$2,12,5),VLOOKUP($B954,COSTOS!$A$2:$B1014,2,FALSE)-150,VLOOKUP($B954,COSTOS!$A$2:$B1014,2,FALSE)),"No encontrado o error"))</f>
        <v/>
      </c>
      <c r="AL954" s="395"/>
      <c r="AM954" s="254"/>
      <c r="AN954" s="255"/>
      <c r="AO954" s="256"/>
    </row>
    <row r="955" ht="22.5" customHeight="1">
      <c r="A955" s="431" t="str">
        <f>'BASE DE DATOSS'!A1029</f>
        <v/>
      </c>
      <c r="B955" s="432" t="str">
        <f>'BASE DE DATOSS'!C1029</f>
        <v/>
      </c>
      <c r="C955" s="263"/>
      <c r="D955" s="249"/>
      <c r="E955" s="250"/>
      <c r="F955" s="251"/>
      <c r="G955" s="262"/>
      <c r="H955" s="257"/>
      <c r="I955" s="249"/>
      <c r="J955" s="193" t="str">
        <f>IF(OR(ISBLANK($B955),ISBLANK($I955)),"",IFERROR(IF($I955&lt;=DATE('ESTADO CONTABLE'!$B$2,3,5),VLOOKUP($B955,COSTOS!$A$2:$B1014,2,FALSE)-150,VLOOKUP($B955,COSTOS!$A$2:$B1014,2,FALSE)),"No encontrado o error"))</f>
        <v/>
      </c>
      <c r="K955" s="264"/>
      <c r="L955" s="249"/>
      <c r="M955" s="189"/>
      <c r="N955" s="264"/>
      <c r="O955" s="249"/>
      <c r="P955" s="250"/>
      <c r="Q955" s="264"/>
      <c r="R955" s="249"/>
      <c r="S955" s="250"/>
      <c r="T955" s="264"/>
      <c r="U955" s="249"/>
      <c r="V955" s="250"/>
      <c r="W955" s="264"/>
      <c r="X955" s="394"/>
      <c r="Y955" s="429"/>
      <c r="Z955" s="395"/>
      <c r="AA955" s="394"/>
      <c r="AB955" s="118" t="str">
        <f>IF(OR(ISBLANK($B955),ISBLANK($AA955)),"",IFERROR(IF($AA955&lt;=DATE('ESTADO CONTABLE'!$B$2,9,5),VLOOKUP($B955,COSTOS!$A$2:$B1014,2,FALSE)-150,VLOOKUP($B955,COSTOS!$A$2:$B1014,2,FALSE)),"No encontrado o error"))</f>
        <v/>
      </c>
      <c r="AC955" s="395"/>
      <c r="AD955" s="394"/>
      <c r="AE955" s="429" t="str">
        <f>IF(OR(ISBLANK($B955),ISBLANK($AD955)),"",IFERROR(IF($AD955&lt;=DATE('ESTADO CONTABLE'!$B$2,10,5),VLOOKUP($B955,COSTOS!$A$2:$B1014,2,FALSE)-150,VLOOKUP($B955,COSTOS!$A$2:$B1014,2,FALSE)),"No encontrado o error"))</f>
        <v/>
      </c>
      <c r="AF955" s="395"/>
      <c r="AG955" s="394"/>
      <c r="AH955" s="429" t="str">
        <f>IF(OR(ISBLANK($B955),ISBLANK($AG955)),"",IFERROR(IF($AG955&lt;=DATE('ESTADO CONTABLE'!$B$2,11,5),VLOOKUP($B955,COSTOS!$A$2:$B1014,2,FALSE)-150,VLOOKUP($B955,COSTOS!$A$2:$B1014,2,FALSE)),"No encontrado o error"))</f>
        <v/>
      </c>
      <c r="AI955" s="395"/>
      <c r="AJ955" s="394"/>
      <c r="AK955" s="429" t="str">
        <f>IF(OR(ISBLANK($B955),ISBLANK($AJ955)),"",IFERROR(IF($AJ955&lt;=DATE('ESTADO CONTABLE'!$B$2,12,5),VLOOKUP($B955,COSTOS!$A$2:$B1014,2,FALSE)-150,VLOOKUP($B955,COSTOS!$A$2:$B1014,2,FALSE)),"No encontrado o error"))</f>
        <v/>
      </c>
      <c r="AL955" s="395"/>
      <c r="AM955" s="254"/>
      <c r="AN955" s="255"/>
      <c r="AO955" s="256"/>
    </row>
    <row r="956" ht="22.5" customHeight="1">
      <c r="A956" s="431" t="str">
        <f>'BASE DE DATOSS'!A1030</f>
        <v/>
      </c>
      <c r="B956" s="432" t="str">
        <f>'BASE DE DATOSS'!C1030</f>
        <v/>
      </c>
      <c r="C956" s="263"/>
      <c r="D956" s="249"/>
      <c r="E956" s="250"/>
      <c r="F956" s="251"/>
      <c r="G956" s="262"/>
      <c r="H956" s="257"/>
      <c r="I956" s="249"/>
      <c r="J956" s="193" t="str">
        <f>IF(OR(ISBLANK($B956),ISBLANK($I956)),"",IFERROR(IF($I956&lt;=DATE('ESTADO CONTABLE'!$B$2,3,5),VLOOKUP($B956,COSTOS!$A$2:$B1014,2,FALSE)-150,VLOOKUP($B956,COSTOS!$A$2:$B1014,2,FALSE)),"No encontrado o error"))</f>
        <v/>
      </c>
      <c r="K956" s="264"/>
      <c r="L956" s="249"/>
      <c r="M956" s="189"/>
      <c r="N956" s="264"/>
      <c r="O956" s="249"/>
      <c r="P956" s="250"/>
      <c r="Q956" s="264"/>
      <c r="R956" s="249"/>
      <c r="S956" s="250"/>
      <c r="T956" s="264"/>
      <c r="U956" s="249"/>
      <c r="V956" s="250"/>
      <c r="W956" s="264"/>
      <c r="X956" s="394"/>
      <c r="Y956" s="429"/>
      <c r="Z956" s="395"/>
      <c r="AA956" s="394"/>
      <c r="AB956" s="118" t="str">
        <f>IF(OR(ISBLANK($B956),ISBLANK($AA956)),"",IFERROR(IF($AA956&lt;=DATE('ESTADO CONTABLE'!$B$2,9,5),VLOOKUP($B956,COSTOS!$A$2:$B1014,2,FALSE)-150,VLOOKUP($B956,COSTOS!$A$2:$B1014,2,FALSE)),"No encontrado o error"))</f>
        <v/>
      </c>
      <c r="AC956" s="395"/>
      <c r="AD956" s="394"/>
      <c r="AE956" s="429" t="str">
        <f>IF(OR(ISBLANK($B956),ISBLANK($AD956)),"",IFERROR(IF($AD956&lt;=DATE('ESTADO CONTABLE'!$B$2,10,5),VLOOKUP($B956,COSTOS!$A$2:$B1014,2,FALSE)-150,VLOOKUP($B956,COSTOS!$A$2:$B1014,2,FALSE)),"No encontrado o error"))</f>
        <v/>
      </c>
      <c r="AF956" s="395"/>
      <c r="AG956" s="394"/>
      <c r="AH956" s="429" t="str">
        <f>IF(OR(ISBLANK($B956),ISBLANK($AG956)),"",IFERROR(IF($AG956&lt;=DATE('ESTADO CONTABLE'!$B$2,11,5),VLOOKUP($B956,COSTOS!$A$2:$B1014,2,FALSE)-150,VLOOKUP($B956,COSTOS!$A$2:$B1014,2,FALSE)),"No encontrado o error"))</f>
        <v/>
      </c>
      <c r="AI956" s="395"/>
      <c r="AJ956" s="394"/>
      <c r="AK956" s="429" t="str">
        <f>IF(OR(ISBLANK($B956),ISBLANK($AJ956)),"",IFERROR(IF($AJ956&lt;=DATE('ESTADO CONTABLE'!$B$2,12,5),VLOOKUP($B956,COSTOS!$A$2:$B1014,2,FALSE)-150,VLOOKUP($B956,COSTOS!$A$2:$B1014,2,FALSE)),"No encontrado o error"))</f>
        <v/>
      </c>
      <c r="AL956" s="395"/>
      <c r="AM956" s="254"/>
      <c r="AN956" s="255"/>
      <c r="AO956" s="256"/>
    </row>
    <row r="957" ht="22.5" customHeight="1">
      <c r="A957" s="431" t="str">
        <f>'BASE DE DATOSS'!A1031</f>
        <v/>
      </c>
      <c r="B957" s="432" t="str">
        <f>'BASE DE DATOSS'!C1031</f>
        <v/>
      </c>
      <c r="C957" s="263"/>
      <c r="D957" s="249"/>
      <c r="E957" s="250"/>
      <c r="F957" s="251"/>
      <c r="G957" s="262"/>
      <c r="H957" s="257"/>
      <c r="I957" s="249"/>
      <c r="J957" s="193" t="str">
        <f>IF(OR(ISBLANK($B957),ISBLANK($I957)),"",IFERROR(IF($I957&lt;=DATE('ESTADO CONTABLE'!$B$2,3,5),VLOOKUP($B957,COSTOS!$A$2:$B1014,2,FALSE)-150,VLOOKUP($B957,COSTOS!$A$2:$B1014,2,FALSE)),"No encontrado o error"))</f>
        <v/>
      </c>
      <c r="K957" s="264"/>
      <c r="L957" s="249"/>
      <c r="M957" s="189"/>
      <c r="N957" s="264"/>
      <c r="O957" s="249"/>
      <c r="P957" s="250"/>
      <c r="Q957" s="264"/>
      <c r="R957" s="249"/>
      <c r="S957" s="250"/>
      <c r="T957" s="264"/>
      <c r="U957" s="249"/>
      <c r="V957" s="250"/>
      <c r="W957" s="264"/>
      <c r="X957" s="394"/>
      <c r="Y957" s="429"/>
      <c r="Z957" s="395"/>
      <c r="AA957" s="394"/>
      <c r="AB957" s="118" t="str">
        <f>IF(OR(ISBLANK($B957),ISBLANK($AA957)),"",IFERROR(IF($AA957&lt;=DATE('ESTADO CONTABLE'!$B$2,9,5),VLOOKUP($B957,COSTOS!$A$2:$B1014,2,FALSE)-150,VLOOKUP($B957,COSTOS!$A$2:$B1014,2,FALSE)),"No encontrado o error"))</f>
        <v/>
      </c>
      <c r="AC957" s="395"/>
      <c r="AD957" s="394"/>
      <c r="AE957" s="429" t="str">
        <f>IF(OR(ISBLANK($B957),ISBLANK($AD957)),"",IFERROR(IF($AD957&lt;=DATE('ESTADO CONTABLE'!$B$2,10,5),VLOOKUP($B957,COSTOS!$A$2:$B1014,2,FALSE)-150,VLOOKUP($B957,COSTOS!$A$2:$B1014,2,FALSE)),"No encontrado o error"))</f>
        <v/>
      </c>
      <c r="AF957" s="395"/>
      <c r="AG957" s="394"/>
      <c r="AH957" s="429" t="str">
        <f>IF(OR(ISBLANK($B957),ISBLANK($AG957)),"",IFERROR(IF($AG957&lt;=DATE('ESTADO CONTABLE'!$B$2,11,5),VLOOKUP($B957,COSTOS!$A$2:$B1014,2,FALSE)-150,VLOOKUP($B957,COSTOS!$A$2:$B1014,2,FALSE)),"No encontrado o error"))</f>
        <v/>
      </c>
      <c r="AI957" s="395"/>
      <c r="AJ957" s="394"/>
      <c r="AK957" s="429" t="str">
        <f>IF(OR(ISBLANK($B957),ISBLANK($AJ957)),"",IFERROR(IF($AJ957&lt;=DATE('ESTADO CONTABLE'!$B$2,12,5),VLOOKUP($B957,COSTOS!$A$2:$B1014,2,FALSE)-150,VLOOKUP($B957,COSTOS!$A$2:$B1014,2,FALSE)),"No encontrado o error"))</f>
        <v/>
      </c>
      <c r="AL957" s="395"/>
      <c r="AM957" s="254"/>
      <c r="AN957" s="255"/>
      <c r="AO957" s="256"/>
    </row>
    <row r="958" ht="22.5" customHeight="1">
      <c r="A958" s="431" t="str">
        <f>'BASE DE DATOSS'!A1032</f>
        <v/>
      </c>
      <c r="B958" s="432" t="str">
        <f>'BASE DE DATOSS'!C1032</f>
        <v/>
      </c>
      <c r="C958" s="263"/>
      <c r="D958" s="249"/>
      <c r="E958" s="250"/>
      <c r="F958" s="251"/>
      <c r="G958" s="262"/>
      <c r="H958" s="257"/>
      <c r="I958" s="249"/>
      <c r="J958" s="193" t="str">
        <f>IF(OR(ISBLANK($B958),ISBLANK($I958)),"",IFERROR(IF($I958&lt;=DATE('ESTADO CONTABLE'!$B$2,3,5),VLOOKUP($B958,COSTOS!$A$2:$B1014,2,FALSE)-150,VLOOKUP($B958,COSTOS!$A$2:$B1014,2,FALSE)),"No encontrado o error"))</f>
        <v/>
      </c>
      <c r="K958" s="264"/>
      <c r="L958" s="249"/>
      <c r="M958" s="189"/>
      <c r="N958" s="264"/>
      <c r="O958" s="249"/>
      <c r="P958" s="250"/>
      <c r="Q958" s="264"/>
      <c r="R958" s="249"/>
      <c r="S958" s="250"/>
      <c r="T958" s="264"/>
      <c r="U958" s="249"/>
      <c r="V958" s="250"/>
      <c r="W958" s="264"/>
      <c r="X958" s="394"/>
      <c r="Y958" s="429"/>
      <c r="Z958" s="395"/>
      <c r="AA958" s="394"/>
      <c r="AB958" s="118" t="str">
        <f>IF(OR(ISBLANK($B958),ISBLANK($AA958)),"",IFERROR(IF($AA958&lt;=DATE('ESTADO CONTABLE'!$B$2,9,5),VLOOKUP($B958,COSTOS!$A$2:$B1014,2,FALSE)-150,VLOOKUP($B958,COSTOS!$A$2:$B1014,2,FALSE)),"No encontrado o error"))</f>
        <v/>
      </c>
      <c r="AC958" s="395"/>
      <c r="AD958" s="394"/>
      <c r="AE958" s="429" t="str">
        <f>IF(OR(ISBLANK($B958),ISBLANK($AD958)),"",IFERROR(IF($AD958&lt;=DATE('ESTADO CONTABLE'!$B$2,10,5),VLOOKUP($B958,COSTOS!$A$2:$B1014,2,FALSE)-150,VLOOKUP($B958,COSTOS!$A$2:$B1014,2,FALSE)),"No encontrado o error"))</f>
        <v/>
      </c>
      <c r="AF958" s="395"/>
      <c r="AG958" s="394"/>
      <c r="AH958" s="429" t="str">
        <f>IF(OR(ISBLANK($B958),ISBLANK($AG958)),"",IFERROR(IF($AG958&lt;=DATE('ESTADO CONTABLE'!$B$2,11,5),VLOOKUP($B958,COSTOS!$A$2:$B1014,2,FALSE)-150,VLOOKUP($B958,COSTOS!$A$2:$B1014,2,FALSE)),"No encontrado o error"))</f>
        <v/>
      </c>
      <c r="AI958" s="395"/>
      <c r="AJ958" s="394"/>
      <c r="AK958" s="429" t="str">
        <f>IF(OR(ISBLANK($B958),ISBLANK($AJ958)),"",IFERROR(IF($AJ958&lt;=DATE('ESTADO CONTABLE'!$B$2,12,5),VLOOKUP($B958,COSTOS!$A$2:$B1014,2,FALSE)-150,VLOOKUP($B958,COSTOS!$A$2:$B1014,2,FALSE)),"No encontrado o error"))</f>
        <v/>
      </c>
      <c r="AL958" s="395"/>
      <c r="AM958" s="254"/>
      <c r="AN958" s="255"/>
      <c r="AO958" s="256"/>
    </row>
    <row r="959" ht="22.5" customHeight="1">
      <c r="A959" s="431" t="str">
        <f>'BASE DE DATOSS'!A1033</f>
        <v/>
      </c>
      <c r="B959" s="432" t="str">
        <f>'BASE DE DATOSS'!C1033</f>
        <v/>
      </c>
      <c r="C959" s="263"/>
      <c r="D959" s="249"/>
      <c r="E959" s="250"/>
      <c r="F959" s="251"/>
      <c r="G959" s="262"/>
      <c r="H959" s="257"/>
      <c r="I959" s="249"/>
      <c r="J959" s="193" t="str">
        <f>IF(OR(ISBLANK($B959),ISBLANK($I959)),"",IFERROR(IF($I959&lt;=DATE('ESTADO CONTABLE'!$B$2,3,5),VLOOKUP($B959,COSTOS!$A$2:$B1014,2,FALSE)-150,VLOOKUP($B959,COSTOS!$A$2:$B1014,2,FALSE)),"No encontrado o error"))</f>
        <v/>
      </c>
      <c r="K959" s="264"/>
      <c r="L959" s="249"/>
      <c r="M959" s="189"/>
      <c r="N959" s="264"/>
      <c r="O959" s="249"/>
      <c r="P959" s="250"/>
      <c r="Q959" s="264"/>
      <c r="R959" s="249"/>
      <c r="S959" s="250"/>
      <c r="T959" s="264"/>
      <c r="U959" s="249"/>
      <c r="V959" s="250"/>
      <c r="W959" s="264"/>
      <c r="X959" s="394"/>
      <c r="Y959" s="429"/>
      <c r="Z959" s="395"/>
      <c r="AA959" s="394"/>
      <c r="AB959" s="118" t="str">
        <f>IF(OR(ISBLANK($B959),ISBLANK($AA959)),"",IFERROR(IF($AA959&lt;=DATE('ESTADO CONTABLE'!$B$2,9,5),VLOOKUP($B959,COSTOS!$A$2:$B1014,2,FALSE)-150,VLOOKUP($B959,COSTOS!$A$2:$B1014,2,FALSE)),"No encontrado o error"))</f>
        <v/>
      </c>
      <c r="AC959" s="395"/>
      <c r="AD959" s="394"/>
      <c r="AE959" s="429" t="str">
        <f>IF(OR(ISBLANK($B959),ISBLANK($AD959)),"",IFERROR(IF($AD959&lt;=DATE('ESTADO CONTABLE'!$B$2,10,5),VLOOKUP($B959,COSTOS!$A$2:$B1014,2,FALSE)-150,VLOOKUP($B959,COSTOS!$A$2:$B1014,2,FALSE)),"No encontrado o error"))</f>
        <v/>
      </c>
      <c r="AF959" s="395"/>
      <c r="AG959" s="394"/>
      <c r="AH959" s="429" t="str">
        <f>IF(OR(ISBLANK($B959),ISBLANK($AG959)),"",IFERROR(IF($AG959&lt;=DATE('ESTADO CONTABLE'!$B$2,11,5),VLOOKUP($B959,COSTOS!$A$2:$B1014,2,FALSE)-150,VLOOKUP($B959,COSTOS!$A$2:$B1014,2,FALSE)),"No encontrado o error"))</f>
        <v/>
      </c>
      <c r="AI959" s="395"/>
      <c r="AJ959" s="394"/>
      <c r="AK959" s="429" t="str">
        <f>IF(OR(ISBLANK($B959),ISBLANK($AJ959)),"",IFERROR(IF($AJ959&lt;=DATE('ESTADO CONTABLE'!$B$2,12,5),VLOOKUP($B959,COSTOS!$A$2:$B1014,2,FALSE)-150,VLOOKUP($B959,COSTOS!$A$2:$B1014,2,FALSE)),"No encontrado o error"))</f>
        <v/>
      </c>
      <c r="AL959" s="395"/>
      <c r="AM959" s="254"/>
      <c r="AN959" s="255"/>
      <c r="AO959" s="256"/>
    </row>
    <row r="960" ht="22.5" customHeight="1">
      <c r="A960" s="431" t="str">
        <f>'BASE DE DATOSS'!A1034</f>
        <v/>
      </c>
      <c r="B960" s="432" t="str">
        <f>'BASE DE DATOSS'!C1034</f>
        <v/>
      </c>
      <c r="C960" s="263"/>
      <c r="D960" s="249"/>
      <c r="E960" s="250"/>
      <c r="F960" s="251"/>
      <c r="G960" s="262"/>
      <c r="H960" s="257"/>
      <c r="I960" s="249"/>
      <c r="J960" s="193" t="str">
        <f>IF(OR(ISBLANK($B960),ISBLANK($I960)),"",IFERROR(IF($I960&lt;=DATE('ESTADO CONTABLE'!$B$2,3,5),VLOOKUP($B960,COSTOS!$A$2:$B1014,2,FALSE)-150,VLOOKUP($B960,COSTOS!$A$2:$B1014,2,FALSE)),"No encontrado o error"))</f>
        <v/>
      </c>
      <c r="K960" s="264"/>
      <c r="L960" s="249"/>
      <c r="M960" s="189"/>
      <c r="N960" s="264"/>
      <c r="O960" s="249"/>
      <c r="P960" s="250"/>
      <c r="Q960" s="264"/>
      <c r="R960" s="249"/>
      <c r="S960" s="250"/>
      <c r="T960" s="264"/>
      <c r="U960" s="249"/>
      <c r="V960" s="250"/>
      <c r="W960" s="264"/>
      <c r="X960" s="394"/>
      <c r="Y960" s="429"/>
      <c r="Z960" s="395"/>
      <c r="AA960" s="394"/>
      <c r="AB960" s="118" t="str">
        <f>IF(OR(ISBLANK($B960),ISBLANK($AA960)),"",IFERROR(IF($AA960&lt;=DATE('ESTADO CONTABLE'!$B$2,9,5),VLOOKUP($B960,COSTOS!$A$2:$B1014,2,FALSE)-150,VLOOKUP($B960,COSTOS!$A$2:$B1014,2,FALSE)),"No encontrado o error"))</f>
        <v/>
      </c>
      <c r="AC960" s="395"/>
      <c r="AD960" s="394"/>
      <c r="AE960" s="429" t="str">
        <f>IF(OR(ISBLANK($B960),ISBLANK($AD960)),"",IFERROR(IF($AD960&lt;=DATE('ESTADO CONTABLE'!$B$2,10,5),VLOOKUP($B960,COSTOS!$A$2:$B1014,2,FALSE)-150,VLOOKUP($B960,COSTOS!$A$2:$B1014,2,FALSE)),"No encontrado o error"))</f>
        <v/>
      </c>
      <c r="AF960" s="395"/>
      <c r="AG960" s="394"/>
      <c r="AH960" s="429" t="str">
        <f>IF(OR(ISBLANK($B960),ISBLANK($AG960)),"",IFERROR(IF($AG960&lt;=DATE('ESTADO CONTABLE'!$B$2,11,5),VLOOKUP($B960,COSTOS!$A$2:$B1014,2,FALSE)-150,VLOOKUP($B960,COSTOS!$A$2:$B1014,2,FALSE)),"No encontrado o error"))</f>
        <v/>
      </c>
      <c r="AI960" s="395"/>
      <c r="AJ960" s="394"/>
      <c r="AK960" s="429" t="str">
        <f>IF(OR(ISBLANK($B960),ISBLANK($AJ960)),"",IFERROR(IF($AJ960&lt;=DATE('ESTADO CONTABLE'!$B$2,12,5),VLOOKUP($B960,COSTOS!$A$2:$B1014,2,FALSE)-150,VLOOKUP($B960,COSTOS!$A$2:$B1014,2,FALSE)),"No encontrado o error"))</f>
        <v/>
      </c>
      <c r="AL960" s="395"/>
      <c r="AM960" s="254"/>
      <c r="AN960" s="255"/>
      <c r="AO960" s="256"/>
    </row>
    <row r="961" ht="22.5" customHeight="1">
      <c r="A961" s="431" t="str">
        <f>'BASE DE DATOSS'!A1035</f>
        <v/>
      </c>
      <c r="B961" s="432" t="str">
        <f>'BASE DE DATOSS'!C1035</f>
        <v/>
      </c>
      <c r="C961" s="263"/>
      <c r="D961" s="249"/>
      <c r="E961" s="250"/>
      <c r="F961" s="251"/>
      <c r="G961" s="262"/>
      <c r="H961" s="257"/>
      <c r="I961" s="249"/>
      <c r="J961" s="193" t="str">
        <f>IF(OR(ISBLANK($B961),ISBLANK($I961)),"",IFERROR(IF($I961&lt;=DATE('ESTADO CONTABLE'!$B$2,3,5),VLOOKUP($B961,COSTOS!$A$2:$B1014,2,FALSE)-150,VLOOKUP($B961,COSTOS!$A$2:$B1014,2,FALSE)),"No encontrado o error"))</f>
        <v/>
      </c>
      <c r="K961" s="264"/>
      <c r="L961" s="249"/>
      <c r="M961" s="189"/>
      <c r="N961" s="264"/>
      <c r="O961" s="249"/>
      <c r="P961" s="250"/>
      <c r="Q961" s="264"/>
      <c r="R961" s="249"/>
      <c r="S961" s="250"/>
      <c r="T961" s="264"/>
      <c r="U961" s="249"/>
      <c r="V961" s="250"/>
      <c r="W961" s="264"/>
      <c r="X961" s="394"/>
      <c r="Y961" s="429"/>
      <c r="Z961" s="395"/>
      <c r="AA961" s="394"/>
      <c r="AB961" s="118" t="str">
        <f>IF(OR(ISBLANK($B961),ISBLANK($AA961)),"",IFERROR(IF($AA961&lt;=DATE('ESTADO CONTABLE'!$B$2,9,5),VLOOKUP($B961,COSTOS!$A$2:$B1014,2,FALSE)-150,VLOOKUP($B961,COSTOS!$A$2:$B1014,2,FALSE)),"No encontrado o error"))</f>
        <v/>
      </c>
      <c r="AC961" s="395"/>
      <c r="AD961" s="394"/>
      <c r="AE961" s="429" t="str">
        <f>IF(OR(ISBLANK($B961),ISBLANK($AD961)),"",IFERROR(IF($AD961&lt;=DATE('ESTADO CONTABLE'!$B$2,10,5),VLOOKUP($B961,COSTOS!$A$2:$B1014,2,FALSE)-150,VLOOKUP($B961,COSTOS!$A$2:$B1014,2,FALSE)),"No encontrado o error"))</f>
        <v/>
      </c>
      <c r="AF961" s="395"/>
      <c r="AG961" s="394"/>
      <c r="AH961" s="429" t="str">
        <f>IF(OR(ISBLANK($B961),ISBLANK($AG961)),"",IFERROR(IF($AG961&lt;=DATE('ESTADO CONTABLE'!$B$2,11,5),VLOOKUP($B961,COSTOS!$A$2:$B1014,2,FALSE)-150,VLOOKUP($B961,COSTOS!$A$2:$B1014,2,FALSE)),"No encontrado o error"))</f>
        <v/>
      </c>
      <c r="AI961" s="395"/>
      <c r="AJ961" s="394"/>
      <c r="AK961" s="429" t="str">
        <f>IF(OR(ISBLANK($B961),ISBLANK($AJ961)),"",IFERROR(IF($AJ961&lt;=DATE('ESTADO CONTABLE'!$B$2,12,5),VLOOKUP($B961,COSTOS!$A$2:$B1014,2,FALSE)-150,VLOOKUP($B961,COSTOS!$A$2:$B1014,2,FALSE)),"No encontrado o error"))</f>
        <v/>
      </c>
      <c r="AL961" s="395"/>
      <c r="AM961" s="254"/>
      <c r="AN961" s="255"/>
      <c r="AO961" s="256"/>
    </row>
    <row r="962" ht="22.5" customHeight="1">
      <c r="A962" s="431" t="str">
        <f>'BASE DE DATOSS'!A1036</f>
        <v/>
      </c>
      <c r="B962" s="432" t="str">
        <f>'BASE DE DATOSS'!C1036</f>
        <v/>
      </c>
      <c r="C962" s="263"/>
      <c r="D962" s="249"/>
      <c r="E962" s="250"/>
      <c r="F962" s="251"/>
      <c r="G962" s="262"/>
      <c r="H962" s="257"/>
      <c r="I962" s="249"/>
      <c r="J962" s="193" t="str">
        <f>IF(OR(ISBLANK($B962),ISBLANK($I962)),"",IFERROR(IF($I962&lt;=DATE('ESTADO CONTABLE'!$B$2,3,5),VLOOKUP($B962,COSTOS!$A$2:$B1014,2,FALSE)-150,VLOOKUP($B962,COSTOS!$A$2:$B1014,2,FALSE)),"No encontrado o error"))</f>
        <v/>
      </c>
      <c r="K962" s="264"/>
      <c r="L962" s="249"/>
      <c r="M962" s="189"/>
      <c r="N962" s="264"/>
      <c r="O962" s="249"/>
      <c r="P962" s="250"/>
      <c r="Q962" s="264"/>
      <c r="R962" s="249"/>
      <c r="S962" s="250"/>
      <c r="T962" s="264"/>
      <c r="U962" s="249"/>
      <c r="V962" s="250"/>
      <c r="W962" s="264"/>
      <c r="X962" s="394"/>
      <c r="Y962" s="429"/>
      <c r="Z962" s="395"/>
      <c r="AA962" s="394"/>
      <c r="AB962" s="118" t="str">
        <f>IF(OR(ISBLANK($B962),ISBLANK($AA962)),"",IFERROR(IF($AA962&lt;=DATE('ESTADO CONTABLE'!$B$2,9,5),VLOOKUP($B962,COSTOS!$A$2:$B1014,2,FALSE)-150,VLOOKUP($B962,COSTOS!$A$2:$B1014,2,FALSE)),"No encontrado o error"))</f>
        <v/>
      </c>
      <c r="AC962" s="395"/>
      <c r="AD962" s="394"/>
      <c r="AE962" s="429" t="str">
        <f>IF(OR(ISBLANK($B962),ISBLANK($AD962)),"",IFERROR(IF($AD962&lt;=DATE('ESTADO CONTABLE'!$B$2,10,5),VLOOKUP($B962,COSTOS!$A$2:$B1014,2,FALSE)-150,VLOOKUP($B962,COSTOS!$A$2:$B1014,2,FALSE)),"No encontrado o error"))</f>
        <v/>
      </c>
      <c r="AF962" s="395"/>
      <c r="AG962" s="394"/>
      <c r="AH962" s="429" t="str">
        <f>IF(OR(ISBLANK($B962),ISBLANK($AG962)),"",IFERROR(IF($AG962&lt;=DATE('ESTADO CONTABLE'!$B$2,11,5),VLOOKUP($B962,COSTOS!$A$2:$B1014,2,FALSE)-150,VLOOKUP($B962,COSTOS!$A$2:$B1014,2,FALSE)),"No encontrado o error"))</f>
        <v/>
      </c>
      <c r="AI962" s="395"/>
      <c r="AJ962" s="394"/>
      <c r="AK962" s="429" t="str">
        <f>IF(OR(ISBLANK($B962),ISBLANK($AJ962)),"",IFERROR(IF($AJ962&lt;=DATE('ESTADO CONTABLE'!$B$2,12,5),VLOOKUP($B962,COSTOS!$A$2:$B1014,2,FALSE)-150,VLOOKUP($B962,COSTOS!$A$2:$B1014,2,FALSE)),"No encontrado o error"))</f>
        <v/>
      </c>
      <c r="AL962" s="395"/>
      <c r="AM962" s="254"/>
      <c r="AN962" s="255"/>
      <c r="AO962" s="256"/>
    </row>
    <row r="963" ht="22.5" customHeight="1">
      <c r="A963" s="431" t="str">
        <f>'BASE DE DATOSS'!A1037</f>
        <v/>
      </c>
      <c r="B963" s="432" t="str">
        <f>'BASE DE DATOSS'!C1037</f>
        <v/>
      </c>
      <c r="C963" s="263"/>
      <c r="D963" s="249"/>
      <c r="E963" s="250"/>
      <c r="F963" s="251"/>
      <c r="G963" s="262"/>
      <c r="H963" s="257"/>
      <c r="I963" s="249"/>
      <c r="J963" s="193" t="str">
        <f>IF(OR(ISBLANK($B963),ISBLANK($I963)),"",IFERROR(IF($I963&lt;=DATE('ESTADO CONTABLE'!$B$2,3,5),VLOOKUP($B963,COSTOS!$A$2:$B1014,2,FALSE)-150,VLOOKUP($B963,COSTOS!$A$2:$B1014,2,FALSE)),"No encontrado o error"))</f>
        <v/>
      </c>
      <c r="K963" s="264"/>
      <c r="L963" s="249"/>
      <c r="M963" s="189"/>
      <c r="N963" s="264"/>
      <c r="O963" s="249"/>
      <c r="P963" s="250"/>
      <c r="Q963" s="264"/>
      <c r="R963" s="249"/>
      <c r="S963" s="250"/>
      <c r="T963" s="264"/>
      <c r="U963" s="249"/>
      <c r="V963" s="250"/>
      <c r="W963" s="264"/>
      <c r="X963" s="394"/>
      <c r="Y963" s="429"/>
      <c r="Z963" s="395"/>
      <c r="AA963" s="394"/>
      <c r="AB963" s="118" t="str">
        <f>IF(OR(ISBLANK($B963),ISBLANK($AA963)),"",IFERROR(IF($AA963&lt;=DATE('ESTADO CONTABLE'!$B$2,9,5),VLOOKUP($B963,COSTOS!$A$2:$B1014,2,FALSE)-150,VLOOKUP($B963,COSTOS!$A$2:$B1014,2,FALSE)),"No encontrado o error"))</f>
        <v/>
      </c>
      <c r="AC963" s="395"/>
      <c r="AD963" s="394"/>
      <c r="AE963" s="429" t="str">
        <f>IF(OR(ISBLANK($B963),ISBLANK($AD963)),"",IFERROR(IF($AD963&lt;=DATE('ESTADO CONTABLE'!$B$2,10,5),VLOOKUP($B963,COSTOS!$A$2:$B1014,2,FALSE)-150,VLOOKUP($B963,COSTOS!$A$2:$B1014,2,FALSE)),"No encontrado o error"))</f>
        <v/>
      </c>
      <c r="AF963" s="395"/>
      <c r="AG963" s="394"/>
      <c r="AH963" s="429" t="str">
        <f>IF(OR(ISBLANK($B963),ISBLANK($AG963)),"",IFERROR(IF($AG963&lt;=DATE('ESTADO CONTABLE'!$B$2,11,5),VLOOKUP($B963,COSTOS!$A$2:$B1014,2,FALSE)-150,VLOOKUP($B963,COSTOS!$A$2:$B1014,2,FALSE)),"No encontrado o error"))</f>
        <v/>
      </c>
      <c r="AI963" s="395"/>
      <c r="AJ963" s="394"/>
      <c r="AK963" s="429" t="str">
        <f>IF(OR(ISBLANK($B963),ISBLANK($AJ963)),"",IFERROR(IF($AJ963&lt;=DATE('ESTADO CONTABLE'!$B$2,12,5),VLOOKUP($B963,COSTOS!$A$2:$B1014,2,FALSE)-150,VLOOKUP($B963,COSTOS!$A$2:$B1014,2,FALSE)),"No encontrado o error"))</f>
        <v/>
      </c>
      <c r="AL963" s="395"/>
      <c r="AM963" s="254"/>
      <c r="AN963" s="255"/>
      <c r="AO963" s="256"/>
    </row>
    <row r="964" ht="22.5" customHeight="1">
      <c r="A964" s="431" t="str">
        <f>'BASE DE DATOSS'!A1038</f>
        <v/>
      </c>
      <c r="B964" s="432" t="str">
        <f>'BASE DE DATOSS'!C1038</f>
        <v/>
      </c>
      <c r="C964" s="263"/>
      <c r="D964" s="249"/>
      <c r="E964" s="250"/>
      <c r="F964" s="251"/>
      <c r="G964" s="262"/>
      <c r="H964" s="257"/>
      <c r="I964" s="249"/>
      <c r="J964" s="193" t="str">
        <f>IF(OR(ISBLANK($B964),ISBLANK($I964)),"",IFERROR(IF($I964&lt;=DATE('ESTADO CONTABLE'!$B$2,3,5),VLOOKUP($B964,COSTOS!$A$2:$B1014,2,FALSE)-150,VLOOKUP($B964,COSTOS!$A$2:$B1014,2,FALSE)),"No encontrado o error"))</f>
        <v/>
      </c>
      <c r="K964" s="264"/>
      <c r="L964" s="249"/>
      <c r="M964" s="189"/>
      <c r="N964" s="264"/>
      <c r="O964" s="249"/>
      <c r="P964" s="250"/>
      <c r="Q964" s="264"/>
      <c r="R964" s="249"/>
      <c r="S964" s="250"/>
      <c r="T964" s="264"/>
      <c r="U964" s="249"/>
      <c r="V964" s="250"/>
      <c r="W964" s="264"/>
      <c r="X964" s="394"/>
      <c r="Y964" s="429"/>
      <c r="Z964" s="395"/>
      <c r="AA964" s="394"/>
      <c r="AB964" s="118" t="str">
        <f>IF(OR(ISBLANK($B964),ISBLANK($AA964)),"",IFERROR(IF($AA964&lt;=DATE('ESTADO CONTABLE'!$B$2,9,5),VLOOKUP($B964,COSTOS!$A$2:$B1014,2,FALSE)-150,VLOOKUP($B964,COSTOS!$A$2:$B1014,2,FALSE)),"No encontrado o error"))</f>
        <v/>
      </c>
      <c r="AC964" s="395"/>
      <c r="AD964" s="394"/>
      <c r="AE964" s="429" t="str">
        <f>IF(OR(ISBLANK($B964),ISBLANK($AD964)),"",IFERROR(IF($AD964&lt;=DATE('ESTADO CONTABLE'!$B$2,10,5),VLOOKUP($B964,COSTOS!$A$2:$B1014,2,FALSE)-150,VLOOKUP($B964,COSTOS!$A$2:$B1014,2,FALSE)),"No encontrado o error"))</f>
        <v/>
      </c>
      <c r="AF964" s="395"/>
      <c r="AG964" s="394"/>
      <c r="AH964" s="429" t="str">
        <f>IF(OR(ISBLANK($B964),ISBLANK($AG964)),"",IFERROR(IF($AG964&lt;=DATE('ESTADO CONTABLE'!$B$2,11,5),VLOOKUP($B964,COSTOS!$A$2:$B1014,2,FALSE)-150,VLOOKUP($B964,COSTOS!$A$2:$B1014,2,FALSE)),"No encontrado o error"))</f>
        <v/>
      </c>
      <c r="AI964" s="395"/>
      <c r="AJ964" s="394"/>
      <c r="AK964" s="429" t="str">
        <f>IF(OR(ISBLANK($B964),ISBLANK($AJ964)),"",IFERROR(IF($AJ964&lt;=DATE('ESTADO CONTABLE'!$B$2,12,5),VLOOKUP($B964,COSTOS!$A$2:$B1014,2,FALSE)-150,VLOOKUP($B964,COSTOS!$A$2:$B1014,2,FALSE)),"No encontrado o error"))</f>
        <v/>
      </c>
      <c r="AL964" s="395"/>
      <c r="AM964" s="254"/>
      <c r="AN964" s="255"/>
      <c r="AO964" s="256"/>
    </row>
    <row r="965" ht="22.5" customHeight="1">
      <c r="A965" s="431" t="str">
        <f>'BASE DE DATOSS'!A1039</f>
        <v/>
      </c>
      <c r="B965" s="432" t="str">
        <f>'BASE DE DATOSS'!C1039</f>
        <v/>
      </c>
      <c r="C965" s="263"/>
      <c r="D965" s="249"/>
      <c r="E965" s="250"/>
      <c r="F965" s="251"/>
      <c r="G965" s="262"/>
      <c r="H965" s="257"/>
      <c r="I965" s="249"/>
      <c r="J965" s="193" t="str">
        <f>IF(OR(ISBLANK($B965),ISBLANK($I965)),"",IFERROR(IF($I965&lt;=DATE('ESTADO CONTABLE'!$B$2,3,5),VLOOKUP($B965,COSTOS!$A$2:$B1014,2,FALSE)-150,VLOOKUP($B965,COSTOS!$A$2:$B1014,2,FALSE)),"No encontrado o error"))</f>
        <v/>
      </c>
      <c r="K965" s="264"/>
      <c r="L965" s="249"/>
      <c r="M965" s="189"/>
      <c r="N965" s="264"/>
      <c r="O965" s="249"/>
      <c r="P965" s="250"/>
      <c r="Q965" s="264"/>
      <c r="R965" s="249"/>
      <c r="S965" s="250"/>
      <c r="T965" s="264"/>
      <c r="U965" s="249"/>
      <c r="V965" s="250"/>
      <c r="W965" s="264"/>
      <c r="X965" s="394"/>
      <c r="Y965" s="429"/>
      <c r="Z965" s="395"/>
      <c r="AA965" s="394"/>
      <c r="AB965" s="118" t="str">
        <f>IF(OR(ISBLANK($B965),ISBLANK($AA965)),"",IFERROR(IF($AA965&lt;=DATE('ESTADO CONTABLE'!$B$2,9,5),VLOOKUP($B965,COSTOS!$A$2:$B1014,2,FALSE)-150,VLOOKUP($B965,COSTOS!$A$2:$B1014,2,FALSE)),"No encontrado o error"))</f>
        <v/>
      </c>
      <c r="AC965" s="395"/>
      <c r="AD965" s="394"/>
      <c r="AE965" s="429" t="str">
        <f>IF(OR(ISBLANK($B965),ISBLANK($AD965)),"",IFERROR(IF($AD965&lt;=DATE('ESTADO CONTABLE'!$B$2,10,5),VLOOKUP($B965,COSTOS!$A$2:$B1014,2,FALSE)-150,VLOOKUP($B965,COSTOS!$A$2:$B1014,2,FALSE)),"No encontrado o error"))</f>
        <v/>
      </c>
      <c r="AF965" s="395"/>
      <c r="AG965" s="394"/>
      <c r="AH965" s="429" t="str">
        <f>IF(OR(ISBLANK($B965),ISBLANK($AG965)),"",IFERROR(IF($AG965&lt;=DATE('ESTADO CONTABLE'!$B$2,11,5),VLOOKUP($B965,COSTOS!$A$2:$B1014,2,FALSE)-150,VLOOKUP($B965,COSTOS!$A$2:$B1014,2,FALSE)),"No encontrado o error"))</f>
        <v/>
      </c>
      <c r="AI965" s="395"/>
      <c r="AJ965" s="394"/>
      <c r="AK965" s="429" t="str">
        <f>IF(OR(ISBLANK($B965),ISBLANK($AJ965)),"",IFERROR(IF($AJ965&lt;=DATE('ESTADO CONTABLE'!$B$2,12,5),VLOOKUP($B965,COSTOS!$A$2:$B1014,2,FALSE)-150,VLOOKUP($B965,COSTOS!$A$2:$B1014,2,FALSE)),"No encontrado o error"))</f>
        <v/>
      </c>
      <c r="AL965" s="395"/>
      <c r="AM965" s="254"/>
      <c r="AN965" s="255"/>
      <c r="AO965" s="256"/>
    </row>
    <row r="966" ht="22.5" customHeight="1">
      <c r="A966" s="431" t="str">
        <f>'BASE DE DATOSS'!A1040</f>
        <v/>
      </c>
      <c r="B966" s="432" t="str">
        <f>'BASE DE DATOSS'!C1040</f>
        <v/>
      </c>
      <c r="C966" s="263"/>
      <c r="D966" s="249"/>
      <c r="E966" s="250"/>
      <c r="F966" s="251"/>
      <c r="G966" s="262"/>
      <c r="H966" s="257"/>
      <c r="I966" s="249"/>
      <c r="J966" s="193" t="str">
        <f>IF(OR(ISBLANK($B966),ISBLANK($I966)),"",IFERROR(IF($I966&lt;=DATE('ESTADO CONTABLE'!$B$2,3,5),VLOOKUP($B966,COSTOS!$A$2:$B1014,2,FALSE)-150,VLOOKUP($B966,COSTOS!$A$2:$B1014,2,FALSE)),"No encontrado o error"))</f>
        <v/>
      </c>
      <c r="K966" s="264"/>
      <c r="L966" s="249"/>
      <c r="M966" s="189"/>
      <c r="N966" s="264"/>
      <c r="O966" s="249"/>
      <c r="P966" s="250"/>
      <c r="Q966" s="264"/>
      <c r="R966" s="249"/>
      <c r="S966" s="250"/>
      <c r="T966" s="264"/>
      <c r="U966" s="249"/>
      <c r="V966" s="250"/>
      <c r="W966" s="264"/>
      <c r="X966" s="394"/>
      <c r="Y966" s="429"/>
      <c r="Z966" s="395"/>
      <c r="AA966" s="394"/>
      <c r="AB966" s="118" t="str">
        <f>IF(OR(ISBLANK($B966),ISBLANK($AA966)),"",IFERROR(IF($AA966&lt;=DATE('ESTADO CONTABLE'!$B$2,9,5),VLOOKUP($B966,COSTOS!$A$2:$B1014,2,FALSE)-150,VLOOKUP($B966,COSTOS!$A$2:$B1014,2,FALSE)),"No encontrado o error"))</f>
        <v/>
      </c>
      <c r="AC966" s="395"/>
      <c r="AD966" s="394"/>
      <c r="AE966" s="429" t="str">
        <f>IF(OR(ISBLANK($B966),ISBLANK($AD966)),"",IFERROR(IF($AD966&lt;=DATE('ESTADO CONTABLE'!$B$2,10,5),VLOOKUP($B966,COSTOS!$A$2:$B1014,2,FALSE)-150,VLOOKUP($B966,COSTOS!$A$2:$B1014,2,FALSE)),"No encontrado o error"))</f>
        <v/>
      </c>
      <c r="AF966" s="395"/>
      <c r="AG966" s="394"/>
      <c r="AH966" s="429" t="str">
        <f>IF(OR(ISBLANK($B966),ISBLANK($AG966)),"",IFERROR(IF($AG966&lt;=DATE('ESTADO CONTABLE'!$B$2,11,5),VLOOKUP($B966,COSTOS!$A$2:$B1014,2,FALSE)-150,VLOOKUP($B966,COSTOS!$A$2:$B1014,2,FALSE)),"No encontrado o error"))</f>
        <v/>
      </c>
      <c r="AI966" s="395"/>
      <c r="AJ966" s="394"/>
      <c r="AK966" s="429" t="str">
        <f>IF(OR(ISBLANK($B966),ISBLANK($AJ966)),"",IFERROR(IF($AJ966&lt;=DATE('ESTADO CONTABLE'!$B$2,12,5),VLOOKUP($B966,COSTOS!$A$2:$B1014,2,FALSE)-150,VLOOKUP($B966,COSTOS!$A$2:$B1014,2,FALSE)),"No encontrado o error"))</f>
        <v/>
      </c>
      <c r="AL966" s="395"/>
      <c r="AM966" s="254"/>
      <c r="AN966" s="255"/>
      <c r="AO966" s="256"/>
    </row>
    <row r="967" ht="22.5" customHeight="1">
      <c r="A967" s="431" t="str">
        <f>'BASE DE DATOSS'!A1041</f>
        <v/>
      </c>
      <c r="B967" s="432" t="str">
        <f>'BASE DE DATOSS'!C1041</f>
        <v/>
      </c>
      <c r="C967" s="263"/>
      <c r="D967" s="249"/>
      <c r="E967" s="250"/>
      <c r="F967" s="251"/>
      <c r="G967" s="262"/>
      <c r="H967" s="257"/>
      <c r="I967" s="249"/>
      <c r="J967" s="193" t="str">
        <f>IF(OR(ISBLANK($B967),ISBLANK($I967)),"",IFERROR(IF($I967&lt;=DATE('ESTADO CONTABLE'!$B$2,3,5),VLOOKUP($B967,COSTOS!$A$2:$B1014,2,FALSE)-150,VLOOKUP($B967,COSTOS!$A$2:$B1014,2,FALSE)),"No encontrado o error"))</f>
        <v/>
      </c>
      <c r="K967" s="264"/>
      <c r="L967" s="249"/>
      <c r="M967" s="189"/>
      <c r="N967" s="264"/>
      <c r="O967" s="249"/>
      <c r="P967" s="250"/>
      <c r="Q967" s="264"/>
      <c r="R967" s="249"/>
      <c r="S967" s="250"/>
      <c r="T967" s="264"/>
      <c r="U967" s="249"/>
      <c r="V967" s="250"/>
      <c r="W967" s="264"/>
      <c r="X967" s="394"/>
      <c r="Y967" s="429"/>
      <c r="Z967" s="395"/>
      <c r="AA967" s="394"/>
      <c r="AB967" s="118" t="str">
        <f>IF(OR(ISBLANK($B967),ISBLANK($AA967)),"",IFERROR(IF($AA967&lt;=DATE('ESTADO CONTABLE'!$B$2,9,5),VLOOKUP($B967,COSTOS!$A$2:$B1014,2,FALSE)-150,VLOOKUP($B967,COSTOS!$A$2:$B1014,2,FALSE)),"No encontrado o error"))</f>
        <v/>
      </c>
      <c r="AC967" s="395"/>
      <c r="AD967" s="394"/>
      <c r="AE967" s="429" t="str">
        <f>IF(OR(ISBLANK($B967),ISBLANK($AD967)),"",IFERROR(IF($AD967&lt;=DATE('ESTADO CONTABLE'!$B$2,10,5),VLOOKUP($B967,COSTOS!$A$2:$B1014,2,FALSE)-150,VLOOKUP($B967,COSTOS!$A$2:$B1014,2,FALSE)),"No encontrado o error"))</f>
        <v/>
      </c>
      <c r="AF967" s="395"/>
      <c r="AG967" s="394"/>
      <c r="AH967" s="429" t="str">
        <f>IF(OR(ISBLANK($B967),ISBLANK($AG967)),"",IFERROR(IF($AG967&lt;=DATE('ESTADO CONTABLE'!$B$2,11,5),VLOOKUP($B967,COSTOS!$A$2:$B1014,2,FALSE)-150,VLOOKUP($B967,COSTOS!$A$2:$B1014,2,FALSE)),"No encontrado o error"))</f>
        <v/>
      </c>
      <c r="AI967" s="395"/>
      <c r="AJ967" s="394"/>
      <c r="AK967" s="429" t="str">
        <f>IF(OR(ISBLANK($B967),ISBLANK($AJ967)),"",IFERROR(IF($AJ967&lt;=DATE('ESTADO CONTABLE'!$B$2,12,5),VLOOKUP($B967,COSTOS!$A$2:$B1014,2,FALSE)-150,VLOOKUP($B967,COSTOS!$A$2:$B1014,2,FALSE)),"No encontrado o error"))</f>
        <v/>
      </c>
      <c r="AL967" s="395"/>
      <c r="AM967" s="254"/>
      <c r="AN967" s="255"/>
      <c r="AO967" s="256"/>
    </row>
    <row r="968" ht="22.5" customHeight="1">
      <c r="A968" s="431" t="str">
        <f>'BASE DE DATOSS'!A1042</f>
        <v/>
      </c>
      <c r="B968" s="432" t="str">
        <f>'BASE DE DATOSS'!C1042</f>
        <v/>
      </c>
      <c r="C968" s="263"/>
      <c r="D968" s="249"/>
      <c r="E968" s="250"/>
      <c r="F968" s="251"/>
      <c r="G968" s="262"/>
      <c r="H968" s="257"/>
      <c r="I968" s="249"/>
      <c r="J968" s="193" t="str">
        <f>IF(OR(ISBLANK($B968),ISBLANK($I968)),"",IFERROR(IF($I968&lt;=DATE('ESTADO CONTABLE'!$B$2,3,5),VLOOKUP($B968,COSTOS!$A$2:$B1014,2,FALSE)-150,VLOOKUP($B968,COSTOS!$A$2:$B1014,2,FALSE)),"No encontrado o error"))</f>
        <v/>
      </c>
      <c r="K968" s="264"/>
      <c r="L968" s="249"/>
      <c r="M968" s="189"/>
      <c r="N968" s="264"/>
      <c r="O968" s="249"/>
      <c r="P968" s="250"/>
      <c r="Q968" s="264"/>
      <c r="R968" s="249"/>
      <c r="S968" s="250"/>
      <c r="T968" s="264"/>
      <c r="U968" s="249"/>
      <c r="V968" s="250"/>
      <c r="W968" s="264"/>
      <c r="X968" s="394"/>
      <c r="Y968" s="429"/>
      <c r="Z968" s="395"/>
      <c r="AA968" s="394"/>
      <c r="AB968" s="118" t="str">
        <f>IF(OR(ISBLANK($B968),ISBLANK($AA968)),"",IFERROR(IF($AA968&lt;=DATE('ESTADO CONTABLE'!$B$2,9,5),VLOOKUP($B968,COSTOS!$A$2:$B1014,2,FALSE)-150,VLOOKUP($B968,COSTOS!$A$2:$B1014,2,FALSE)),"No encontrado o error"))</f>
        <v/>
      </c>
      <c r="AC968" s="395"/>
      <c r="AD968" s="394"/>
      <c r="AE968" s="429" t="str">
        <f>IF(OR(ISBLANK($B968),ISBLANK($AD968)),"",IFERROR(IF($AD968&lt;=DATE('ESTADO CONTABLE'!$B$2,10,5),VLOOKUP($B968,COSTOS!$A$2:$B1014,2,FALSE)-150,VLOOKUP($B968,COSTOS!$A$2:$B1014,2,FALSE)),"No encontrado o error"))</f>
        <v/>
      </c>
      <c r="AF968" s="395"/>
      <c r="AG968" s="394"/>
      <c r="AH968" s="429" t="str">
        <f>IF(OR(ISBLANK($B968),ISBLANK($AG968)),"",IFERROR(IF($AG968&lt;=DATE('ESTADO CONTABLE'!$B$2,11,5),VLOOKUP($B968,COSTOS!$A$2:$B1014,2,FALSE)-150,VLOOKUP($B968,COSTOS!$A$2:$B1014,2,FALSE)),"No encontrado o error"))</f>
        <v/>
      </c>
      <c r="AI968" s="395"/>
      <c r="AJ968" s="394"/>
      <c r="AK968" s="429" t="str">
        <f>IF(OR(ISBLANK($B968),ISBLANK($AJ968)),"",IFERROR(IF($AJ968&lt;=DATE('ESTADO CONTABLE'!$B$2,12,5),VLOOKUP($B968,COSTOS!$A$2:$B1014,2,FALSE)-150,VLOOKUP($B968,COSTOS!$A$2:$B1014,2,FALSE)),"No encontrado o error"))</f>
        <v/>
      </c>
      <c r="AL968" s="395"/>
      <c r="AM968" s="254"/>
      <c r="AN968" s="255"/>
      <c r="AO968" s="256"/>
    </row>
    <row r="969" ht="22.5" customHeight="1">
      <c r="A969" s="431" t="str">
        <f>'BASE DE DATOSS'!A1043</f>
        <v/>
      </c>
      <c r="B969" s="432" t="str">
        <f>'BASE DE DATOSS'!C1043</f>
        <v/>
      </c>
      <c r="C969" s="263"/>
      <c r="D969" s="249"/>
      <c r="E969" s="250"/>
      <c r="F969" s="251"/>
      <c r="G969" s="262"/>
      <c r="H969" s="257"/>
      <c r="I969" s="249"/>
      <c r="J969" s="193" t="str">
        <f>IF(OR(ISBLANK($B969),ISBLANK($I969)),"",IFERROR(IF($I969&lt;=DATE('ESTADO CONTABLE'!$B$2,3,5),VLOOKUP($B969,COSTOS!$A$2:$B1014,2,FALSE)-150,VLOOKUP($B969,COSTOS!$A$2:$B1014,2,FALSE)),"No encontrado o error"))</f>
        <v/>
      </c>
      <c r="K969" s="264"/>
      <c r="L969" s="249"/>
      <c r="M969" s="189"/>
      <c r="N969" s="264"/>
      <c r="O969" s="249"/>
      <c r="P969" s="250"/>
      <c r="Q969" s="264"/>
      <c r="R969" s="249"/>
      <c r="S969" s="250"/>
      <c r="T969" s="264"/>
      <c r="U969" s="249"/>
      <c r="V969" s="250"/>
      <c r="W969" s="264"/>
      <c r="X969" s="394"/>
      <c r="Y969" s="429"/>
      <c r="Z969" s="395"/>
      <c r="AA969" s="394"/>
      <c r="AB969" s="118" t="str">
        <f>IF(OR(ISBLANK($B969),ISBLANK($AA969)),"",IFERROR(IF($AA969&lt;=DATE('ESTADO CONTABLE'!$B$2,9,5),VLOOKUP($B969,COSTOS!$A$2:$B1014,2,FALSE)-150,VLOOKUP($B969,COSTOS!$A$2:$B1014,2,FALSE)),"No encontrado o error"))</f>
        <v/>
      </c>
      <c r="AC969" s="395"/>
      <c r="AD969" s="394"/>
      <c r="AE969" s="429" t="str">
        <f>IF(OR(ISBLANK($B969),ISBLANK($AD969)),"",IFERROR(IF($AD969&lt;=DATE('ESTADO CONTABLE'!$B$2,10,5),VLOOKUP($B969,COSTOS!$A$2:$B1014,2,FALSE)-150,VLOOKUP($B969,COSTOS!$A$2:$B1014,2,FALSE)),"No encontrado o error"))</f>
        <v/>
      </c>
      <c r="AF969" s="395"/>
      <c r="AG969" s="394"/>
      <c r="AH969" s="429" t="str">
        <f>IF(OR(ISBLANK($B969),ISBLANK($AG969)),"",IFERROR(IF($AG969&lt;=DATE('ESTADO CONTABLE'!$B$2,11,5),VLOOKUP($B969,COSTOS!$A$2:$B1014,2,FALSE)-150,VLOOKUP($B969,COSTOS!$A$2:$B1014,2,FALSE)),"No encontrado o error"))</f>
        <v/>
      </c>
      <c r="AI969" s="395"/>
      <c r="AJ969" s="394"/>
      <c r="AK969" s="429" t="str">
        <f>IF(OR(ISBLANK($B969),ISBLANK($AJ969)),"",IFERROR(IF($AJ969&lt;=DATE('ESTADO CONTABLE'!$B$2,12,5),VLOOKUP($B969,COSTOS!$A$2:$B1014,2,FALSE)-150,VLOOKUP($B969,COSTOS!$A$2:$B1014,2,FALSE)),"No encontrado o error"))</f>
        <v/>
      </c>
      <c r="AL969" s="395"/>
      <c r="AM969" s="254"/>
      <c r="AN969" s="255"/>
      <c r="AO969" s="256"/>
    </row>
    <row r="970" ht="22.5" customHeight="1">
      <c r="A970" s="431" t="str">
        <f>'BASE DE DATOSS'!A1044</f>
        <v/>
      </c>
      <c r="B970" s="432" t="str">
        <f>'BASE DE DATOSS'!C1044</f>
        <v/>
      </c>
      <c r="C970" s="263"/>
      <c r="D970" s="249"/>
      <c r="E970" s="250"/>
      <c r="F970" s="251"/>
      <c r="G970" s="262"/>
      <c r="H970" s="257"/>
      <c r="I970" s="249"/>
      <c r="J970" s="193" t="str">
        <f>IF(OR(ISBLANK($B970),ISBLANK($I970)),"",IFERROR(IF($I970&lt;=DATE('ESTADO CONTABLE'!$B$2,3,5),VLOOKUP($B970,COSTOS!$A$2:$B1014,2,FALSE)-150,VLOOKUP($B970,COSTOS!$A$2:$B1014,2,FALSE)),"No encontrado o error"))</f>
        <v/>
      </c>
      <c r="K970" s="264"/>
      <c r="L970" s="249"/>
      <c r="M970" s="189"/>
      <c r="N970" s="264"/>
      <c r="O970" s="249"/>
      <c r="P970" s="250"/>
      <c r="Q970" s="264"/>
      <c r="R970" s="249"/>
      <c r="S970" s="250"/>
      <c r="T970" s="264"/>
      <c r="U970" s="249"/>
      <c r="V970" s="250"/>
      <c r="W970" s="264"/>
      <c r="X970" s="394"/>
      <c r="Y970" s="429"/>
      <c r="Z970" s="395"/>
      <c r="AA970" s="394"/>
      <c r="AB970" s="118" t="str">
        <f>IF(OR(ISBLANK($B970),ISBLANK($AA970)),"",IFERROR(IF($AA970&lt;=DATE('ESTADO CONTABLE'!$B$2,9,5),VLOOKUP($B970,COSTOS!$A$2:$B1014,2,FALSE)-150,VLOOKUP($B970,COSTOS!$A$2:$B1014,2,FALSE)),"No encontrado o error"))</f>
        <v/>
      </c>
      <c r="AC970" s="395"/>
      <c r="AD970" s="394"/>
      <c r="AE970" s="429" t="str">
        <f>IF(OR(ISBLANK($B970),ISBLANK($AD970)),"",IFERROR(IF($AD970&lt;=DATE('ESTADO CONTABLE'!$B$2,10,5),VLOOKUP($B970,COSTOS!$A$2:$B1014,2,FALSE)-150,VLOOKUP($B970,COSTOS!$A$2:$B1014,2,FALSE)),"No encontrado o error"))</f>
        <v/>
      </c>
      <c r="AF970" s="395"/>
      <c r="AG970" s="394"/>
      <c r="AH970" s="429" t="str">
        <f>IF(OR(ISBLANK($B970),ISBLANK($AG970)),"",IFERROR(IF($AG970&lt;=DATE('ESTADO CONTABLE'!$B$2,11,5),VLOOKUP($B970,COSTOS!$A$2:$B1014,2,FALSE)-150,VLOOKUP($B970,COSTOS!$A$2:$B1014,2,FALSE)),"No encontrado o error"))</f>
        <v/>
      </c>
      <c r="AI970" s="395"/>
      <c r="AJ970" s="394"/>
      <c r="AK970" s="429" t="str">
        <f>IF(OR(ISBLANK($B970),ISBLANK($AJ970)),"",IFERROR(IF($AJ970&lt;=DATE('ESTADO CONTABLE'!$B$2,12,5),VLOOKUP($B970,COSTOS!$A$2:$B1014,2,FALSE)-150,VLOOKUP($B970,COSTOS!$A$2:$B1014,2,FALSE)),"No encontrado o error"))</f>
        <v/>
      </c>
      <c r="AL970" s="395"/>
      <c r="AM970" s="254"/>
      <c r="AN970" s="255"/>
      <c r="AO970" s="256"/>
    </row>
    <row r="971" ht="22.5" customHeight="1">
      <c r="A971" s="431" t="str">
        <f>'BASE DE DATOSS'!A1045</f>
        <v/>
      </c>
      <c r="B971" s="432" t="str">
        <f>'BASE DE DATOSS'!C1045</f>
        <v/>
      </c>
      <c r="C971" s="263"/>
      <c r="D971" s="249"/>
      <c r="E971" s="250"/>
      <c r="F971" s="251"/>
      <c r="G971" s="262"/>
      <c r="H971" s="257"/>
      <c r="I971" s="249"/>
      <c r="J971" s="193" t="str">
        <f>IF(OR(ISBLANK($B971),ISBLANK($I971)),"",IFERROR(IF($I971&lt;=DATE('ESTADO CONTABLE'!$B$2,3,5),VLOOKUP($B971,COSTOS!$A$2:$B1014,2,FALSE)-150,VLOOKUP($B971,COSTOS!$A$2:$B1014,2,FALSE)),"No encontrado o error"))</f>
        <v/>
      </c>
      <c r="K971" s="264"/>
      <c r="L971" s="249"/>
      <c r="M971" s="189"/>
      <c r="N971" s="264"/>
      <c r="O971" s="249"/>
      <c r="P971" s="250"/>
      <c r="Q971" s="264"/>
      <c r="R971" s="249"/>
      <c r="S971" s="250"/>
      <c r="T971" s="264"/>
      <c r="U971" s="249"/>
      <c r="V971" s="250"/>
      <c r="W971" s="264"/>
      <c r="X971" s="394"/>
      <c r="Y971" s="429"/>
      <c r="Z971" s="395"/>
      <c r="AA971" s="394"/>
      <c r="AB971" s="118" t="str">
        <f>IF(OR(ISBLANK($B971),ISBLANK($AA971)),"",IFERROR(IF($AA971&lt;=DATE('ESTADO CONTABLE'!$B$2,9,5),VLOOKUP($B971,COSTOS!$A$2:$B1014,2,FALSE)-150,VLOOKUP($B971,COSTOS!$A$2:$B1014,2,FALSE)),"No encontrado o error"))</f>
        <v/>
      </c>
      <c r="AC971" s="395"/>
      <c r="AD971" s="394"/>
      <c r="AE971" s="429" t="str">
        <f>IF(OR(ISBLANK($B971),ISBLANK($AD971)),"",IFERROR(IF($AD971&lt;=DATE('ESTADO CONTABLE'!$B$2,10,5),VLOOKUP($B971,COSTOS!$A$2:$B1014,2,FALSE)-150,VLOOKUP($B971,COSTOS!$A$2:$B1014,2,FALSE)),"No encontrado o error"))</f>
        <v/>
      </c>
      <c r="AF971" s="395"/>
      <c r="AG971" s="394"/>
      <c r="AH971" s="429" t="str">
        <f>IF(OR(ISBLANK($B971),ISBLANK($AG971)),"",IFERROR(IF($AG971&lt;=DATE('ESTADO CONTABLE'!$B$2,11,5),VLOOKUP($B971,COSTOS!$A$2:$B1014,2,FALSE)-150,VLOOKUP($B971,COSTOS!$A$2:$B1014,2,FALSE)),"No encontrado o error"))</f>
        <v/>
      </c>
      <c r="AI971" s="395"/>
      <c r="AJ971" s="394"/>
      <c r="AK971" s="429" t="str">
        <f>IF(OR(ISBLANK($B971),ISBLANK($AJ971)),"",IFERROR(IF($AJ971&lt;=DATE('ESTADO CONTABLE'!$B$2,12,5),VLOOKUP($B971,COSTOS!$A$2:$B1014,2,FALSE)-150,VLOOKUP($B971,COSTOS!$A$2:$B1014,2,FALSE)),"No encontrado o error"))</f>
        <v/>
      </c>
      <c r="AL971" s="395"/>
      <c r="AM971" s="254"/>
      <c r="AN971" s="255"/>
      <c r="AO971" s="256"/>
    </row>
    <row r="972" ht="22.5" customHeight="1">
      <c r="A972" s="431" t="str">
        <f>'BASE DE DATOSS'!A1046</f>
        <v/>
      </c>
      <c r="B972" s="432" t="str">
        <f>'BASE DE DATOSS'!C1046</f>
        <v/>
      </c>
      <c r="C972" s="263"/>
      <c r="D972" s="249"/>
      <c r="E972" s="250"/>
      <c r="F972" s="251"/>
      <c r="G972" s="262"/>
      <c r="H972" s="257"/>
      <c r="I972" s="249"/>
      <c r="J972" s="193" t="str">
        <f>IF(OR(ISBLANK($B972),ISBLANK($I972)),"",IFERROR(IF($I972&lt;=DATE('ESTADO CONTABLE'!$B$2,3,5),VLOOKUP($B972,COSTOS!$A$2:$B1014,2,FALSE)-150,VLOOKUP($B972,COSTOS!$A$2:$B1014,2,FALSE)),"No encontrado o error"))</f>
        <v/>
      </c>
      <c r="K972" s="264"/>
      <c r="L972" s="249"/>
      <c r="M972" s="189"/>
      <c r="N972" s="264"/>
      <c r="O972" s="249"/>
      <c r="P972" s="250"/>
      <c r="Q972" s="264"/>
      <c r="R972" s="249"/>
      <c r="S972" s="250"/>
      <c r="T972" s="264"/>
      <c r="U972" s="249"/>
      <c r="V972" s="250"/>
      <c r="W972" s="264"/>
      <c r="X972" s="394"/>
      <c r="Y972" s="429"/>
      <c r="Z972" s="395"/>
      <c r="AA972" s="394"/>
      <c r="AB972" s="118" t="str">
        <f>IF(OR(ISBLANK($B972),ISBLANK($AA972)),"",IFERROR(IF($AA972&lt;=DATE('ESTADO CONTABLE'!$B$2,9,5),VLOOKUP($B972,COSTOS!$A$2:$B1014,2,FALSE)-150,VLOOKUP($B972,COSTOS!$A$2:$B1014,2,FALSE)),"No encontrado o error"))</f>
        <v/>
      </c>
      <c r="AC972" s="395"/>
      <c r="AD972" s="394"/>
      <c r="AE972" s="429" t="str">
        <f>IF(OR(ISBLANK($B972),ISBLANK($AD972)),"",IFERROR(IF($AD972&lt;=DATE('ESTADO CONTABLE'!$B$2,10,5),VLOOKUP($B972,COSTOS!$A$2:$B1014,2,FALSE)-150,VLOOKUP($B972,COSTOS!$A$2:$B1014,2,FALSE)),"No encontrado o error"))</f>
        <v/>
      </c>
      <c r="AF972" s="395"/>
      <c r="AG972" s="394"/>
      <c r="AH972" s="429" t="str">
        <f>IF(OR(ISBLANK($B972),ISBLANK($AG972)),"",IFERROR(IF($AG972&lt;=DATE('ESTADO CONTABLE'!$B$2,11,5),VLOOKUP($B972,COSTOS!$A$2:$B1014,2,FALSE)-150,VLOOKUP($B972,COSTOS!$A$2:$B1014,2,FALSE)),"No encontrado o error"))</f>
        <v/>
      </c>
      <c r="AI972" s="395"/>
      <c r="AJ972" s="394"/>
      <c r="AK972" s="429" t="str">
        <f>IF(OR(ISBLANK($B972),ISBLANK($AJ972)),"",IFERROR(IF($AJ972&lt;=DATE('ESTADO CONTABLE'!$B$2,12,5),VLOOKUP($B972,COSTOS!$A$2:$B1014,2,FALSE)-150,VLOOKUP($B972,COSTOS!$A$2:$B1014,2,FALSE)),"No encontrado o error"))</f>
        <v/>
      </c>
      <c r="AL972" s="395"/>
      <c r="AM972" s="254"/>
      <c r="AN972" s="255"/>
      <c r="AO972" s="256"/>
    </row>
    <row r="973" ht="22.5" customHeight="1">
      <c r="A973" s="431" t="str">
        <f>'BASE DE DATOSS'!A1047</f>
        <v/>
      </c>
      <c r="B973" s="432" t="str">
        <f>'BASE DE DATOSS'!C1047</f>
        <v/>
      </c>
      <c r="C973" s="263"/>
      <c r="D973" s="249"/>
      <c r="E973" s="250"/>
      <c r="F973" s="251"/>
      <c r="G973" s="262"/>
      <c r="H973" s="257"/>
      <c r="I973" s="249"/>
      <c r="J973" s="193" t="str">
        <f>IF(OR(ISBLANK($B973),ISBLANK($I973)),"",IFERROR(IF($I973&lt;=DATE('ESTADO CONTABLE'!$B$2,3,5),VLOOKUP($B973,COSTOS!$A$2:$B1014,2,FALSE)-150,VLOOKUP($B973,COSTOS!$A$2:$B1014,2,FALSE)),"No encontrado o error"))</f>
        <v/>
      </c>
      <c r="K973" s="264"/>
      <c r="L973" s="249"/>
      <c r="M973" s="189"/>
      <c r="N973" s="264"/>
      <c r="O973" s="249"/>
      <c r="P973" s="250"/>
      <c r="Q973" s="264"/>
      <c r="R973" s="249"/>
      <c r="S973" s="250"/>
      <c r="T973" s="264"/>
      <c r="U973" s="249"/>
      <c r="V973" s="250"/>
      <c r="W973" s="264"/>
      <c r="X973" s="394"/>
      <c r="Y973" s="429"/>
      <c r="Z973" s="395"/>
      <c r="AA973" s="394"/>
      <c r="AB973" s="118" t="str">
        <f>IF(OR(ISBLANK($B973),ISBLANK($AA973)),"",IFERROR(IF($AA973&lt;=DATE('ESTADO CONTABLE'!$B$2,9,5),VLOOKUP($B973,COSTOS!$A$2:$B1014,2,FALSE)-150,VLOOKUP($B973,COSTOS!$A$2:$B1014,2,FALSE)),"No encontrado o error"))</f>
        <v/>
      </c>
      <c r="AC973" s="395"/>
      <c r="AD973" s="394"/>
      <c r="AE973" s="429" t="str">
        <f>IF(OR(ISBLANK($B973),ISBLANK($AD973)),"",IFERROR(IF($AD973&lt;=DATE('ESTADO CONTABLE'!$B$2,10,5),VLOOKUP($B973,COSTOS!$A$2:$B1014,2,FALSE)-150,VLOOKUP($B973,COSTOS!$A$2:$B1014,2,FALSE)),"No encontrado o error"))</f>
        <v/>
      </c>
      <c r="AF973" s="395"/>
      <c r="AG973" s="394"/>
      <c r="AH973" s="429" t="str">
        <f>IF(OR(ISBLANK($B973),ISBLANK($AG973)),"",IFERROR(IF($AG973&lt;=DATE('ESTADO CONTABLE'!$B$2,11,5),VLOOKUP($B973,COSTOS!$A$2:$B1014,2,FALSE)-150,VLOOKUP($B973,COSTOS!$A$2:$B1014,2,FALSE)),"No encontrado o error"))</f>
        <v/>
      </c>
      <c r="AI973" s="395"/>
      <c r="AJ973" s="394"/>
      <c r="AK973" s="429" t="str">
        <f>IF(OR(ISBLANK($B973),ISBLANK($AJ973)),"",IFERROR(IF($AJ973&lt;=DATE('ESTADO CONTABLE'!$B$2,12,5),VLOOKUP($B973,COSTOS!$A$2:$B1014,2,FALSE)-150,VLOOKUP($B973,COSTOS!$A$2:$B1014,2,FALSE)),"No encontrado o error"))</f>
        <v/>
      </c>
      <c r="AL973" s="395"/>
      <c r="AM973" s="254"/>
      <c r="AN973" s="255"/>
      <c r="AO973" s="256"/>
    </row>
    <row r="974" ht="22.5" customHeight="1">
      <c r="A974" s="431" t="str">
        <f>'BASE DE DATOSS'!A1048</f>
        <v/>
      </c>
      <c r="B974" s="432" t="str">
        <f>'BASE DE DATOSS'!C1048</f>
        <v/>
      </c>
      <c r="C974" s="263"/>
      <c r="D974" s="249"/>
      <c r="E974" s="250"/>
      <c r="F974" s="251"/>
      <c r="G974" s="262"/>
      <c r="H974" s="257"/>
      <c r="I974" s="249"/>
      <c r="J974" s="193" t="str">
        <f>IF(OR(ISBLANK($B974),ISBLANK($I974)),"",IFERROR(IF($I974&lt;=DATE('ESTADO CONTABLE'!$B$2,3,5),VLOOKUP($B974,COSTOS!$A$2:$B1014,2,FALSE)-150,VLOOKUP($B974,COSTOS!$A$2:$B1014,2,FALSE)),"No encontrado o error"))</f>
        <v/>
      </c>
      <c r="K974" s="264"/>
      <c r="L974" s="249"/>
      <c r="M974" s="189"/>
      <c r="N974" s="264"/>
      <c r="O974" s="249"/>
      <c r="P974" s="250"/>
      <c r="Q974" s="264"/>
      <c r="R974" s="249"/>
      <c r="S974" s="250"/>
      <c r="T974" s="264"/>
      <c r="U974" s="249"/>
      <c r="V974" s="250"/>
      <c r="W974" s="264"/>
      <c r="X974" s="394"/>
      <c r="Y974" s="429"/>
      <c r="Z974" s="395"/>
      <c r="AA974" s="394"/>
      <c r="AB974" s="118" t="str">
        <f>IF(OR(ISBLANK($B974),ISBLANK($AA974)),"",IFERROR(IF($AA974&lt;=DATE('ESTADO CONTABLE'!$B$2,9,5),VLOOKUP($B974,COSTOS!$A$2:$B1014,2,FALSE)-150,VLOOKUP($B974,COSTOS!$A$2:$B1014,2,FALSE)),"No encontrado o error"))</f>
        <v/>
      </c>
      <c r="AC974" s="395"/>
      <c r="AD974" s="394"/>
      <c r="AE974" s="429" t="str">
        <f>IF(OR(ISBLANK($B974),ISBLANK($AD974)),"",IFERROR(IF($AD974&lt;=DATE('ESTADO CONTABLE'!$B$2,10,5),VLOOKUP($B974,COSTOS!$A$2:$B1014,2,FALSE)-150,VLOOKUP($B974,COSTOS!$A$2:$B1014,2,FALSE)),"No encontrado o error"))</f>
        <v/>
      </c>
      <c r="AF974" s="395"/>
      <c r="AG974" s="394"/>
      <c r="AH974" s="429" t="str">
        <f>IF(OR(ISBLANK($B974),ISBLANK($AG974)),"",IFERROR(IF($AG974&lt;=DATE('ESTADO CONTABLE'!$B$2,11,5),VLOOKUP($B974,COSTOS!$A$2:$B1014,2,FALSE)-150,VLOOKUP($B974,COSTOS!$A$2:$B1014,2,FALSE)),"No encontrado o error"))</f>
        <v/>
      </c>
      <c r="AI974" s="395"/>
      <c r="AJ974" s="394"/>
      <c r="AK974" s="429" t="str">
        <f>IF(OR(ISBLANK($B974),ISBLANK($AJ974)),"",IFERROR(IF($AJ974&lt;=DATE('ESTADO CONTABLE'!$B$2,12,5),VLOOKUP($B974,COSTOS!$A$2:$B1014,2,FALSE)-150,VLOOKUP($B974,COSTOS!$A$2:$B1014,2,FALSE)),"No encontrado o error"))</f>
        <v/>
      </c>
      <c r="AL974" s="395"/>
      <c r="AM974" s="254"/>
      <c r="AN974" s="255"/>
      <c r="AO974" s="256"/>
    </row>
    <row r="975" ht="22.5" customHeight="1">
      <c r="A975" s="431" t="str">
        <f>'BASE DE DATOSS'!A1049</f>
        <v/>
      </c>
      <c r="B975" s="432" t="str">
        <f>'BASE DE DATOSS'!C1049</f>
        <v/>
      </c>
      <c r="C975" s="263"/>
      <c r="D975" s="249"/>
      <c r="E975" s="250"/>
      <c r="F975" s="251"/>
      <c r="G975" s="262"/>
      <c r="H975" s="257"/>
      <c r="I975" s="249"/>
      <c r="J975" s="193" t="str">
        <f>IF(OR(ISBLANK($B975),ISBLANK($I975)),"",IFERROR(IF($I975&lt;=DATE('ESTADO CONTABLE'!$B$2,3,5),VLOOKUP($B975,COSTOS!$A$2:$B1014,2,FALSE)-150,VLOOKUP($B975,COSTOS!$A$2:$B1014,2,FALSE)),"No encontrado o error"))</f>
        <v/>
      </c>
      <c r="K975" s="264"/>
      <c r="L975" s="249"/>
      <c r="M975" s="189"/>
      <c r="N975" s="264"/>
      <c r="O975" s="249"/>
      <c r="P975" s="250"/>
      <c r="Q975" s="264"/>
      <c r="R975" s="249"/>
      <c r="S975" s="250"/>
      <c r="T975" s="264"/>
      <c r="U975" s="249"/>
      <c r="V975" s="250"/>
      <c r="W975" s="264"/>
      <c r="X975" s="394"/>
      <c r="Y975" s="429"/>
      <c r="Z975" s="395"/>
      <c r="AA975" s="394"/>
      <c r="AB975" s="118" t="str">
        <f>IF(OR(ISBLANK($B975),ISBLANK($AA975)),"",IFERROR(IF($AA975&lt;=DATE('ESTADO CONTABLE'!$B$2,9,5),VLOOKUP($B975,COSTOS!$A$2:$B1014,2,FALSE)-150,VLOOKUP($B975,COSTOS!$A$2:$B1014,2,FALSE)),"No encontrado o error"))</f>
        <v/>
      </c>
      <c r="AC975" s="395"/>
      <c r="AD975" s="394"/>
      <c r="AE975" s="429" t="str">
        <f>IF(OR(ISBLANK($B975),ISBLANK($AD975)),"",IFERROR(IF($AD975&lt;=DATE('ESTADO CONTABLE'!$B$2,10,5),VLOOKUP($B975,COSTOS!$A$2:$B1014,2,FALSE)-150,VLOOKUP($B975,COSTOS!$A$2:$B1014,2,FALSE)),"No encontrado o error"))</f>
        <v/>
      </c>
      <c r="AF975" s="395"/>
      <c r="AG975" s="394"/>
      <c r="AH975" s="429" t="str">
        <f>IF(OR(ISBLANK($B975),ISBLANK($AG975)),"",IFERROR(IF($AG975&lt;=DATE('ESTADO CONTABLE'!$B$2,11,5),VLOOKUP($B975,COSTOS!$A$2:$B1014,2,FALSE)-150,VLOOKUP($B975,COSTOS!$A$2:$B1014,2,FALSE)),"No encontrado o error"))</f>
        <v/>
      </c>
      <c r="AI975" s="395"/>
      <c r="AJ975" s="394"/>
      <c r="AK975" s="429" t="str">
        <f>IF(OR(ISBLANK($B975),ISBLANK($AJ975)),"",IFERROR(IF($AJ975&lt;=DATE('ESTADO CONTABLE'!$B$2,12,5),VLOOKUP($B975,COSTOS!$A$2:$B1014,2,FALSE)-150,VLOOKUP($B975,COSTOS!$A$2:$B1014,2,FALSE)),"No encontrado o error"))</f>
        <v/>
      </c>
      <c r="AL975" s="395"/>
      <c r="AM975" s="254"/>
      <c r="AN975" s="255"/>
      <c r="AO975" s="256"/>
    </row>
    <row r="976" ht="22.5" customHeight="1">
      <c r="A976" s="431" t="str">
        <f>'BASE DE DATOSS'!A1050</f>
        <v/>
      </c>
      <c r="B976" s="432" t="str">
        <f>'BASE DE DATOSS'!C1050</f>
        <v/>
      </c>
      <c r="C976" s="263"/>
      <c r="D976" s="249"/>
      <c r="E976" s="250"/>
      <c r="F976" s="251"/>
      <c r="G976" s="262"/>
      <c r="H976" s="257"/>
      <c r="I976" s="249"/>
      <c r="J976" s="193" t="str">
        <f>IF(OR(ISBLANK($B976),ISBLANK($I976)),"",IFERROR(IF($I976&lt;=DATE('ESTADO CONTABLE'!$B$2,3,5),VLOOKUP($B976,COSTOS!$A$2:$B1014,2,FALSE)-150,VLOOKUP($B976,COSTOS!$A$2:$B1014,2,FALSE)),"No encontrado o error"))</f>
        <v/>
      </c>
      <c r="K976" s="264"/>
      <c r="L976" s="249"/>
      <c r="M976" s="189"/>
      <c r="N976" s="264"/>
      <c r="O976" s="249"/>
      <c r="P976" s="250"/>
      <c r="Q976" s="264"/>
      <c r="R976" s="249"/>
      <c r="S976" s="250"/>
      <c r="T976" s="264"/>
      <c r="U976" s="249"/>
      <c r="V976" s="250"/>
      <c r="W976" s="264"/>
      <c r="X976" s="394"/>
      <c r="Y976" s="429"/>
      <c r="Z976" s="395"/>
      <c r="AA976" s="394"/>
      <c r="AB976" s="118" t="str">
        <f>IF(OR(ISBLANK($B976),ISBLANK($AA976)),"",IFERROR(IF($AA976&lt;=DATE('ESTADO CONTABLE'!$B$2,9,5),VLOOKUP($B976,COSTOS!$A$2:$B1014,2,FALSE)-150,VLOOKUP($B976,COSTOS!$A$2:$B1014,2,FALSE)),"No encontrado o error"))</f>
        <v/>
      </c>
      <c r="AC976" s="395"/>
      <c r="AD976" s="394"/>
      <c r="AE976" s="429" t="str">
        <f>IF(OR(ISBLANK($B976),ISBLANK($AD976)),"",IFERROR(IF($AD976&lt;=DATE('ESTADO CONTABLE'!$B$2,10,5),VLOOKUP($B976,COSTOS!$A$2:$B1014,2,FALSE)-150,VLOOKUP($B976,COSTOS!$A$2:$B1014,2,FALSE)),"No encontrado o error"))</f>
        <v/>
      </c>
      <c r="AF976" s="395"/>
      <c r="AG976" s="394"/>
      <c r="AH976" s="429" t="str">
        <f>IF(OR(ISBLANK($B976),ISBLANK($AG976)),"",IFERROR(IF($AG976&lt;=DATE('ESTADO CONTABLE'!$B$2,11,5),VLOOKUP($B976,COSTOS!$A$2:$B1014,2,FALSE)-150,VLOOKUP($B976,COSTOS!$A$2:$B1014,2,FALSE)),"No encontrado o error"))</f>
        <v/>
      </c>
      <c r="AI976" s="395"/>
      <c r="AJ976" s="394"/>
      <c r="AK976" s="429" t="str">
        <f>IF(OR(ISBLANK($B976),ISBLANK($AJ976)),"",IFERROR(IF($AJ976&lt;=DATE('ESTADO CONTABLE'!$B$2,12,5),VLOOKUP($B976,COSTOS!$A$2:$B1014,2,FALSE)-150,VLOOKUP($B976,COSTOS!$A$2:$B1014,2,FALSE)),"No encontrado o error"))</f>
        <v/>
      </c>
      <c r="AL976" s="395"/>
      <c r="AM976" s="254"/>
      <c r="AN976" s="255"/>
      <c r="AO976" s="256"/>
    </row>
    <row r="977" ht="22.5" customHeight="1">
      <c r="A977" s="431" t="str">
        <f>'BASE DE DATOSS'!A1051</f>
        <v/>
      </c>
      <c r="B977" s="432" t="str">
        <f>'BASE DE DATOSS'!C1051</f>
        <v/>
      </c>
      <c r="C977" s="263"/>
      <c r="D977" s="249"/>
      <c r="E977" s="250"/>
      <c r="F977" s="251"/>
      <c r="G977" s="262"/>
      <c r="H977" s="257"/>
      <c r="I977" s="249"/>
      <c r="J977" s="193" t="str">
        <f>IF(OR(ISBLANK($B977),ISBLANK($I977)),"",IFERROR(IF($I977&lt;=DATE('ESTADO CONTABLE'!$B$2,3,5),VLOOKUP($B977,COSTOS!$A$2:$B1014,2,FALSE)-150,VLOOKUP($B977,COSTOS!$A$2:$B1014,2,FALSE)),"No encontrado o error"))</f>
        <v/>
      </c>
      <c r="K977" s="264"/>
      <c r="L977" s="249"/>
      <c r="M977" s="189"/>
      <c r="N977" s="264"/>
      <c r="O977" s="249"/>
      <c r="P977" s="250"/>
      <c r="Q977" s="264"/>
      <c r="R977" s="249"/>
      <c r="S977" s="250"/>
      <c r="T977" s="264"/>
      <c r="U977" s="249"/>
      <c r="V977" s="250"/>
      <c r="W977" s="264"/>
      <c r="X977" s="394"/>
      <c r="Y977" s="429"/>
      <c r="Z977" s="395"/>
      <c r="AA977" s="394"/>
      <c r="AB977" s="118" t="str">
        <f>IF(OR(ISBLANK($B977),ISBLANK($AA977)),"",IFERROR(IF($AA977&lt;=DATE('ESTADO CONTABLE'!$B$2,9,5),VLOOKUP($B977,COSTOS!$A$2:$B1014,2,FALSE)-150,VLOOKUP($B977,COSTOS!$A$2:$B1014,2,FALSE)),"No encontrado o error"))</f>
        <v/>
      </c>
      <c r="AC977" s="395"/>
      <c r="AD977" s="394"/>
      <c r="AE977" s="429" t="str">
        <f>IF(OR(ISBLANK($B977),ISBLANK($AD977)),"",IFERROR(IF($AD977&lt;=DATE('ESTADO CONTABLE'!$B$2,10,5),VLOOKUP($B977,COSTOS!$A$2:$B1014,2,FALSE)-150,VLOOKUP($B977,COSTOS!$A$2:$B1014,2,FALSE)),"No encontrado o error"))</f>
        <v/>
      </c>
      <c r="AF977" s="395"/>
      <c r="AG977" s="394"/>
      <c r="AH977" s="429" t="str">
        <f>IF(OR(ISBLANK($B977),ISBLANK($AG977)),"",IFERROR(IF($AG977&lt;=DATE('ESTADO CONTABLE'!$B$2,11,5),VLOOKUP($B977,COSTOS!$A$2:$B1014,2,FALSE)-150,VLOOKUP($B977,COSTOS!$A$2:$B1014,2,FALSE)),"No encontrado o error"))</f>
        <v/>
      </c>
      <c r="AI977" s="395"/>
      <c r="AJ977" s="394"/>
      <c r="AK977" s="429" t="str">
        <f>IF(OR(ISBLANK($B977),ISBLANK($AJ977)),"",IFERROR(IF($AJ977&lt;=DATE('ESTADO CONTABLE'!$B$2,12,5),VLOOKUP($B977,COSTOS!$A$2:$B1014,2,FALSE)-150,VLOOKUP($B977,COSTOS!$A$2:$B1014,2,FALSE)),"No encontrado o error"))</f>
        <v/>
      </c>
      <c r="AL977" s="395"/>
      <c r="AM977" s="254"/>
      <c r="AN977" s="255"/>
      <c r="AO977" s="256"/>
    </row>
    <row r="978" ht="22.5" customHeight="1">
      <c r="A978" s="431" t="str">
        <f>'BASE DE DATOSS'!A1052</f>
        <v/>
      </c>
      <c r="B978" s="432" t="str">
        <f>'BASE DE DATOSS'!C1052</f>
        <v/>
      </c>
      <c r="C978" s="263"/>
      <c r="D978" s="249"/>
      <c r="E978" s="250"/>
      <c r="F978" s="251"/>
      <c r="G978" s="262"/>
      <c r="H978" s="257"/>
      <c r="I978" s="249"/>
      <c r="J978" s="193" t="str">
        <f>IF(OR(ISBLANK($B978),ISBLANK($I978)),"",IFERROR(IF($I978&lt;=DATE('ESTADO CONTABLE'!$B$2,3,5),VLOOKUP($B978,COSTOS!$A$2:$B1014,2,FALSE)-150,VLOOKUP($B978,COSTOS!$A$2:$B1014,2,FALSE)),"No encontrado o error"))</f>
        <v/>
      </c>
      <c r="K978" s="264"/>
      <c r="L978" s="249"/>
      <c r="M978" s="189"/>
      <c r="N978" s="264"/>
      <c r="O978" s="249"/>
      <c r="P978" s="250"/>
      <c r="Q978" s="264"/>
      <c r="R978" s="249"/>
      <c r="S978" s="250"/>
      <c r="T978" s="264"/>
      <c r="U978" s="249"/>
      <c r="V978" s="250"/>
      <c r="W978" s="264"/>
      <c r="X978" s="394"/>
      <c r="Y978" s="429"/>
      <c r="Z978" s="395"/>
      <c r="AA978" s="394"/>
      <c r="AB978" s="118" t="str">
        <f>IF(OR(ISBLANK($B978),ISBLANK($AA978)),"",IFERROR(IF($AA978&lt;=DATE('ESTADO CONTABLE'!$B$2,9,5),VLOOKUP($B978,COSTOS!$A$2:$B1014,2,FALSE)-150,VLOOKUP($B978,COSTOS!$A$2:$B1014,2,FALSE)),"No encontrado o error"))</f>
        <v/>
      </c>
      <c r="AC978" s="395"/>
      <c r="AD978" s="394"/>
      <c r="AE978" s="429" t="str">
        <f>IF(OR(ISBLANK($B978),ISBLANK($AD978)),"",IFERROR(IF($AD978&lt;=DATE('ESTADO CONTABLE'!$B$2,10,5),VLOOKUP($B978,COSTOS!$A$2:$B1014,2,FALSE)-150,VLOOKUP($B978,COSTOS!$A$2:$B1014,2,FALSE)),"No encontrado o error"))</f>
        <v/>
      </c>
      <c r="AF978" s="395"/>
      <c r="AG978" s="394"/>
      <c r="AH978" s="429" t="str">
        <f>IF(OR(ISBLANK($B978),ISBLANK($AG978)),"",IFERROR(IF($AG978&lt;=DATE('ESTADO CONTABLE'!$B$2,11,5),VLOOKUP($B978,COSTOS!$A$2:$B1014,2,FALSE)-150,VLOOKUP($B978,COSTOS!$A$2:$B1014,2,FALSE)),"No encontrado o error"))</f>
        <v/>
      </c>
      <c r="AI978" s="395"/>
      <c r="AJ978" s="394"/>
      <c r="AK978" s="429" t="str">
        <f>IF(OR(ISBLANK($B978),ISBLANK($AJ978)),"",IFERROR(IF($AJ978&lt;=DATE('ESTADO CONTABLE'!$B$2,12,5),VLOOKUP($B978,COSTOS!$A$2:$B1014,2,FALSE)-150,VLOOKUP($B978,COSTOS!$A$2:$B1014,2,FALSE)),"No encontrado o error"))</f>
        <v/>
      </c>
      <c r="AL978" s="395"/>
      <c r="AM978" s="254"/>
      <c r="AN978" s="255"/>
      <c r="AO978" s="256"/>
    </row>
    <row r="979" ht="22.5" customHeight="1">
      <c r="A979" s="431" t="str">
        <f>'BASE DE DATOSS'!A1053</f>
        <v/>
      </c>
      <c r="B979" s="432" t="str">
        <f>'BASE DE DATOSS'!C1053</f>
        <v/>
      </c>
      <c r="C979" s="263"/>
      <c r="D979" s="249"/>
      <c r="E979" s="250"/>
      <c r="F979" s="251"/>
      <c r="G979" s="262"/>
      <c r="H979" s="257"/>
      <c r="I979" s="249"/>
      <c r="J979" s="193" t="str">
        <f>IF(OR(ISBLANK($B979),ISBLANK($I979)),"",IFERROR(IF($I979&lt;=DATE('ESTADO CONTABLE'!$B$2,3,5),VLOOKUP($B979,COSTOS!$A$2:$B1014,2,FALSE)-150,VLOOKUP($B979,COSTOS!$A$2:$B1014,2,FALSE)),"No encontrado o error"))</f>
        <v/>
      </c>
      <c r="K979" s="264"/>
      <c r="L979" s="249"/>
      <c r="M979" s="189"/>
      <c r="N979" s="264"/>
      <c r="O979" s="249"/>
      <c r="P979" s="250"/>
      <c r="Q979" s="264"/>
      <c r="R979" s="249"/>
      <c r="S979" s="250"/>
      <c r="T979" s="264"/>
      <c r="U979" s="249"/>
      <c r="V979" s="250"/>
      <c r="W979" s="264"/>
      <c r="X979" s="394"/>
      <c r="Y979" s="429"/>
      <c r="Z979" s="395"/>
      <c r="AA979" s="394"/>
      <c r="AB979" s="118" t="str">
        <f>IF(OR(ISBLANK($B979),ISBLANK($AA979)),"",IFERROR(IF($AA979&lt;=DATE('ESTADO CONTABLE'!$B$2,9,5),VLOOKUP($B979,COSTOS!$A$2:$B1014,2,FALSE)-150,VLOOKUP($B979,COSTOS!$A$2:$B1014,2,FALSE)),"No encontrado o error"))</f>
        <v/>
      </c>
      <c r="AC979" s="395"/>
      <c r="AD979" s="394"/>
      <c r="AE979" s="429" t="str">
        <f>IF(OR(ISBLANK($B979),ISBLANK($AD979)),"",IFERROR(IF($AD979&lt;=DATE('ESTADO CONTABLE'!$B$2,10,5),VLOOKUP($B979,COSTOS!$A$2:$B1014,2,FALSE)-150,VLOOKUP($B979,COSTOS!$A$2:$B1014,2,FALSE)),"No encontrado o error"))</f>
        <v/>
      </c>
      <c r="AF979" s="395"/>
      <c r="AG979" s="394"/>
      <c r="AH979" s="429" t="str">
        <f>IF(OR(ISBLANK($B979),ISBLANK($AG979)),"",IFERROR(IF($AG979&lt;=DATE('ESTADO CONTABLE'!$B$2,11,5),VLOOKUP($B979,COSTOS!$A$2:$B1014,2,FALSE)-150,VLOOKUP($B979,COSTOS!$A$2:$B1014,2,FALSE)),"No encontrado o error"))</f>
        <v/>
      </c>
      <c r="AI979" s="395"/>
      <c r="AJ979" s="394"/>
      <c r="AK979" s="429" t="str">
        <f>IF(OR(ISBLANK($B979),ISBLANK($AJ979)),"",IFERROR(IF($AJ979&lt;=DATE('ESTADO CONTABLE'!$B$2,12,5),VLOOKUP($B979,COSTOS!$A$2:$B1014,2,FALSE)-150,VLOOKUP($B979,COSTOS!$A$2:$B1014,2,FALSE)),"No encontrado o error"))</f>
        <v/>
      </c>
      <c r="AL979" s="395"/>
      <c r="AM979" s="254"/>
      <c r="AN979" s="255"/>
      <c r="AO979" s="256"/>
    </row>
    <row r="980" ht="22.5" customHeight="1">
      <c r="A980" s="431" t="str">
        <f>'BASE DE DATOSS'!A1054</f>
        <v/>
      </c>
      <c r="B980" s="432" t="str">
        <f>'BASE DE DATOSS'!C1054</f>
        <v/>
      </c>
      <c r="C980" s="263"/>
      <c r="D980" s="249"/>
      <c r="E980" s="250"/>
      <c r="F980" s="251"/>
      <c r="G980" s="262"/>
      <c r="H980" s="257"/>
      <c r="I980" s="249"/>
      <c r="J980" s="193" t="str">
        <f>IF(OR(ISBLANK($B980),ISBLANK($I980)),"",IFERROR(IF($I980&lt;=DATE('ESTADO CONTABLE'!$B$2,3,5),VLOOKUP($B980,COSTOS!$A$2:$B1014,2,FALSE)-150,VLOOKUP($B980,COSTOS!$A$2:$B1014,2,FALSE)),"No encontrado o error"))</f>
        <v/>
      </c>
      <c r="K980" s="264"/>
      <c r="L980" s="249"/>
      <c r="M980" s="189"/>
      <c r="N980" s="264"/>
      <c r="O980" s="249"/>
      <c r="P980" s="250"/>
      <c r="Q980" s="264"/>
      <c r="R980" s="249"/>
      <c r="S980" s="250"/>
      <c r="T980" s="264"/>
      <c r="U980" s="249"/>
      <c r="V980" s="250"/>
      <c r="W980" s="264"/>
      <c r="X980" s="394"/>
      <c r="Y980" s="429"/>
      <c r="Z980" s="395"/>
      <c r="AA980" s="394"/>
      <c r="AB980" s="118" t="str">
        <f>IF(OR(ISBLANK($B980),ISBLANK($AA980)),"",IFERROR(IF($AA980&lt;=DATE('ESTADO CONTABLE'!$B$2,9,5),VLOOKUP($B980,COSTOS!$A$2:$B1014,2,FALSE)-150,VLOOKUP($B980,COSTOS!$A$2:$B1014,2,FALSE)),"No encontrado o error"))</f>
        <v/>
      </c>
      <c r="AC980" s="395"/>
      <c r="AD980" s="394"/>
      <c r="AE980" s="429" t="str">
        <f>IF(OR(ISBLANK($B980),ISBLANK($AD980)),"",IFERROR(IF($AD980&lt;=DATE('ESTADO CONTABLE'!$B$2,10,5),VLOOKUP($B980,COSTOS!$A$2:$B1014,2,FALSE)-150,VLOOKUP($B980,COSTOS!$A$2:$B1014,2,FALSE)),"No encontrado o error"))</f>
        <v/>
      </c>
      <c r="AF980" s="395"/>
      <c r="AG980" s="394"/>
      <c r="AH980" s="429" t="str">
        <f>IF(OR(ISBLANK($B980),ISBLANK($AG980)),"",IFERROR(IF($AG980&lt;=DATE('ESTADO CONTABLE'!$B$2,11,5),VLOOKUP($B980,COSTOS!$A$2:$B1014,2,FALSE)-150,VLOOKUP($B980,COSTOS!$A$2:$B1014,2,FALSE)),"No encontrado o error"))</f>
        <v/>
      </c>
      <c r="AI980" s="395"/>
      <c r="AJ980" s="394"/>
      <c r="AK980" s="429" t="str">
        <f>IF(OR(ISBLANK($B980),ISBLANK($AJ980)),"",IFERROR(IF($AJ980&lt;=DATE('ESTADO CONTABLE'!$B$2,12,5),VLOOKUP($B980,COSTOS!$A$2:$B1014,2,FALSE)-150,VLOOKUP($B980,COSTOS!$A$2:$B1014,2,FALSE)),"No encontrado o error"))</f>
        <v/>
      </c>
      <c r="AL980" s="395"/>
      <c r="AM980" s="254"/>
      <c r="AN980" s="255"/>
      <c r="AO980" s="256"/>
    </row>
    <row r="981" ht="22.5" customHeight="1">
      <c r="A981" s="431" t="str">
        <f>'BASE DE DATOSS'!A1055</f>
        <v/>
      </c>
      <c r="B981" s="432" t="str">
        <f>'BASE DE DATOSS'!C1055</f>
        <v/>
      </c>
      <c r="C981" s="263"/>
      <c r="D981" s="249"/>
      <c r="E981" s="250"/>
      <c r="F981" s="251"/>
      <c r="G981" s="262"/>
      <c r="H981" s="257"/>
      <c r="I981" s="249"/>
      <c r="J981" s="193" t="str">
        <f>IF(OR(ISBLANK($B981),ISBLANK($I981)),"",IFERROR(IF($I981&lt;=DATE('ESTADO CONTABLE'!$B$2,3,5),VLOOKUP($B981,COSTOS!$A$2:$B1014,2,FALSE)-150,VLOOKUP($B981,COSTOS!$A$2:$B1014,2,FALSE)),"No encontrado o error"))</f>
        <v/>
      </c>
      <c r="K981" s="264"/>
      <c r="L981" s="249"/>
      <c r="M981" s="189"/>
      <c r="N981" s="264"/>
      <c r="O981" s="249"/>
      <c r="P981" s="250"/>
      <c r="Q981" s="264"/>
      <c r="R981" s="249"/>
      <c r="S981" s="250"/>
      <c r="T981" s="264"/>
      <c r="U981" s="249"/>
      <c r="V981" s="250"/>
      <c r="W981" s="264"/>
      <c r="X981" s="394"/>
      <c r="Y981" s="429"/>
      <c r="Z981" s="395"/>
      <c r="AA981" s="394"/>
      <c r="AB981" s="118" t="str">
        <f>IF(OR(ISBLANK($B981),ISBLANK($AA981)),"",IFERROR(IF($AA981&lt;=DATE('ESTADO CONTABLE'!$B$2,9,5),VLOOKUP($B981,COSTOS!$A$2:$B1014,2,FALSE)-150,VLOOKUP($B981,COSTOS!$A$2:$B1014,2,FALSE)),"No encontrado o error"))</f>
        <v/>
      </c>
      <c r="AC981" s="395"/>
      <c r="AD981" s="394"/>
      <c r="AE981" s="429" t="str">
        <f>IF(OR(ISBLANK($B981),ISBLANK($AD981)),"",IFERROR(IF($AD981&lt;=DATE('ESTADO CONTABLE'!$B$2,10,5),VLOOKUP($B981,COSTOS!$A$2:$B1014,2,FALSE)-150,VLOOKUP($B981,COSTOS!$A$2:$B1014,2,FALSE)),"No encontrado o error"))</f>
        <v/>
      </c>
      <c r="AF981" s="395"/>
      <c r="AG981" s="394"/>
      <c r="AH981" s="429" t="str">
        <f>IF(OR(ISBLANK($B981),ISBLANK($AG981)),"",IFERROR(IF($AG981&lt;=DATE('ESTADO CONTABLE'!$B$2,11,5),VLOOKUP($B981,COSTOS!$A$2:$B1014,2,FALSE)-150,VLOOKUP($B981,COSTOS!$A$2:$B1014,2,FALSE)),"No encontrado o error"))</f>
        <v/>
      </c>
      <c r="AI981" s="395"/>
      <c r="AJ981" s="394"/>
      <c r="AK981" s="429" t="str">
        <f>IF(OR(ISBLANK($B981),ISBLANK($AJ981)),"",IFERROR(IF($AJ981&lt;=DATE('ESTADO CONTABLE'!$B$2,12,5),VLOOKUP($B981,COSTOS!$A$2:$B1014,2,FALSE)-150,VLOOKUP($B981,COSTOS!$A$2:$B1014,2,FALSE)),"No encontrado o error"))</f>
        <v/>
      </c>
      <c r="AL981" s="395"/>
      <c r="AM981" s="254"/>
      <c r="AN981" s="255"/>
      <c r="AO981" s="256"/>
    </row>
    <row r="982" ht="22.5" customHeight="1">
      <c r="A982" s="431" t="str">
        <f>'BASE DE DATOSS'!A1056</f>
        <v/>
      </c>
      <c r="B982" s="432" t="str">
        <f>'BASE DE DATOSS'!C1056</f>
        <v/>
      </c>
      <c r="C982" s="263"/>
      <c r="D982" s="249"/>
      <c r="E982" s="250"/>
      <c r="F982" s="251"/>
      <c r="G982" s="262"/>
      <c r="H982" s="257"/>
      <c r="I982" s="249"/>
      <c r="J982" s="193" t="str">
        <f>IF(OR(ISBLANK($B982),ISBLANK($I982)),"",IFERROR(IF($I982&lt;=DATE('ESTADO CONTABLE'!$B$2,3,5),VLOOKUP($B982,COSTOS!$A$2:$B1014,2,FALSE)-150,VLOOKUP($B982,COSTOS!$A$2:$B1014,2,FALSE)),"No encontrado o error"))</f>
        <v/>
      </c>
      <c r="K982" s="264"/>
      <c r="L982" s="249"/>
      <c r="M982" s="189"/>
      <c r="N982" s="264"/>
      <c r="O982" s="249"/>
      <c r="P982" s="250"/>
      <c r="Q982" s="264"/>
      <c r="R982" s="249"/>
      <c r="S982" s="250"/>
      <c r="T982" s="264"/>
      <c r="U982" s="249"/>
      <c r="V982" s="250"/>
      <c r="W982" s="264"/>
      <c r="X982" s="394"/>
      <c r="Y982" s="429"/>
      <c r="Z982" s="395"/>
      <c r="AA982" s="394"/>
      <c r="AB982" s="118" t="str">
        <f>IF(OR(ISBLANK($B982),ISBLANK($AA982)),"",IFERROR(IF($AA982&lt;=DATE('ESTADO CONTABLE'!$B$2,9,5),VLOOKUP($B982,COSTOS!$A$2:$B1014,2,FALSE)-150,VLOOKUP($B982,COSTOS!$A$2:$B1014,2,FALSE)),"No encontrado o error"))</f>
        <v/>
      </c>
      <c r="AC982" s="395"/>
      <c r="AD982" s="394"/>
      <c r="AE982" s="429" t="str">
        <f>IF(OR(ISBLANK($B982),ISBLANK($AD982)),"",IFERROR(IF($AD982&lt;=DATE('ESTADO CONTABLE'!$B$2,10,5),VLOOKUP($B982,COSTOS!$A$2:$B1014,2,FALSE)-150,VLOOKUP($B982,COSTOS!$A$2:$B1014,2,FALSE)),"No encontrado o error"))</f>
        <v/>
      </c>
      <c r="AF982" s="395"/>
      <c r="AG982" s="394"/>
      <c r="AH982" s="429" t="str">
        <f>IF(OR(ISBLANK($B982),ISBLANK($AG982)),"",IFERROR(IF($AG982&lt;=DATE('ESTADO CONTABLE'!$B$2,11,5),VLOOKUP($B982,COSTOS!$A$2:$B1014,2,FALSE)-150,VLOOKUP($B982,COSTOS!$A$2:$B1014,2,FALSE)),"No encontrado o error"))</f>
        <v/>
      </c>
      <c r="AI982" s="395"/>
      <c r="AJ982" s="394"/>
      <c r="AK982" s="429" t="str">
        <f>IF(OR(ISBLANK($B982),ISBLANK($AJ982)),"",IFERROR(IF($AJ982&lt;=DATE('ESTADO CONTABLE'!$B$2,12,5),VLOOKUP($B982,COSTOS!$A$2:$B1014,2,FALSE)-150,VLOOKUP($B982,COSTOS!$A$2:$B1014,2,FALSE)),"No encontrado o error"))</f>
        <v/>
      </c>
      <c r="AL982" s="395"/>
      <c r="AM982" s="254"/>
      <c r="AN982" s="255"/>
      <c r="AO982" s="256"/>
    </row>
    <row r="983" ht="22.5" customHeight="1">
      <c r="A983" s="431" t="str">
        <f>'BASE DE DATOSS'!A1057</f>
        <v/>
      </c>
      <c r="B983" s="432" t="str">
        <f>'BASE DE DATOSS'!C1057</f>
        <v/>
      </c>
      <c r="C983" s="263"/>
      <c r="D983" s="249"/>
      <c r="E983" s="250"/>
      <c r="F983" s="251"/>
      <c r="G983" s="262"/>
      <c r="H983" s="257"/>
      <c r="I983" s="249"/>
      <c r="J983" s="193" t="str">
        <f>IF(OR(ISBLANK($B983),ISBLANK($I983)),"",IFERROR(IF($I983&lt;=DATE('ESTADO CONTABLE'!$B$2,3,5),VLOOKUP($B983,COSTOS!$A$2:$B1014,2,FALSE)-150,VLOOKUP($B983,COSTOS!$A$2:$B1014,2,FALSE)),"No encontrado o error"))</f>
        <v/>
      </c>
      <c r="K983" s="264"/>
      <c r="L983" s="249"/>
      <c r="M983" s="189"/>
      <c r="N983" s="264"/>
      <c r="O983" s="249"/>
      <c r="P983" s="250"/>
      <c r="Q983" s="264"/>
      <c r="R983" s="249"/>
      <c r="S983" s="250"/>
      <c r="T983" s="264"/>
      <c r="U983" s="249"/>
      <c r="V983" s="250"/>
      <c r="W983" s="264"/>
      <c r="X983" s="394"/>
      <c r="Y983" s="429"/>
      <c r="Z983" s="395"/>
      <c r="AA983" s="394"/>
      <c r="AB983" s="118" t="str">
        <f>IF(OR(ISBLANK($B983),ISBLANK($AA983)),"",IFERROR(IF($AA983&lt;=DATE('ESTADO CONTABLE'!$B$2,9,5),VLOOKUP($B983,COSTOS!$A$2:$B1014,2,FALSE)-150,VLOOKUP($B983,COSTOS!$A$2:$B1014,2,FALSE)),"No encontrado o error"))</f>
        <v/>
      </c>
      <c r="AC983" s="395"/>
      <c r="AD983" s="394"/>
      <c r="AE983" s="429" t="str">
        <f>IF(OR(ISBLANK($B983),ISBLANK($AD983)),"",IFERROR(IF($AD983&lt;=DATE('ESTADO CONTABLE'!$B$2,10,5),VLOOKUP($B983,COSTOS!$A$2:$B1014,2,FALSE)-150,VLOOKUP($B983,COSTOS!$A$2:$B1014,2,FALSE)),"No encontrado o error"))</f>
        <v/>
      </c>
      <c r="AF983" s="395"/>
      <c r="AG983" s="394"/>
      <c r="AH983" s="429" t="str">
        <f>IF(OR(ISBLANK($B983),ISBLANK($AG983)),"",IFERROR(IF($AG983&lt;=DATE('ESTADO CONTABLE'!$B$2,11,5),VLOOKUP($B983,COSTOS!$A$2:$B1014,2,FALSE)-150,VLOOKUP($B983,COSTOS!$A$2:$B1014,2,FALSE)),"No encontrado o error"))</f>
        <v/>
      </c>
      <c r="AI983" s="395"/>
      <c r="AJ983" s="394"/>
      <c r="AK983" s="429" t="str">
        <f>IF(OR(ISBLANK($B983),ISBLANK($AJ983)),"",IFERROR(IF($AJ983&lt;=DATE('ESTADO CONTABLE'!$B$2,12,5),VLOOKUP($B983,COSTOS!$A$2:$B1014,2,FALSE)-150,VLOOKUP($B983,COSTOS!$A$2:$B1014,2,FALSE)),"No encontrado o error"))</f>
        <v/>
      </c>
      <c r="AL983" s="395"/>
      <c r="AM983" s="254"/>
      <c r="AN983" s="255"/>
      <c r="AO983" s="256"/>
    </row>
    <row r="984" ht="22.5" customHeight="1">
      <c r="A984" s="431" t="str">
        <f>'BASE DE DATOSS'!A1058</f>
        <v/>
      </c>
      <c r="B984" s="432" t="str">
        <f>'BASE DE DATOSS'!C1058</f>
        <v/>
      </c>
      <c r="C984" s="263"/>
      <c r="D984" s="249"/>
      <c r="E984" s="250"/>
      <c r="F984" s="251"/>
      <c r="G984" s="262"/>
      <c r="H984" s="257"/>
      <c r="I984" s="249"/>
      <c r="J984" s="193" t="str">
        <f>IF(OR(ISBLANK($B984),ISBLANK($I984)),"",IFERROR(IF($I984&lt;=DATE('ESTADO CONTABLE'!$B$2,3,5),VLOOKUP($B984,COSTOS!$A$2:$B1014,2,FALSE)-150,VLOOKUP($B984,COSTOS!$A$2:$B1014,2,FALSE)),"No encontrado o error"))</f>
        <v/>
      </c>
      <c r="K984" s="264"/>
      <c r="L984" s="249"/>
      <c r="M984" s="189"/>
      <c r="N984" s="264"/>
      <c r="O984" s="249"/>
      <c r="P984" s="250"/>
      <c r="Q984" s="264"/>
      <c r="R984" s="249"/>
      <c r="S984" s="250"/>
      <c r="T984" s="264"/>
      <c r="U984" s="249"/>
      <c r="V984" s="250"/>
      <c r="W984" s="264"/>
      <c r="X984" s="394"/>
      <c r="Y984" s="429"/>
      <c r="Z984" s="395"/>
      <c r="AA984" s="394"/>
      <c r="AB984" s="118" t="str">
        <f>IF(OR(ISBLANK($B984),ISBLANK($AA984)),"",IFERROR(IF($AA984&lt;=DATE('ESTADO CONTABLE'!$B$2,9,5),VLOOKUP($B984,COSTOS!$A$2:$B1014,2,FALSE)-150,VLOOKUP($B984,COSTOS!$A$2:$B1014,2,FALSE)),"No encontrado o error"))</f>
        <v/>
      </c>
      <c r="AC984" s="395"/>
      <c r="AD984" s="394"/>
      <c r="AE984" s="429" t="str">
        <f>IF(OR(ISBLANK($B984),ISBLANK($AD984)),"",IFERROR(IF($AD984&lt;=DATE('ESTADO CONTABLE'!$B$2,10,5),VLOOKUP($B984,COSTOS!$A$2:$B1014,2,FALSE)-150,VLOOKUP($B984,COSTOS!$A$2:$B1014,2,FALSE)),"No encontrado o error"))</f>
        <v/>
      </c>
      <c r="AF984" s="395"/>
      <c r="AG984" s="394"/>
      <c r="AH984" s="429" t="str">
        <f>IF(OR(ISBLANK($B984),ISBLANK($AG984)),"",IFERROR(IF($AG984&lt;=DATE('ESTADO CONTABLE'!$B$2,11,5),VLOOKUP($B984,COSTOS!$A$2:$B1014,2,FALSE)-150,VLOOKUP($B984,COSTOS!$A$2:$B1014,2,FALSE)),"No encontrado o error"))</f>
        <v/>
      </c>
      <c r="AI984" s="395"/>
      <c r="AJ984" s="394"/>
      <c r="AK984" s="429" t="str">
        <f>IF(OR(ISBLANK($B984),ISBLANK($AJ984)),"",IFERROR(IF($AJ984&lt;=DATE('ESTADO CONTABLE'!$B$2,12,5),VLOOKUP($B984,COSTOS!$A$2:$B1014,2,FALSE)-150,VLOOKUP($B984,COSTOS!$A$2:$B1014,2,FALSE)),"No encontrado o error"))</f>
        <v/>
      </c>
      <c r="AL984" s="395"/>
      <c r="AM984" s="254"/>
      <c r="AN984" s="255"/>
      <c r="AO984" s="256"/>
    </row>
    <row r="985" ht="22.5" customHeight="1">
      <c r="A985" s="431" t="str">
        <f>'BASE DE DATOSS'!A1059</f>
        <v/>
      </c>
      <c r="B985" s="432" t="str">
        <f>'BASE DE DATOSS'!C1059</f>
        <v/>
      </c>
      <c r="C985" s="263"/>
      <c r="D985" s="249"/>
      <c r="E985" s="250"/>
      <c r="F985" s="251"/>
      <c r="G985" s="262"/>
      <c r="H985" s="257"/>
      <c r="I985" s="249"/>
      <c r="J985" s="193" t="str">
        <f>IF(OR(ISBLANK($B985),ISBLANK($I985)),"",IFERROR(IF($I985&lt;=DATE('ESTADO CONTABLE'!$B$2,3,5),VLOOKUP($B985,COSTOS!$A$2:$B1014,2,FALSE)-150,VLOOKUP($B985,COSTOS!$A$2:$B1014,2,FALSE)),"No encontrado o error"))</f>
        <v/>
      </c>
      <c r="K985" s="264"/>
      <c r="L985" s="249"/>
      <c r="M985" s="189"/>
      <c r="N985" s="264"/>
      <c r="O985" s="249"/>
      <c r="P985" s="250"/>
      <c r="Q985" s="264"/>
      <c r="R985" s="249"/>
      <c r="S985" s="250"/>
      <c r="T985" s="264"/>
      <c r="U985" s="249"/>
      <c r="V985" s="250"/>
      <c r="W985" s="264"/>
      <c r="X985" s="394"/>
      <c r="Y985" s="429"/>
      <c r="Z985" s="395"/>
      <c r="AA985" s="394"/>
      <c r="AB985" s="118" t="str">
        <f>IF(OR(ISBLANK($B985),ISBLANK($AA985)),"",IFERROR(IF($AA985&lt;=DATE('ESTADO CONTABLE'!$B$2,9,5),VLOOKUP($B985,COSTOS!$A$2:$B1014,2,FALSE)-150,VLOOKUP($B985,COSTOS!$A$2:$B1014,2,FALSE)),"No encontrado o error"))</f>
        <v/>
      </c>
      <c r="AC985" s="395"/>
      <c r="AD985" s="394"/>
      <c r="AE985" s="429" t="str">
        <f>IF(OR(ISBLANK($B985),ISBLANK($AD985)),"",IFERROR(IF($AD985&lt;=DATE('ESTADO CONTABLE'!$B$2,10,5),VLOOKUP($B985,COSTOS!$A$2:$B1014,2,FALSE)-150,VLOOKUP($B985,COSTOS!$A$2:$B1014,2,FALSE)),"No encontrado o error"))</f>
        <v/>
      </c>
      <c r="AF985" s="395"/>
      <c r="AG985" s="394"/>
      <c r="AH985" s="429" t="str">
        <f>IF(OR(ISBLANK($B985),ISBLANK($AG985)),"",IFERROR(IF($AG985&lt;=DATE('ESTADO CONTABLE'!$B$2,11,5),VLOOKUP($B985,COSTOS!$A$2:$B1014,2,FALSE)-150,VLOOKUP($B985,COSTOS!$A$2:$B1014,2,FALSE)),"No encontrado o error"))</f>
        <v/>
      </c>
      <c r="AI985" s="395"/>
      <c r="AJ985" s="394"/>
      <c r="AK985" s="429" t="str">
        <f>IF(OR(ISBLANK($B985),ISBLANK($AJ985)),"",IFERROR(IF($AJ985&lt;=DATE('ESTADO CONTABLE'!$B$2,12,5),VLOOKUP($B985,COSTOS!$A$2:$B1014,2,FALSE)-150,VLOOKUP($B985,COSTOS!$A$2:$B1014,2,FALSE)),"No encontrado o error"))</f>
        <v/>
      </c>
      <c r="AL985" s="395"/>
      <c r="AM985" s="254"/>
      <c r="AN985" s="255"/>
      <c r="AO985" s="256"/>
    </row>
    <row r="986" ht="22.5" customHeight="1">
      <c r="A986" s="431" t="str">
        <f>'BASE DE DATOSS'!A1060</f>
        <v/>
      </c>
      <c r="B986" s="432" t="str">
        <f>'BASE DE DATOSS'!C1060</f>
        <v/>
      </c>
      <c r="C986" s="263"/>
      <c r="D986" s="249"/>
      <c r="E986" s="250"/>
      <c r="F986" s="251"/>
      <c r="G986" s="262"/>
      <c r="H986" s="257"/>
      <c r="I986" s="249"/>
      <c r="J986" s="193" t="str">
        <f>IF(OR(ISBLANK($B986),ISBLANK($I986)),"",IFERROR(IF($I986&lt;=DATE('ESTADO CONTABLE'!$B$2,3,5),VLOOKUP($B986,COSTOS!$A$2:$B1014,2,FALSE)-150,VLOOKUP($B986,COSTOS!$A$2:$B1014,2,FALSE)),"No encontrado o error"))</f>
        <v/>
      </c>
      <c r="K986" s="264"/>
      <c r="L986" s="249"/>
      <c r="M986" s="189"/>
      <c r="N986" s="264"/>
      <c r="O986" s="249"/>
      <c r="P986" s="250"/>
      <c r="Q986" s="264"/>
      <c r="R986" s="249"/>
      <c r="S986" s="250"/>
      <c r="T986" s="264"/>
      <c r="U986" s="249"/>
      <c r="V986" s="250"/>
      <c r="W986" s="264"/>
      <c r="X986" s="394"/>
      <c r="Y986" s="429"/>
      <c r="Z986" s="395"/>
      <c r="AA986" s="394"/>
      <c r="AB986" s="118" t="str">
        <f>IF(OR(ISBLANK($B986),ISBLANK($AA986)),"",IFERROR(IF($AA986&lt;=DATE('ESTADO CONTABLE'!$B$2,9,5),VLOOKUP($B986,COSTOS!$A$2:$B1014,2,FALSE)-150,VLOOKUP($B986,COSTOS!$A$2:$B1014,2,FALSE)),"No encontrado o error"))</f>
        <v/>
      </c>
      <c r="AC986" s="395"/>
      <c r="AD986" s="394"/>
      <c r="AE986" s="429" t="str">
        <f>IF(OR(ISBLANK($B986),ISBLANK($AD986)),"",IFERROR(IF($AD986&lt;=DATE('ESTADO CONTABLE'!$B$2,10,5),VLOOKUP($B986,COSTOS!$A$2:$B1014,2,FALSE)-150,VLOOKUP($B986,COSTOS!$A$2:$B1014,2,FALSE)),"No encontrado o error"))</f>
        <v/>
      </c>
      <c r="AF986" s="395"/>
      <c r="AG986" s="394"/>
      <c r="AH986" s="429" t="str">
        <f>IF(OR(ISBLANK($B986),ISBLANK($AG986)),"",IFERROR(IF($AG986&lt;=DATE('ESTADO CONTABLE'!$B$2,11,5),VLOOKUP($B986,COSTOS!$A$2:$B1014,2,FALSE)-150,VLOOKUP($B986,COSTOS!$A$2:$B1014,2,FALSE)),"No encontrado o error"))</f>
        <v/>
      </c>
      <c r="AI986" s="395"/>
      <c r="AJ986" s="394"/>
      <c r="AK986" s="429" t="str">
        <f>IF(OR(ISBLANK($B986),ISBLANK($AJ986)),"",IFERROR(IF($AJ986&lt;=DATE('ESTADO CONTABLE'!$B$2,12,5),VLOOKUP($B986,COSTOS!$A$2:$B1014,2,FALSE)-150,VLOOKUP($B986,COSTOS!$A$2:$B1014,2,FALSE)),"No encontrado o error"))</f>
        <v/>
      </c>
      <c r="AL986" s="395"/>
      <c r="AM986" s="254"/>
      <c r="AN986" s="255"/>
      <c r="AO986" s="256"/>
    </row>
    <row r="987" ht="22.5" customHeight="1">
      <c r="A987" s="431" t="str">
        <f>'BASE DE DATOSS'!A1061</f>
        <v/>
      </c>
      <c r="B987" s="432" t="str">
        <f>'BASE DE DATOSS'!C1061</f>
        <v/>
      </c>
      <c r="C987" s="263"/>
      <c r="D987" s="249"/>
      <c r="E987" s="250"/>
      <c r="F987" s="251"/>
      <c r="G987" s="262"/>
      <c r="H987" s="257"/>
      <c r="I987" s="249"/>
      <c r="J987" s="193" t="str">
        <f>IF(OR(ISBLANK($B987),ISBLANK($I987)),"",IFERROR(IF($I987&lt;=DATE('ESTADO CONTABLE'!$B$2,3,5),VLOOKUP($B987,COSTOS!$A$2:$B1014,2,FALSE)-150,VLOOKUP($B987,COSTOS!$A$2:$B1014,2,FALSE)),"No encontrado o error"))</f>
        <v/>
      </c>
      <c r="K987" s="264"/>
      <c r="L987" s="249"/>
      <c r="M987" s="189"/>
      <c r="N987" s="264"/>
      <c r="O987" s="249"/>
      <c r="P987" s="250"/>
      <c r="Q987" s="264"/>
      <c r="R987" s="249"/>
      <c r="S987" s="250"/>
      <c r="T987" s="264"/>
      <c r="U987" s="249"/>
      <c r="V987" s="250"/>
      <c r="W987" s="264"/>
      <c r="X987" s="394"/>
      <c r="Y987" s="429"/>
      <c r="Z987" s="395"/>
      <c r="AA987" s="394"/>
      <c r="AB987" s="118" t="str">
        <f>IF(OR(ISBLANK($B987),ISBLANK($AA987)),"",IFERROR(IF($AA987&lt;=DATE('ESTADO CONTABLE'!$B$2,9,5),VLOOKUP($B987,COSTOS!$A$2:$B1014,2,FALSE)-150,VLOOKUP($B987,COSTOS!$A$2:$B1014,2,FALSE)),"No encontrado o error"))</f>
        <v/>
      </c>
      <c r="AC987" s="395"/>
      <c r="AD987" s="394"/>
      <c r="AE987" s="429" t="str">
        <f>IF(OR(ISBLANK($B987),ISBLANK($AD987)),"",IFERROR(IF($AD987&lt;=DATE('ESTADO CONTABLE'!$B$2,10,5),VLOOKUP($B987,COSTOS!$A$2:$B1014,2,FALSE)-150,VLOOKUP($B987,COSTOS!$A$2:$B1014,2,FALSE)),"No encontrado o error"))</f>
        <v/>
      </c>
      <c r="AF987" s="395"/>
      <c r="AG987" s="394"/>
      <c r="AH987" s="429" t="str">
        <f>IF(OR(ISBLANK($B987),ISBLANK($AG987)),"",IFERROR(IF($AG987&lt;=DATE('ESTADO CONTABLE'!$B$2,11,5),VLOOKUP($B987,COSTOS!$A$2:$B1014,2,FALSE)-150,VLOOKUP($B987,COSTOS!$A$2:$B1014,2,FALSE)),"No encontrado o error"))</f>
        <v/>
      </c>
      <c r="AI987" s="395"/>
      <c r="AJ987" s="394"/>
      <c r="AK987" s="429" t="str">
        <f>IF(OR(ISBLANK($B987),ISBLANK($AJ987)),"",IFERROR(IF($AJ987&lt;=DATE('ESTADO CONTABLE'!$B$2,12,5),VLOOKUP($B987,COSTOS!$A$2:$B1014,2,FALSE)-150,VLOOKUP($B987,COSTOS!$A$2:$B1014,2,FALSE)),"No encontrado o error"))</f>
        <v/>
      </c>
      <c r="AL987" s="395"/>
      <c r="AM987" s="254"/>
      <c r="AN987" s="255"/>
      <c r="AO987" s="256"/>
    </row>
    <row r="988" ht="22.5" customHeight="1">
      <c r="A988" s="431" t="str">
        <f>'BASE DE DATOSS'!A1062</f>
        <v/>
      </c>
      <c r="B988" s="432" t="str">
        <f>'BASE DE DATOSS'!C1062</f>
        <v/>
      </c>
      <c r="C988" s="263"/>
      <c r="D988" s="249"/>
      <c r="E988" s="250"/>
      <c r="F988" s="251"/>
      <c r="G988" s="262"/>
      <c r="H988" s="257"/>
      <c r="I988" s="249"/>
      <c r="J988" s="193" t="str">
        <f>IF(OR(ISBLANK($B988),ISBLANK($I988)),"",IFERROR(IF($I988&lt;=DATE('ESTADO CONTABLE'!$B$2,3,5),VLOOKUP($B988,COSTOS!$A$2:$B1014,2,FALSE)-150,VLOOKUP($B988,COSTOS!$A$2:$B1014,2,FALSE)),"No encontrado o error"))</f>
        <v/>
      </c>
      <c r="K988" s="264"/>
      <c r="L988" s="249"/>
      <c r="M988" s="189"/>
      <c r="N988" s="264"/>
      <c r="O988" s="249"/>
      <c r="P988" s="250"/>
      <c r="Q988" s="264"/>
      <c r="R988" s="249"/>
      <c r="S988" s="250"/>
      <c r="T988" s="264"/>
      <c r="U988" s="249"/>
      <c r="V988" s="250"/>
      <c r="W988" s="264"/>
      <c r="X988" s="394"/>
      <c r="Y988" s="429"/>
      <c r="Z988" s="395"/>
      <c r="AA988" s="394"/>
      <c r="AB988" s="118" t="str">
        <f>IF(OR(ISBLANK($B988),ISBLANK($AA988)),"",IFERROR(IF($AA988&lt;=DATE('ESTADO CONTABLE'!$B$2,9,5),VLOOKUP($B988,COSTOS!$A$2:$B1014,2,FALSE)-150,VLOOKUP($B988,COSTOS!$A$2:$B1014,2,FALSE)),"No encontrado o error"))</f>
        <v/>
      </c>
      <c r="AC988" s="395"/>
      <c r="AD988" s="394"/>
      <c r="AE988" s="429" t="str">
        <f>IF(OR(ISBLANK($B988),ISBLANK($AD988)),"",IFERROR(IF($AD988&lt;=DATE('ESTADO CONTABLE'!$B$2,10,5),VLOOKUP($B988,COSTOS!$A$2:$B1014,2,FALSE)-150,VLOOKUP($B988,COSTOS!$A$2:$B1014,2,FALSE)),"No encontrado o error"))</f>
        <v/>
      </c>
      <c r="AF988" s="395"/>
      <c r="AG988" s="394"/>
      <c r="AH988" s="429" t="str">
        <f>IF(OR(ISBLANK($B988),ISBLANK($AG988)),"",IFERROR(IF($AG988&lt;=DATE('ESTADO CONTABLE'!$B$2,11,5),VLOOKUP($B988,COSTOS!$A$2:$B1014,2,FALSE)-150,VLOOKUP($B988,COSTOS!$A$2:$B1014,2,FALSE)),"No encontrado o error"))</f>
        <v/>
      </c>
      <c r="AI988" s="395"/>
      <c r="AJ988" s="394"/>
      <c r="AK988" s="429" t="str">
        <f>IF(OR(ISBLANK($B988),ISBLANK($AJ988)),"",IFERROR(IF($AJ988&lt;=DATE('ESTADO CONTABLE'!$B$2,12,5),VLOOKUP($B988,COSTOS!$A$2:$B1014,2,FALSE)-150,VLOOKUP($B988,COSTOS!$A$2:$B1014,2,FALSE)),"No encontrado o error"))</f>
        <v/>
      </c>
      <c r="AL988" s="395"/>
      <c r="AM988" s="254"/>
      <c r="AN988" s="255"/>
      <c r="AO988" s="256"/>
    </row>
    <row r="989" ht="22.5" customHeight="1">
      <c r="A989" s="431" t="str">
        <f>'BASE DE DATOSS'!A1063</f>
        <v/>
      </c>
      <c r="B989" s="432" t="str">
        <f>'BASE DE DATOSS'!C1063</f>
        <v/>
      </c>
      <c r="C989" s="263"/>
      <c r="D989" s="249"/>
      <c r="E989" s="250"/>
      <c r="F989" s="251"/>
      <c r="G989" s="262"/>
      <c r="H989" s="257"/>
      <c r="I989" s="249"/>
      <c r="J989" s="193" t="str">
        <f>IF(OR(ISBLANK($B989),ISBLANK($I989)),"",IFERROR(IF($I989&lt;=DATE('ESTADO CONTABLE'!$B$2,3,5),VLOOKUP($B989,COSTOS!$A$2:$B1014,2,FALSE)-150,VLOOKUP($B989,COSTOS!$A$2:$B1014,2,FALSE)),"No encontrado o error"))</f>
        <v/>
      </c>
      <c r="K989" s="264"/>
      <c r="L989" s="249"/>
      <c r="M989" s="189"/>
      <c r="N989" s="264"/>
      <c r="O989" s="249"/>
      <c r="P989" s="250"/>
      <c r="Q989" s="264"/>
      <c r="R989" s="249"/>
      <c r="S989" s="250"/>
      <c r="T989" s="264"/>
      <c r="U989" s="249"/>
      <c r="V989" s="250"/>
      <c r="W989" s="264"/>
      <c r="X989" s="394"/>
      <c r="Y989" s="429"/>
      <c r="Z989" s="395"/>
      <c r="AA989" s="394"/>
      <c r="AB989" s="118" t="str">
        <f>IF(OR(ISBLANK($B989),ISBLANK($AA989)),"",IFERROR(IF($AA989&lt;=DATE('ESTADO CONTABLE'!$B$2,9,5),VLOOKUP($B989,COSTOS!$A$2:$B1014,2,FALSE)-150,VLOOKUP($B989,COSTOS!$A$2:$B1014,2,FALSE)),"No encontrado o error"))</f>
        <v/>
      </c>
      <c r="AC989" s="395"/>
      <c r="AD989" s="394"/>
      <c r="AE989" s="429" t="str">
        <f>IF(OR(ISBLANK($B989),ISBLANK($AD989)),"",IFERROR(IF($AD989&lt;=DATE('ESTADO CONTABLE'!$B$2,10,5),VLOOKUP($B989,COSTOS!$A$2:$B1014,2,FALSE)-150,VLOOKUP($B989,COSTOS!$A$2:$B1014,2,FALSE)),"No encontrado o error"))</f>
        <v/>
      </c>
      <c r="AF989" s="395"/>
      <c r="AG989" s="394"/>
      <c r="AH989" s="429" t="str">
        <f>IF(OR(ISBLANK($B989),ISBLANK($AG989)),"",IFERROR(IF($AG989&lt;=DATE('ESTADO CONTABLE'!$B$2,11,5),VLOOKUP($B989,COSTOS!$A$2:$B1014,2,FALSE)-150,VLOOKUP($B989,COSTOS!$A$2:$B1014,2,FALSE)),"No encontrado o error"))</f>
        <v/>
      </c>
      <c r="AI989" s="395"/>
      <c r="AJ989" s="394"/>
      <c r="AK989" s="429" t="str">
        <f>IF(OR(ISBLANK($B989),ISBLANK($AJ989)),"",IFERROR(IF($AJ989&lt;=DATE('ESTADO CONTABLE'!$B$2,12,5),VLOOKUP($B989,COSTOS!$A$2:$B1014,2,FALSE)-150,VLOOKUP($B989,COSTOS!$A$2:$B1014,2,FALSE)),"No encontrado o error"))</f>
        <v/>
      </c>
      <c r="AL989" s="395"/>
      <c r="AM989" s="254"/>
      <c r="AN989" s="255"/>
      <c r="AO989" s="256"/>
    </row>
    <row r="990" ht="22.5" customHeight="1">
      <c r="A990" s="431" t="str">
        <f>'BASE DE DATOSS'!A1064</f>
        <v/>
      </c>
      <c r="B990" s="432" t="str">
        <f>'BASE DE DATOSS'!C1064</f>
        <v/>
      </c>
      <c r="C990" s="263"/>
      <c r="D990" s="249"/>
      <c r="E990" s="250"/>
      <c r="F990" s="251"/>
      <c r="G990" s="262"/>
      <c r="H990" s="257"/>
      <c r="I990" s="249"/>
      <c r="J990" s="193" t="str">
        <f>IF(OR(ISBLANK($B990),ISBLANK($I990)),"",IFERROR(IF($I990&lt;=DATE('ESTADO CONTABLE'!$B$2,3,5),VLOOKUP($B990,COSTOS!$A$2:$B1014,2,FALSE)-150,VLOOKUP($B990,COSTOS!$A$2:$B1014,2,FALSE)),"No encontrado o error"))</f>
        <v/>
      </c>
      <c r="K990" s="264"/>
      <c r="L990" s="249"/>
      <c r="M990" s="189"/>
      <c r="N990" s="264"/>
      <c r="O990" s="249"/>
      <c r="P990" s="250"/>
      <c r="Q990" s="264"/>
      <c r="R990" s="249"/>
      <c r="S990" s="250"/>
      <c r="T990" s="264"/>
      <c r="U990" s="249"/>
      <c r="V990" s="250"/>
      <c r="W990" s="264"/>
      <c r="X990" s="394"/>
      <c r="Y990" s="429"/>
      <c r="Z990" s="395"/>
      <c r="AA990" s="394"/>
      <c r="AB990" s="118" t="str">
        <f>IF(OR(ISBLANK($B990),ISBLANK($AA990)),"",IFERROR(IF($AA990&lt;=DATE('ESTADO CONTABLE'!$B$2,9,5),VLOOKUP($B990,COSTOS!$A$2:$B1014,2,FALSE)-150,VLOOKUP($B990,COSTOS!$A$2:$B1014,2,FALSE)),"No encontrado o error"))</f>
        <v/>
      </c>
      <c r="AC990" s="395"/>
      <c r="AD990" s="394"/>
      <c r="AE990" s="429" t="str">
        <f>IF(OR(ISBLANK($B990),ISBLANK($AD990)),"",IFERROR(IF($AD990&lt;=DATE('ESTADO CONTABLE'!$B$2,10,5),VLOOKUP($B990,COSTOS!$A$2:$B1014,2,FALSE)-150,VLOOKUP($B990,COSTOS!$A$2:$B1014,2,FALSE)),"No encontrado o error"))</f>
        <v/>
      </c>
      <c r="AF990" s="395"/>
      <c r="AG990" s="394"/>
      <c r="AH990" s="429" t="str">
        <f>IF(OR(ISBLANK($B990),ISBLANK($AG990)),"",IFERROR(IF($AG990&lt;=DATE('ESTADO CONTABLE'!$B$2,11,5),VLOOKUP($B990,COSTOS!$A$2:$B1014,2,FALSE)-150,VLOOKUP($B990,COSTOS!$A$2:$B1014,2,FALSE)),"No encontrado o error"))</f>
        <v/>
      </c>
      <c r="AI990" s="395"/>
      <c r="AJ990" s="394"/>
      <c r="AK990" s="429" t="str">
        <f>IF(OR(ISBLANK($B990),ISBLANK($AJ990)),"",IFERROR(IF($AJ990&lt;=DATE('ESTADO CONTABLE'!$B$2,12,5),VLOOKUP($B990,COSTOS!$A$2:$B1014,2,FALSE)-150,VLOOKUP($B990,COSTOS!$A$2:$B1014,2,FALSE)),"No encontrado o error"))</f>
        <v/>
      </c>
      <c r="AL990" s="395"/>
      <c r="AM990" s="254"/>
      <c r="AN990" s="255"/>
      <c r="AO990" s="256"/>
    </row>
    <row r="991" ht="22.5" customHeight="1">
      <c r="A991" s="431" t="str">
        <f>'BASE DE DATOSS'!A1065</f>
        <v/>
      </c>
      <c r="B991" s="432" t="str">
        <f>'BASE DE DATOSS'!C1065</f>
        <v/>
      </c>
      <c r="C991" s="263"/>
      <c r="D991" s="249"/>
      <c r="E991" s="250"/>
      <c r="F991" s="251"/>
      <c r="G991" s="262"/>
      <c r="H991" s="257"/>
      <c r="I991" s="249"/>
      <c r="J991" s="193" t="str">
        <f>IF(OR(ISBLANK($B991),ISBLANK($I991)),"",IFERROR(IF($I991&lt;=DATE('ESTADO CONTABLE'!$B$2,3,5),VLOOKUP($B991,COSTOS!$A$2:$B1014,2,FALSE)-150,VLOOKUP($B991,COSTOS!$A$2:$B1014,2,FALSE)),"No encontrado o error"))</f>
        <v/>
      </c>
      <c r="K991" s="264"/>
      <c r="L991" s="249"/>
      <c r="M991" s="189"/>
      <c r="N991" s="264"/>
      <c r="O991" s="249"/>
      <c r="P991" s="250"/>
      <c r="Q991" s="264"/>
      <c r="R991" s="249"/>
      <c r="S991" s="250"/>
      <c r="T991" s="264"/>
      <c r="U991" s="249"/>
      <c r="V991" s="250"/>
      <c r="W991" s="264"/>
      <c r="X991" s="394"/>
      <c r="Y991" s="429"/>
      <c r="Z991" s="395"/>
      <c r="AA991" s="394"/>
      <c r="AB991" s="118" t="str">
        <f>IF(OR(ISBLANK($B991),ISBLANK($AA991)),"",IFERROR(IF($AA991&lt;=DATE('ESTADO CONTABLE'!$B$2,9,5),VLOOKUP($B991,COSTOS!$A$2:$B1014,2,FALSE)-150,VLOOKUP($B991,COSTOS!$A$2:$B1014,2,FALSE)),"No encontrado o error"))</f>
        <v/>
      </c>
      <c r="AC991" s="395"/>
      <c r="AD991" s="394"/>
      <c r="AE991" s="429" t="str">
        <f>IF(OR(ISBLANK($B991),ISBLANK($AD991)),"",IFERROR(IF($AD991&lt;=DATE('ESTADO CONTABLE'!$B$2,10,5),VLOOKUP($B991,COSTOS!$A$2:$B1014,2,FALSE)-150,VLOOKUP($B991,COSTOS!$A$2:$B1014,2,FALSE)),"No encontrado o error"))</f>
        <v/>
      </c>
      <c r="AF991" s="395"/>
      <c r="AG991" s="394"/>
      <c r="AH991" s="429" t="str">
        <f>IF(OR(ISBLANK($B991),ISBLANK($AG991)),"",IFERROR(IF($AG991&lt;=DATE('ESTADO CONTABLE'!$B$2,11,5),VLOOKUP($B991,COSTOS!$A$2:$B1014,2,FALSE)-150,VLOOKUP($B991,COSTOS!$A$2:$B1014,2,FALSE)),"No encontrado o error"))</f>
        <v/>
      </c>
      <c r="AI991" s="395"/>
      <c r="AJ991" s="394"/>
      <c r="AK991" s="429" t="str">
        <f>IF(OR(ISBLANK($B991),ISBLANK($AJ991)),"",IFERROR(IF($AJ991&lt;=DATE('ESTADO CONTABLE'!$B$2,12,5),VLOOKUP($B991,COSTOS!$A$2:$B1014,2,FALSE)-150,VLOOKUP($B991,COSTOS!$A$2:$B1014,2,FALSE)),"No encontrado o error"))</f>
        <v/>
      </c>
      <c r="AL991" s="395"/>
      <c r="AM991" s="254"/>
      <c r="AN991" s="255"/>
      <c r="AO991" s="256"/>
    </row>
    <row r="992" ht="22.5" customHeight="1">
      <c r="A992" s="431" t="str">
        <f>'BASE DE DATOSS'!A1066</f>
        <v/>
      </c>
      <c r="B992" s="432" t="str">
        <f>'BASE DE DATOSS'!C1066</f>
        <v/>
      </c>
      <c r="C992" s="263"/>
      <c r="D992" s="249"/>
      <c r="E992" s="250"/>
      <c r="F992" s="251"/>
      <c r="G992" s="262"/>
      <c r="H992" s="257"/>
      <c r="I992" s="249"/>
      <c r="J992" s="193" t="str">
        <f>IF(OR(ISBLANK($B992),ISBLANK($I992)),"",IFERROR(IF($I992&lt;=DATE('ESTADO CONTABLE'!$B$2,3,5),VLOOKUP($B992,COSTOS!$A$2:$B1014,2,FALSE)-150,VLOOKUP($B992,COSTOS!$A$2:$B1014,2,FALSE)),"No encontrado o error"))</f>
        <v/>
      </c>
      <c r="K992" s="264"/>
      <c r="L992" s="249"/>
      <c r="M992" s="189"/>
      <c r="N992" s="264"/>
      <c r="O992" s="249"/>
      <c r="P992" s="250"/>
      <c r="Q992" s="264"/>
      <c r="R992" s="249"/>
      <c r="S992" s="250"/>
      <c r="T992" s="264"/>
      <c r="U992" s="249"/>
      <c r="V992" s="250"/>
      <c r="W992" s="264"/>
      <c r="X992" s="394"/>
      <c r="Y992" s="429"/>
      <c r="Z992" s="395"/>
      <c r="AA992" s="394"/>
      <c r="AB992" s="118" t="str">
        <f>IF(OR(ISBLANK($B992),ISBLANK($AA992)),"",IFERROR(IF($AA992&lt;=DATE('ESTADO CONTABLE'!$B$2,9,5),VLOOKUP($B992,COSTOS!$A$2:$B1014,2,FALSE)-150,VLOOKUP($B992,COSTOS!$A$2:$B1014,2,FALSE)),"No encontrado o error"))</f>
        <v/>
      </c>
      <c r="AC992" s="395"/>
      <c r="AD992" s="394"/>
      <c r="AE992" s="429" t="str">
        <f>IF(OR(ISBLANK($B992),ISBLANK($AD992)),"",IFERROR(IF($AD992&lt;=DATE('ESTADO CONTABLE'!$B$2,10,5),VLOOKUP($B992,COSTOS!$A$2:$B1014,2,FALSE)-150,VLOOKUP($B992,COSTOS!$A$2:$B1014,2,FALSE)),"No encontrado o error"))</f>
        <v/>
      </c>
      <c r="AF992" s="395"/>
      <c r="AG992" s="394"/>
      <c r="AH992" s="429" t="str">
        <f>IF(OR(ISBLANK($B992),ISBLANK($AG992)),"",IFERROR(IF($AG992&lt;=DATE('ESTADO CONTABLE'!$B$2,11,5),VLOOKUP($B992,COSTOS!$A$2:$B1014,2,FALSE)-150,VLOOKUP($B992,COSTOS!$A$2:$B1014,2,FALSE)),"No encontrado o error"))</f>
        <v/>
      </c>
      <c r="AI992" s="395"/>
      <c r="AJ992" s="394"/>
      <c r="AK992" s="429" t="str">
        <f>IF(OR(ISBLANK($B992),ISBLANK($AJ992)),"",IFERROR(IF($AJ992&lt;=DATE('ESTADO CONTABLE'!$B$2,12,5),VLOOKUP($B992,COSTOS!$A$2:$B1014,2,FALSE)-150,VLOOKUP($B992,COSTOS!$A$2:$B1014,2,FALSE)),"No encontrado o error"))</f>
        <v/>
      </c>
      <c r="AL992" s="395"/>
      <c r="AM992" s="254"/>
      <c r="AN992" s="255"/>
      <c r="AO992" s="256"/>
    </row>
    <row r="993" ht="22.5" customHeight="1">
      <c r="A993" s="431" t="str">
        <f>'BASE DE DATOSS'!A1067</f>
        <v/>
      </c>
      <c r="B993" s="432" t="str">
        <f>'BASE DE DATOSS'!C1067</f>
        <v/>
      </c>
      <c r="C993" s="263"/>
      <c r="D993" s="249"/>
      <c r="E993" s="250"/>
      <c r="F993" s="251"/>
      <c r="G993" s="262"/>
      <c r="H993" s="257"/>
      <c r="I993" s="249"/>
      <c r="J993" s="193" t="str">
        <f>IF(OR(ISBLANK($B993),ISBLANK($I993)),"",IFERROR(IF($I993&lt;=DATE('ESTADO CONTABLE'!$B$2,3,5),VLOOKUP($B993,COSTOS!$A$2:$B1014,2,FALSE)-150,VLOOKUP($B993,COSTOS!$A$2:$B1014,2,FALSE)),"No encontrado o error"))</f>
        <v/>
      </c>
      <c r="K993" s="264"/>
      <c r="L993" s="249"/>
      <c r="M993" s="189"/>
      <c r="N993" s="264"/>
      <c r="O993" s="249"/>
      <c r="P993" s="250"/>
      <c r="Q993" s="264"/>
      <c r="R993" s="249"/>
      <c r="S993" s="250"/>
      <c r="T993" s="264"/>
      <c r="U993" s="249"/>
      <c r="V993" s="250"/>
      <c r="W993" s="264"/>
      <c r="X993" s="394"/>
      <c r="Y993" s="429"/>
      <c r="Z993" s="395"/>
      <c r="AA993" s="394"/>
      <c r="AB993" s="118" t="str">
        <f>IF(OR(ISBLANK($B993),ISBLANK($AA993)),"",IFERROR(IF($AA993&lt;=DATE('ESTADO CONTABLE'!$B$2,9,5),VLOOKUP($B993,COSTOS!$A$2:$B1014,2,FALSE)-150,VLOOKUP($B993,COSTOS!$A$2:$B1014,2,FALSE)),"No encontrado o error"))</f>
        <v/>
      </c>
      <c r="AC993" s="395"/>
      <c r="AD993" s="394"/>
      <c r="AE993" s="429" t="str">
        <f>IF(OR(ISBLANK($B993),ISBLANK($AD993)),"",IFERROR(IF($AD993&lt;=DATE('ESTADO CONTABLE'!$B$2,10,5),VLOOKUP($B993,COSTOS!$A$2:$B1014,2,FALSE)-150,VLOOKUP($B993,COSTOS!$A$2:$B1014,2,FALSE)),"No encontrado o error"))</f>
        <v/>
      </c>
      <c r="AF993" s="395"/>
      <c r="AG993" s="394"/>
      <c r="AH993" s="429" t="str">
        <f>IF(OR(ISBLANK($B993),ISBLANK($AG993)),"",IFERROR(IF($AG993&lt;=DATE('ESTADO CONTABLE'!$B$2,11,5),VLOOKUP($B993,COSTOS!$A$2:$B1014,2,FALSE)-150,VLOOKUP($B993,COSTOS!$A$2:$B1014,2,FALSE)),"No encontrado o error"))</f>
        <v/>
      </c>
      <c r="AI993" s="395"/>
      <c r="AJ993" s="394"/>
      <c r="AK993" s="429" t="str">
        <f>IF(OR(ISBLANK($B993),ISBLANK($AJ993)),"",IFERROR(IF($AJ993&lt;=DATE('ESTADO CONTABLE'!$B$2,12,5),VLOOKUP($B993,COSTOS!$A$2:$B1014,2,FALSE)-150,VLOOKUP($B993,COSTOS!$A$2:$B1014,2,FALSE)),"No encontrado o error"))</f>
        <v/>
      </c>
      <c r="AL993" s="395"/>
      <c r="AM993" s="254"/>
      <c r="AN993" s="255"/>
      <c r="AO993" s="256"/>
    </row>
    <row r="994" ht="22.5" customHeight="1">
      <c r="A994" s="431" t="str">
        <f>'BASE DE DATOSS'!A1068</f>
        <v/>
      </c>
      <c r="B994" s="432" t="str">
        <f>'BASE DE DATOSS'!C1068</f>
        <v/>
      </c>
      <c r="C994" s="263"/>
      <c r="D994" s="249"/>
      <c r="E994" s="250"/>
      <c r="F994" s="251"/>
      <c r="G994" s="262"/>
      <c r="H994" s="257"/>
      <c r="I994" s="249"/>
      <c r="J994" s="193" t="str">
        <f>IF(OR(ISBLANK($B994),ISBLANK($I994)),"",IFERROR(IF($I994&lt;=DATE('ESTADO CONTABLE'!$B$2,3,5),VLOOKUP($B994,COSTOS!$A$2:$B1014,2,FALSE)-150,VLOOKUP($B994,COSTOS!$A$2:$B1014,2,FALSE)),"No encontrado o error"))</f>
        <v/>
      </c>
      <c r="K994" s="264"/>
      <c r="L994" s="249"/>
      <c r="M994" s="189"/>
      <c r="N994" s="264"/>
      <c r="O994" s="249"/>
      <c r="P994" s="250"/>
      <c r="Q994" s="264"/>
      <c r="R994" s="249"/>
      <c r="S994" s="250"/>
      <c r="T994" s="264"/>
      <c r="U994" s="249"/>
      <c r="V994" s="250"/>
      <c r="W994" s="264"/>
      <c r="X994" s="394"/>
      <c r="Y994" s="429"/>
      <c r="Z994" s="395"/>
      <c r="AA994" s="394"/>
      <c r="AB994" s="118" t="str">
        <f>IF(OR(ISBLANK($B994),ISBLANK($AA994)),"",IFERROR(IF($AA994&lt;=DATE('ESTADO CONTABLE'!$B$2,9,5),VLOOKUP($B994,COSTOS!$A$2:$B1014,2,FALSE)-150,VLOOKUP($B994,COSTOS!$A$2:$B1014,2,FALSE)),"No encontrado o error"))</f>
        <v/>
      </c>
      <c r="AC994" s="395"/>
      <c r="AD994" s="394"/>
      <c r="AE994" s="429" t="str">
        <f>IF(OR(ISBLANK($B994),ISBLANK($AD994)),"",IFERROR(IF($AD994&lt;=DATE('ESTADO CONTABLE'!$B$2,10,5),VLOOKUP($B994,COSTOS!$A$2:$B1014,2,FALSE)-150,VLOOKUP($B994,COSTOS!$A$2:$B1014,2,FALSE)),"No encontrado o error"))</f>
        <v/>
      </c>
      <c r="AF994" s="395"/>
      <c r="AG994" s="394"/>
      <c r="AH994" s="429" t="str">
        <f>IF(OR(ISBLANK($B994),ISBLANK($AG994)),"",IFERROR(IF($AG994&lt;=DATE('ESTADO CONTABLE'!$B$2,11,5),VLOOKUP($B994,COSTOS!$A$2:$B1014,2,FALSE)-150,VLOOKUP($B994,COSTOS!$A$2:$B1014,2,FALSE)),"No encontrado o error"))</f>
        <v/>
      </c>
      <c r="AI994" s="395"/>
      <c r="AJ994" s="394"/>
      <c r="AK994" s="429" t="str">
        <f>IF(OR(ISBLANK($B994),ISBLANK($AJ994)),"",IFERROR(IF($AJ994&lt;=DATE('ESTADO CONTABLE'!$B$2,12,5),VLOOKUP($B994,COSTOS!$A$2:$B1014,2,FALSE)-150,VLOOKUP($B994,COSTOS!$A$2:$B1014,2,FALSE)),"No encontrado o error"))</f>
        <v/>
      </c>
      <c r="AL994" s="395"/>
      <c r="AM994" s="254"/>
      <c r="AN994" s="255"/>
      <c r="AO994" s="256"/>
    </row>
    <row r="995" ht="22.5" customHeight="1">
      <c r="A995" s="431" t="str">
        <f>'BASE DE DATOSS'!A1069</f>
        <v/>
      </c>
      <c r="B995" s="432" t="str">
        <f>'BASE DE DATOSS'!C1069</f>
        <v/>
      </c>
      <c r="C995" s="263"/>
      <c r="D995" s="249"/>
      <c r="E995" s="250"/>
      <c r="F995" s="251"/>
      <c r="G995" s="262"/>
      <c r="H995" s="257"/>
      <c r="I995" s="249"/>
      <c r="J995" s="193" t="str">
        <f>IF(OR(ISBLANK($B995),ISBLANK($I995)),"",IFERROR(IF($I995&lt;=DATE('ESTADO CONTABLE'!$B$2,3,5),VLOOKUP($B995,COSTOS!$A$2:$B1014,2,FALSE)-150,VLOOKUP($B995,COSTOS!$A$2:$B1014,2,FALSE)),"No encontrado o error"))</f>
        <v/>
      </c>
      <c r="K995" s="264"/>
      <c r="L995" s="249"/>
      <c r="M995" s="189"/>
      <c r="N995" s="264"/>
      <c r="O995" s="249"/>
      <c r="P995" s="250"/>
      <c r="Q995" s="264"/>
      <c r="R995" s="249"/>
      <c r="S995" s="250"/>
      <c r="T995" s="264"/>
      <c r="U995" s="249"/>
      <c r="V995" s="250"/>
      <c r="W995" s="264"/>
      <c r="X995" s="394"/>
      <c r="Y995" s="429"/>
      <c r="Z995" s="395"/>
      <c r="AA995" s="394"/>
      <c r="AB995" s="118" t="str">
        <f>IF(OR(ISBLANK($B995),ISBLANK($AA995)),"",IFERROR(IF($AA995&lt;=DATE('ESTADO CONTABLE'!$B$2,9,5),VLOOKUP($B995,COSTOS!$A$2:$B1014,2,FALSE)-150,VLOOKUP($B995,COSTOS!$A$2:$B1014,2,FALSE)),"No encontrado o error"))</f>
        <v/>
      </c>
      <c r="AC995" s="395"/>
      <c r="AD995" s="394"/>
      <c r="AE995" s="429" t="str">
        <f>IF(OR(ISBLANK($B995),ISBLANK($AD995)),"",IFERROR(IF($AD995&lt;=DATE('ESTADO CONTABLE'!$B$2,10,5),VLOOKUP($B995,COSTOS!$A$2:$B1014,2,FALSE)-150,VLOOKUP($B995,COSTOS!$A$2:$B1014,2,FALSE)),"No encontrado o error"))</f>
        <v/>
      </c>
      <c r="AF995" s="395"/>
      <c r="AG995" s="394"/>
      <c r="AH995" s="429" t="str">
        <f>IF(OR(ISBLANK($B995),ISBLANK($AG995)),"",IFERROR(IF($AG995&lt;=DATE('ESTADO CONTABLE'!$B$2,11,5),VLOOKUP($B995,COSTOS!$A$2:$B1014,2,FALSE)-150,VLOOKUP($B995,COSTOS!$A$2:$B1014,2,FALSE)),"No encontrado o error"))</f>
        <v/>
      </c>
      <c r="AI995" s="395"/>
      <c r="AJ995" s="394"/>
      <c r="AK995" s="429" t="str">
        <f>IF(OR(ISBLANK($B995),ISBLANK($AJ995)),"",IFERROR(IF($AJ995&lt;=DATE('ESTADO CONTABLE'!$B$2,12,5),VLOOKUP($B995,COSTOS!$A$2:$B1014,2,FALSE)-150,VLOOKUP($B995,COSTOS!$A$2:$B1014,2,FALSE)),"No encontrado o error"))</f>
        <v/>
      </c>
      <c r="AL995" s="395"/>
      <c r="AM995" s="254"/>
      <c r="AN995" s="255"/>
      <c r="AO995" s="256"/>
    </row>
    <row r="996" ht="22.5" customHeight="1">
      <c r="A996" s="431" t="str">
        <f>'BASE DE DATOSS'!A1070</f>
        <v/>
      </c>
      <c r="B996" s="432" t="str">
        <f>'BASE DE DATOSS'!C1070</f>
        <v/>
      </c>
      <c r="C996" s="263"/>
      <c r="D996" s="249"/>
      <c r="E996" s="250"/>
      <c r="F996" s="251"/>
      <c r="G996" s="262"/>
      <c r="H996" s="257"/>
      <c r="I996" s="249"/>
      <c r="J996" s="193" t="str">
        <f>IF(OR(ISBLANK($B996),ISBLANK($I996)),"",IFERROR(IF($I996&lt;=DATE('ESTADO CONTABLE'!$B$2,3,5),VLOOKUP($B996,COSTOS!$A$2:$B1014,2,FALSE)-150,VLOOKUP($B996,COSTOS!$A$2:$B1014,2,FALSE)),"No encontrado o error"))</f>
        <v/>
      </c>
      <c r="K996" s="264"/>
      <c r="L996" s="249"/>
      <c r="M996" s="189"/>
      <c r="N996" s="264"/>
      <c r="O996" s="249"/>
      <c r="P996" s="250"/>
      <c r="Q996" s="264"/>
      <c r="R996" s="249"/>
      <c r="S996" s="250"/>
      <c r="T996" s="264"/>
      <c r="U996" s="249"/>
      <c r="V996" s="250"/>
      <c r="W996" s="264"/>
      <c r="X996" s="394"/>
      <c r="Y996" s="429"/>
      <c r="Z996" s="395"/>
      <c r="AA996" s="394"/>
      <c r="AB996" s="118" t="str">
        <f>IF(OR(ISBLANK($B996),ISBLANK($AA996)),"",IFERROR(IF($AA996&lt;=DATE('ESTADO CONTABLE'!$B$2,9,5),VLOOKUP($B996,COSTOS!$A$2:$B1014,2,FALSE)-150,VLOOKUP($B996,COSTOS!$A$2:$B1014,2,FALSE)),"No encontrado o error"))</f>
        <v/>
      </c>
      <c r="AC996" s="395"/>
      <c r="AD996" s="394"/>
      <c r="AE996" s="429" t="str">
        <f>IF(OR(ISBLANK($B996),ISBLANK($AD996)),"",IFERROR(IF($AD996&lt;=DATE('ESTADO CONTABLE'!$B$2,10,5),VLOOKUP($B996,COSTOS!$A$2:$B1014,2,FALSE)-150,VLOOKUP($B996,COSTOS!$A$2:$B1014,2,FALSE)),"No encontrado o error"))</f>
        <v/>
      </c>
      <c r="AF996" s="395"/>
      <c r="AG996" s="394"/>
      <c r="AH996" s="429" t="str">
        <f>IF(OR(ISBLANK($B996),ISBLANK($AG996)),"",IFERROR(IF($AG996&lt;=DATE('ESTADO CONTABLE'!$B$2,11,5),VLOOKUP($B996,COSTOS!$A$2:$B1014,2,FALSE)-150,VLOOKUP($B996,COSTOS!$A$2:$B1014,2,FALSE)),"No encontrado o error"))</f>
        <v/>
      </c>
      <c r="AI996" s="395"/>
      <c r="AJ996" s="394"/>
      <c r="AK996" s="429" t="str">
        <f>IF(OR(ISBLANK($B996),ISBLANK($AJ996)),"",IFERROR(IF($AJ996&lt;=DATE('ESTADO CONTABLE'!$B$2,12,5),VLOOKUP($B996,COSTOS!$A$2:$B1014,2,FALSE)-150,VLOOKUP($B996,COSTOS!$A$2:$B1014,2,FALSE)),"No encontrado o error"))</f>
        <v/>
      </c>
      <c r="AL996" s="395"/>
      <c r="AM996" s="254"/>
      <c r="AN996" s="255"/>
      <c r="AO996" s="256"/>
    </row>
    <row r="997" ht="22.5" customHeight="1">
      <c r="A997" s="431" t="str">
        <f>'BASE DE DATOSS'!A1071</f>
        <v/>
      </c>
      <c r="B997" s="432" t="str">
        <f>'BASE DE DATOSS'!C1071</f>
        <v/>
      </c>
      <c r="C997" s="263"/>
      <c r="D997" s="249"/>
      <c r="E997" s="250"/>
      <c r="F997" s="251"/>
      <c r="G997" s="262"/>
      <c r="H997" s="257"/>
      <c r="I997" s="249"/>
      <c r="J997" s="193" t="str">
        <f>IF(
  OR(ISBLANK($B997), ISBLANK($I997)),
  "",
  IFERROR(
    IF(
      DAY($I997) &lt;= 5,
      VLOOKUP($B997, COSTOS!$A$2:$B1014, 2, FALSE) - 150,
      VLOOKUP($B997, COSTOS!$A$2:$B1014, 2, FALSE)
    ),
    "No encontrado o error"
  )
)</f>
        <v/>
      </c>
      <c r="K997" s="264"/>
      <c r="L997" s="249"/>
      <c r="M997" s="189"/>
      <c r="N997" s="264"/>
      <c r="O997" s="249"/>
      <c r="P997" s="250"/>
      <c r="Q997" s="264"/>
      <c r="R997" s="249"/>
      <c r="S997" s="250"/>
      <c r="T997" s="264"/>
      <c r="U997" s="249"/>
      <c r="V997" s="250"/>
      <c r="W997" s="264"/>
      <c r="X997" s="394"/>
      <c r="Y997" s="429"/>
      <c r="Z997" s="395"/>
      <c r="AA997" s="394"/>
      <c r="AB997" s="118" t="str">
        <f>IF(OR(ISBLANK($B997),ISBLANK($AA997)),"",IFERROR(IF(DAY($AA997)&lt;=5,VLOOKUP($B997,COSTOS!$A$2:$B1014,2,FALSE)-150,VLOOKUP($B997,COSTOS!$A$2:$B1014,2,FALSE)),"No encontrado o error"))</f>
        <v/>
      </c>
      <c r="AC997" s="395"/>
      <c r="AD997" s="394"/>
      <c r="AE997" s="429" t="str">
        <f>IF(OR(ISBLANK($B997),ISBLANK($AD997)),"",IFERROR(IF(DAY($AD997)&lt;=5,VLOOKUP($B997,COSTOS!$A$2:$B1014,2,FALSE)-150,VLOOKUP($B997,COSTOS!$A$2:$B1014,2,FALSE)),"No encontrado o error"))</f>
        <v/>
      </c>
      <c r="AF997" s="395"/>
      <c r="AG997" s="394"/>
      <c r="AH997" s="429" t="str">
        <f>IF(OR(ISBLANK($B997),ISBLANK($AG997)),"",IFERROR(IF(DAY($AG997)&lt;=5,VLOOKUP($B997,COSTOS!$A$2:$B1014,2,FALSE)-150,VLOOKUP($B997,COSTOS!$A$2:$B1014,2,FALSE)),"No encontrado o error"))</f>
        <v/>
      </c>
      <c r="AI997" s="395"/>
      <c r="AJ997" s="394"/>
      <c r="AK997" s="429" t="str">
        <f>IF(OR(ISBLANK($B997),ISBLANK($AJ997)),"",IFERROR(IF(DAY($AJ997)&lt;=5,VLOOKUP($B997,COSTOS!$A$2:$B1014,2,FALSE)-150,VLOOKUP($B997,COSTOS!$A$2:$B1014,2,FALSE)),"No encontrado o error"))</f>
        <v/>
      </c>
      <c r="AL997" s="395"/>
      <c r="AM997" s="254"/>
      <c r="AN997" s="255"/>
      <c r="AO997" s="256"/>
    </row>
    <row r="998" ht="22.5" customHeight="1">
      <c r="A998" s="431" t="str">
        <f>'BASE DE DATOSS'!A1072</f>
        <v/>
      </c>
      <c r="B998" s="432" t="str">
        <f>'BASE DE DATOSS'!C1072</f>
        <v/>
      </c>
      <c r="C998" s="263"/>
      <c r="D998" s="249"/>
      <c r="E998" s="250"/>
      <c r="F998" s="251"/>
      <c r="G998" s="262"/>
      <c r="H998" s="257"/>
      <c r="I998" s="249"/>
      <c r="J998" s="193" t="str">
        <f>IF(
  OR(ISBLANK($B998), ISBLANK($I998)),
  "",
  IFERROR(
    IF(
      DAY($I998) &lt;= 5,
      VLOOKUP($B998, COSTOS!$A$2:$B1014, 2, FALSE) - 150,
      VLOOKUP($B998, COSTOS!$A$2:$B1014, 2, FALSE)
    ),
    "No encontrado o error"
  )
)</f>
        <v/>
      </c>
      <c r="K998" s="264"/>
      <c r="L998" s="249"/>
      <c r="M998" s="189"/>
      <c r="N998" s="264"/>
      <c r="O998" s="249"/>
      <c r="P998" s="250"/>
      <c r="Q998" s="264"/>
      <c r="R998" s="249"/>
      <c r="S998" s="250"/>
      <c r="T998" s="264"/>
      <c r="U998" s="249"/>
      <c r="V998" s="250"/>
      <c r="W998" s="264"/>
      <c r="X998" s="394"/>
      <c r="Y998" s="429"/>
      <c r="Z998" s="395"/>
      <c r="AA998" s="394"/>
      <c r="AB998" s="118" t="str">
        <f>IF(OR(ISBLANK($B998),ISBLANK($AA998)),"",IFERROR(IF(DAY($AA998)&lt;=5,VLOOKUP($B998,COSTOS!$A$2:$B1014,2,FALSE)-150,VLOOKUP($B998,COSTOS!$A$2:$B1014,2,FALSE)),"No encontrado o error"))</f>
        <v/>
      </c>
      <c r="AC998" s="395"/>
      <c r="AD998" s="394"/>
      <c r="AE998" s="429" t="str">
        <f>IF(OR(ISBLANK($B998),ISBLANK($AD998)),"",IFERROR(IF(DAY($AD998)&lt;=5,VLOOKUP($B998,COSTOS!$A$2:$B1014,2,FALSE)-150,VLOOKUP($B998,COSTOS!$A$2:$B1014,2,FALSE)),"No encontrado o error"))</f>
        <v/>
      </c>
      <c r="AF998" s="395"/>
      <c r="AG998" s="394"/>
      <c r="AH998" s="429" t="str">
        <f>IF(OR(ISBLANK($B998),ISBLANK($AG998)),"",IFERROR(IF(DAY($AG998)&lt;=5,VLOOKUP($B998,COSTOS!$A$2:$B1014,2,FALSE)-150,VLOOKUP($B998,COSTOS!$A$2:$B1014,2,FALSE)),"No encontrado o error"))</f>
        <v/>
      </c>
      <c r="AI998" s="395"/>
      <c r="AJ998" s="394"/>
      <c r="AK998" s="429" t="str">
        <f>IF(OR(ISBLANK($B998),ISBLANK($AJ998)),"",IFERROR(IF(DAY($AJ998)&lt;=5,VLOOKUP($B998,COSTOS!$A$2:$B1014,2,FALSE)-150,VLOOKUP($B998,COSTOS!$A$2:$B1014,2,FALSE)),"No encontrado o error"))</f>
        <v/>
      </c>
      <c r="AL998" s="395"/>
      <c r="AM998" s="254"/>
      <c r="AN998" s="255"/>
      <c r="AO998" s="256"/>
    </row>
    <row r="999" ht="22.5" customHeight="1">
      <c r="A999" s="431" t="str">
        <f>'BASE DE DATOSS'!A1073</f>
        <v/>
      </c>
      <c r="B999" s="432" t="str">
        <f>'BASE DE DATOSS'!C1073</f>
        <v/>
      </c>
      <c r="C999" s="263"/>
      <c r="D999" s="249"/>
      <c r="E999" s="250"/>
      <c r="F999" s="251"/>
      <c r="G999" s="262"/>
      <c r="H999" s="257"/>
      <c r="I999" s="249"/>
      <c r="J999" s="193" t="str">
        <f>IF(
  OR(ISBLANK($B999), ISBLANK($I999)),
  "",
  IFERROR(
    IF(
      DAY($I999) &lt;= 5,
      VLOOKUP($B999, COSTOS!$A$2:$B1014, 2, FALSE) - 150,
      VLOOKUP($B999, COSTOS!$A$2:$B1014, 2, FALSE)
    ),
    "No encontrado o error"
  )
)</f>
        <v/>
      </c>
      <c r="K999" s="264"/>
      <c r="L999" s="249"/>
      <c r="M999" s="189"/>
      <c r="N999" s="264"/>
      <c r="O999" s="249"/>
      <c r="P999" s="250"/>
      <c r="Q999" s="264"/>
      <c r="R999" s="249"/>
      <c r="S999" s="250"/>
      <c r="T999" s="264"/>
      <c r="U999" s="249"/>
      <c r="V999" s="250"/>
      <c r="W999" s="264"/>
      <c r="X999" s="394"/>
      <c r="Y999" s="429"/>
      <c r="Z999" s="395"/>
      <c r="AA999" s="394"/>
      <c r="AB999" s="118" t="str">
        <f>IF(OR(ISBLANK($B999),ISBLANK($AA999)),"",IFERROR(IF(DAY($AA999)&lt;=5,VLOOKUP($B999,COSTOS!$A$2:$B1014,2,FALSE)-150,VLOOKUP($B999,COSTOS!$A$2:$B1014,2,FALSE)),"No encontrado o error"))</f>
        <v/>
      </c>
      <c r="AC999" s="395"/>
      <c r="AD999" s="394"/>
      <c r="AE999" s="429" t="str">
        <f>IF(OR(ISBLANK($B999),ISBLANK($AD999)),"",IFERROR(IF(DAY($AD999)&lt;=5,VLOOKUP($B999,COSTOS!$A$2:$B1014,2,FALSE)-150,VLOOKUP($B999,COSTOS!$A$2:$B1014,2,FALSE)),"No encontrado o error"))</f>
        <v/>
      </c>
      <c r="AF999" s="395"/>
      <c r="AG999" s="394"/>
      <c r="AH999" s="429" t="str">
        <f>IF(OR(ISBLANK($B999),ISBLANK($AG999)),"",IFERROR(IF(DAY($AG999)&lt;=5,VLOOKUP($B999,COSTOS!$A$2:$B1014,2,FALSE)-150,VLOOKUP($B999,COSTOS!$A$2:$B1014,2,FALSE)),"No encontrado o error"))</f>
        <v/>
      </c>
      <c r="AI999" s="395"/>
      <c r="AJ999" s="394"/>
      <c r="AK999" s="429" t="str">
        <f>IF(OR(ISBLANK($B999),ISBLANK($AJ999)),"",IFERROR(IF(DAY($AJ999)&lt;=5,VLOOKUP($B999,COSTOS!$A$2:$B1014,2,FALSE)-150,VLOOKUP($B999,COSTOS!$A$2:$B1014,2,FALSE)),"No encontrado o error"))</f>
        <v/>
      </c>
      <c r="AL999" s="395"/>
      <c r="AM999" s="254"/>
      <c r="AN999" s="255"/>
      <c r="AO999" s="256"/>
    </row>
    <row r="1000" ht="22.5" customHeight="1">
      <c r="A1000" s="431" t="str">
        <f>'BASE DE DATOSS'!A1074</f>
        <v/>
      </c>
      <c r="B1000" s="432" t="str">
        <f>'BASE DE DATOSS'!C1074</f>
        <v/>
      </c>
      <c r="C1000" s="263"/>
      <c r="D1000" s="249"/>
      <c r="E1000" s="250"/>
      <c r="F1000" s="251"/>
      <c r="G1000" s="262"/>
      <c r="H1000" s="257"/>
      <c r="I1000" s="249"/>
      <c r="J1000" s="193" t="str">
        <f>IF(
  OR(ISBLANK($B1000), ISBLANK($I1000)),
  "",
  IFERROR(
    IF(
      DAY($I1000) &lt;= 5,
      VLOOKUP($B1000, COSTOS!$A$2:$B1014, 2, FALSE) - 150,
      VLOOKUP($B1000, COSTOS!$A$2:$B1014, 2, FALSE)
    ),
    "No encontrado o error"
  )
)</f>
        <v/>
      </c>
      <c r="K1000" s="264"/>
      <c r="L1000" s="249"/>
      <c r="M1000" s="189"/>
      <c r="N1000" s="264"/>
      <c r="O1000" s="249"/>
      <c r="P1000" s="250"/>
      <c r="Q1000" s="264"/>
      <c r="R1000" s="249"/>
      <c r="S1000" s="250"/>
      <c r="T1000" s="264"/>
      <c r="U1000" s="249"/>
      <c r="V1000" s="250"/>
      <c r="W1000" s="264"/>
      <c r="X1000" s="394"/>
      <c r="Y1000" s="429"/>
      <c r="Z1000" s="395"/>
      <c r="AA1000" s="394"/>
      <c r="AB1000" s="118" t="str">
        <f>IF(OR(ISBLANK($B1000),ISBLANK($AA1000)),"",IFERROR(IF(DAY($AA1000)&lt;=5,VLOOKUP($B1000,COSTOS!$A$2:$B1014,2,FALSE)-150,VLOOKUP($B1000,COSTOS!$A$2:$B1014,2,FALSE)),"No encontrado o error"))</f>
        <v/>
      </c>
      <c r="AC1000" s="395"/>
      <c r="AD1000" s="394"/>
      <c r="AE1000" s="429" t="str">
        <f>IF(OR(ISBLANK($B1000),ISBLANK($AD1000)),"",IFERROR(IF(DAY($AD1000)&lt;=5,VLOOKUP($B1000,COSTOS!$A$2:$B1014,2,FALSE)-150,VLOOKUP($B1000,COSTOS!$A$2:$B1014,2,FALSE)),"No encontrado o error"))</f>
        <v/>
      </c>
      <c r="AF1000" s="395"/>
      <c r="AG1000" s="394"/>
      <c r="AH1000" s="429" t="str">
        <f>IF(OR(ISBLANK($B1000),ISBLANK($AG1000)),"",IFERROR(IF(DAY($AG1000)&lt;=5,VLOOKUP($B1000,COSTOS!$A$2:$B1014,2,FALSE)-150,VLOOKUP($B1000,COSTOS!$A$2:$B1014,2,FALSE)),"No encontrado o error"))</f>
        <v/>
      </c>
      <c r="AI1000" s="395"/>
      <c r="AJ1000" s="394"/>
      <c r="AK1000" s="429" t="str">
        <f>IF(OR(ISBLANK($B1000),ISBLANK($AJ1000)),"",IFERROR(IF(DAY($AJ1000)&lt;=5,VLOOKUP($B1000,COSTOS!$A$2:$B1014,2,FALSE)-150,VLOOKUP($B1000,COSTOS!$A$2:$B1014,2,FALSE)),"No encontrado o error"))</f>
        <v/>
      </c>
      <c r="AL1000" s="395"/>
      <c r="AM1000" s="254"/>
      <c r="AN1000" s="255"/>
      <c r="AO1000" s="256"/>
    </row>
    <row r="1001" ht="22.5" customHeight="1">
      <c r="A1001" s="431" t="str">
        <f>'BASE DE DATOSS'!A1075</f>
        <v/>
      </c>
      <c r="B1001" s="432" t="str">
        <f>'BASE DE DATOSS'!C1075</f>
        <v/>
      </c>
      <c r="C1001" s="263"/>
      <c r="D1001" s="249"/>
      <c r="E1001" s="250"/>
      <c r="F1001" s="251"/>
      <c r="G1001" s="262"/>
      <c r="H1001" s="257"/>
      <c r="I1001" s="249"/>
      <c r="J1001" s="193" t="str">
        <f>IF(
  OR(ISBLANK($B1001), ISBLANK($I1001)),
  "",
  IFERROR(
    IF(
      DAY($I1001) &lt;= 5,
      VLOOKUP($B1001, COSTOS!$A$2:$B1014, 2, FALSE) - 150,
      VLOOKUP($B1001, COSTOS!$A$2:$B1014, 2, FALSE)
    ),
    "No encontrado o error"
  )
)</f>
        <v/>
      </c>
      <c r="K1001" s="264"/>
      <c r="L1001" s="249"/>
      <c r="M1001" s="189"/>
      <c r="N1001" s="264"/>
      <c r="O1001" s="249"/>
      <c r="P1001" s="250"/>
      <c r="Q1001" s="264"/>
      <c r="R1001" s="249"/>
      <c r="S1001" s="250"/>
      <c r="T1001" s="264"/>
      <c r="U1001" s="249"/>
      <c r="V1001" s="250"/>
      <c r="W1001" s="264"/>
      <c r="X1001" s="394"/>
      <c r="Y1001" s="429"/>
      <c r="Z1001" s="395"/>
      <c r="AA1001" s="394"/>
      <c r="AB1001" s="118" t="str">
        <f>IF(OR(ISBLANK($B1001),ISBLANK($AA1001)),"",IFERROR(IF(DAY($AA1001)&lt;=5,VLOOKUP($B1001,COSTOS!$A$2:$B1014,2,FALSE)-150,VLOOKUP($B1001,COSTOS!$A$2:$B1014,2,FALSE)),"No encontrado o error"))</f>
        <v/>
      </c>
      <c r="AC1001" s="395"/>
      <c r="AD1001" s="394"/>
      <c r="AE1001" s="429" t="str">
        <f>IF(OR(ISBLANK($B1001),ISBLANK($AD1001)),"",IFERROR(IF(DAY($AD1001)&lt;=5,VLOOKUP($B1001,COSTOS!$A$2:$B1014,2,FALSE)-150,VLOOKUP($B1001,COSTOS!$A$2:$B1014,2,FALSE)),"No encontrado o error"))</f>
        <v/>
      </c>
      <c r="AF1001" s="395"/>
      <c r="AG1001" s="394"/>
      <c r="AH1001" s="429" t="str">
        <f>IF(OR(ISBLANK($B1001),ISBLANK($AG1001)),"",IFERROR(IF(DAY($AG1001)&lt;=5,VLOOKUP($B1001,COSTOS!$A$2:$B1014,2,FALSE)-150,VLOOKUP($B1001,COSTOS!$A$2:$B1014,2,FALSE)),"No encontrado o error"))</f>
        <v/>
      </c>
      <c r="AI1001" s="395"/>
      <c r="AJ1001" s="394"/>
      <c r="AK1001" s="429" t="str">
        <f>IF(OR(ISBLANK($B1001),ISBLANK($AJ1001)),"",IFERROR(IF(DAY($AJ1001)&lt;=5,VLOOKUP($B1001,COSTOS!$A$2:$B1014,2,FALSE)-150,VLOOKUP($B1001,COSTOS!$A$2:$B1014,2,FALSE)),"No encontrado o error"))</f>
        <v/>
      </c>
      <c r="AL1001" s="395"/>
      <c r="AM1001" s="254"/>
      <c r="AN1001" s="255"/>
      <c r="AO1001" s="256"/>
    </row>
    <row r="1002" ht="22.5" customHeight="1">
      <c r="A1002" s="431" t="str">
        <f>'BASE DE DATOSS'!A1076</f>
        <v/>
      </c>
      <c r="B1002" s="432" t="str">
        <f>'BASE DE DATOSS'!C1076</f>
        <v/>
      </c>
      <c r="C1002" s="263"/>
      <c r="D1002" s="249"/>
      <c r="E1002" s="250"/>
      <c r="F1002" s="251"/>
      <c r="G1002" s="262"/>
      <c r="H1002" s="257"/>
      <c r="I1002" s="249"/>
      <c r="J1002" s="193" t="str">
        <f>IF(
  OR(ISBLANK($B1002), ISBLANK($I1002)),
  "",
  IFERROR(
    IF(
      DAY($I1002) &lt;= 5,
      VLOOKUP($B1002, COSTOS!$A$2:$B1014, 2, FALSE) - 150,
      VLOOKUP($B1002, COSTOS!$A$2:$B1014, 2, FALSE)
    ),
    "No encontrado o error"
  )
)</f>
        <v/>
      </c>
      <c r="K1002" s="264"/>
      <c r="L1002" s="249"/>
      <c r="M1002" s="189"/>
      <c r="N1002" s="264"/>
      <c r="O1002" s="249"/>
      <c r="P1002" s="250"/>
      <c r="Q1002" s="264"/>
      <c r="R1002" s="249"/>
      <c r="S1002" s="250"/>
      <c r="T1002" s="264"/>
      <c r="U1002" s="249"/>
      <c r="V1002" s="250"/>
      <c r="W1002" s="264"/>
      <c r="X1002" s="394"/>
      <c r="Y1002" s="429"/>
      <c r="Z1002" s="395"/>
      <c r="AA1002" s="394"/>
      <c r="AB1002" s="118" t="str">
        <f>IF(OR(ISBLANK($B1002),ISBLANK($AA1002)),"",IFERROR(IF(DAY($AA1002)&lt;=5,VLOOKUP($B1002,COSTOS!$A$2:$B1014,2,FALSE)-150,VLOOKUP($B1002,COSTOS!$A$2:$B1014,2,FALSE)),"No encontrado o error"))</f>
        <v/>
      </c>
      <c r="AC1002" s="395"/>
      <c r="AD1002" s="394"/>
      <c r="AE1002" s="429" t="str">
        <f>IF(OR(ISBLANK($B1002),ISBLANK($AD1002)),"",IFERROR(IF(DAY($AD1002)&lt;=5,VLOOKUP($B1002,COSTOS!$A$2:$B1014,2,FALSE)-150,VLOOKUP($B1002,COSTOS!$A$2:$B1014,2,FALSE)),"No encontrado o error"))</f>
        <v/>
      </c>
      <c r="AF1002" s="395"/>
      <c r="AG1002" s="394"/>
      <c r="AH1002" s="429" t="str">
        <f>IF(OR(ISBLANK($B1002),ISBLANK($AG1002)),"",IFERROR(IF(DAY($AG1002)&lt;=5,VLOOKUP($B1002,COSTOS!$A$2:$B1014,2,FALSE)-150,VLOOKUP($B1002,COSTOS!$A$2:$B1014,2,FALSE)),"No encontrado o error"))</f>
        <v/>
      </c>
      <c r="AI1002" s="395"/>
      <c r="AJ1002" s="394"/>
      <c r="AK1002" s="429" t="str">
        <f>IF(OR(ISBLANK($B1002),ISBLANK($AJ1002)),"",IFERROR(IF(DAY($AJ1002)&lt;=5,VLOOKUP($B1002,COSTOS!$A$2:$B1014,2,FALSE)-150,VLOOKUP($B1002,COSTOS!$A$2:$B1014,2,FALSE)),"No encontrado o error"))</f>
        <v/>
      </c>
      <c r="AL1002" s="395"/>
      <c r="AM1002" s="254"/>
      <c r="AN1002" s="255"/>
      <c r="AO1002" s="256"/>
    </row>
    <row r="1003" ht="22.5" customHeight="1">
      <c r="A1003" s="431" t="str">
        <f>'BASE DE DATOSS'!A1077</f>
        <v/>
      </c>
      <c r="B1003" s="432" t="str">
        <f>'BASE DE DATOSS'!C1077</f>
        <v/>
      </c>
      <c r="C1003" s="263"/>
      <c r="D1003" s="249"/>
      <c r="E1003" s="250"/>
      <c r="F1003" s="251"/>
      <c r="G1003" s="262"/>
      <c r="H1003" s="257"/>
      <c r="I1003" s="249"/>
      <c r="J1003" s="193" t="str">
        <f>IF(
  OR(ISBLANK($B1003), ISBLANK($I1003)),
  "",
  IFERROR(
    IF(
      DAY($I1003) &lt;= 5,
      VLOOKUP($B1003, COSTOS!$A$2:$B1014, 2, FALSE) - 150,
      VLOOKUP($B1003, COSTOS!$A$2:$B1014, 2, FALSE)
    ),
    "No encontrado o error"
  )
)</f>
        <v/>
      </c>
      <c r="K1003" s="264"/>
      <c r="L1003" s="249"/>
      <c r="M1003" s="189"/>
      <c r="N1003" s="264"/>
      <c r="O1003" s="249"/>
      <c r="P1003" s="250"/>
      <c r="Q1003" s="264"/>
      <c r="R1003" s="249"/>
      <c r="S1003" s="250"/>
      <c r="T1003" s="264"/>
      <c r="U1003" s="249"/>
      <c r="V1003" s="250"/>
      <c r="W1003" s="264"/>
      <c r="X1003" s="394"/>
      <c r="Y1003" s="429"/>
      <c r="Z1003" s="395"/>
      <c r="AA1003" s="394"/>
      <c r="AB1003" s="118" t="str">
        <f>IF(OR(ISBLANK($B1003),ISBLANK($AA1003)),"",IFERROR(IF(DAY($AA1003)&lt;=5,VLOOKUP($B1003,COSTOS!$A$2:$B1014,2,FALSE)-150,VLOOKUP($B1003,COSTOS!$A$2:$B1014,2,FALSE)),"No encontrado o error"))</f>
        <v/>
      </c>
      <c r="AC1003" s="395"/>
      <c r="AD1003" s="394"/>
      <c r="AE1003" s="429" t="str">
        <f>IF(OR(ISBLANK($B1003),ISBLANK($AD1003)),"",IFERROR(IF(DAY($AD1003)&lt;=5,VLOOKUP($B1003,COSTOS!$A$2:$B1014,2,FALSE)-150,VLOOKUP($B1003,COSTOS!$A$2:$B1014,2,FALSE)),"No encontrado o error"))</f>
        <v/>
      </c>
      <c r="AF1003" s="395"/>
      <c r="AG1003" s="394"/>
      <c r="AH1003" s="429" t="str">
        <f>IF(OR(ISBLANK($B1003),ISBLANK($AG1003)),"",IFERROR(IF(DAY($AG1003)&lt;=5,VLOOKUP($B1003,COSTOS!$A$2:$B1014,2,FALSE)-150,VLOOKUP($B1003,COSTOS!$A$2:$B1014,2,FALSE)),"No encontrado o error"))</f>
        <v/>
      </c>
      <c r="AI1003" s="395"/>
      <c r="AJ1003" s="394"/>
      <c r="AK1003" s="429" t="str">
        <f>IF(OR(ISBLANK($B1003),ISBLANK($AJ1003)),"",IFERROR(IF(DAY($AJ1003)&lt;=5,VLOOKUP($B1003,COSTOS!$A$2:$B1014,2,FALSE)-150,VLOOKUP($B1003,COSTOS!$A$2:$B1014,2,FALSE)),"No encontrado o error"))</f>
        <v/>
      </c>
      <c r="AL1003" s="395"/>
      <c r="AM1003" s="254"/>
      <c r="AN1003" s="255"/>
      <c r="AO1003" s="256"/>
    </row>
    <row r="1004" ht="22.5" customHeight="1">
      <c r="A1004" s="431" t="str">
        <f>'BASE DE DATOSS'!A1078</f>
        <v/>
      </c>
      <c r="B1004" s="432" t="str">
        <f>'BASE DE DATOSS'!C1078</f>
        <v/>
      </c>
      <c r="C1004" s="263"/>
      <c r="D1004" s="249"/>
      <c r="E1004" s="250"/>
      <c r="F1004" s="251"/>
      <c r="G1004" s="262"/>
      <c r="H1004" s="257"/>
      <c r="I1004" s="249"/>
      <c r="J1004" s="193" t="str">
        <f>IF(
  OR(ISBLANK($B1004), ISBLANK($I1004)),
  "",
  IFERROR(
    IF(
      DAY($I1004) &lt;= 5,
      VLOOKUP($B1004, COSTOS!$A$2:$B1014, 2, FALSE) - 150,
      VLOOKUP($B1004, COSTOS!$A$2:$B1014, 2, FALSE)
    ),
    "No encontrado o error"
  )
)</f>
        <v/>
      </c>
      <c r="K1004" s="264"/>
      <c r="L1004" s="249"/>
      <c r="M1004" s="189"/>
      <c r="N1004" s="264"/>
      <c r="O1004" s="249"/>
      <c r="P1004" s="250"/>
      <c r="Q1004" s="264"/>
      <c r="R1004" s="249"/>
      <c r="S1004" s="250"/>
      <c r="T1004" s="264"/>
      <c r="U1004" s="249"/>
      <c r="V1004" s="250"/>
      <c r="W1004" s="264"/>
      <c r="X1004" s="394"/>
      <c r="Y1004" s="429"/>
      <c r="Z1004" s="395"/>
      <c r="AA1004" s="394"/>
      <c r="AB1004" s="118" t="str">
        <f>IF(OR(ISBLANK($B1004),ISBLANK($AA1004)),"",IFERROR(IF(DAY($AA1004)&lt;=5,VLOOKUP($B1004,COSTOS!$A$2:$B1014,2,FALSE)-150,VLOOKUP($B1004,COSTOS!$A$2:$B1014,2,FALSE)),"No encontrado o error"))</f>
        <v/>
      </c>
      <c r="AC1004" s="395"/>
      <c r="AD1004" s="394"/>
      <c r="AE1004" s="429" t="str">
        <f>IF(OR(ISBLANK($B1004),ISBLANK($AD1004)),"",IFERROR(IF(DAY($AD1004)&lt;=5,VLOOKUP($B1004,COSTOS!$A$2:$B1014,2,FALSE)-150,VLOOKUP($B1004,COSTOS!$A$2:$B1014,2,FALSE)),"No encontrado o error"))</f>
        <v/>
      </c>
      <c r="AF1004" s="395"/>
      <c r="AG1004" s="394"/>
      <c r="AH1004" s="429" t="str">
        <f>IF(OR(ISBLANK($B1004),ISBLANK($AG1004)),"",IFERROR(IF(DAY($AG1004)&lt;=5,VLOOKUP($B1004,COSTOS!$A$2:$B1014,2,FALSE)-150,VLOOKUP($B1004,COSTOS!$A$2:$B1014,2,FALSE)),"No encontrado o error"))</f>
        <v/>
      </c>
      <c r="AI1004" s="395"/>
      <c r="AJ1004" s="394"/>
      <c r="AK1004" s="429" t="str">
        <f>IF(OR(ISBLANK($B1004),ISBLANK($AJ1004)),"",IFERROR(IF(DAY($AJ1004)&lt;=5,VLOOKUP($B1004,COSTOS!$A$2:$B1014,2,FALSE)-150,VLOOKUP($B1004,COSTOS!$A$2:$B1014,2,FALSE)),"No encontrado o error"))</f>
        <v/>
      </c>
      <c r="AL1004" s="395"/>
      <c r="AM1004" s="254"/>
      <c r="AN1004" s="255"/>
      <c r="AO1004" s="256"/>
    </row>
    <row r="1005" ht="22.5" customHeight="1">
      <c r="A1005" s="431" t="str">
        <f>'BASE DE DATOSS'!A1079</f>
        <v/>
      </c>
      <c r="B1005" s="432" t="str">
        <f>'BASE DE DATOSS'!C1079</f>
        <v/>
      </c>
      <c r="C1005" s="263"/>
      <c r="D1005" s="249"/>
      <c r="E1005" s="250"/>
      <c r="F1005" s="251"/>
      <c r="G1005" s="262"/>
      <c r="H1005" s="257"/>
      <c r="I1005" s="249"/>
      <c r="J1005" s="193" t="str">
        <f>IF(
  OR(ISBLANK($B1005), ISBLANK($I1005)),
  "",
  IFERROR(
    IF(
      DAY($I1005) &lt;= 5,
      VLOOKUP($B1005, COSTOS!$A$2:$B1014, 2, FALSE) - 150,
      VLOOKUP($B1005, COSTOS!$A$2:$B1014, 2, FALSE)
    ),
    "No encontrado o error"
  )
)</f>
        <v/>
      </c>
      <c r="K1005" s="264"/>
      <c r="L1005" s="249"/>
      <c r="M1005" s="189"/>
      <c r="N1005" s="264"/>
      <c r="O1005" s="249"/>
      <c r="P1005" s="250"/>
      <c r="Q1005" s="264"/>
      <c r="R1005" s="249"/>
      <c r="S1005" s="250"/>
      <c r="T1005" s="264"/>
      <c r="U1005" s="249"/>
      <c r="V1005" s="250"/>
      <c r="W1005" s="264"/>
      <c r="X1005" s="394"/>
      <c r="Y1005" s="429"/>
      <c r="Z1005" s="395"/>
      <c r="AA1005" s="394"/>
      <c r="AB1005" s="118" t="str">
        <f>IF(OR(ISBLANK($B1005),ISBLANK($AA1005)),"",IFERROR(IF(DAY($AA1005)&lt;=5,VLOOKUP($B1005,COSTOS!$A$2:$B1014,2,FALSE)-150,VLOOKUP($B1005,COSTOS!$A$2:$B1014,2,FALSE)),"No encontrado o error"))</f>
        <v/>
      </c>
      <c r="AC1005" s="395"/>
      <c r="AD1005" s="394"/>
      <c r="AE1005" s="429" t="str">
        <f>IF(OR(ISBLANK($B1005),ISBLANK($AD1005)),"",IFERROR(IF(DAY($AD1005)&lt;=5,VLOOKUP($B1005,COSTOS!$A$2:$B1014,2,FALSE)-150,VLOOKUP($B1005,COSTOS!$A$2:$B1014,2,FALSE)),"No encontrado o error"))</f>
        <v/>
      </c>
      <c r="AF1005" s="395"/>
      <c r="AG1005" s="394"/>
      <c r="AH1005" s="429" t="str">
        <f>IF(OR(ISBLANK($B1005),ISBLANK($AG1005)),"",IFERROR(IF(DAY($AG1005)&lt;=5,VLOOKUP($B1005,COSTOS!$A$2:$B1014,2,FALSE)-150,VLOOKUP($B1005,COSTOS!$A$2:$B1014,2,FALSE)),"No encontrado o error"))</f>
        <v/>
      </c>
      <c r="AI1005" s="395"/>
      <c r="AJ1005" s="394"/>
      <c r="AK1005" s="429" t="str">
        <f>IF(OR(ISBLANK($B1005),ISBLANK($AJ1005)),"",IFERROR(IF(DAY($AJ1005)&lt;=5,VLOOKUP($B1005,COSTOS!$A$2:$B1014,2,FALSE)-150,VLOOKUP($B1005,COSTOS!$A$2:$B1014,2,FALSE)),"No encontrado o error"))</f>
        <v/>
      </c>
      <c r="AL1005" s="395"/>
      <c r="AM1005" s="254"/>
      <c r="AN1005" s="255"/>
      <c r="AO1005" s="256"/>
    </row>
    <row r="1006" ht="22.5" customHeight="1">
      <c r="A1006" s="431" t="str">
        <f>'BASE DE DATOSS'!A1080</f>
        <v/>
      </c>
      <c r="B1006" s="432" t="str">
        <f>'BASE DE DATOSS'!C1080</f>
        <v/>
      </c>
      <c r="C1006" s="263"/>
      <c r="D1006" s="249"/>
      <c r="E1006" s="250"/>
      <c r="F1006" s="251"/>
      <c r="G1006" s="262"/>
      <c r="H1006" s="257"/>
      <c r="I1006" s="249"/>
      <c r="J1006" s="193" t="str">
        <f>IF(
  OR(ISBLANK($B1006), ISBLANK($I1006)),
  "",
  IFERROR(
    IF(
      DAY($I1006) &lt;= 5,
      VLOOKUP($B1006, COSTOS!$A$2:$B1014, 2, FALSE) - 150,
      VLOOKUP($B1006, COSTOS!$A$2:$B1014, 2, FALSE)
    ),
    "No encontrado o error"
  )
)</f>
        <v/>
      </c>
      <c r="K1006" s="264"/>
      <c r="L1006" s="249"/>
      <c r="M1006" s="189"/>
      <c r="N1006" s="264"/>
      <c r="O1006" s="249"/>
      <c r="P1006" s="250"/>
      <c r="Q1006" s="264"/>
      <c r="R1006" s="249"/>
      <c r="S1006" s="250"/>
      <c r="T1006" s="264"/>
      <c r="U1006" s="249"/>
      <c r="V1006" s="250"/>
      <c r="W1006" s="264"/>
      <c r="X1006" s="394"/>
      <c r="Y1006" s="429"/>
      <c r="Z1006" s="395"/>
      <c r="AA1006" s="394"/>
      <c r="AB1006" s="118" t="str">
        <f>IF(OR(ISBLANK($B1006),ISBLANK($AA1006)),"",IFERROR(IF(DAY($AA1006)&lt;=5,VLOOKUP($B1006,COSTOS!$A$2:$B1014,2,FALSE)-150,VLOOKUP($B1006,COSTOS!$A$2:$B1014,2,FALSE)),"No encontrado o error"))</f>
        <v/>
      </c>
      <c r="AC1006" s="395"/>
      <c r="AD1006" s="394"/>
      <c r="AE1006" s="429" t="str">
        <f>IF(OR(ISBLANK($B1006),ISBLANK($AD1006)),"",IFERROR(IF(DAY($AD1006)&lt;=5,VLOOKUP($B1006,COSTOS!$A$2:$B1014,2,FALSE)-150,VLOOKUP($B1006,COSTOS!$A$2:$B1014,2,FALSE)),"No encontrado o error"))</f>
        <v/>
      </c>
      <c r="AF1006" s="395"/>
      <c r="AG1006" s="394"/>
      <c r="AH1006" s="429" t="str">
        <f>IF(OR(ISBLANK($B1006),ISBLANK($AG1006)),"",IFERROR(IF(DAY($AG1006)&lt;=5,VLOOKUP($B1006,COSTOS!$A$2:$B1014,2,FALSE)-150,VLOOKUP($B1006,COSTOS!$A$2:$B1014,2,FALSE)),"No encontrado o error"))</f>
        <v/>
      </c>
      <c r="AI1006" s="395"/>
      <c r="AJ1006" s="394"/>
      <c r="AK1006" s="429" t="str">
        <f>IF(OR(ISBLANK($B1006),ISBLANK($AJ1006)),"",IFERROR(IF(DAY($AJ1006)&lt;=5,VLOOKUP($B1006,COSTOS!$A$2:$B1014,2,FALSE)-150,VLOOKUP($B1006,COSTOS!$A$2:$B1014,2,FALSE)),"No encontrado o error"))</f>
        <v/>
      </c>
      <c r="AL1006" s="395"/>
      <c r="AM1006" s="254"/>
      <c r="AN1006" s="255"/>
      <c r="AO1006" s="256"/>
    </row>
    <row r="1007" ht="22.5" customHeight="1">
      <c r="A1007" s="431" t="str">
        <f>'BASE DE DATOSS'!A1081</f>
        <v/>
      </c>
      <c r="B1007" s="432" t="str">
        <f>'BASE DE DATOSS'!C1081</f>
        <v/>
      </c>
      <c r="C1007" s="263"/>
      <c r="D1007" s="249"/>
      <c r="E1007" s="250"/>
      <c r="F1007" s="251"/>
      <c r="G1007" s="262"/>
      <c r="H1007" s="257"/>
      <c r="I1007" s="249"/>
      <c r="J1007" s="193" t="str">
        <f>IF(
  OR(ISBLANK($B1007), ISBLANK($I1007)),
  "",
  IFERROR(
    IF(
      DAY($I1007) &lt;= 5,
      VLOOKUP($B1007, COSTOS!$A$2:$B1014, 2, FALSE) - 150,
      VLOOKUP($B1007, COSTOS!$A$2:$B1014, 2, FALSE)
    ),
    "No encontrado o error"
  )
)</f>
        <v/>
      </c>
      <c r="K1007" s="264"/>
      <c r="L1007" s="249"/>
      <c r="M1007" s="189"/>
      <c r="N1007" s="264"/>
      <c r="O1007" s="249"/>
      <c r="P1007" s="250"/>
      <c r="Q1007" s="264"/>
      <c r="R1007" s="249"/>
      <c r="S1007" s="250"/>
      <c r="T1007" s="264"/>
      <c r="U1007" s="249"/>
      <c r="V1007" s="250"/>
      <c r="W1007" s="264"/>
      <c r="X1007" s="394"/>
      <c r="Y1007" s="429"/>
      <c r="Z1007" s="395"/>
      <c r="AA1007" s="394"/>
      <c r="AB1007" s="118" t="str">
        <f>IF(OR(ISBLANK($B1007),ISBLANK($AA1007)),"",IFERROR(IF(DAY($AA1007)&lt;=5,VLOOKUP($B1007,COSTOS!$A$2:$B1014,2,FALSE)-150,VLOOKUP($B1007,COSTOS!$A$2:$B1014,2,FALSE)),"No encontrado o error"))</f>
        <v/>
      </c>
      <c r="AC1007" s="395"/>
      <c r="AD1007" s="394"/>
      <c r="AE1007" s="429" t="str">
        <f>IF(OR(ISBLANK($B1007),ISBLANK($AD1007)),"",IFERROR(IF(DAY($AD1007)&lt;=5,VLOOKUP($B1007,COSTOS!$A$2:$B1014,2,FALSE)-150,VLOOKUP($B1007,COSTOS!$A$2:$B1014,2,FALSE)),"No encontrado o error"))</f>
        <v/>
      </c>
      <c r="AF1007" s="395"/>
      <c r="AG1007" s="394"/>
      <c r="AH1007" s="429" t="str">
        <f>IF(OR(ISBLANK($B1007),ISBLANK($AG1007)),"",IFERROR(IF(DAY($AG1007)&lt;=5,VLOOKUP($B1007,COSTOS!$A$2:$B1014,2,FALSE)-150,VLOOKUP($B1007,COSTOS!$A$2:$B1014,2,FALSE)),"No encontrado o error"))</f>
        <v/>
      </c>
      <c r="AI1007" s="395"/>
      <c r="AJ1007" s="394"/>
      <c r="AK1007" s="429" t="str">
        <f>IF(OR(ISBLANK($B1007),ISBLANK($AJ1007)),"",IFERROR(IF(DAY($AJ1007)&lt;=5,VLOOKUP($B1007,COSTOS!$A$2:$B1014,2,FALSE)-150,VLOOKUP($B1007,COSTOS!$A$2:$B1014,2,FALSE)),"No encontrado o error"))</f>
        <v/>
      </c>
      <c r="AL1007" s="395"/>
      <c r="AM1007" s="254"/>
      <c r="AN1007" s="255"/>
      <c r="AO1007" s="256"/>
    </row>
    <row r="1008" ht="22.5" customHeight="1">
      <c r="A1008" s="431" t="str">
        <f>'BASE DE DATOSS'!A1082</f>
        <v/>
      </c>
      <c r="B1008" s="432" t="str">
        <f>'BASE DE DATOSS'!C1082</f>
        <v/>
      </c>
      <c r="C1008" s="263"/>
      <c r="D1008" s="249"/>
      <c r="E1008" s="250"/>
      <c r="F1008" s="251"/>
      <c r="G1008" s="262"/>
      <c r="H1008" s="257"/>
      <c r="I1008" s="249"/>
      <c r="J1008" s="193" t="str">
        <f>IF(
  OR(ISBLANK($B1008), ISBLANK($I1008)),
  "",
  IFERROR(
    IF(
      DAY($I1008) &lt;= 5,
      VLOOKUP($B1008, COSTOS!$A$2:$B1014, 2, FALSE) - 150,
      VLOOKUP($B1008, COSTOS!$A$2:$B1014, 2, FALSE)
    ),
    "No encontrado o error"
  )
)</f>
        <v/>
      </c>
      <c r="K1008" s="264"/>
      <c r="L1008" s="249"/>
      <c r="M1008" s="189"/>
      <c r="N1008" s="264"/>
      <c r="O1008" s="249"/>
      <c r="P1008" s="250"/>
      <c r="Q1008" s="264"/>
      <c r="R1008" s="249"/>
      <c r="S1008" s="250"/>
      <c r="T1008" s="264"/>
      <c r="U1008" s="249"/>
      <c r="V1008" s="250"/>
      <c r="W1008" s="264"/>
      <c r="X1008" s="394"/>
      <c r="Y1008" s="429"/>
      <c r="Z1008" s="395"/>
      <c r="AA1008" s="394"/>
      <c r="AB1008" s="118" t="str">
        <f>IF(OR(ISBLANK($B1008),ISBLANK($AA1008)),"",IFERROR(IF(DAY($AA1008)&lt;=5,VLOOKUP($B1008,COSTOS!$A$2:$B1014,2,FALSE)-150,VLOOKUP($B1008,COSTOS!$A$2:$B1014,2,FALSE)),"No encontrado o error"))</f>
        <v/>
      </c>
      <c r="AC1008" s="395"/>
      <c r="AD1008" s="394"/>
      <c r="AE1008" s="429" t="str">
        <f>IF(OR(ISBLANK($B1008),ISBLANK($AD1008)),"",IFERROR(IF(DAY($AD1008)&lt;=5,VLOOKUP($B1008,COSTOS!$A$2:$B1014,2,FALSE)-150,VLOOKUP($B1008,COSTOS!$A$2:$B1014,2,FALSE)),"No encontrado o error"))</f>
        <v/>
      </c>
      <c r="AF1008" s="395"/>
      <c r="AG1008" s="394"/>
      <c r="AH1008" s="429" t="str">
        <f>IF(OR(ISBLANK($B1008),ISBLANK($AG1008)),"",IFERROR(IF(DAY($AG1008)&lt;=5,VLOOKUP($B1008,COSTOS!$A$2:$B1014,2,FALSE)-150,VLOOKUP($B1008,COSTOS!$A$2:$B1014,2,FALSE)),"No encontrado o error"))</f>
        <v/>
      </c>
      <c r="AI1008" s="395"/>
      <c r="AJ1008" s="394"/>
      <c r="AK1008" s="429" t="str">
        <f>IF(OR(ISBLANK($B1008),ISBLANK($AJ1008)),"",IFERROR(IF(DAY($AJ1008)&lt;=5,VLOOKUP($B1008,COSTOS!$A$2:$B1014,2,FALSE)-150,VLOOKUP($B1008,COSTOS!$A$2:$B1014,2,FALSE)),"No encontrado o error"))</f>
        <v/>
      </c>
      <c r="AL1008" s="395"/>
      <c r="AM1008" s="254"/>
      <c r="AN1008" s="255"/>
      <c r="AO1008" s="256"/>
    </row>
    <row r="1009" ht="22.5" customHeight="1">
      <c r="A1009" s="431" t="str">
        <f>'BASE DE DATOSS'!A1083</f>
        <v/>
      </c>
      <c r="B1009" s="432" t="str">
        <f>'BASE DE DATOSS'!C1083</f>
        <v/>
      </c>
      <c r="C1009" s="263"/>
      <c r="D1009" s="249"/>
      <c r="E1009" s="250"/>
      <c r="F1009" s="251"/>
      <c r="G1009" s="262"/>
      <c r="H1009" s="257"/>
      <c r="I1009" s="249"/>
      <c r="J1009" s="193" t="str">
        <f>IF(
  OR(ISBLANK($B1009), ISBLANK($I1009)),
  "",
  IFERROR(
    IF(
      DAY($I1009) &lt;= 5,
      VLOOKUP($B1009, COSTOS!$A$2:$B1014, 2, FALSE) - 150,
      VLOOKUP($B1009, COSTOS!$A$2:$B1014, 2, FALSE)
    ),
    "No encontrado o error"
  )
)</f>
        <v/>
      </c>
      <c r="K1009" s="264"/>
      <c r="L1009" s="249"/>
      <c r="M1009" s="189"/>
      <c r="N1009" s="264"/>
      <c r="O1009" s="249"/>
      <c r="P1009" s="250"/>
      <c r="Q1009" s="264"/>
      <c r="R1009" s="249"/>
      <c r="S1009" s="250"/>
      <c r="T1009" s="264"/>
      <c r="U1009" s="249"/>
      <c r="V1009" s="250"/>
      <c r="W1009" s="264"/>
      <c r="X1009" s="394"/>
      <c r="Y1009" s="429"/>
      <c r="Z1009" s="395"/>
      <c r="AA1009" s="394"/>
      <c r="AB1009" s="118" t="str">
        <f>IF(OR(ISBLANK($B1009),ISBLANK($AA1009)),"",IFERROR(IF(DAY($AA1009)&lt;=5,VLOOKUP($B1009,COSTOS!$A$2:$B1014,2,FALSE)-150,VLOOKUP($B1009,COSTOS!$A$2:$B1014,2,FALSE)),"No encontrado o error"))</f>
        <v/>
      </c>
      <c r="AC1009" s="395"/>
      <c r="AD1009" s="394"/>
      <c r="AE1009" s="429" t="str">
        <f>IF(OR(ISBLANK($B1009),ISBLANK($AD1009)),"",IFERROR(IF(DAY($AD1009)&lt;=5,VLOOKUP($B1009,COSTOS!$A$2:$B1014,2,FALSE)-150,VLOOKUP($B1009,COSTOS!$A$2:$B1014,2,FALSE)),"No encontrado o error"))</f>
        <v/>
      </c>
      <c r="AF1009" s="395"/>
      <c r="AG1009" s="394"/>
      <c r="AH1009" s="429" t="str">
        <f>IF(OR(ISBLANK($B1009),ISBLANK($AG1009)),"",IFERROR(IF(DAY($AG1009)&lt;=5,VLOOKUP($B1009,COSTOS!$A$2:$B1014,2,FALSE)-150,VLOOKUP($B1009,COSTOS!$A$2:$B1014,2,FALSE)),"No encontrado o error"))</f>
        <v/>
      </c>
      <c r="AI1009" s="395"/>
      <c r="AJ1009" s="394"/>
      <c r="AK1009" s="429" t="str">
        <f>IF(OR(ISBLANK($B1009),ISBLANK($AJ1009)),"",IFERROR(IF(DAY($AJ1009)&lt;=5,VLOOKUP($B1009,COSTOS!$A$2:$B1014,2,FALSE)-150,VLOOKUP($B1009,COSTOS!$A$2:$B1014,2,FALSE)),"No encontrado o error"))</f>
        <v/>
      </c>
      <c r="AL1009" s="395"/>
      <c r="AM1009" s="254"/>
      <c r="AN1009" s="255"/>
      <c r="AO1009" s="256"/>
    </row>
    <row r="1010" ht="22.5" customHeight="1">
      <c r="A1010" s="431" t="str">
        <f>'BASE DE DATOSS'!A1084</f>
        <v/>
      </c>
      <c r="B1010" s="432" t="str">
        <f>'BASE DE DATOSS'!C1084</f>
        <v/>
      </c>
      <c r="C1010" s="263"/>
      <c r="D1010" s="249"/>
      <c r="E1010" s="250"/>
      <c r="F1010" s="251"/>
      <c r="G1010" s="262"/>
      <c r="H1010" s="257"/>
      <c r="I1010" s="249"/>
      <c r="J1010" s="193" t="str">
        <f>IF(
  OR(ISBLANK($B1010), ISBLANK($I1010)),
  "",
  IFERROR(
    IF(
      DAY($I1010) &lt;= 5,
      VLOOKUP($B1010, COSTOS!$A$2:$B1014, 2, FALSE) - 150,
      VLOOKUP($B1010, COSTOS!$A$2:$B1014, 2, FALSE)
    ),
    "No encontrado o error"
  )
)</f>
        <v/>
      </c>
      <c r="K1010" s="264"/>
      <c r="L1010" s="249"/>
      <c r="M1010" s="189"/>
      <c r="N1010" s="264"/>
      <c r="O1010" s="249"/>
      <c r="P1010" s="250"/>
      <c r="Q1010" s="264"/>
      <c r="R1010" s="249"/>
      <c r="S1010" s="250"/>
      <c r="T1010" s="264"/>
      <c r="U1010" s="249"/>
      <c r="V1010" s="250"/>
      <c r="W1010" s="264"/>
      <c r="X1010" s="394"/>
      <c r="Y1010" s="429"/>
      <c r="Z1010" s="395"/>
      <c r="AA1010" s="394"/>
      <c r="AB1010" s="118" t="str">
        <f>IF(OR(ISBLANK($B1010),ISBLANK($AA1010)),"",IFERROR(IF(DAY($AA1010)&lt;=5,VLOOKUP($B1010,COSTOS!$A$2:$B1014,2,FALSE)-150,VLOOKUP($B1010,COSTOS!$A$2:$B1014,2,FALSE)),"No encontrado o error"))</f>
        <v/>
      </c>
      <c r="AC1010" s="395"/>
      <c r="AD1010" s="394"/>
      <c r="AE1010" s="429" t="str">
        <f>IF(OR(ISBLANK($B1010),ISBLANK($AD1010)),"",IFERROR(IF(DAY($AD1010)&lt;=5,VLOOKUP($B1010,COSTOS!$A$2:$B1014,2,FALSE)-150,VLOOKUP($B1010,COSTOS!$A$2:$B1014,2,FALSE)),"No encontrado o error"))</f>
        <v/>
      </c>
      <c r="AF1010" s="395"/>
      <c r="AG1010" s="394"/>
      <c r="AH1010" s="429" t="str">
        <f>IF(OR(ISBLANK($B1010),ISBLANK($AG1010)),"",IFERROR(IF(DAY($AG1010)&lt;=5,VLOOKUP($B1010,COSTOS!$A$2:$B1014,2,FALSE)-150,VLOOKUP($B1010,COSTOS!$A$2:$B1014,2,FALSE)),"No encontrado o error"))</f>
        <v/>
      </c>
      <c r="AI1010" s="395"/>
      <c r="AJ1010" s="394"/>
      <c r="AK1010" s="429" t="str">
        <f>IF(OR(ISBLANK($B1010),ISBLANK($AJ1010)),"",IFERROR(IF(DAY($AJ1010)&lt;=5,VLOOKUP($B1010,COSTOS!$A$2:$B1014,2,FALSE)-150,VLOOKUP($B1010,COSTOS!$A$2:$B1014,2,FALSE)),"No encontrado o error"))</f>
        <v/>
      </c>
      <c r="AL1010" s="395"/>
      <c r="AM1010" s="254"/>
      <c r="AN1010" s="255"/>
      <c r="AO1010" s="256"/>
    </row>
    <row r="1011" ht="22.5" customHeight="1">
      <c r="A1011" s="431" t="str">
        <f>'BASE DE DATOSS'!A1085</f>
        <v/>
      </c>
      <c r="B1011" s="432" t="str">
        <f>'BASE DE DATOSS'!C1085</f>
        <v/>
      </c>
      <c r="C1011" s="263"/>
      <c r="D1011" s="249"/>
      <c r="E1011" s="250"/>
      <c r="F1011" s="251"/>
      <c r="G1011" s="262"/>
      <c r="H1011" s="257"/>
      <c r="I1011" s="249"/>
      <c r="J1011" s="193" t="str">
        <f>IF(
  OR(ISBLANK($B1011), ISBLANK($I1011)),
  "",
  IFERROR(
    IF(
      DAY($I1011) &lt;= 5,
      VLOOKUP($B1011, COSTOS!$A$2:$B1014, 2, FALSE) - 150,
      VLOOKUP($B1011, COSTOS!$A$2:$B1014, 2, FALSE)
    ),
    "No encontrado o error"
  )
)</f>
        <v/>
      </c>
      <c r="K1011" s="264"/>
      <c r="L1011" s="249"/>
      <c r="M1011" s="189"/>
      <c r="N1011" s="264"/>
      <c r="O1011" s="249"/>
      <c r="P1011" s="250"/>
      <c r="Q1011" s="264"/>
      <c r="R1011" s="249"/>
      <c r="S1011" s="250"/>
      <c r="T1011" s="264"/>
      <c r="U1011" s="249"/>
      <c r="V1011" s="250"/>
      <c r="W1011" s="264"/>
      <c r="X1011" s="394"/>
      <c r="Y1011" s="429"/>
      <c r="Z1011" s="395"/>
      <c r="AA1011" s="394"/>
      <c r="AB1011" s="118" t="str">
        <f>IF(OR(ISBLANK($B1011),ISBLANK($AA1011)),"",IFERROR(IF(DAY($AA1011)&lt;=5,VLOOKUP($B1011,COSTOS!$A$2:$B1014,2,FALSE)-150,VLOOKUP($B1011,COSTOS!$A$2:$B1014,2,FALSE)),"No encontrado o error"))</f>
        <v/>
      </c>
      <c r="AC1011" s="395"/>
      <c r="AD1011" s="394"/>
      <c r="AE1011" s="429" t="str">
        <f>IF(OR(ISBLANK($B1011),ISBLANK($AD1011)),"",IFERROR(IF(DAY($AD1011)&lt;=5,VLOOKUP($B1011,COSTOS!$A$2:$B1014,2,FALSE)-150,VLOOKUP($B1011,COSTOS!$A$2:$B1014,2,FALSE)),"No encontrado o error"))</f>
        <v/>
      </c>
      <c r="AF1011" s="395"/>
      <c r="AG1011" s="394"/>
      <c r="AH1011" s="429" t="str">
        <f>IF(OR(ISBLANK($B1011),ISBLANK($AG1011)),"",IFERROR(IF(DAY($AG1011)&lt;=5,VLOOKUP($B1011,COSTOS!$A$2:$B1014,2,FALSE)-150,VLOOKUP($B1011,COSTOS!$A$2:$B1014,2,FALSE)),"No encontrado o error"))</f>
        <v/>
      </c>
      <c r="AI1011" s="395"/>
      <c r="AJ1011" s="394"/>
      <c r="AK1011" s="429" t="str">
        <f>IF(OR(ISBLANK($B1011),ISBLANK($AJ1011)),"",IFERROR(IF(DAY($AJ1011)&lt;=5,VLOOKUP($B1011,COSTOS!$A$2:$B1014,2,FALSE)-150,VLOOKUP($B1011,COSTOS!$A$2:$B1014,2,FALSE)),"No encontrado o error"))</f>
        <v/>
      </c>
      <c r="AL1011" s="395"/>
      <c r="AM1011" s="254"/>
      <c r="AN1011" s="255"/>
      <c r="AO1011" s="256"/>
    </row>
    <row r="1012" ht="22.5" customHeight="1">
      <c r="A1012" s="431" t="str">
        <f>'BASE DE DATOSS'!A1086</f>
        <v/>
      </c>
      <c r="B1012" s="432" t="str">
        <f>'BASE DE DATOSS'!C1086</f>
        <v/>
      </c>
      <c r="C1012" s="263"/>
      <c r="D1012" s="249"/>
      <c r="E1012" s="250"/>
      <c r="F1012" s="251"/>
      <c r="G1012" s="262"/>
      <c r="H1012" s="257"/>
      <c r="I1012" s="249"/>
      <c r="J1012" s="193" t="str">
        <f>IF(
  OR(ISBLANK($B1012), ISBLANK($I1012)),
  "",
  IFERROR(
    IF(
      DAY($I1012) &lt;= 5,
      VLOOKUP($B1012, COSTOS!$A$2:$B1014, 2, FALSE) - 150,
      VLOOKUP($B1012, COSTOS!$A$2:$B1014, 2, FALSE)
    ),
    "No encontrado o error"
  )
)</f>
        <v/>
      </c>
      <c r="K1012" s="264"/>
      <c r="L1012" s="249"/>
      <c r="M1012" s="189"/>
      <c r="N1012" s="264"/>
      <c r="O1012" s="249"/>
      <c r="P1012" s="250"/>
      <c r="Q1012" s="264"/>
      <c r="R1012" s="249"/>
      <c r="S1012" s="250"/>
      <c r="T1012" s="264"/>
      <c r="U1012" s="249"/>
      <c r="V1012" s="250"/>
      <c r="W1012" s="264"/>
      <c r="X1012" s="394"/>
      <c r="Y1012" s="429"/>
      <c r="Z1012" s="395"/>
      <c r="AA1012" s="394"/>
      <c r="AB1012" s="118" t="str">
        <f>IF(OR(ISBLANK($B1012),ISBLANK($AA1012)),"",IFERROR(IF(DAY($AA1012)&lt;=5,VLOOKUP($B1012,COSTOS!$A$2:$B1014,2,FALSE)-150,VLOOKUP($B1012,COSTOS!$A$2:$B1014,2,FALSE)),"No encontrado o error"))</f>
        <v/>
      </c>
      <c r="AC1012" s="395"/>
      <c r="AD1012" s="394"/>
      <c r="AE1012" s="429" t="str">
        <f>IF(OR(ISBLANK($B1012),ISBLANK($AD1012)),"",IFERROR(IF(DAY($AD1012)&lt;=5,VLOOKUP($B1012,COSTOS!$A$2:$B1014,2,FALSE)-150,VLOOKUP($B1012,COSTOS!$A$2:$B1014,2,FALSE)),"No encontrado o error"))</f>
        <v/>
      </c>
      <c r="AF1012" s="395"/>
      <c r="AG1012" s="394"/>
      <c r="AH1012" s="429" t="str">
        <f>IF(OR(ISBLANK($B1012),ISBLANK($AG1012)),"",IFERROR(IF(DAY($AG1012)&lt;=5,VLOOKUP($B1012,COSTOS!$A$2:$B1014,2,FALSE)-150,VLOOKUP($B1012,COSTOS!$A$2:$B1014,2,FALSE)),"No encontrado o error"))</f>
        <v/>
      </c>
      <c r="AI1012" s="395"/>
      <c r="AJ1012" s="394"/>
      <c r="AK1012" s="429" t="str">
        <f>IF(OR(ISBLANK($B1012),ISBLANK($AJ1012)),"",IFERROR(IF(DAY($AJ1012)&lt;=5,VLOOKUP($B1012,COSTOS!$A$2:$B1014,2,FALSE)-150,VLOOKUP($B1012,COSTOS!$A$2:$B1014,2,FALSE)),"No encontrado o error"))</f>
        <v/>
      </c>
      <c r="AL1012" s="395"/>
      <c r="AM1012" s="254"/>
      <c r="AN1012" s="255"/>
      <c r="AO1012" s="256"/>
    </row>
    <row r="1013" ht="22.5" customHeight="1">
      <c r="A1013" s="431" t="str">
        <f>'BASE DE DATOSS'!A1087</f>
        <v/>
      </c>
      <c r="B1013" s="432" t="str">
        <f>'BASE DE DATOSS'!C1087</f>
        <v/>
      </c>
      <c r="C1013" s="263"/>
      <c r="D1013" s="249"/>
      <c r="E1013" s="250"/>
      <c r="F1013" s="251"/>
      <c r="G1013" s="262"/>
      <c r="H1013" s="257"/>
      <c r="I1013" s="249"/>
      <c r="J1013" s="193" t="str">
        <f>IF(
  OR(ISBLANK($B1013), ISBLANK($I1013)),
  "",
  IFERROR(
    IF(
      DAY($I1013) &lt;= 5,
      VLOOKUP($B1013, COSTOS!$A$2:$B1014, 2, FALSE) - 150,
      VLOOKUP($B1013, COSTOS!$A$2:$B1014, 2, FALSE)
    ),
    "No encontrado o error"
  )
)</f>
        <v/>
      </c>
      <c r="K1013" s="264"/>
      <c r="L1013" s="249"/>
      <c r="M1013" s="189"/>
      <c r="N1013" s="264"/>
      <c r="O1013" s="249"/>
      <c r="P1013" s="250"/>
      <c r="Q1013" s="264"/>
      <c r="R1013" s="249"/>
      <c r="S1013" s="250"/>
      <c r="T1013" s="264"/>
      <c r="U1013" s="249"/>
      <c r="V1013" s="250"/>
      <c r="W1013" s="264"/>
      <c r="X1013" s="394"/>
      <c r="Y1013" s="429"/>
      <c r="Z1013" s="395"/>
      <c r="AA1013" s="394"/>
      <c r="AB1013" s="118" t="str">
        <f>IF(OR(ISBLANK($B1013),ISBLANK($AA1013)),"",IFERROR(IF(DAY($AA1013)&lt;=5,VLOOKUP($B1013,COSTOS!$A$2:$B1014,2,FALSE)-150,VLOOKUP($B1013,COSTOS!$A$2:$B1014,2,FALSE)),"No encontrado o error"))</f>
        <v/>
      </c>
      <c r="AC1013" s="395"/>
      <c r="AD1013" s="394"/>
      <c r="AE1013" s="429" t="str">
        <f>IF(OR(ISBLANK($B1013),ISBLANK($AD1013)),"",IFERROR(IF(DAY($AD1013)&lt;=5,VLOOKUP($B1013,COSTOS!$A$2:$B1014,2,FALSE)-150,VLOOKUP($B1013,COSTOS!$A$2:$B1014,2,FALSE)),"No encontrado o error"))</f>
        <v/>
      </c>
      <c r="AF1013" s="395"/>
      <c r="AG1013" s="394"/>
      <c r="AH1013" s="429" t="str">
        <f>IF(OR(ISBLANK($B1013),ISBLANK($AG1013)),"",IFERROR(IF(DAY($AG1013)&lt;=5,VLOOKUP($B1013,COSTOS!$A$2:$B1014,2,FALSE)-150,VLOOKUP($B1013,COSTOS!$A$2:$B1014,2,FALSE)),"No encontrado o error"))</f>
        <v/>
      </c>
      <c r="AI1013" s="395"/>
      <c r="AJ1013" s="394"/>
      <c r="AK1013" s="429" t="str">
        <f>IF(OR(ISBLANK($B1013),ISBLANK($AJ1013)),"",IFERROR(IF(DAY($AJ1013)&lt;=5,VLOOKUP($B1013,COSTOS!$A$2:$B1014,2,FALSE)-150,VLOOKUP($B1013,COSTOS!$A$2:$B1014,2,FALSE)),"No encontrado o error"))</f>
        <v/>
      </c>
      <c r="AL1013" s="395"/>
      <c r="AM1013" s="254"/>
      <c r="AN1013" s="255"/>
      <c r="AO1013" s="256"/>
    </row>
    <row r="1014" ht="22.5" customHeight="1">
      <c r="A1014" s="431" t="str">
        <f>'BASE DE DATOSS'!A1088</f>
        <v/>
      </c>
      <c r="B1014" s="432" t="str">
        <f>'BASE DE DATOSS'!C1088</f>
        <v/>
      </c>
      <c r="C1014" s="263"/>
      <c r="D1014" s="249"/>
      <c r="E1014" s="250"/>
      <c r="F1014" s="251"/>
      <c r="G1014" s="262"/>
      <c r="H1014" s="257"/>
      <c r="I1014" s="249"/>
      <c r="J1014" s="193" t="str">
        <f>IF(
  OR(ISBLANK($B1014), ISBLANK($I1014)),
  "",
  IFERROR(
    IF(
      DAY($I1014) &lt;= 5,
      VLOOKUP($B1014, COSTOS!$A$2:$B1014, 2, FALSE) - 150,
      VLOOKUP($B1014, COSTOS!$A$2:$B1014, 2, FALSE)
    ),
    "No encontrado o error"
  )
)</f>
        <v/>
      </c>
      <c r="K1014" s="264"/>
      <c r="L1014" s="249"/>
      <c r="M1014" s="189"/>
      <c r="N1014" s="264"/>
      <c r="O1014" s="249"/>
      <c r="P1014" s="250"/>
      <c r="Q1014" s="264"/>
      <c r="R1014" s="249"/>
      <c r="S1014" s="250"/>
      <c r="T1014" s="264"/>
      <c r="U1014" s="249"/>
      <c r="V1014" s="250"/>
      <c r="W1014" s="264"/>
      <c r="X1014" s="433"/>
      <c r="Y1014" s="434"/>
      <c r="Z1014" s="435"/>
      <c r="AA1014" s="433"/>
      <c r="AB1014" s="118" t="str">
        <f>IF(OR(ISBLANK($B1014),ISBLANK($AA1014)),"",IFERROR(IF(DAY($AA1014)&lt;=5,VLOOKUP($B1014,COSTOS!$A$2:$B1014,2,FALSE)-150,VLOOKUP($B1014,COSTOS!$A$2:$B1014,2,FALSE)),"No encontrado o error"))</f>
        <v/>
      </c>
      <c r="AC1014" s="435"/>
      <c r="AD1014" s="433"/>
      <c r="AE1014" s="434" t="str">
        <f>IF(OR(ISBLANK($B1014),ISBLANK($AD1014)),"",IFERROR(IF(DAY($AD1014)&lt;=5,VLOOKUP($B1014,COSTOS!$A$2:$B1014,2,FALSE)-150,VLOOKUP($B1014,COSTOS!$A$2:$B1014,2,FALSE)),"No encontrado o error"))</f>
        <v/>
      </c>
      <c r="AF1014" s="435"/>
      <c r="AG1014" s="433"/>
      <c r="AH1014" s="434" t="str">
        <f>IF(OR(ISBLANK($B1014),ISBLANK($AG1014)),"",IFERROR(IF(DAY($AG1014)&lt;=5,VLOOKUP($B1014,COSTOS!$A$2:$B1014,2,FALSE)-150,VLOOKUP($B1014,COSTOS!$A$2:$B1014,2,FALSE)),"No encontrado o error"))</f>
        <v/>
      </c>
      <c r="AI1014" s="435"/>
      <c r="AJ1014" s="433"/>
      <c r="AK1014" s="434" t="str">
        <f>IF(OR(ISBLANK($B1014),ISBLANK($AJ1014)),"",IFERROR(IF(DAY($AJ1014)&lt;=5,VLOOKUP($B1014,COSTOS!$A$2:$B1014,2,FALSE)-150,VLOOKUP($B1014,COSTOS!$A$2:$B1014,2,FALSE)),"No encontrado o error"))</f>
        <v/>
      </c>
      <c r="AL1014" s="435"/>
      <c r="AM1014" s="254"/>
      <c r="AN1014" s="255"/>
      <c r="AO1014" s="256"/>
    </row>
  </sheetData>
  <conditionalFormatting sqref="D1:D1014 AB1:AB1014 E2:AA1014 AC2:AL1014">
    <cfRule type="containsBlanks" dxfId="21" priority="1">
      <formula>LEN(TRIM(D1))=0</formula>
    </cfRule>
  </conditionalFormatting>
  <dataValidations>
    <dataValidation type="list" allowBlank="1" sqref="H2:H1014">
      <formula1>"efectivo,transferencia,terminal"</formula1>
    </dataValidation>
    <dataValidation type="list" allowBlank="1" sqref="K2:K1014 N2:N1014 Q2:Q1014 T2:T1014 W2:W1014">
      <formula1>"EFECTIVO,TRANSFERENCIA,TERMINAL"</formula1>
    </dataValidation>
    <dataValidation type="list" allowBlank="1" sqref="Z2:Z1014 AC2:AC1014 AF2:AF1014 AI2:AI1014 AL2:AL1014">
      <formula1>"TRANSFERENCIA,EFECTIVO,TERMINAL"</formula1>
    </dataValidation>
    <dataValidation type="custom" allowBlank="1" showDropDown="1" sqref="D2:D1014 F2:F1014 I2:I1014 L2:L1014 O2:O1014 R2:R1014 U2:U1014 X2:X1014 AA2:AA1014 AD2:AD1014 AG2:AG1014 AJ2:AJ1014">
      <formula1>OR(NOT(ISERROR(DATEVALUE(D2))), AND(ISNUMBER(D2), LEFT(CELL("format", D2))="D"))</formula1>
    </dataValidation>
    <dataValidation type="custom" allowBlank="1" showDropDown="1" sqref="E2:E1014 G2:G1014 J2:J1014 P2:P1014 S2:S1014 V2:V1014 AB2:AB1014 AN2:AN1014">
      <formula1>AND(ISNUMBER(E2),(NOT(OR(NOT(ISERROR(DATEVALUE(E2))), AND(ISNUMBER(E2), LEFT(CELL("format", E2))="D")))))</formula1>
    </dataValidation>
    <dataValidation allowBlank="1" showDropDown="1" sqref="A2:A1014 C2:C1014 AM2:AM1014"/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6.67"/>
    <col customWidth="1" min="2" max="2" width="43.78"/>
    <col customWidth="1" min="3" max="3" width="5.78"/>
    <col customWidth="1" min="4" max="4" width="8.44"/>
    <col customWidth="1" min="6" max="6" width="18.22"/>
  </cols>
  <sheetData>
    <row r="5">
      <c r="B5" s="3" t="s">
        <v>2</v>
      </c>
      <c r="C5" s="5"/>
      <c r="D5" s="5"/>
      <c r="E5" s="6"/>
      <c r="F5" s="6"/>
    </row>
    <row r="6">
      <c r="B6" s="7"/>
      <c r="E6" s="8"/>
      <c r="F6" s="8"/>
    </row>
    <row r="7">
      <c r="E7" s="8"/>
      <c r="F7" s="9"/>
    </row>
    <row r="8">
      <c r="B8" s="11" t="str">
        <f>IFERROR(__xludf.DUMMYFUNCTION("IF(B5="""","""",IFERROR(INDEX(FILTER('BASE DE DATOSS'!A:A,REGEXMATCH(LOWER('BASE DE DATOSS'!A:A),LOWER(B5)))),""""))"),"ANNA LUCIA GAITAN VILLALOBOS")</f>
        <v>ANNA LUCIA GAITAN VILLALOBOS</v>
      </c>
      <c r="E8" s="6"/>
      <c r="F8" s="6"/>
    </row>
    <row r="9">
      <c r="B9" s="14" t="str">
        <f>IF(B8="","",IFERROR(VLOOKUP(B8, 'BASE DE DATOSS'!A1:H113, 5, FALSE), ""))</f>
        <v>chaus_20@hotmail.com</v>
      </c>
      <c r="C9" s="15"/>
      <c r="D9" s="15"/>
      <c r="E9" s="6"/>
      <c r="F9" s="16" t="s">
        <v>8</v>
      </c>
    </row>
    <row r="10">
      <c r="B10" s="6"/>
      <c r="C10" s="6"/>
      <c r="D10" s="6"/>
      <c r="E10" s="6"/>
      <c r="F10" s="18">
        <f>IF(B8="","",IFERROR(VLOOKUP(B8, PAGOS!A2:AX1076, 30, FALSE), ""))</f>
        <v>46317</v>
      </c>
    </row>
    <row r="11">
      <c r="B11" s="19" t="s">
        <v>12</v>
      </c>
      <c r="E11" s="6"/>
      <c r="F11" s="21"/>
    </row>
    <row r="12">
      <c r="B12" s="22" t="s">
        <v>16</v>
      </c>
      <c r="E12" s="23"/>
      <c r="F12" s="24" t="s">
        <v>19</v>
      </c>
    </row>
    <row r="13">
      <c r="B13" s="29" t="str">
        <f>IF(B8="", "", IFERROR(VLOOKUP(B8, PAGOS!A1:AX1076, 2, FALSE), "No encontrado"))</f>
        <v>KIDS 1</v>
      </c>
      <c r="C13" s="31"/>
      <c r="D13" s="33"/>
      <c r="E13" s="34"/>
      <c r="F13" s="44">
        <f>IF(B8="", "", IFERROR(VLOOKUP(B8, PAGOS!A1:AX1076, 31, FALSE), ""))</f>
        <v>1100</v>
      </c>
    </row>
    <row r="14">
      <c r="B14" s="48" t="s">
        <v>43</v>
      </c>
      <c r="C14" s="31"/>
      <c r="D14" s="33"/>
      <c r="E14" s="34"/>
      <c r="F14" s="52"/>
    </row>
    <row r="15">
      <c r="B15" s="53"/>
      <c r="C15" s="31"/>
      <c r="D15" s="33"/>
      <c r="E15" s="54"/>
      <c r="F15" s="55"/>
    </row>
    <row r="16">
      <c r="B16" s="6"/>
      <c r="E16" s="54"/>
      <c r="F16" s="55"/>
    </row>
    <row r="17">
      <c r="B17" s="6"/>
      <c r="C17" s="6"/>
      <c r="D17" s="6"/>
      <c r="E17" s="56" t="s">
        <v>49</v>
      </c>
      <c r="F17" s="57">
        <f>SUM(F13:F16)</f>
        <v>1100</v>
      </c>
    </row>
  </sheetData>
  <mergeCells count="8">
    <mergeCell ref="B6:D7"/>
    <mergeCell ref="B8:D8"/>
    <mergeCell ref="B11:D11"/>
    <mergeCell ref="B12:D12"/>
    <mergeCell ref="B13:D13"/>
    <mergeCell ref="B14:D14"/>
    <mergeCell ref="B15:D15"/>
    <mergeCell ref="B16:D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545B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10.67"/>
    <col customWidth="1" min="2" max="2" width="10.78"/>
    <col customWidth="1" min="3" max="3" width="15.44"/>
    <col customWidth="1" min="4" max="4" width="15.67"/>
    <col customWidth="1" min="5" max="5" width="15.44"/>
    <col customWidth="1" min="6" max="6" width="14.56"/>
    <col customWidth="1" min="7" max="7" width="12.33"/>
    <col customWidth="1" min="8" max="8" width="11.78"/>
    <col customWidth="1" min="9" max="9" width="11.22"/>
    <col customWidth="1" min="10" max="10" width="14.0"/>
  </cols>
  <sheetData>
    <row r="1">
      <c r="A1" s="88" t="s">
        <v>107</v>
      </c>
      <c r="J1" s="88"/>
    </row>
    <row r="2">
      <c r="A2" s="89" t="s">
        <v>108</v>
      </c>
      <c r="J2" s="89"/>
    </row>
    <row r="3">
      <c r="A3" s="90" t="s">
        <v>109</v>
      </c>
      <c r="B3" s="91" t="s">
        <v>110</v>
      </c>
    </row>
    <row r="4" ht="22.5" customHeight="1">
      <c r="A4" s="96" t="s">
        <v>111</v>
      </c>
      <c r="B4" s="96" t="s">
        <v>113</v>
      </c>
      <c r="C4" s="96" t="s">
        <v>114</v>
      </c>
      <c r="D4" s="96" t="s">
        <v>115</v>
      </c>
      <c r="E4" s="96" t="s">
        <v>116</v>
      </c>
      <c r="F4" s="96" t="s">
        <v>41</v>
      </c>
      <c r="G4" s="96" t="s">
        <v>117</v>
      </c>
      <c r="H4" s="96" t="s">
        <v>118</v>
      </c>
      <c r="I4" s="96" t="s">
        <v>119</v>
      </c>
      <c r="J4" s="97" t="s">
        <v>120</v>
      </c>
    </row>
    <row r="5" ht="22.5" hidden="1" customHeight="1">
      <c r="A5" s="98">
        <v>46238.0</v>
      </c>
      <c r="B5" s="99" t="str">
        <f t="shared" ref="B5:B12" si="1">IF(A5="","",UPPER(TEXT(A5,"MMMM")))</f>
        <v>AGOSTO</v>
      </c>
      <c r="C5" s="100" t="s">
        <v>125</v>
      </c>
      <c r="D5" s="100" t="s">
        <v>126</v>
      </c>
      <c r="E5" s="100" t="s">
        <v>127</v>
      </c>
      <c r="F5" s="102" t="s">
        <v>128</v>
      </c>
      <c r="G5" s="104">
        <v>1979.0</v>
      </c>
      <c r="H5" s="100" t="b">
        <v>1</v>
      </c>
      <c r="I5" s="102" t="s">
        <v>129</v>
      </c>
      <c r="J5" s="102" t="str">
        <f t="shared" ref="J5:J35" si="2">IF(A5="","",IF(OR(UPPER(TRIM(F5))="TRANSFERENCIA",UPPER(TRIM(F5))="TERMINAL"),"DIGITAL",IF(UPPER(TRIM(F5))="EFECTIVO","CAJA DIARIA","")))</f>
        <v>DIGITAL</v>
      </c>
    </row>
    <row r="6" ht="22.5" hidden="1" customHeight="1">
      <c r="A6" s="109">
        <v>46239.0</v>
      </c>
      <c r="B6" s="110" t="str">
        <f t="shared" si="1"/>
        <v>AGOSTO</v>
      </c>
      <c r="C6" s="111" t="s">
        <v>125</v>
      </c>
      <c r="D6" s="111" t="s">
        <v>126</v>
      </c>
      <c r="E6" s="111" t="s">
        <v>134</v>
      </c>
      <c r="F6" s="111" t="s">
        <v>128</v>
      </c>
      <c r="G6" s="112">
        <v>3919.0</v>
      </c>
      <c r="H6" s="111" t="b">
        <v>1</v>
      </c>
      <c r="I6" s="111" t="s">
        <v>129</v>
      </c>
      <c r="J6" s="111" t="str">
        <f t="shared" si="2"/>
        <v>DIGITAL</v>
      </c>
    </row>
    <row r="7" ht="22.5" hidden="1" customHeight="1">
      <c r="A7" s="98">
        <v>46243.0</v>
      </c>
      <c r="B7" s="99" t="str">
        <f t="shared" si="1"/>
        <v>AGOSTO</v>
      </c>
      <c r="C7" s="100" t="s">
        <v>125</v>
      </c>
      <c r="D7" s="100" t="s">
        <v>136</v>
      </c>
      <c r="E7" s="100"/>
      <c r="F7" s="100" t="s">
        <v>137</v>
      </c>
      <c r="G7" s="104">
        <v>41.0</v>
      </c>
      <c r="H7" s="100" t="b">
        <v>0</v>
      </c>
      <c r="I7" s="102"/>
      <c r="J7" s="102" t="str">
        <f t="shared" si="2"/>
        <v>CAJA DIARIA</v>
      </c>
    </row>
    <row r="8" ht="22.5" hidden="1" customHeight="1">
      <c r="A8" s="109">
        <v>46244.0</v>
      </c>
      <c r="B8" s="110" t="str">
        <f t="shared" si="1"/>
        <v>AGOSTO</v>
      </c>
      <c r="C8" s="111" t="s">
        <v>125</v>
      </c>
      <c r="D8" s="111" t="s">
        <v>140</v>
      </c>
      <c r="E8" s="111" t="s">
        <v>142</v>
      </c>
      <c r="F8" s="111" t="s">
        <v>128</v>
      </c>
      <c r="G8" s="112">
        <v>382.0</v>
      </c>
      <c r="H8" s="111" t="b">
        <v>0</v>
      </c>
      <c r="I8" s="115"/>
      <c r="J8" s="115" t="str">
        <f t="shared" si="2"/>
        <v>DIGITAL</v>
      </c>
    </row>
    <row r="9" ht="22.5" hidden="1" customHeight="1">
      <c r="A9" s="98">
        <v>46245.0</v>
      </c>
      <c r="B9" s="99" t="str">
        <f t="shared" si="1"/>
        <v>AGOSTO</v>
      </c>
      <c r="C9" s="100" t="s">
        <v>39</v>
      </c>
      <c r="D9" s="100" t="s">
        <v>143</v>
      </c>
      <c r="E9" s="100" t="s">
        <v>144</v>
      </c>
      <c r="F9" s="100" t="s">
        <v>128</v>
      </c>
      <c r="G9" s="104">
        <v>188.0</v>
      </c>
      <c r="H9" s="100" t="b">
        <v>0</v>
      </c>
      <c r="I9" s="102"/>
      <c r="J9" s="102" t="str">
        <f t="shared" si="2"/>
        <v>DIGITAL</v>
      </c>
    </row>
    <row r="10" ht="22.5" hidden="1" customHeight="1">
      <c r="A10" s="109">
        <v>46246.0</v>
      </c>
      <c r="B10" s="110" t="str">
        <f t="shared" si="1"/>
        <v>AGOSTO</v>
      </c>
      <c r="C10" s="111" t="s">
        <v>39</v>
      </c>
      <c r="D10" s="111" t="s">
        <v>147</v>
      </c>
      <c r="E10" s="111" t="s">
        <v>148</v>
      </c>
      <c r="F10" s="111" t="s">
        <v>128</v>
      </c>
      <c r="G10" s="112">
        <v>538.0</v>
      </c>
      <c r="H10" s="111" t="b">
        <v>0</v>
      </c>
      <c r="I10" s="115"/>
      <c r="J10" s="115" t="str">
        <f t="shared" si="2"/>
        <v>DIGITAL</v>
      </c>
    </row>
    <row r="11" ht="22.5" hidden="1" customHeight="1">
      <c r="A11" s="98">
        <v>46252.0</v>
      </c>
      <c r="B11" s="99" t="str">
        <f t="shared" si="1"/>
        <v>AGOSTO</v>
      </c>
      <c r="C11" s="100" t="s">
        <v>39</v>
      </c>
      <c r="D11" s="100" t="s">
        <v>150</v>
      </c>
      <c r="E11" s="100" t="s">
        <v>151</v>
      </c>
      <c r="F11" s="100" t="s">
        <v>137</v>
      </c>
      <c r="G11" s="104">
        <v>50.0</v>
      </c>
      <c r="H11" s="100" t="b">
        <v>0</v>
      </c>
      <c r="I11" s="102"/>
      <c r="J11" s="102" t="str">
        <f t="shared" si="2"/>
        <v>CAJA DIARIA</v>
      </c>
    </row>
    <row r="12" ht="22.5" hidden="1" customHeight="1">
      <c r="A12" s="109">
        <v>46253.0</v>
      </c>
      <c r="B12" s="110" t="str">
        <f t="shared" si="1"/>
        <v>AGOSTO</v>
      </c>
      <c r="C12" s="111" t="s">
        <v>125</v>
      </c>
      <c r="D12" s="111" t="s">
        <v>126</v>
      </c>
      <c r="E12" s="111" t="s">
        <v>152</v>
      </c>
      <c r="F12" s="111" t="s">
        <v>128</v>
      </c>
      <c r="G12" s="112">
        <v>574.0</v>
      </c>
      <c r="H12" s="111" t="b">
        <v>1</v>
      </c>
      <c r="I12" s="115"/>
      <c r="J12" s="115" t="str">
        <f t="shared" si="2"/>
        <v>DIGITAL</v>
      </c>
    </row>
    <row r="13" ht="22.5" hidden="1" customHeight="1">
      <c r="A13" s="98">
        <v>46253.0</v>
      </c>
      <c r="B13" s="100" t="s">
        <v>73</v>
      </c>
      <c r="C13" s="100" t="s">
        <v>125</v>
      </c>
      <c r="D13" s="100" t="s">
        <v>126</v>
      </c>
      <c r="E13" s="100" t="s">
        <v>156</v>
      </c>
      <c r="F13" s="100" t="s">
        <v>128</v>
      </c>
      <c r="G13" s="104">
        <v>997.0</v>
      </c>
      <c r="H13" s="100" t="b">
        <v>0</v>
      </c>
      <c r="I13" s="102"/>
      <c r="J13" s="102" t="str">
        <f t="shared" si="2"/>
        <v>DIGITAL</v>
      </c>
    </row>
    <row r="14" ht="22.5" hidden="1" customHeight="1">
      <c r="A14" s="109">
        <v>46254.0</v>
      </c>
      <c r="B14" s="110" t="str">
        <f t="shared" ref="B14:B637" si="3">IF(A14="","",UPPER(TEXT(A14,"MMMM")))</f>
        <v>AGOSTO</v>
      </c>
      <c r="C14" s="111" t="s">
        <v>39</v>
      </c>
      <c r="D14" s="111" t="s">
        <v>157</v>
      </c>
      <c r="E14" s="111" t="s">
        <v>158</v>
      </c>
      <c r="F14" s="111" t="s">
        <v>128</v>
      </c>
      <c r="G14" s="112">
        <v>2639.0</v>
      </c>
      <c r="H14" s="111" t="b">
        <v>1</v>
      </c>
      <c r="I14" s="115" t="s">
        <v>160</v>
      </c>
      <c r="J14" s="115" t="str">
        <f t="shared" si="2"/>
        <v>DIGITAL</v>
      </c>
    </row>
    <row r="15" ht="22.5" hidden="1" customHeight="1">
      <c r="A15" s="98">
        <v>46255.0</v>
      </c>
      <c r="B15" s="99" t="str">
        <f t="shared" si="3"/>
        <v>AGOSTO</v>
      </c>
      <c r="C15" s="100" t="s">
        <v>125</v>
      </c>
      <c r="D15" s="100" t="s">
        <v>162</v>
      </c>
      <c r="E15" s="100" t="s">
        <v>163</v>
      </c>
      <c r="F15" s="100" t="s">
        <v>128</v>
      </c>
      <c r="G15" s="104">
        <v>270.0</v>
      </c>
      <c r="H15" s="100" t="b">
        <v>1</v>
      </c>
      <c r="I15" s="102"/>
      <c r="J15" s="102" t="str">
        <f t="shared" si="2"/>
        <v>DIGITAL</v>
      </c>
    </row>
    <row r="16" ht="22.5" hidden="1" customHeight="1">
      <c r="A16" s="109">
        <v>46256.0</v>
      </c>
      <c r="B16" s="110" t="str">
        <f t="shared" si="3"/>
        <v>AGOSTO</v>
      </c>
      <c r="C16" s="111" t="s">
        <v>125</v>
      </c>
      <c r="D16" s="111" t="s">
        <v>162</v>
      </c>
      <c r="E16" s="111" t="s">
        <v>165</v>
      </c>
      <c r="F16" s="111" t="s">
        <v>137</v>
      </c>
      <c r="G16" s="112">
        <v>260.0</v>
      </c>
      <c r="H16" s="111" t="b">
        <v>0</v>
      </c>
      <c r="I16" s="115"/>
      <c r="J16" s="115" t="str">
        <f t="shared" si="2"/>
        <v>CAJA DIARIA</v>
      </c>
    </row>
    <row r="17" ht="22.5" hidden="1" customHeight="1">
      <c r="A17" s="98">
        <v>46257.0</v>
      </c>
      <c r="B17" s="99" t="str">
        <f t="shared" si="3"/>
        <v>AGOSTO</v>
      </c>
      <c r="C17" s="100" t="s">
        <v>39</v>
      </c>
      <c r="D17" s="100" t="s">
        <v>166</v>
      </c>
      <c r="E17" s="100" t="s">
        <v>167</v>
      </c>
      <c r="F17" s="100" t="s">
        <v>128</v>
      </c>
      <c r="G17" s="104">
        <v>399.0</v>
      </c>
      <c r="H17" s="100" t="b">
        <v>0</v>
      </c>
      <c r="I17" s="102"/>
      <c r="J17" s="102" t="str">
        <f t="shared" si="2"/>
        <v>DIGITAL</v>
      </c>
    </row>
    <row r="18" ht="22.5" hidden="1" customHeight="1">
      <c r="A18" s="109">
        <v>46258.0</v>
      </c>
      <c r="B18" s="110" t="str">
        <f t="shared" si="3"/>
        <v>AGOSTO</v>
      </c>
      <c r="C18" s="111" t="s">
        <v>39</v>
      </c>
      <c r="D18" s="111" t="s">
        <v>147</v>
      </c>
      <c r="E18" s="111" t="s">
        <v>170</v>
      </c>
      <c r="F18" s="111" t="s">
        <v>128</v>
      </c>
      <c r="G18" s="112">
        <v>50.0</v>
      </c>
      <c r="H18" s="111" t="b">
        <v>0</v>
      </c>
      <c r="I18" s="115"/>
      <c r="J18" s="115" t="str">
        <f t="shared" si="2"/>
        <v>DIGITAL</v>
      </c>
    </row>
    <row r="19" ht="22.5" hidden="1" customHeight="1">
      <c r="A19" s="98">
        <v>46259.0</v>
      </c>
      <c r="B19" s="99" t="str">
        <f t="shared" si="3"/>
        <v>AGOSTO</v>
      </c>
      <c r="C19" s="100" t="s">
        <v>39</v>
      </c>
      <c r="D19" s="100" t="s">
        <v>166</v>
      </c>
      <c r="E19" s="100" t="s">
        <v>172</v>
      </c>
      <c r="F19" s="100" t="s">
        <v>128</v>
      </c>
      <c r="G19" s="104">
        <v>150.0</v>
      </c>
      <c r="H19" s="100" t="b">
        <v>0</v>
      </c>
      <c r="I19" s="102"/>
      <c r="J19" s="102" t="str">
        <f t="shared" si="2"/>
        <v>DIGITAL</v>
      </c>
    </row>
    <row r="20" ht="22.5" hidden="1" customHeight="1">
      <c r="A20" s="109">
        <v>46260.0</v>
      </c>
      <c r="B20" s="110" t="str">
        <f t="shared" si="3"/>
        <v>AGOSTO</v>
      </c>
      <c r="C20" s="111" t="s">
        <v>39</v>
      </c>
      <c r="D20" s="111" t="s">
        <v>173</v>
      </c>
      <c r="E20" s="111" t="s">
        <v>174</v>
      </c>
      <c r="F20" s="111" t="s">
        <v>137</v>
      </c>
      <c r="G20" s="112">
        <v>1500.0</v>
      </c>
      <c r="H20" s="111" t="b">
        <v>0</v>
      </c>
      <c r="I20" s="115"/>
      <c r="J20" s="115" t="str">
        <f t="shared" si="2"/>
        <v>CAJA DIARIA</v>
      </c>
    </row>
    <row r="21" ht="22.5" hidden="1" customHeight="1">
      <c r="A21" s="98">
        <v>46261.0</v>
      </c>
      <c r="B21" s="99" t="str">
        <f t="shared" si="3"/>
        <v>AGOSTO</v>
      </c>
      <c r="C21" s="100" t="s">
        <v>39</v>
      </c>
      <c r="D21" s="100" t="s">
        <v>173</v>
      </c>
      <c r="E21" s="100" t="s">
        <v>178</v>
      </c>
      <c r="F21" s="100" t="s">
        <v>128</v>
      </c>
      <c r="G21" s="104">
        <v>1940.0</v>
      </c>
      <c r="H21" s="100" t="b">
        <v>0</v>
      </c>
      <c r="I21" s="102"/>
      <c r="J21" s="102" t="str">
        <f t="shared" si="2"/>
        <v>DIGITAL</v>
      </c>
    </row>
    <row r="22" ht="22.5" hidden="1" customHeight="1">
      <c r="A22" s="109">
        <v>46267.0</v>
      </c>
      <c r="B22" s="110" t="str">
        <f t="shared" si="3"/>
        <v>SEPTIEMBRE</v>
      </c>
      <c r="C22" s="111" t="s">
        <v>125</v>
      </c>
      <c r="D22" s="111" t="s">
        <v>162</v>
      </c>
      <c r="E22" s="111"/>
      <c r="F22" s="111" t="s">
        <v>137</v>
      </c>
      <c r="G22" s="112">
        <v>50.0</v>
      </c>
      <c r="H22" s="111" t="b">
        <v>0</v>
      </c>
      <c r="I22" s="111" t="s">
        <v>129</v>
      </c>
      <c r="J22" s="115" t="str">
        <f t="shared" si="2"/>
        <v>CAJA DIARIA</v>
      </c>
    </row>
    <row r="23" ht="22.5" hidden="1" customHeight="1">
      <c r="A23" s="98">
        <v>46268.0</v>
      </c>
      <c r="B23" s="99" t="str">
        <f t="shared" si="3"/>
        <v>SEPTIEMBRE</v>
      </c>
      <c r="C23" s="100" t="s">
        <v>181</v>
      </c>
      <c r="D23" s="144"/>
      <c r="E23" s="100" t="s">
        <v>182</v>
      </c>
      <c r="F23" s="100" t="s">
        <v>137</v>
      </c>
      <c r="G23" s="104">
        <v>35.0</v>
      </c>
      <c r="H23" s="100" t="b">
        <v>0</v>
      </c>
      <c r="I23" s="100" t="s">
        <v>129</v>
      </c>
      <c r="J23" s="102" t="str">
        <f t="shared" si="2"/>
        <v>CAJA DIARIA</v>
      </c>
    </row>
    <row r="24" ht="22.5" hidden="1" customHeight="1">
      <c r="A24" s="109">
        <v>46268.0</v>
      </c>
      <c r="B24" s="110" t="str">
        <f t="shared" si="3"/>
        <v>SEPTIEMBRE</v>
      </c>
      <c r="C24" s="111" t="s">
        <v>39</v>
      </c>
      <c r="D24" s="111" t="s">
        <v>147</v>
      </c>
      <c r="E24" s="111" t="s">
        <v>170</v>
      </c>
      <c r="F24" s="111" t="s">
        <v>128</v>
      </c>
      <c r="G24" s="112">
        <v>10.0</v>
      </c>
      <c r="H24" s="111" t="b">
        <v>0</v>
      </c>
      <c r="I24" s="115"/>
      <c r="J24" s="115" t="str">
        <f t="shared" si="2"/>
        <v>DIGITAL</v>
      </c>
    </row>
    <row r="25" ht="22.5" hidden="1" customHeight="1">
      <c r="A25" s="98">
        <v>46268.0</v>
      </c>
      <c r="B25" s="99" t="str">
        <f t="shared" si="3"/>
        <v>SEPTIEMBRE</v>
      </c>
      <c r="C25" s="100" t="s">
        <v>125</v>
      </c>
      <c r="D25" s="100" t="s">
        <v>162</v>
      </c>
      <c r="E25" s="100" t="s">
        <v>188</v>
      </c>
      <c r="F25" s="100" t="s">
        <v>128</v>
      </c>
      <c r="G25" s="104">
        <v>229.0</v>
      </c>
      <c r="H25" s="100" t="b">
        <v>0</v>
      </c>
      <c r="I25" s="102"/>
      <c r="J25" s="102" t="str">
        <f t="shared" si="2"/>
        <v>DIGITAL</v>
      </c>
    </row>
    <row r="26" ht="22.5" hidden="1" customHeight="1">
      <c r="A26" s="109">
        <v>46268.0</v>
      </c>
      <c r="B26" s="110" t="str">
        <f t="shared" si="3"/>
        <v>SEPTIEMBRE</v>
      </c>
      <c r="C26" s="111" t="s">
        <v>125</v>
      </c>
      <c r="D26" s="111" t="s">
        <v>162</v>
      </c>
      <c r="E26" s="111" t="s">
        <v>190</v>
      </c>
      <c r="F26" s="111" t="s">
        <v>128</v>
      </c>
      <c r="G26" s="112">
        <v>158.0</v>
      </c>
      <c r="H26" s="111" t="b">
        <v>1</v>
      </c>
      <c r="I26" s="111" t="s">
        <v>129</v>
      </c>
      <c r="J26" s="115" t="str">
        <f t="shared" si="2"/>
        <v>DIGITAL</v>
      </c>
    </row>
    <row r="27" ht="22.5" hidden="1" customHeight="1">
      <c r="A27" s="98">
        <v>46268.0</v>
      </c>
      <c r="B27" s="99" t="str">
        <f t="shared" si="3"/>
        <v>SEPTIEMBRE</v>
      </c>
      <c r="C27" s="100" t="s">
        <v>39</v>
      </c>
      <c r="D27" s="100" t="s">
        <v>192</v>
      </c>
      <c r="E27" s="100" t="s">
        <v>193</v>
      </c>
      <c r="F27" s="100" t="s">
        <v>128</v>
      </c>
      <c r="G27" s="104">
        <v>10440.0</v>
      </c>
      <c r="H27" s="100" t="b">
        <v>1</v>
      </c>
      <c r="I27" s="100" t="s">
        <v>160</v>
      </c>
      <c r="J27" s="102" t="str">
        <f t="shared" si="2"/>
        <v>DIGITAL</v>
      </c>
    </row>
    <row r="28" ht="22.5" hidden="1" customHeight="1">
      <c r="A28" s="109">
        <v>46268.0</v>
      </c>
      <c r="B28" s="110" t="str">
        <f t="shared" si="3"/>
        <v>SEPTIEMBRE</v>
      </c>
      <c r="C28" s="111" t="s">
        <v>39</v>
      </c>
      <c r="D28" s="111" t="s">
        <v>147</v>
      </c>
      <c r="E28" s="111" t="s">
        <v>196</v>
      </c>
      <c r="F28" s="111" t="s">
        <v>128</v>
      </c>
      <c r="G28" s="112">
        <v>1120.0</v>
      </c>
      <c r="H28" s="111" t="b">
        <v>1</v>
      </c>
      <c r="I28" s="111" t="s">
        <v>160</v>
      </c>
      <c r="J28" s="115" t="str">
        <f t="shared" si="2"/>
        <v>DIGITAL</v>
      </c>
    </row>
    <row r="29" ht="22.5" hidden="1" customHeight="1">
      <c r="A29" s="98">
        <v>46268.0</v>
      </c>
      <c r="B29" s="99" t="str">
        <f t="shared" si="3"/>
        <v>SEPTIEMBRE</v>
      </c>
      <c r="C29" s="100" t="s">
        <v>39</v>
      </c>
      <c r="D29" s="100" t="s">
        <v>147</v>
      </c>
      <c r="E29" s="100" t="s">
        <v>198</v>
      </c>
      <c r="F29" s="100" t="s">
        <v>128</v>
      </c>
      <c r="G29" s="104">
        <v>550.0</v>
      </c>
      <c r="H29" s="100" t="b">
        <v>1</v>
      </c>
      <c r="I29" s="100" t="s">
        <v>160</v>
      </c>
      <c r="J29" s="102" t="str">
        <f t="shared" si="2"/>
        <v>DIGITAL</v>
      </c>
    </row>
    <row r="30" ht="22.5" hidden="1" customHeight="1">
      <c r="A30" s="109">
        <v>46270.0</v>
      </c>
      <c r="B30" s="110" t="str">
        <f t="shared" si="3"/>
        <v>SEPTIEMBRE</v>
      </c>
      <c r="C30" s="111" t="s">
        <v>125</v>
      </c>
      <c r="D30" s="111" t="s">
        <v>162</v>
      </c>
      <c r="E30" s="111" t="s">
        <v>201</v>
      </c>
      <c r="F30" s="111" t="s">
        <v>128</v>
      </c>
      <c r="G30" s="112">
        <v>2332.0</v>
      </c>
      <c r="H30" s="111" t="b">
        <v>0</v>
      </c>
      <c r="I30" s="111" t="s">
        <v>129</v>
      </c>
      <c r="J30" s="115" t="str">
        <f t="shared" si="2"/>
        <v>DIGITAL</v>
      </c>
    </row>
    <row r="31" ht="22.5" hidden="1" customHeight="1">
      <c r="A31" s="98">
        <v>46270.0</v>
      </c>
      <c r="B31" s="99" t="str">
        <f t="shared" si="3"/>
        <v>SEPTIEMBRE</v>
      </c>
      <c r="C31" s="100" t="s">
        <v>39</v>
      </c>
      <c r="D31" s="100" t="s">
        <v>202</v>
      </c>
      <c r="E31" s="100" t="s">
        <v>203</v>
      </c>
      <c r="F31" s="100" t="s">
        <v>128</v>
      </c>
      <c r="G31" s="104">
        <v>1290.35</v>
      </c>
      <c r="H31" s="100" t="b">
        <v>0</v>
      </c>
      <c r="I31" s="102"/>
      <c r="J31" s="102" t="str">
        <f t="shared" si="2"/>
        <v>DIGITAL</v>
      </c>
    </row>
    <row r="32" ht="22.5" hidden="1" customHeight="1">
      <c r="A32" s="109">
        <v>46270.0</v>
      </c>
      <c r="B32" s="110" t="str">
        <f t="shared" si="3"/>
        <v>SEPTIEMBRE</v>
      </c>
      <c r="C32" s="111" t="s">
        <v>39</v>
      </c>
      <c r="D32" s="111" t="s">
        <v>157</v>
      </c>
      <c r="E32" s="111" t="s">
        <v>208</v>
      </c>
      <c r="F32" s="111" t="s">
        <v>128</v>
      </c>
      <c r="G32" s="112">
        <v>905.79</v>
      </c>
      <c r="H32" s="111" t="b">
        <v>1</v>
      </c>
      <c r="I32" s="115"/>
      <c r="J32" s="115" t="str">
        <f t="shared" si="2"/>
        <v>DIGITAL</v>
      </c>
    </row>
    <row r="33" ht="22.5" hidden="1" customHeight="1">
      <c r="A33" s="98">
        <v>46273.0</v>
      </c>
      <c r="B33" s="99" t="str">
        <f t="shared" si="3"/>
        <v>SEPTIEMBRE</v>
      </c>
      <c r="C33" s="100" t="s">
        <v>39</v>
      </c>
      <c r="D33" s="100" t="s">
        <v>150</v>
      </c>
      <c r="E33" s="100" t="s">
        <v>210</v>
      </c>
      <c r="F33" s="100" t="s">
        <v>128</v>
      </c>
      <c r="G33" s="104">
        <v>550.0</v>
      </c>
      <c r="H33" s="100" t="b">
        <v>0</v>
      </c>
      <c r="I33" s="102"/>
      <c r="J33" s="102" t="str">
        <f t="shared" si="2"/>
        <v>DIGITAL</v>
      </c>
    </row>
    <row r="34" ht="22.5" hidden="1" customHeight="1">
      <c r="A34" s="109">
        <v>46273.0</v>
      </c>
      <c r="B34" s="110" t="str">
        <f t="shared" si="3"/>
        <v>SEPTIEMBRE</v>
      </c>
      <c r="C34" s="111" t="s">
        <v>125</v>
      </c>
      <c r="D34" s="111" t="s">
        <v>126</v>
      </c>
      <c r="E34" s="111" t="s">
        <v>211</v>
      </c>
      <c r="F34" s="111" t="s">
        <v>128</v>
      </c>
      <c r="G34" s="112">
        <v>3349.0</v>
      </c>
      <c r="H34" s="111" t="b">
        <v>1</v>
      </c>
      <c r="I34" s="111" t="s">
        <v>129</v>
      </c>
      <c r="J34" s="115" t="str">
        <f t="shared" si="2"/>
        <v>DIGITAL</v>
      </c>
    </row>
    <row r="35" ht="22.5" hidden="1" customHeight="1">
      <c r="A35" s="98">
        <v>46273.0</v>
      </c>
      <c r="B35" s="99" t="str">
        <f t="shared" si="3"/>
        <v>SEPTIEMBRE</v>
      </c>
      <c r="C35" s="100" t="s">
        <v>125</v>
      </c>
      <c r="D35" s="100" t="s">
        <v>162</v>
      </c>
      <c r="E35" s="100" t="s">
        <v>214</v>
      </c>
      <c r="F35" s="100" t="s">
        <v>128</v>
      </c>
      <c r="G35" s="104">
        <v>504.79</v>
      </c>
      <c r="H35" s="100" t="b">
        <v>1</v>
      </c>
      <c r="I35" s="102"/>
      <c r="J35" s="102" t="str">
        <f t="shared" si="2"/>
        <v>DIGITAL</v>
      </c>
    </row>
    <row r="36" ht="22.5" hidden="1" customHeight="1">
      <c r="A36" s="109">
        <v>46275.0</v>
      </c>
      <c r="B36" s="110" t="str">
        <f t="shared" si="3"/>
        <v>SEPTIEMBRE</v>
      </c>
      <c r="C36" s="111" t="s">
        <v>39</v>
      </c>
      <c r="D36" s="111" t="s">
        <v>219</v>
      </c>
      <c r="E36" s="111" t="s">
        <v>220</v>
      </c>
      <c r="F36" s="111" t="s">
        <v>137</v>
      </c>
      <c r="G36" s="112">
        <v>8000.0</v>
      </c>
      <c r="H36" s="111" t="b">
        <v>0</v>
      </c>
      <c r="I36" s="115"/>
      <c r="J36" s="111" t="s">
        <v>222</v>
      </c>
    </row>
    <row r="37" ht="22.5" hidden="1" customHeight="1">
      <c r="A37" s="98">
        <v>46280.0</v>
      </c>
      <c r="B37" s="99" t="str">
        <f t="shared" si="3"/>
        <v>SEPTIEMBRE</v>
      </c>
      <c r="C37" s="100" t="s">
        <v>125</v>
      </c>
      <c r="D37" s="100" t="s">
        <v>162</v>
      </c>
      <c r="E37" s="100" t="s">
        <v>188</v>
      </c>
      <c r="F37" s="100" t="s">
        <v>128</v>
      </c>
      <c r="G37" s="104">
        <v>191.0</v>
      </c>
      <c r="H37" s="100" t="b">
        <v>0</v>
      </c>
      <c r="I37" s="102"/>
      <c r="J37" s="102" t="str">
        <f t="shared" ref="J37:J503" si="4">IF(A37="","",IF(OR(UPPER(TRIM(F37))="TRANSFERENCIA",UPPER(TRIM(F37))="TERMINAL"),"DIGITAL",IF(UPPER(TRIM(F37))="EFECTIVO","CAJA DIARIA","")))</f>
        <v>DIGITAL</v>
      </c>
    </row>
    <row r="38" ht="22.5" hidden="1" customHeight="1">
      <c r="A38" s="109">
        <v>46280.0</v>
      </c>
      <c r="B38" s="110" t="str">
        <f t="shared" si="3"/>
        <v>SEPTIEMBRE</v>
      </c>
      <c r="C38" s="111" t="s">
        <v>125</v>
      </c>
      <c r="D38" s="111" t="s">
        <v>162</v>
      </c>
      <c r="E38" s="111" t="s">
        <v>227</v>
      </c>
      <c r="F38" s="111" t="s">
        <v>128</v>
      </c>
      <c r="G38" s="112">
        <v>50.0</v>
      </c>
      <c r="H38" s="111" t="b">
        <v>1</v>
      </c>
      <c r="I38" s="115"/>
      <c r="J38" s="115" t="str">
        <f t="shared" si="4"/>
        <v>DIGITAL</v>
      </c>
    </row>
    <row r="39" ht="22.5" hidden="1" customHeight="1">
      <c r="A39" s="98">
        <v>46280.0</v>
      </c>
      <c r="B39" s="99" t="str">
        <f t="shared" si="3"/>
        <v>SEPTIEMBRE</v>
      </c>
      <c r="C39" s="100" t="s">
        <v>39</v>
      </c>
      <c r="D39" s="100" t="s">
        <v>166</v>
      </c>
      <c r="E39" s="100" t="s">
        <v>230</v>
      </c>
      <c r="F39" s="100" t="s">
        <v>128</v>
      </c>
      <c r="G39" s="104">
        <v>1043.0</v>
      </c>
      <c r="H39" s="100" t="b">
        <v>0</v>
      </c>
      <c r="I39" s="102"/>
      <c r="J39" s="102" t="str">
        <f t="shared" si="4"/>
        <v>DIGITAL</v>
      </c>
    </row>
    <row r="40" ht="22.5" hidden="1" customHeight="1">
      <c r="A40" s="109">
        <v>46282.0</v>
      </c>
      <c r="B40" s="110" t="str">
        <f t="shared" si="3"/>
        <v>SEPTIEMBRE</v>
      </c>
      <c r="C40" s="111" t="s">
        <v>39</v>
      </c>
      <c r="D40" s="111" t="s">
        <v>219</v>
      </c>
      <c r="E40" s="111" t="s">
        <v>232</v>
      </c>
      <c r="F40" s="111" t="s">
        <v>128</v>
      </c>
      <c r="G40" s="112">
        <v>9280.0</v>
      </c>
      <c r="H40" s="111" t="b">
        <v>1</v>
      </c>
      <c r="I40" s="115"/>
      <c r="J40" s="115" t="str">
        <f t="shared" si="4"/>
        <v>DIGITAL</v>
      </c>
    </row>
    <row r="41" ht="22.5" hidden="1" customHeight="1">
      <c r="A41" s="98">
        <v>46281.0</v>
      </c>
      <c r="B41" s="99" t="str">
        <f t="shared" si="3"/>
        <v>SEPTIEMBRE</v>
      </c>
      <c r="C41" s="100" t="s">
        <v>125</v>
      </c>
      <c r="D41" s="100" t="s">
        <v>162</v>
      </c>
      <c r="E41" s="100" t="s">
        <v>234</v>
      </c>
      <c r="F41" s="100" t="s">
        <v>128</v>
      </c>
      <c r="G41" s="104">
        <v>95.0</v>
      </c>
      <c r="H41" s="100" t="b">
        <v>0</v>
      </c>
      <c r="I41" s="102"/>
      <c r="J41" s="102" t="str">
        <f t="shared" si="4"/>
        <v>DIGITAL</v>
      </c>
    </row>
    <row r="42" ht="22.5" hidden="1" customHeight="1">
      <c r="A42" s="109"/>
      <c r="B42" s="110" t="str">
        <f t="shared" si="3"/>
        <v/>
      </c>
      <c r="C42" s="147"/>
      <c r="D42" s="147"/>
      <c r="E42" s="111"/>
      <c r="F42" s="115"/>
      <c r="G42" s="112"/>
      <c r="H42" s="111" t="b">
        <v>0</v>
      </c>
      <c r="I42" s="115"/>
      <c r="J42" s="115" t="str">
        <f t="shared" si="4"/>
        <v/>
      </c>
    </row>
    <row r="43" ht="22.5" hidden="1" customHeight="1">
      <c r="A43" s="98"/>
      <c r="B43" s="99" t="str">
        <f t="shared" si="3"/>
        <v/>
      </c>
      <c r="C43" s="144"/>
      <c r="D43" s="144"/>
      <c r="E43" s="100"/>
      <c r="F43" s="102"/>
      <c r="G43" s="104"/>
      <c r="H43" s="100" t="b">
        <v>0</v>
      </c>
      <c r="I43" s="102"/>
      <c r="J43" s="102" t="str">
        <f t="shared" si="4"/>
        <v/>
      </c>
    </row>
    <row r="44" ht="22.5" hidden="1" customHeight="1">
      <c r="A44" s="109"/>
      <c r="B44" s="110" t="str">
        <f t="shared" si="3"/>
        <v/>
      </c>
      <c r="C44" s="147"/>
      <c r="D44" s="147"/>
      <c r="E44" s="111"/>
      <c r="F44" s="115"/>
      <c r="G44" s="112"/>
      <c r="H44" s="111" t="b">
        <v>0</v>
      </c>
      <c r="I44" s="115"/>
      <c r="J44" s="115" t="str">
        <f t="shared" si="4"/>
        <v/>
      </c>
    </row>
    <row r="45" ht="22.5" hidden="1" customHeight="1">
      <c r="A45" s="98"/>
      <c r="B45" s="99" t="str">
        <f t="shared" si="3"/>
        <v/>
      </c>
      <c r="C45" s="144"/>
      <c r="D45" s="144"/>
      <c r="E45" s="100"/>
      <c r="F45" s="102"/>
      <c r="G45" s="104"/>
      <c r="H45" s="100" t="b">
        <v>0</v>
      </c>
      <c r="I45" s="102"/>
      <c r="J45" s="102" t="str">
        <f t="shared" si="4"/>
        <v/>
      </c>
    </row>
    <row r="46" ht="22.5" hidden="1" customHeight="1">
      <c r="A46" s="109"/>
      <c r="B46" s="110" t="str">
        <f t="shared" si="3"/>
        <v/>
      </c>
      <c r="C46" s="147"/>
      <c r="D46" s="147"/>
      <c r="E46" s="111"/>
      <c r="F46" s="115"/>
      <c r="G46" s="112"/>
      <c r="H46" s="111" t="b">
        <v>0</v>
      </c>
      <c r="I46" s="115"/>
      <c r="J46" s="115" t="str">
        <f t="shared" si="4"/>
        <v/>
      </c>
    </row>
    <row r="47" ht="22.5" hidden="1" customHeight="1">
      <c r="A47" s="98"/>
      <c r="B47" s="99" t="str">
        <f t="shared" si="3"/>
        <v/>
      </c>
      <c r="C47" s="144"/>
      <c r="D47" s="144"/>
      <c r="E47" s="100"/>
      <c r="F47" s="102"/>
      <c r="G47" s="104"/>
      <c r="H47" s="100" t="b">
        <v>0</v>
      </c>
      <c r="I47" s="102"/>
      <c r="J47" s="102" t="str">
        <f t="shared" si="4"/>
        <v/>
      </c>
    </row>
    <row r="48" ht="22.5" hidden="1" customHeight="1">
      <c r="A48" s="109"/>
      <c r="B48" s="110" t="str">
        <f t="shared" si="3"/>
        <v/>
      </c>
      <c r="C48" s="147"/>
      <c r="D48" s="147"/>
      <c r="E48" s="111"/>
      <c r="F48" s="115"/>
      <c r="G48" s="112"/>
      <c r="H48" s="111" t="b">
        <v>0</v>
      </c>
      <c r="I48" s="115"/>
      <c r="J48" s="115" t="str">
        <f t="shared" si="4"/>
        <v/>
      </c>
    </row>
    <row r="49" ht="22.5" hidden="1" customHeight="1">
      <c r="A49" s="98"/>
      <c r="B49" s="99" t="str">
        <f t="shared" si="3"/>
        <v/>
      </c>
      <c r="C49" s="144"/>
      <c r="D49" s="144"/>
      <c r="E49" s="100"/>
      <c r="F49" s="102"/>
      <c r="G49" s="104"/>
      <c r="H49" s="100" t="b">
        <v>0</v>
      </c>
      <c r="I49" s="102"/>
      <c r="J49" s="102" t="str">
        <f t="shared" si="4"/>
        <v/>
      </c>
    </row>
    <row r="50" ht="22.5" hidden="1" customHeight="1">
      <c r="A50" s="109"/>
      <c r="B50" s="110" t="str">
        <f t="shared" si="3"/>
        <v/>
      </c>
      <c r="C50" s="147"/>
      <c r="D50" s="147"/>
      <c r="E50" s="111"/>
      <c r="F50" s="115"/>
      <c r="G50" s="112"/>
      <c r="H50" s="111" t="b">
        <v>0</v>
      </c>
      <c r="I50" s="115"/>
      <c r="J50" s="115" t="str">
        <f t="shared" si="4"/>
        <v/>
      </c>
    </row>
    <row r="51" ht="22.5" hidden="1" customHeight="1">
      <c r="A51" s="98"/>
      <c r="B51" s="99" t="str">
        <f t="shared" si="3"/>
        <v/>
      </c>
      <c r="C51" s="144"/>
      <c r="D51" s="144"/>
      <c r="E51" s="100"/>
      <c r="F51" s="102"/>
      <c r="G51" s="104"/>
      <c r="H51" s="100" t="b">
        <v>0</v>
      </c>
      <c r="I51" s="102"/>
      <c r="J51" s="102" t="str">
        <f t="shared" si="4"/>
        <v/>
      </c>
    </row>
    <row r="52" ht="22.5" hidden="1" customHeight="1">
      <c r="A52" s="109"/>
      <c r="B52" s="110" t="str">
        <f t="shared" si="3"/>
        <v/>
      </c>
      <c r="C52" s="147"/>
      <c r="D52" s="147"/>
      <c r="E52" s="111"/>
      <c r="F52" s="115"/>
      <c r="G52" s="112"/>
      <c r="H52" s="111" t="b">
        <v>0</v>
      </c>
      <c r="I52" s="115"/>
      <c r="J52" s="115" t="str">
        <f t="shared" si="4"/>
        <v/>
      </c>
    </row>
    <row r="53" ht="22.5" hidden="1" customHeight="1">
      <c r="A53" s="98"/>
      <c r="B53" s="99" t="str">
        <f t="shared" si="3"/>
        <v/>
      </c>
      <c r="C53" s="144"/>
      <c r="D53" s="144"/>
      <c r="E53" s="100"/>
      <c r="F53" s="102"/>
      <c r="G53" s="104"/>
      <c r="H53" s="100" t="b">
        <v>0</v>
      </c>
      <c r="I53" s="102"/>
      <c r="J53" s="102" t="str">
        <f t="shared" si="4"/>
        <v/>
      </c>
    </row>
    <row r="54" ht="22.5" hidden="1" customHeight="1">
      <c r="A54" s="109"/>
      <c r="B54" s="110" t="str">
        <f t="shared" si="3"/>
        <v/>
      </c>
      <c r="C54" s="147"/>
      <c r="D54" s="147"/>
      <c r="E54" s="111"/>
      <c r="F54" s="115"/>
      <c r="G54" s="112"/>
      <c r="H54" s="111" t="b">
        <v>0</v>
      </c>
      <c r="I54" s="115"/>
      <c r="J54" s="115" t="str">
        <f t="shared" si="4"/>
        <v/>
      </c>
    </row>
    <row r="55" ht="22.5" hidden="1" customHeight="1">
      <c r="A55" s="98"/>
      <c r="B55" s="99" t="str">
        <f t="shared" si="3"/>
        <v/>
      </c>
      <c r="C55" s="144"/>
      <c r="D55" s="144"/>
      <c r="E55" s="100"/>
      <c r="F55" s="102"/>
      <c r="G55" s="104"/>
      <c r="H55" s="100" t="b">
        <v>0</v>
      </c>
      <c r="I55" s="102"/>
      <c r="J55" s="102" t="str">
        <f t="shared" si="4"/>
        <v/>
      </c>
    </row>
    <row r="56" ht="22.5" hidden="1" customHeight="1">
      <c r="A56" s="109"/>
      <c r="B56" s="110" t="str">
        <f t="shared" si="3"/>
        <v/>
      </c>
      <c r="C56" s="147"/>
      <c r="D56" s="147"/>
      <c r="E56" s="111"/>
      <c r="F56" s="115"/>
      <c r="G56" s="112"/>
      <c r="H56" s="111" t="b">
        <v>0</v>
      </c>
      <c r="I56" s="115"/>
      <c r="J56" s="115" t="str">
        <f t="shared" si="4"/>
        <v/>
      </c>
    </row>
    <row r="57" ht="22.5" hidden="1" customHeight="1">
      <c r="A57" s="98"/>
      <c r="B57" s="99" t="str">
        <f t="shared" si="3"/>
        <v/>
      </c>
      <c r="C57" s="144"/>
      <c r="D57" s="144"/>
      <c r="E57" s="100"/>
      <c r="F57" s="102"/>
      <c r="G57" s="104"/>
      <c r="H57" s="100" t="b">
        <v>0</v>
      </c>
      <c r="I57" s="102"/>
      <c r="J57" s="102" t="str">
        <f t="shared" si="4"/>
        <v/>
      </c>
    </row>
    <row r="58" ht="22.5" hidden="1" customHeight="1">
      <c r="A58" s="109"/>
      <c r="B58" s="110" t="str">
        <f t="shared" si="3"/>
        <v/>
      </c>
      <c r="C58" s="147"/>
      <c r="D58" s="147"/>
      <c r="E58" s="111"/>
      <c r="F58" s="115"/>
      <c r="G58" s="112"/>
      <c r="H58" s="111" t="b">
        <v>0</v>
      </c>
      <c r="I58" s="115"/>
      <c r="J58" s="115" t="str">
        <f t="shared" si="4"/>
        <v/>
      </c>
    </row>
    <row r="59" ht="22.5" hidden="1" customHeight="1">
      <c r="A59" s="98"/>
      <c r="B59" s="99" t="str">
        <f t="shared" si="3"/>
        <v/>
      </c>
      <c r="C59" s="144"/>
      <c r="D59" s="144"/>
      <c r="E59" s="100"/>
      <c r="F59" s="102"/>
      <c r="G59" s="104"/>
      <c r="H59" s="100" t="b">
        <v>0</v>
      </c>
      <c r="I59" s="102"/>
      <c r="J59" s="102" t="str">
        <f t="shared" si="4"/>
        <v/>
      </c>
    </row>
    <row r="60" ht="22.5" hidden="1" customHeight="1">
      <c r="A60" s="109"/>
      <c r="B60" s="110" t="str">
        <f t="shared" si="3"/>
        <v/>
      </c>
      <c r="C60" s="147"/>
      <c r="D60" s="147"/>
      <c r="E60" s="111"/>
      <c r="F60" s="115"/>
      <c r="G60" s="112"/>
      <c r="H60" s="111" t="b">
        <v>0</v>
      </c>
      <c r="I60" s="115"/>
      <c r="J60" s="115" t="str">
        <f t="shared" si="4"/>
        <v/>
      </c>
    </row>
    <row r="61" ht="22.5" hidden="1" customHeight="1">
      <c r="A61" s="98"/>
      <c r="B61" s="99" t="str">
        <f t="shared" si="3"/>
        <v/>
      </c>
      <c r="C61" s="144"/>
      <c r="D61" s="144"/>
      <c r="E61" s="100"/>
      <c r="F61" s="102"/>
      <c r="G61" s="104"/>
      <c r="H61" s="100" t="b">
        <v>0</v>
      </c>
      <c r="I61" s="102"/>
      <c r="J61" s="102" t="str">
        <f t="shared" si="4"/>
        <v/>
      </c>
    </row>
    <row r="62" ht="22.5" hidden="1" customHeight="1">
      <c r="A62" s="109"/>
      <c r="B62" s="110" t="str">
        <f t="shared" si="3"/>
        <v/>
      </c>
      <c r="C62" s="147"/>
      <c r="D62" s="147"/>
      <c r="E62" s="111"/>
      <c r="F62" s="115"/>
      <c r="G62" s="112"/>
      <c r="H62" s="111" t="b">
        <v>0</v>
      </c>
      <c r="I62" s="115"/>
      <c r="J62" s="115" t="str">
        <f t="shared" si="4"/>
        <v/>
      </c>
    </row>
    <row r="63" ht="22.5" hidden="1" customHeight="1">
      <c r="A63" s="98"/>
      <c r="B63" s="99" t="str">
        <f t="shared" si="3"/>
        <v/>
      </c>
      <c r="C63" s="144"/>
      <c r="D63" s="144"/>
      <c r="E63" s="100"/>
      <c r="F63" s="102"/>
      <c r="G63" s="104"/>
      <c r="H63" s="100" t="b">
        <v>0</v>
      </c>
      <c r="I63" s="102"/>
      <c r="J63" s="102" t="str">
        <f t="shared" si="4"/>
        <v/>
      </c>
    </row>
    <row r="64" ht="22.5" hidden="1" customHeight="1">
      <c r="A64" s="109"/>
      <c r="B64" s="110" t="str">
        <f t="shared" si="3"/>
        <v/>
      </c>
      <c r="C64" s="147"/>
      <c r="D64" s="147"/>
      <c r="E64" s="111"/>
      <c r="F64" s="115"/>
      <c r="G64" s="112"/>
      <c r="H64" s="111" t="b">
        <v>0</v>
      </c>
      <c r="I64" s="115"/>
      <c r="J64" s="115" t="str">
        <f t="shared" si="4"/>
        <v/>
      </c>
    </row>
    <row r="65" ht="22.5" hidden="1" customHeight="1">
      <c r="A65" s="98"/>
      <c r="B65" s="99" t="str">
        <f t="shared" si="3"/>
        <v/>
      </c>
      <c r="C65" s="144"/>
      <c r="D65" s="144"/>
      <c r="E65" s="100"/>
      <c r="F65" s="102"/>
      <c r="G65" s="104"/>
      <c r="H65" s="100" t="b">
        <v>0</v>
      </c>
      <c r="I65" s="102"/>
      <c r="J65" s="102" t="str">
        <f t="shared" si="4"/>
        <v/>
      </c>
    </row>
    <row r="66" ht="22.5" hidden="1" customHeight="1">
      <c r="A66" s="109"/>
      <c r="B66" s="110" t="str">
        <f t="shared" si="3"/>
        <v/>
      </c>
      <c r="C66" s="147"/>
      <c r="D66" s="147"/>
      <c r="E66" s="111"/>
      <c r="F66" s="115"/>
      <c r="G66" s="112"/>
      <c r="H66" s="111" t="b">
        <v>0</v>
      </c>
      <c r="I66" s="115"/>
      <c r="J66" s="115" t="str">
        <f t="shared" si="4"/>
        <v/>
      </c>
    </row>
    <row r="67" ht="22.5" hidden="1" customHeight="1">
      <c r="A67" s="98"/>
      <c r="B67" s="99" t="str">
        <f t="shared" si="3"/>
        <v/>
      </c>
      <c r="C67" s="144"/>
      <c r="D67" s="144"/>
      <c r="E67" s="100"/>
      <c r="F67" s="102"/>
      <c r="G67" s="104"/>
      <c r="H67" s="100" t="b">
        <v>0</v>
      </c>
      <c r="I67" s="102"/>
      <c r="J67" s="102" t="str">
        <f t="shared" si="4"/>
        <v/>
      </c>
    </row>
    <row r="68" ht="22.5" hidden="1" customHeight="1">
      <c r="A68" s="109"/>
      <c r="B68" s="110" t="str">
        <f t="shared" si="3"/>
        <v/>
      </c>
      <c r="C68" s="147"/>
      <c r="D68" s="147"/>
      <c r="E68" s="111"/>
      <c r="F68" s="115"/>
      <c r="G68" s="112"/>
      <c r="H68" s="111" t="b">
        <v>0</v>
      </c>
      <c r="I68" s="115"/>
      <c r="J68" s="115" t="str">
        <f t="shared" si="4"/>
        <v/>
      </c>
    </row>
    <row r="69" ht="22.5" hidden="1" customHeight="1">
      <c r="A69" s="98"/>
      <c r="B69" s="99" t="str">
        <f t="shared" si="3"/>
        <v/>
      </c>
      <c r="C69" s="144"/>
      <c r="D69" s="144"/>
      <c r="E69" s="100"/>
      <c r="F69" s="102"/>
      <c r="G69" s="104"/>
      <c r="H69" s="100" t="b">
        <v>0</v>
      </c>
      <c r="I69" s="102"/>
      <c r="J69" s="102" t="str">
        <f t="shared" si="4"/>
        <v/>
      </c>
    </row>
    <row r="70" ht="22.5" hidden="1" customHeight="1">
      <c r="A70" s="109"/>
      <c r="B70" s="110" t="str">
        <f t="shared" si="3"/>
        <v/>
      </c>
      <c r="C70" s="147"/>
      <c r="D70" s="147"/>
      <c r="E70" s="111"/>
      <c r="F70" s="115"/>
      <c r="G70" s="112"/>
      <c r="H70" s="111" t="b">
        <v>0</v>
      </c>
      <c r="I70" s="115"/>
      <c r="J70" s="115" t="str">
        <f t="shared" si="4"/>
        <v/>
      </c>
    </row>
    <row r="71" ht="22.5" hidden="1" customHeight="1">
      <c r="A71" s="98"/>
      <c r="B71" s="99" t="str">
        <f t="shared" si="3"/>
        <v/>
      </c>
      <c r="C71" s="144"/>
      <c r="D71" s="144"/>
      <c r="E71" s="100"/>
      <c r="F71" s="102"/>
      <c r="G71" s="104"/>
      <c r="H71" s="100" t="b">
        <v>0</v>
      </c>
      <c r="I71" s="102"/>
      <c r="J71" s="102" t="str">
        <f t="shared" si="4"/>
        <v/>
      </c>
    </row>
    <row r="72" ht="22.5" hidden="1" customHeight="1">
      <c r="A72" s="109"/>
      <c r="B72" s="110" t="str">
        <f t="shared" si="3"/>
        <v/>
      </c>
      <c r="C72" s="147"/>
      <c r="D72" s="147"/>
      <c r="E72" s="111"/>
      <c r="F72" s="115"/>
      <c r="G72" s="112"/>
      <c r="H72" s="111" t="b">
        <v>0</v>
      </c>
      <c r="I72" s="115"/>
      <c r="J72" s="115" t="str">
        <f t="shared" si="4"/>
        <v/>
      </c>
    </row>
    <row r="73" ht="22.5" hidden="1" customHeight="1">
      <c r="A73" s="98"/>
      <c r="B73" s="99" t="str">
        <f t="shared" si="3"/>
        <v/>
      </c>
      <c r="C73" s="144"/>
      <c r="D73" s="144"/>
      <c r="E73" s="100"/>
      <c r="F73" s="102"/>
      <c r="G73" s="104"/>
      <c r="H73" s="100" t="b">
        <v>0</v>
      </c>
      <c r="I73" s="102"/>
      <c r="J73" s="102" t="str">
        <f t="shared" si="4"/>
        <v/>
      </c>
    </row>
    <row r="74" ht="22.5" hidden="1" customHeight="1">
      <c r="A74" s="109"/>
      <c r="B74" s="110" t="str">
        <f t="shared" si="3"/>
        <v/>
      </c>
      <c r="C74" s="147"/>
      <c r="D74" s="147"/>
      <c r="E74" s="111"/>
      <c r="F74" s="115"/>
      <c r="G74" s="112"/>
      <c r="H74" s="111" t="b">
        <v>0</v>
      </c>
      <c r="I74" s="115"/>
      <c r="J74" s="115" t="str">
        <f t="shared" si="4"/>
        <v/>
      </c>
    </row>
    <row r="75" ht="22.5" hidden="1" customHeight="1">
      <c r="A75" s="98"/>
      <c r="B75" s="99" t="str">
        <f t="shared" si="3"/>
        <v/>
      </c>
      <c r="C75" s="144"/>
      <c r="D75" s="144"/>
      <c r="E75" s="100"/>
      <c r="F75" s="102"/>
      <c r="G75" s="104"/>
      <c r="H75" s="100" t="b">
        <v>0</v>
      </c>
      <c r="I75" s="102"/>
      <c r="J75" s="102" t="str">
        <f t="shared" si="4"/>
        <v/>
      </c>
    </row>
    <row r="76" ht="22.5" hidden="1" customHeight="1">
      <c r="A76" s="109"/>
      <c r="B76" s="110" t="str">
        <f t="shared" si="3"/>
        <v/>
      </c>
      <c r="C76" s="147"/>
      <c r="D76" s="147"/>
      <c r="E76" s="111"/>
      <c r="F76" s="115"/>
      <c r="G76" s="112"/>
      <c r="H76" s="111" t="b">
        <v>0</v>
      </c>
      <c r="I76" s="115"/>
      <c r="J76" s="115" t="str">
        <f t="shared" si="4"/>
        <v/>
      </c>
    </row>
    <row r="77" ht="22.5" hidden="1" customHeight="1">
      <c r="A77" s="98"/>
      <c r="B77" s="99" t="str">
        <f t="shared" si="3"/>
        <v/>
      </c>
      <c r="C77" s="144"/>
      <c r="D77" s="144"/>
      <c r="E77" s="100"/>
      <c r="F77" s="102"/>
      <c r="G77" s="104"/>
      <c r="H77" s="100" t="b">
        <v>0</v>
      </c>
      <c r="I77" s="102"/>
      <c r="J77" s="102" t="str">
        <f t="shared" si="4"/>
        <v/>
      </c>
    </row>
    <row r="78" ht="22.5" hidden="1" customHeight="1">
      <c r="A78" s="109"/>
      <c r="B78" s="110" t="str">
        <f t="shared" si="3"/>
        <v/>
      </c>
      <c r="C78" s="147"/>
      <c r="D78" s="147"/>
      <c r="E78" s="111"/>
      <c r="F78" s="115"/>
      <c r="G78" s="112"/>
      <c r="H78" s="111" t="b">
        <v>0</v>
      </c>
      <c r="I78" s="115"/>
      <c r="J78" s="115" t="str">
        <f t="shared" si="4"/>
        <v/>
      </c>
    </row>
    <row r="79" ht="22.5" hidden="1" customHeight="1">
      <c r="A79" s="98"/>
      <c r="B79" s="99" t="str">
        <f t="shared" si="3"/>
        <v/>
      </c>
      <c r="C79" s="144"/>
      <c r="D79" s="144"/>
      <c r="E79" s="100"/>
      <c r="F79" s="102"/>
      <c r="G79" s="104"/>
      <c r="H79" s="100" t="b">
        <v>0</v>
      </c>
      <c r="I79" s="102"/>
      <c r="J79" s="102" t="str">
        <f t="shared" si="4"/>
        <v/>
      </c>
    </row>
    <row r="80" ht="22.5" hidden="1" customHeight="1">
      <c r="A80" s="109"/>
      <c r="B80" s="110" t="str">
        <f t="shared" si="3"/>
        <v/>
      </c>
      <c r="C80" s="147"/>
      <c r="D80" s="147"/>
      <c r="E80" s="111"/>
      <c r="F80" s="115"/>
      <c r="G80" s="112"/>
      <c r="H80" s="111" t="b">
        <v>0</v>
      </c>
      <c r="I80" s="115"/>
      <c r="J80" s="115" t="str">
        <f t="shared" si="4"/>
        <v/>
      </c>
    </row>
    <row r="81" ht="22.5" hidden="1" customHeight="1">
      <c r="A81" s="98"/>
      <c r="B81" s="99" t="str">
        <f t="shared" si="3"/>
        <v/>
      </c>
      <c r="C81" s="144"/>
      <c r="D81" s="144"/>
      <c r="E81" s="100"/>
      <c r="F81" s="102"/>
      <c r="G81" s="104"/>
      <c r="H81" s="100" t="b">
        <v>0</v>
      </c>
      <c r="I81" s="102"/>
      <c r="J81" s="102" t="str">
        <f t="shared" si="4"/>
        <v/>
      </c>
    </row>
    <row r="82" ht="22.5" hidden="1" customHeight="1">
      <c r="A82" s="109"/>
      <c r="B82" s="110" t="str">
        <f t="shared" si="3"/>
        <v/>
      </c>
      <c r="C82" s="147"/>
      <c r="D82" s="147"/>
      <c r="E82" s="111"/>
      <c r="F82" s="115"/>
      <c r="G82" s="112"/>
      <c r="H82" s="111" t="b">
        <v>0</v>
      </c>
      <c r="I82" s="115"/>
      <c r="J82" s="115" t="str">
        <f t="shared" si="4"/>
        <v/>
      </c>
    </row>
    <row r="83" ht="22.5" hidden="1" customHeight="1">
      <c r="A83" s="98"/>
      <c r="B83" s="99" t="str">
        <f t="shared" si="3"/>
        <v/>
      </c>
      <c r="C83" s="144"/>
      <c r="D83" s="144"/>
      <c r="E83" s="100"/>
      <c r="F83" s="102"/>
      <c r="G83" s="104"/>
      <c r="H83" s="100" t="b">
        <v>0</v>
      </c>
      <c r="I83" s="102"/>
      <c r="J83" s="102" t="str">
        <f t="shared" si="4"/>
        <v/>
      </c>
    </row>
    <row r="84" ht="22.5" hidden="1" customHeight="1">
      <c r="A84" s="109"/>
      <c r="B84" s="110" t="str">
        <f t="shared" si="3"/>
        <v/>
      </c>
      <c r="C84" s="147"/>
      <c r="D84" s="147"/>
      <c r="E84" s="111"/>
      <c r="F84" s="115"/>
      <c r="G84" s="112"/>
      <c r="H84" s="111" t="b">
        <v>0</v>
      </c>
      <c r="I84" s="115"/>
      <c r="J84" s="115" t="str">
        <f t="shared" si="4"/>
        <v/>
      </c>
    </row>
    <row r="85" ht="22.5" hidden="1" customHeight="1">
      <c r="A85" s="98"/>
      <c r="B85" s="99" t="str">
        <f t="shared" si="3"/>
        <v/>
      </c>
      <c r="C85" s="144"/>
      <c r="D85" s="144"/>
      <c r="E85" s="100"/>
      <c r="F85" s="102"/>
      <c r="G85" s="104"/>
      <c r="H85" s="100" t="b">
        <v>0</v>
      </c>
      <c r="I85" s="102"/>
      <c r="J85" s="102" t="str">
        <f t="shared" si="4"/>
        <v/>
      </c>
    </row>
    <row r="86" ht="22.5" hidden="1" customHeight="1">
      <c r="A86" s="109"/>
      <c r="B86" s="110" t="str">
        <f t="shared" si="3"/>
        <v/>
      </c>
      <c r="C86" s="147"/>
      <c r="D86" s="147"/>
      <c r="E86" s="111"/>
      <c r="F86" s="115"/>
      <c r="G86" s="112"/>
      <c r="H86" s="111" t="b">
        <v>0</v>
      </c>
      <c r="I86" s="115"/>
      <c r="J86" s="115" t="str">
        <f t="shared" si="4"/>
        <v/>
      </c>
    </row>
    <row r="87" ht="22.5" hidden="1" customHeight="1">
      <c r="A87" s="98"/>
      <c r="B87" s="99" t="str">
        <f t="shared" si="3"/>
        <v/>
      </c>
      <c r="C87" s="144"/>
      <c r="D87" s="144"/>
      <c r="E87" s="100"/>
      <c r="F87" s="102"/>
      <c r="G87" s="104"/>
      <c r="H87" s="100" t="b">
        <v>0</v>
      </c>
      <c r="I87" s="102"/>
      <c r="J87" s="102" t="str">
        <f t="shared" si="4"/>
        <v/>
      </c>
    </row>
    <row r="88" ht="22.5" hidden="1" customHeight="1">
      <c r="A88" s="109"/>
      <c r="B88" s="110" t="str">
        <f t="shared" si="3"/>
        <v/>
      </c>
      <c r="C88" s="147"/>
      <c r="D88" s="147"/>
      <c r="E88" s="111"/>
      <c r="F88" s="115"/>
      <c r="G88" s="112"/>
      <c r="H88" s="111" t="b">
        <v>0</v>
      </c>
      <c r="I88" s="115"/>
      <c r="J88" s="115" t="str">
        <f t="shared" si="4"/>
        <v/>
      </c>
    </row>
    <row r="89" ht="22.5" hidden="1" customHeight="1">
      <c r="A89" s="98"/>
      <c r="B89" s="99" t="str">
        <f t="shared" si="3"/>
        <v/>
      </c>
      <c r="C89" s="144"/>
      <c r="D89" s="144"/>
      <c r="E89" s="100"/>
      <c r="F89" s="102"/>
      <c r="G89" s="104"/>
      <c r="H89" s="100" t="b">
        <v>0</v>
      </c>
      <c r="I89" s="102"/>
      <c r="J89" s="102" t="str">
        <f t="shared" si="4"/>
        <v/>
      </c>
    </row>
    <row r="90" ht="22.5" hidden="1" customHeight="1">
      <c r="A90" s="109"/>
      <c r="B90" s="110" t="str">
        <f t="shared" si="3"/>
        <v/>
      </c>
      <c r="C90" s="147"/>
      <c r="D90" s="147"/>
      <c r="E90" s="111"/>
      <c r="F90" s="115"/>
      <c r="G90" s="112"/>
      <c r="H90" s="111" t="b">
        <v>0</v>
      </c>
      <c r="I90" s="115"/>
      <c r="J90" s="115" t="str">
        <f t="shared" si="4"/>
        <v/>
      </c>
    </row>
    <row r="91" ht="22.5" hidden="1" customHeight="1">
      <c r="A91" s="98"/>
      <c r="B91" s="99" t="str">
        <f t="shared" si="3"/>
        <v/>
      </c>
      <c r="C91" s="144"/>
      <c r="D91" s="144"/>
      <c r="E91" s="100"/>
      <c r="F91" s="102"/>
      <c r="G91" s="104"/>
      <c r="H91" s="100" t="b">
        <v>0</v>
      </c>
      <c r="I91" s="102"/>
      <c r="J91" s="102" t="str">
        <f t="shared" si="4"/>
        <v/>
      </c>
    </row>
    <row r="92" ht="22.5" hidden="1" customHeight="1">
      <c r="A92" s="109"/>
      <c r="B92" s="110" t="str">
        <f t="shared" si="3"/>
        <v/>
      </c>
      <c r="C92" s="147"/>
      <c r="D92" s="147"/>
      <c r="E92" s="111"/>
      <c r="F92" s="115"/>
      <c r="G92" s="112"/>
      <c r="H92" s="111" t="b">
        <v>0</v>
      </c>
      <c r="I92" s="115"/>
      <c r="J92" s="115" t="str">
        <f t="shared" si="4"/>
        <v/>
      </c>
    </row>
    <row r="93" ht="22.5" hidden="1" customHeight="1">
      <c r="A93" s="98"/>
      <c r="B93" s="99" t="str">
        <f t="shared" si="3"/>
        <v/>
      </c>
      <c r="C93" s="144"/>
      <c r="D93" s="144"/>
      <c r="E93" s="100"/>
      <c r="F93" s="102"/>
      <c r="G93" s="104"/>
      <c r="H93" s="100" t="b">
        <v>0</v>
      </c>
      <c r="I93" s="102"/>
      <c r="J93" s="102" t="str">
        <f t="shared" si="4"/>
        <v/>
      </c>
    </row>
    <row r="94" ht="22.5" hidden="1" customHeight="1">
      <c r="A94" s="109"/>
      <c r="B94" s="110" t="str">
        <f t="shared" si="3"/>
        <v/>
      </c>
      <c r="C94" s="147"/>
      <c r="D94" s="147"/>
      <c r="E94" s="111"/>
      <c r="F94" s="115"/>
      <c r="G94" s="112"/>
      <c r="H94" s="111" t="b">
        <v>0</v>
      </c>
      <c r="I94" s="115"/>
      <c r="J94" s="115" t="str">
        <f t="shared" si="4"/>
        <v/>
      </c>
    </row>
    <row r="95" ht="22.5" hidden="1" customHeight="1">
      <c r="A95" s="98"/>
      <c r="B95" s="99" t="str">
        <f t="shared" si="3"/>
        <v/>
      </c>
      <c r="C95" s="144"/>
      <c r="D95" s="144"/>
      <c r="E95" s="100"/>
      <c r="F95" s="102"/>
      <c r="G95" s="104"/>
      <c r="H95" s="100" t="b">
        <v>0</v>
      </c>
      <c r="I95" s="102"/>
      <c r="J95" s="102" t="str">
        <f t="shared" si="4"/>
        <v/>
      </c>
    </row>
    <row r="96" ht="22.5" hidden="1" customHeight="1">
      <c r="A96" s="109"/>
      <c r="B96" s="110" t="str">
        <f t="shared" si="3"/>
        <v/>
      </c>
      <c r="C96" s="147"/>
      <c r="D96" s="147"/>
      <c r="E96" s="111"/>
      <c r="F96" s="115"/>
      <c r="G96" s="112"/>
      <c r="H96" s="111" t="b">
        <v>0</v>
      </c>
      <c r="I96" s="115"/>
      <c r="J96" s="115" t="str">
        <f t="shared" si="4"/>
        <v/>
      </c>
    </row>
    <row r="97" ht="22.5" hidden="1" customHeight="1">
      <c r="A97" s="98"/>
      <c r="B97" s="99" t="str">
        <f t="shared" si="3"/>
        <v/>
      </c>
      <c r="C97" s="144"/>
      <c r="D97" s="144"/>
      <c r="E97" s="100"/>
      <c r="F97" s="102"/>
      <c r="G97" s="104"/>
      <c r="H97" s="100" t="b">
        <v>0</v>
      </c>
      <c r="I97" s="102"/>
      <c r="J97" s="102" t="str">
        <f t="shared" si="4"/>
        <v/>
      </c>
    </row>
    <row r="98" ht="22.5" hidden="1" customHeight="1">
      <c r="A98" s="109"/>
      <c r="B98" s="110" t="str">
        <f t="shared" si="3"/>
        <v/>
      </c>
      <c r="C98" s="147"/>
      <c r="D98" s="147"/>
      <c r="E98" s="111"/>
      <c r="F98" s="115"/>
      <c r="G98" s="112"/>
      <c r="H98" s="111" t="b">
        <v>0</v>
      </c>
      <c r="I98" s="115"/>
      <c r="J98" s="115" t="str">
        <f t="shared" si="4"/>
        <v/>
      </c>
    </row>
    <row r="99" ht="22.5" hidden="1" customHeight="1">
      <c r="A99" s="98"/>
      <c r="B99" s="99" t="str">
        <f t="shared" si="3"/>
        <v/>
      </c>
      <c r="C99" s="144"/>
      <c r="D99" s="144"/>
      <c r="E99" s="100"/>
      <c r="F99" s="102"/>
      <c r="G99" s="104"/>
      <c r="H99" s="100" t="b">
        <v>0</v>
      </c>
      <c r="I99" s="102"/>
      <c r="J99" s="102" t="str">
        <f t="shared" si="4"/>
        <v/>
      </c>
    </row>
    <row r="100" ht="22.5" hidden="1" customHeight="1">
      <c r="A100" s="109"/>
      <c r="B100" s="110" t="str">
        <f t="shared" si="3"/>
        <v/>
      </c>
      <c r="C100" s="147"/>
      <c r="D100" s="147"/>
      <c r="E100" s="111"/>
      <c r="F100" s="115"/>
      <c r="G100" s="112"/>
      <c r="H100" s="111" t="b">
        <v>0</v>
      </c>
      <c r="I100" s="115"/>
      <c r="J100" s="115" t="str">
        <f t="shared" si="4"/>
        <v/>
      </c>
    </row>
    <row r="101" ht="22.5" hidden="1" customHeight="1">
      <c r="A101" s="98"/>
      <c r="B101" s="99" t="str">
        <f t="shared" si="3"/>
        <v/>
      </c>
      <c r="C101" s="144"/>
      <c r="D101" s="144"/>
      <c r="E101" s="100"/>
      <c r="F101" s="102"/>
      <c r="G101" s="104"/>
      <c r="H101" s="100" t="b">
        <v>0</v>
      </c>
      <c r="I101" s="102"/>
      <c r="J101" s="102" t="str">
        <f t="shared" si="4"/>
        <v/>
      </c>
    </row>
    <row r="102" ht="22.5" hidden="1" customHeight="1">
      <c r="A102" s="109"/>
      <c r="B102" s="110" t="str">
        <f t="shared" si="3"/>
        <v/>
      </c>
      <c r="C102" s="147"/>
      <c r="D102" s="147"/>
      <c r="E102" s="111"/>
      <c r="F102" s="115"/>
      <c r="G102" s="112"/>
      <c r="H102" s="111" t="b">
        <v>0</v>
      </c>
      <c r="I102" s="115"/>
      <c r="J102" s="115" t="str">
        <f t="shared" si="4"/>
        <v/>
      </c>
    </row>
    <row r="103" ht="22.5" hidden="1" customHeight="1">
      <c r="A103" s="98"/>
      <c r="B103" s="99" t="str">
        <f t="shared" si="3"/>
        <v/>
      </c>
      <c r="C103" s="144"/>
      <c r="D103" s="144"/>
      <c r="E103" s="100"/>
      <c r="F103" s="102"/>
      <c r="G103" s="104"/>
      <c r="H103" s="100" t="b">
        <v>0</v>
      </c>
      <c r="I103" s="102"/>
      <c r="J103" s="102" t="str">
        <f t="shared" si="4"/>
        <v/>
      </c>
    </row>
    <row r="104" ht="22.5" hidden="1" customHeight="1">
      <c r="A104" s="109"/>
      <c r="B104" s="110" t="str">
        <f t="shared" si="3"/>
        <v/>
      </c>
      <c r="C104" s="147"/>
      <c r="D104" s="147"/>
      <c r="E104" s="111"/>
      <c r="F104" s="115"/>
      <c r="G104" s="112"/>
      <c r="H104" s="111" t="b">
        <v>0</v>
      </c>
      <c r="I104" s="115"/>
      <c r="J104" s="115" t="str">
        <f t="shared" si="4"/>
        <v/>
      </c>
    </row>
    <row r="105" ht="22.5" hidden="1" customHeight="1">
      <c r="A105" s="98"/>
      <c r="B105" s="99" t="str">
        <f t="shared" si="3"/>
        <v/>
      </c>
      <c r="C105" s="144"/>
      <c r="D105" s="144"/>
      <c r="E105" s="100"/>
      <c r="F105" s="102"/>
      <c r="G105" s="104"/>
      <c r="H105" s="100" t="b">
        <v>0</v>
      </c>
      <c r="I105" s="102"/>
      <c r="J105" s="102" t="str">
        <f t="shared" si="4"/>
        <v/>
      </c>
    </row>
    <row r="106" ht="22.5" hidden="1" customHeight="1">
      <c r="A106" s="109"/>
      <c r="B106" s="110" t="str">
        <f t="shared" si="3"/>
        <v/>
      </c>
      <c r="C106" s="147"/>
      <c r="D106" s="147"/>
      <c r="E106" s="111"/>
      <c r="F106" s="115"/>
      <c r="G106" s="112"/>
      <c r="H106" s="111" t="b">
        <v>0</v>
      </c>
      <c r="I106" s="115"/>
      <c r="J106" s="115" t="str">
        <f t="shared" si="4"/>
        <v/>
      </c>
    </row>
    <row r="107" ht="22.5" hidden="1" customHeight="1">
      <c r="A107" s="98"/>
      <c r="B107" s="99" t="str">
        <f t="shared" si="3"/>
        <v/>
      </c>
      <c r="C107" s="144"/>
      <c r="D107" s="144"/>
      <c r="E107" s="100"/>
      <c r="F107" s="102"/>
      <c r="G107" s="104"/>
      <c r="H107" s="100" t="b">
        <v>0</v>
      </c>
      <c r="I107" s="102"/>
      <c r="J107" s="102" t="str">
        <f t="shared" si="4"/>
        <v/>
      </c>
    </row>
    <row r="108" ht="22.5" hidden="1" customHeight="1">
      <c r="A108" s="109"/>
      <c r="B108" s="110" t="str">
        <f t="shared" si="3"/>
        <v/>
      </c>
      <c r="C108" s="147"/>
      <c r="D108" s="147"/>
      <c r="E108" s="111"/>
      <c r="F108" s="115"/>
      <c r="G108" s="112"/>
      <c r="H108" s="111" t="b">
        <v>0</v>
      </c>
      <c r="I108" s="115"/>
      <c r="J108" s="115" t="str">
        <f t="shared" si="4"/>
        <v/>
      </c>
    </row>
    <row r="109" ht="22.5" hidden="1" customHeight="1">
      <c r="A109" s="98"/>
      <c r="B109" s="99" t="str">
        <f t="shared" si="3"/>
        <v/>
      </c>
      <c r="C109" s="144"/>
      <c r="D109" s="144"/>
      <c r="E109" s="100"/>
      <c r="F109" s="102"/>
      <c r="G109" s="104"/>
      <c r="H109" s="100" t="b">
        <v>0</v>
      </c>
      <c r="I109" s="102"/>
      <c r="J109" s="102" t="str">
        <f t="shared" si="4"/>
        <v/>
      </c>
    </row>
    <row r="110" ht="22.5" hidden="1" customHeight="1">
      <c r="A110" s="109"/>
      <c r="B110" s="110" t="str">
        <f t="shared" si="3"/>
        <v/>
      </c>
      <c r="C110" s="147"/>
      <c r="D110" s="147"/>
      <c r="E110" s="111"/>
      <c r="F110" s="115"/>
      <c r="G110" s="112"/>
      <c r="H110" s="111" t="b">
        <v>0</v>
      </c>
      <c r="I110" s="115"/>
      <c r="J110" s="115" t="str">
        <f t="shared" si="4"/>
        <v/>
      </c>
    </row>
    <row r="111" ht="22.5" hidden="1" customHeight="1">
      <c r="A111" s="98"/>
      <c r="B111" s="99" t="str">
        <f t="shared" si="3"/>
        <v/>
      </c>
      <c r="C111" s="144"/>
      <c r="D111" s="144"/>
      <c r="E111" s="100"/>
      <c r="F111" s="102"/>
      <c r="G111" s="104"/>
      <c r="H111" s="100" t="b">
        <v>0</v>
      </c>
      <c r="I111" s="102"/>
      <c r="J111" s="102" t="str">
        <f t="shared" si="4"/>
        <v/>
      </c>
    </row>
    <row r="112" ht="22.5" hidden="1" customHeight="1">
      <c r="A112" s="109"/>
      <c r="B112" s="110" t="str">
        <f t="shared" si="3"/>
        <v/>
      </c>
      <c r="C112" s="147"/>
      <c r="D112" s="147"/>
      <c r="E112" s="111"/>
      <c r="F112" s="115"/>
      <c r="G112" s="112"/>
      <c r="H112" s="111" t="b">
        <v>0</v>
      </c>
      <c r="I112" s="115"/>
      <c r="J112" s="115" t="str">
        <f t="shared" si="4"/>
        <v/>
      </c>
    </row>
    <row r="113" ht="22.5" hidden="1" customHeight="1">
      <c r="A113" s="98"/>
      <c r="B113" s="99" t="str">
        <f t="shared" si="3"/>
        <v/>
      </c>
      <c r="C113" s="144"/>
      <c r="D113" s="144"/>
      <c r="E113" s="100"/>
      <c r="F113" s="102"/>
      <c r="G113" s="104"/>
      <c r="H113" s="100" t="b">
        <v>0</v>
      </c>
      <c r="I113" s="102"/>
      <c r="J113" s="102" t="str">
        <f t="shared" si="4"/>
        <v/>
      </c>
    </row>
    <row r="114" ht="22.5" hidden="1" customHeight="1">
      <c r="A114" s="109"/>
      <c r="B114" s="110" t="str">
        <f t="shared" si="3"/>
        <v/>
      </c>
      <c r="C114" s="147"/>
      <c r="D114" s="147"/>
      <c r="E114" s="111"/>
      <c r="F114" s="115"/>
      <c r="G114" s="112"/>
      <c r="H114" s="111" t="b">
        <v>0</v>
      </c>
      <c r="I114" s="115"/>
      <c r="J114" s="115" t="str">
        <f t="shared" si="4"/>
        <v/>
      </c>
    </row>
    <row r="115" ht="22.5" hidden="1" customHeight="1">
      <c r="A115" s="98"/>
      <c r="B115" s="99" t="str">
        <f t="shared" si="3"/>
        <v/>
      </c>
      <c r="C115" s="144"/>
      <c r="D115" s="144"/>
      <c r="E115" s="100"/>
      <c r="F115" s="102"/>
      <c r="G115" s="104"/>
      <c r="H115" s="100" t="b">
        <v>0</v>
      </c>
      <c r="I115" s="102"/>
      <c r="J115" s="102" t="str">
        <f t="shared" si="4"/>
        <v/>
      </c>
    </row>
    <row r="116" ht="22.5" hidden="1" customHeight="1">
      <c r="A116" s="109"/>
      <c r="B116" s="110" t="str">
        <f t="shared" si="3"/>
        <v/>
      </c>
      <c r="C116" s="147"/>
      <c r="D116" s="147"/>
      <c r="E116" s="111"/>
      <c r="F116" s="115"/>
      <c r="G116" s="112"/>
      <c r="H116" s="111" t="b">
        <v>0</v>
      </c>
      <c r="I116" s="115"/>
      <c r="J116" s="115" t="str">
        <f t="shared" si="4"/>
        <v/>
      </c>
    </row>
    <row r="117" ht="22.5" hidden="1" customHeight="1">
      <c r="A117" s="98"/>
      <c r="B117" s="99" t="str">
        <f t="shared" si="3"/>
        <v/>
      </c>
      <c r="C117" s="144"/>
      <c r="D117" s="144"/>
      <c r="E117" s="100"/>
      <c r="F117" s="102"/>
      <c r="G117" s="104"/>
      <c r="H117" s="100" t="b">
        <v>0</v>
      </c>
      <c r="I117" s="102"/>
      <c r="J117" s="102" t="str">
        <f t="shared" si="4"/>
        <v/>
      </c>
    </row>
    <row r="118" ht="22.5" hidden="1" customHeight="1">
      <c r="A118" s="109"/>
      <c r="B118" s="110" t="str">
        <f t="shared" si="3"/>
        <v/>
      </c>
      <c r="C118" s="147"/>
      <c r="D118" s="147"/>
      <c r="E118" s="111"/>
      <c r="F118" s="115"/>
      <c r="G118" s="112"/>
      <c r="H118" s="111" t="b">
        <v>0</v>
      </c>
      <c r="I118" s="115"/>
      <c r="J118" s="115" t="str">
        <f t="shared" si="4"/>
        <v/>
      </c>
    </row>
    <row r="119" ht="22.5" hidden="1" customHeight="1">
      <c r="A119" s="98"/>
      <c r="B119" s="99" t="str">
        <f t="shared" si="3"/>
        <v/>
      </c>
      <c r="C119" s="144"/>
      <c r="D119" s="144"/>
      <c r="E119" s="100"/>
      <c r="F119" s="102"/>
      <c r="G119" s="104"/>
      <c r="H119" s="100" t="b">
        <v>0</v>
      </c>
      <c r="I119" s="102"/>
      <c r="J119" s="102" t="str">
        <f t="shared" si="4"/>
        <v/>
      </c>
    </row>
    <row r="120" ht="22.5" hidden="1" customHeight="1">
      <c r="A120" s="109"/>
      <c r="B120" s="110" t="str">
        <f t="shared" si="3"/>
        <v/>
      </c>
      <c r="C120" s="147"/>
      <c r="D120" s="147"/>
      <c r="E120" s="111"/>
      <c r="F120" s="115"/>
      <c r="G120" s="112"/>
      <c r="H120" s="111" t="b">
        <v>0</v>
      </c>
      <c r="I120" s="115"/>
      <c r="J120" s="115" t="str">
        <f t="shared" si="4"/>
        <v/>
      </c>
    </row>
    <row r="121" ht="22.5" hidden="1" customHeight="1">
      <c r="A121" s="98"/>
      <c r="B121" s="99" t="str">
        <f t="shared" si="3"/>
        <v/>
      </c>
      <c r="C121" s="144"/>
      <c r="D121" s="144"/>
      <c r="E121" s="100"/>
      <c r="F121" s="102"/>
      <c r="G121" s="104"/>
      <c r="H121" s="100" t="b">
        <v>0</v>
      </c>
      <c r="I121" s="102"/>
      <c r="J121" s="102" t="str">
        <f t="shared" si="4"/>
        <v/>
      </c>
    </row>
    <row r="122" ht="22.5" hidden="1" customHeight="1">
      <c r="A122" s="109"/>
      <c r="B122" s="110" t="str">
        <f t="shared" si="3"/>
        <v/>
      </c>
      <c r="C122" s="147"/>
      <c r="D122" s="147"/>
      <c r="E122" s="111"/>
      <c r="F122" s="115"/>
      <c r="G122" s="112"/>
      <c r="H122" s="111" t="b">
        <v>0</v>
      </c>
      <c r="I122" s="115"/>
      <c r="J122" s="115" t="str">
        <f t="shared" si="4"/>
        <v/>
      </c>
    </row>
    <row r="123" ht="22.5" hidden="1" customHeight="1">
      <c r="A123" s="98"/>
      <c r="B123" s="99" t="str">
        <f t="shared" si="3"/>
        <v/>
      </c>
      <c r="C123" s="144"/>
      <c r="D123" s="144"/>
      <c r="E123" s="100"/>
      <c r="F123" s="102"/>
      <c r="G123" s="104"/>
      <c r="H123" s="100" t="b">
        <v>0</v>
      </c>
      <c r="I123" s="102"/>
      <c r="J123" s="102" t="str">
        <f t="shared" si="4"/>
        <v/>
      </c>
    </row>
    <row r="124" ht="22.5" hidden="1" customHeight="1">
      <c r="A124" s="109"/>
      <c r="B124" s="110" t="str">
        <f t="shared" si="3"/>
        <v/>
      </c>
      <c r="C124" s="147"/>
      <c r="D124" s="147"/>
      <c r="E124" s="111"/>
      <c r="F124" s="115"/>
      <c r="G124" s="112"/>
      <c r="H124" s="111" t="b">
        <v>0</v>
      </c>
      <c r="I124" s="115"/>
      <c r="J124" s="115" t="str">
        <f t="shared" si="4"/>
        <v/>
      </c>
    </row>
    <row r="125" ht="22.5" hidden="1" customHeight="1">
      <c r="A125" s="98"/>
      <c r="B125" s="99" t="str">
        <f t="shared" si="3"/>
        <v/>
      </c>
      <c r="C125" s="144"/>
      <c r="D125" s="144"/>
      <c r="E125" s="100"/>
      <c r="F125" s="102"/>
      <c r="G125" s="104"/>
      <c r="H125" s="100" t="b">
        <v>0</v>
      </c>
      <c r="I125" s="102"/>
      <c r="J125" s="102" t="str">
        <f t="shared" si="4"/>
        <v/>
      </c>
    </row>
    <row r="126" ht="22.5" hidden="1" customHeight="1">
      <c r="A126" s="109"/>
      <c r="B126" s="110" t="str">
        <f t="shared" si="3"/>
        <v/>
      </c>
      <c r="C126" s="147"/>
      <c r="D126" s="147"/>
      <c r="E126" s="111"/>
      <c r="F126" s="115"/>
      <c r="G126" s="112"/>
      <c r="H126" s="111" t="b">
        <v>0</v>
      </c>
      <c r="I126" s="115"/>
      <c r="J126" s="115" t="str">
        <f t="shared" si="4"/>
        <v/>
      </c>
    </row>
    <row r="127" ht="22.5" hidden="1" customHeight="1">
      <c r="A127" s="98"/>
      <c r="B127" s="99" t="str">
        <f t="shared" si="3"/>
        <v/>
      </c>
      <c r="C127" s="144"/>
      <c r="D127" s="144"/>
      <c r="E127" s="100"/>
      <c r="F127" s="102"/>
      <c r="G127" s="104"/>
      <c r="H127" s="100" t="b">
        <v>0</v>
      </c>
      <c r="I127" s="102"/>
      <c r="J127" s="102" t="str">
        <f t="shared" si="4"/>
        <v/>
      </c>
    </row>
    <row r="128" ht="22.5" hidden="1" customHeight="1">
      <c r="A128" s="109"/>
      <c r="B128" s="110" t="str">
        <f t="shared" si="3"/>
        <v/>
      </c>
      <c r="C128" s="147"/>
      <c r="D128" s="147"/>
      <c r="E128" s="111"/>
      <c r="F128" s="115"/>
      <c r="G128" s="112"/>
      <c r="H128" s="111" t="b">
        <v>0</v>
      </c>
      <c r="I128" s="115"/>
      <c r="J128" s="115" t="str">
        <f t="shared" si="4"/>
        <v/>
      </c>
    </row>
    <row r="129" ht="22.5" hidden="1" customHeight="1">
      <c r="A129" s="98"/>
      <c r="B129" s="99" t="str">
        <f t="shared" si="3"/>
        <v/>
      </c>
      <c r="C129" s="144"/>
      <c r="D129" s="144"/>
      <c r="E129" s="100"/>
      <c r="F129" s="102"/>
      <c r="G129" s="104"/>
      <c r="H129" s="100" t="b">
        <v>0</v>
      </c>
      <c r="I129" s="102"/>
      <c r="J129" s="102" t="str">
        <f t="shared" si="4"/>
        <v/>
      </c>
    </row>
    <row r="130" ht="22.5" hidden="1" customHeight="1">
      <c r="A130" s="109"/>
      <c r="B130" s="110" t="str">
        <f t="shared" si="3"/>
        <v/>
      </c>
      <c r="C130" s="147"/>
      <c r="D130" s="147"/>
      <c r="E130" s="111"/>
      <c r="F130" s="115"/>
      <c r="G130" s="112"/>
      <c r="H130" s="111" t="b">
        <v>0</v>
      </c>
      <c r="I130" s="115"/>
      <c r="J130" s="115" t="str">
        <f t="shared" si="4"/>
        <v/>
      </c>
    </row>
    <row r="131" ht="22.5" hidden="1" customHeight="1">
      <c r="A131" s="98"/>
      <c r="B131" s="99" t="str">
        <f t="shared" si="3"/>
        <v/>
      </c>
      <c r="C131" s="144"/>
      <c r="D131" s="144"/>
      <c r="E131" s="100"/>
      <c r="F131" s="102"/>
      <c r="G131" s="104"/>
      <c r="H131" s="100" t="b">
        <v>0</v>
      </c>
      <c r="I131" s="102"/>
      <c r="J131" s="102" t="str">
        <f t="shared" si="4"/>
        <v/>
      </c>
    </row>
    <row r="132" ht="22.5" hidden="1" customHeight="1">
      <c r="A132" s="109"/>
      <c r="B132" s="110" t="str">
        <f t="shared" si="3"/>
        <v/>
      </c>
      <c r="C132" s="147"/>
      <c r="D132" s="147"/>
      <c r="E132" s="111"/>
      <c r="F132" s="115"/>
      <c r="G132" s="112"/>
      <c r="H132" s="111" t="b">
        <v>0</v>
      </c>
      <c r="I132" s="115"/>
      <c r="J132" s="115" t="str">
        <f t="shared" si="4"/>
        <v/>
      </c>
    </row>
    <row r="133" ht="22.5" hidden="1" customHeight="1">
      <c r="A133" s="98"/>
      <c r="B133" s="99" t="str">
        <f t="shared" si="3"/>
        <v/>
      </c>
      <c r="C133" s="144"/>
      <c r="D133" s="144"/>
      <c r="E133" s="100"/>
      <c r="F133" s="102"/>
      <c r="G133" s="104"/>
      <c r="H133" s="100" t="b">
        <v>0</v>
      </c>
      <c r="I133" s="102"/>
      <c r="J133" s="102" t="str">
        <f t="shared" si="4"/>
        <v/>
      </c>
    </row>
    <row r="134" ht="22.5" hidden="1" customHeight="1">
      <c r="A134" s="109"/>
      <c r="B134" s="110" t="str">
        <f t="shared" si="3"/>
        <v/>
      </c>
      <c r="C134" s="147"/>
      <c r="D134" s="147"/>
      <c r="E134" s="111"/>
      <c r="F134" s="115"/>
      <c r="G134" s="112"/>
      <c r="H134" s="111" t="b">
        <v>0</v>
      </c>
      <c r="I134" s="115"/>
      <c r="J134" s="115" t="str">
        <f t="shared" si="4"/>
        <v/>
      </c>
    </row>
    <row r="135" ht="22.5" hidden="1" customHeight="1">
      <c r="A135" s="98"/>
      <c r="B135" s="99" t="str">
        <f t="shared" si="3"/>
        <v/>
      </c>
      <c r="C135" s="144"/>
      <c r="D135" s="144"/>
      <c r="E135" s="100"/>
      <c r="F135" s="102"/>
      <c r="G135" s="104"/>
      <c r="H135" s="100" t="b">
        <v>0</v>
      </c>
      <c r="I135" s="102"/>
      <c r="J135" s="102" t="str">
        <f t="shared" si="4"/>
        <v/>
      </c>
    </row>
    <row r="136" ht="22.5" hidden="1" customHeight="1">
      <c r="A136" s="109"/>
      <c r="B136" s="110" t="str">
        <f t="shared" si="3"/>
        <v/>
      </c>
      <c r="C136" s="147"/>
      <c r="D136" s="147"/>
      <c r="E136" s="111"/>
      <c r="F136" s="115"/>
      <c r="G136" s="112"/>
      <c r="H136" s="111" t="b">
        <v>0</v>
      </c>
      <c r="I136" s="115"/>
      <c r="J136" s="115" t="str">
        <f t="shared" si="4"/>
        <v/>
      </c>
    </row>
    <row r="137" ht="22.5" hidden="1" customHeight="1">
      <c r="A137" s="98"/>
      <c r="B137" s="99" t="str">
        <f t="shared" si="3"/>
        <v/>
      </c>
      <c r="C137" s="144"/>
      <c r="D137" s="144"/>
      <c r="E137" s="100"/>
      <c r="F137" s="102"/>
      <c r="G137" s="104"/>
      <c r="H137" s="100" t="b">
        <v>0</v>
      </c>
      <c r="I137" s="102"/>
      <c r="J137" s="102" t="str">
        <f t="shared" si="4"/>
        <v/>
      </c>
    </row>
    <row r="138" ht="22.5" hidden="1" customHeight="1">
      <c r="A138" s="109"/>
      <c r="B138" s="110" t="str">
        <f t="shared" si="3"/>
        <v/>
      </c>
      <c r="C138" s="147"/>
      <c r="D138" s="147"/>
      <c r="E138" s="111"/>
      <c r="F138" s="115"/>
      <c r="G138" s="112"/>
      <c r="H138" s="111" t="b">
        <v>0</v>
      </c>
      <c r="I138" s="115"/>
      <c r="J138" s="115" t="str">
        <f t="shared" si="4"/>
        <v/>
      </c>
    </row>
    <row r="139" ht="22.5" hidden="1" customHeight="1">
      <c r="A139" s="98"/>
      <c r="B139" s="99" t="str">
        <f t="shared" si="3"/>
        <v/>
      </c>
      <c r="C139" s="144"/>
      <c r="D139" s="144"/>
      <c r="E139" s="100"/>
      <c r="F139" s="102"/>
      <c r="G139" s="104"/>
      <c r="H139" s="100" t="b">
        <v>0</v>
      </c>
      <c r="I139" s="102"/>
      <c r="J139" s="102" t="str">
        <f t="shared" si="4"/>
        <v/>
      </c>
    </row>
    <row r="140" ht="22.5" hidden="1" customHeight="1">
      <c r="A140" s="109"/>
      <c r="B140" s="110" t="str">
        <f t="shared" si="3"/>
        <v/>
      </c>
      <c r="C140" s="147"/>
      <c r="D140" s="147"/>
      <c r="E140" s="111"/>
      <c r="F140" s="115"/>
      <c r="G140" s="112"/>
      <c r="H140" s="111" t="b">
        <v>0</v>
      </c>
      <c r="I140" s="115"/>
      <c r="J140" s="115" t="str">
        <f t="shared" si="4"/>
        <v/>
      </c>
    </row>
    <row r="141" ht="22.5" hidden="1" customHeight="1">
      <c r="A141" s="98"/>
      <c r="B141" s="99" t="str">
        <f t="shared" si="3"/>
        <v/>
      </c>
      <c r="C141" s="144"/>
      <c r="D141" s="144"/>
      <c r="E141" s="100"/>
      <c r="F141" s="102"/>
      <c r="G141" s="104"/>
      <c r="H141" s="100" t="b">
        <v>0</v>
      </c>
      <c r="I141" s="102"/>
      <c r="J141" s="102" t="str">
        <f t="shared" si="4"/>
        <v/>
      </c>
    </row>
    <row r="142" ht="22.5" hidden="1" customHeight="1">
      <c r="A142" s="109"/>
      <c r="B142" s="110" t="str">
        <f t="shared" si="3"/>
        <v/>
      </c>
      <c r="C142" s="147"/>
      <c r="D142" s="147"/>
      <c r="E142" s="111"/>
      <c r="F142" s="115"/>
      <c r="G142" s="112"/>
      <c r="H142" s="111" t="b">
        <v>0</v>
      </c>
      <c r="I142" s="115"/>
      <c r="J142" s="115" t="str">
        <f t="shared" si="4"/>
        <v/>
      </c>
    </row>
    <row r="143" ht="22.5" hidden="1" customHeight="1">
      <c r="A143" s="98"/>
      <c r="B143" s="99" t="str">
        <f t="shared" si="3"/>
        <v/>
      </c>
      <c r="C143" s="144"/>
      <c r="D143" s="144"/>
      <c r="E143" s="100"/>
      <c r="F143" s="102"/>
      <c r="G143" s="104"/>
      <c r="H143" s="100" t="b">
        <v>0</v>
      </c>
      <c r="I143" s="102"/>
      <c r="J143" s="102" t="str">
        <f t="shared" si="4"/>
        <v/>
      </c>
    </row>
    <row r="144" ht="22.5" hidden="1" customHeight="1">
      <c r="A144" s="109"/>
      <c r="B144" s="110" t="str">
        <f t="shared" si="3"/>
        <v/>
      </c>
      <c r="C144" s="147"/>
      <c r="D144" s="147"/>
      <c r="E144" s="111"/>
      <c r="F144" s="115"/>
      <c r="G144" s="112"/>
      <c r="H144" s="111" t="b">
        <v>0</v>
      </c>
      <c r="I144" s="115"/>
      <c r="J144" s="115" t="str">
        <f t="shared" si="4"/>
        <v/>
      </c>
    </row>
    <row r="145" ht="22.5" hidden="1" customHeight="1">
      <c r="A145" s="98"/>
      <c r="B145" s="99" t="str">
        <f t="shared" si="3"/>
        <v/>
      </c>
      <c r="C145" s="144"/>
      <c r="D145" s="144"/>
      <c r="E145" s="100"/>
      <c r="F145" s="102"/>
      <c r="G145" s="104"/>
      <c r="H145" s="100" t="b">
        <v>0</v>
      </c>
      <c r="I145" s="102"/>
      <c r="J145" s="102" t="str">
        <f t="shared" si="4"/>
        <v/>
      </c>
    </row>
    <row r="146" ht="22.5" hidden="1" customHeight="1">
      <c r="A146" s="109"/>
      <c r="B146" s="110" t="str">
        <f t="shared" si="3"/>
        <v/>
      </c>
      <c r="C146" s="147"/>
      <c r="D146" s="147"/>
      <c r="E146" s="111"/>
      <c r="F146" s="115"/>
      <c r="G146" s="112"/>
      <c r="H146" s="111" t="b">
        <v>0</v>
      </c>
      <c r="I146" s="115"/>
      <c r="J146" s="115" t="str">
        <f t="shared" si="4"/>
        <v/>
      </c>
    </row>
    <row r="147" ht="22.5" hidden="1" customHeight="1">
      <c r="A147" s="98"/>
      <c r="B147" s="99" t="str">
        <f t="shared" si="3"/>
        <v/>
      </c>
      <c r="C147" s="144"/>
      <c r="D147" s="144"/>
      <c r="E147" s="100"/>
      <c r="F147" s="102"/>
      <c r="G147" s="104"/>
      <c r="H147" s="100" t="b">
        <v>0</v>
      </c>
      <c r="I147" s="102"/>
      <c r="J147" s="102" t="str">
        <f t="shared" si="4"/>
        <v/>
      </c>
    </row>
    <row r="148" ht="22.5" hidden="1" customHeight="1">
      <c r="A148" s="109"/>
      <c r="B148" s="110" t="str">
        <f t="shared" si="3"/>
        <v/>
      </c>
      <c r="C148" s="147"/>
      <c r="D148" s="147"/>
      <c r="E148" s="111"/>
      <c r="F148" s="115"/>
      <c r="G148" s="112"/>
      <c r="H148" s="111" t="b">
        <v>0</v>
      </c>
      <c r="I148" s="115"/>
      <c r="J148" s="115" t="str">
        <f t="shared" si="4"/>
        <v/>
      </c>
    </row>
    <row r="149" ht="22.5" hidden="1" customHeight="1">
      <c r="A149" s="98"/>
      <c r="B149" s="99" t="str">
        <f t="shared" si="3"/>
        <v/>
      </c>
      <c r="C149" s="144"/>
      <c r="D149" s="144"/>
      <c r="E149" s="100"/>
      <c r="F149" s="102"/>
      <c r="G149" s="104"/>
      <c r="H149" s="100" t="b">
        <v>0</v>
      </c>
      <c r="I149" s="102"/>
      <c r="J149" s="102" t="str">
        <f t="shared" si="4"/>
        <v/>
      </c>
    </row>
    <row r="150" ht="22.5" hidden="1" customHeight="1">
      <c r="A150" s="109"/>
      <c r="B150" s="110" t="str">
        <f t="shared" si="3"/>
        <v/>
      </c>
      <c r="C150" s="147"/>
      <c r="D150" s="147"/>
      <c r="E150" s="111"/>
      <c r="F150" s="115"/>
      <c r="G150" s="112"/>
      <c r="H150" s="111" t="b">
        <v>0</v>
      </c>
      <c r="I150" s="115"/>
      <c r="J150" s="115" t="str">
        <f t="shared" si="4"/>
        <v/>
      </c>
    </row>
    <row r="151" ht="22.5" hidden="1" customHeight="1">
      <c r="A151" s="98"/>
      <c r="B151" s="99" t="str">
        <f t="shared" si="3"/>
        <v/>
      </c>
      <c r="C151" s="144"/>
      <c r="D151" s="144"/>
      <c r="E151" s="100"/>
      <c r="F151" s="102"/>
      <c r="G151" s="104"/>
      <c r="H151" s="100" t="b">
        <v>0</v>
      </c>
      <c r="I151" s="102"/>
      <c r="J151" s="102" t="str">
        <f t="shared" si="4"/>
        <v/>
      </c>
    </row>
    <row r="152" ht="22.5" hidden="1" customHeight="1">
      <c r="A152" s="109"/>
      <c r="B152" s="110" t="str">
        <f t="shared" si="3"/>
        <v/>
      </c>
      <c r="C152" s="147"/>
      <c r="D152" s="147"/>
      <c r="E152" s="111"/>
      <c r="F152" s="115"/>
      <c r="G152" s="112"/>
      <c r="H152" s="111" t="b">
        <v>0</v>
      </c>
      <c r="I152" s="115"/>
      <c r="J152" s="115" t="str">
        <f t="shared" si="4"/>
        <v/>
      </c>
    </row>
    <row r="153" ht="22.5" hidden="1" customHeight="1">
      <c r="A153" s="98"/>
      <c r="B153" s="99" t="str">
        <f t="shared" si="3"/>
        <v/>
      </c>
      <c r="C153" s="144"/>
      <c r="D153" s="144"/>
      <c r="E153" s="100"/>
      <c r="F153" s="102"/>
      <c r="G153" s="104"/>
      <c r="H153" s="100" t="b">
        <v>0</v>
      </c>
      <c r="I153" s="102"/>
      <c r="J153" s="102" t="str">
        <f t="shared" si="4"/>
        <v/>
      </c>
    </row>
    <row r="154" ht="22.5" hidden="1" customHeight="1">
      <c r="A154" s="109"/>
      <c r="B154" s="110" t="str">
        <f t="shared" si="3"/>
        <v/>
      </c>
      <c r="C154" s="147"/>
      <c r="D154" s="147"/>
      <c r="E154" s="111"/>
      <c r="F154" s="115"/>
      <c r="G154" s="112"/>
      <c r="H154" s="111" t="b">
        <v>0</v>
      </c>
      <c r="I154" s="115"/>
      <c r="J154" s="115" t="str">
        <f t="shared" si="4"/>
        <v/>
      </c>
    </row>
    <row r="155" ht="22.5" hidden="1" customHeight="1">
      <c r="A155" s="98"/>
      <c r="B155" s="99" t="str">
        <f t="shared" si="3"/>
        <v/>
      </c>
      <c r="C155" s="144"/>
      <c r="D155" s="144"/>
      <c r="E155" s="100"/>
      <c r="F155" s="102"/>
      <c r="G155" s="104"/>
      <c r="H155" s="100" t="b">
        <v>0</v>
      </c>
      <c r="I155" s="102"/>
      <c r="J155" s="102" t="str">
        <f t="shared" si="4"/>
        <v/>
      </c>
    </row>
    <row r="156" ht="22.5" hidden="1" customHeight="1">
      <c r="A156" s="109"/>
      <c r="B156" s="110" t="str">
        <f t="shared" si="3"/>
        <v/>
      </c>
      <c r="C156" s="147"/>
      <c r="D156" s="147"/>
      <c r="E156" s="111"/>
      <c r="F156" s="115"/>
      <c r="G156" s="112"/>
      <c r="H156" s="111" t="b">
        <v>0</v>
      </c>
      <c r="I156" s="115"/>
      <c r="J156" s="115" t="str">
        <f t="shared" si="4"/>
        <v/>
      </c>
    </row>
    <row r="157" ht="22.5" hidden="1" customHeight="1">
      <c r="A157" s="98"/>
      <c r="B157" s="99" t="str">
        <f t="shared" si="3"/>
        <v/>
      </c>
      <c r="C157" s="144"/>
      <c r="D157" s="144"/>
      <c r="E157" s="100"/>
      <c r="F157" s="102"/>
      <c r="G157" s="104"/>
      <c r="H157" s="100" t="b">
        <v>0</v>
      </c>
      <c r="I157" s="102"/>
      <c r="J157" s="102" t="str">
        <f t="shared" si="4"/>
        <v/>
      </c>
    </row>
    <row r="158" ht="22.5" hidden="1" customHeight="1">
      <c r="A158" s="109"/>
      <c r="B158" s="110" t="str">
        <f t="shared" si="3"/>
        <v/>
      </c>
      <c r="C158" s="147"/>
      <c r="D158" s="147"/>
      <c r="E158" s="111"/>
      <c r="F158" s="115"/>
      <c r="G158" s="112"/>
      <c r="H158" s="111" t="b">
        <v>0</v>
      </c>
      <c r="I158" s="115"/>
      <c r="J158" s="115" t="str">
        <f t="shared" si="4"/>
        <v/>
      </c>
    </row>
    <row r="159" ht="22.5" hidden="1" customHeight="1">
      <c r="A159" s="98"/>
      <c r="B159" s="99" t="str">
        <f t="shared" si="3"/>
        <v/>
      </c>
      <c r="C159" s="144"/>
      <c r="D159" s="144"/>
      <c r="E159" s="100"/>
      <c r="F159" s="102"/>
      <c r="G159" s="104"/>
      <c r="H159" s="100" t="b">
        <v>0</v>
      </c>
      <c r="I159" s="102"/>
      <c r="J159" s="102" t="str">
        <f t="shared" si="4"/>
        <v/>
      </c>
    </row>
    <row r="160" ht="22.5" hidden="1" customHeight="1">
      <c r="A160" s="109"/>
      <c r="B160" s="110" t="str">
        <f t="shared" si="3"/>
        <v/>
      </c>
      <c r="C160" s="147"/>
      <c r="D160" s="147"/>
      <c r="E160" s="111"/>
      <c r="F160" s="115"/>
      <c r="G160" s="112"/>
      <c r="H160" s="111" t="b">
        <v>0</v>
      </c>
      <c r="I160" s="115"/>
      <c r="J160" s="115" t="str">
        <f t="shared" si="4"/>
        <v/>
      </c>
    </row>
    <row r="161" ht="22.5" hidden="1" customHeight="1">
      <c r="A161" s="98"/>
      <c r="B161" s="99" t="str">
        <f t="shared" si="3"/>
        <v/>
      </c>
      <c r="C161" s="144"/>
      <c r="D161" s="144"/>
      <c r="E161" s="100"/>
      <c r="F161" s="102"/>
      <c r="G161" s="104"/>
      <c r="H161" s="100" t="b">
        <v>0</v>
      </c>
      <c r="I161" s="102"/>
      <c r="J161" s="102" t="str">
        <f t="shared" si="4"/>
        <v/>
      </c>
    </row>
    <row r="162" ht="22.5" hidden="1" customHeight="1">
      <c r="A162" s="109"/>
      <c r="B162" s="110" t="str">
        <f t="shared" si="3"/>
        <v/>
      </c>
      <c r="C162" s="147"/>
      <c r="D162" s="147"/>
      <c r="E162" s="111"/>
      <c r="F162" s="115"/>
      <c r="G162" s="112"/>
      <c r="H162" s="111" t="b">
        <v>0</v>
      </c>
      <c r="I162" s="115"/>
      <c r="J162" s="115" t="str">
        <f t="shared" si="4"/>
        <v/>
      </c>
    </row>
    <row r="163" ht="22.5" hidden="1" customHeight="1">
      <c r="A163" s="98"/>
      <c r="B163" s="99" t="str">
        <f t="shared" si="3"/>
        <v/>
      </c>
      <c r="C163" s="144"/>
      <c r="D163" s="144"/>
      <c r="E163" s="100"/>
      <c r="F163" s="102"/>
      <c r="G163" s="104"/>
      <c r="H163" s="100" t="b">
        <v>0</v>
      </c>
      <c r="I163" s="102"/>
      <c r="J163" s="102" t="str">
        <f t="shared" si="4"/>
        <v/>
      </c>
    </row>
    <row r="164" ht="22.5" hidden="1" customHeight="1">
      <c r="A164" s="109"/>
      <c r="B164" s="110" t="str">
        <f t="shared" si="3"/>
        <v/>
      </c>
      <c r="C164" s="147"/>
      <c r="D164" s="147"/>
      <c r="E164" s="111"/>
      <c r="F164" s="115"/>
      <c r="G164" s="112"/>
      <c r="H164" s="111" t="b">
        <v>0</v>
      </c>
      <c r="I164" s="115"/>
      <c r="J164" s="115" t="str">
        <f t="shared" si="4"/>
        <v/>
      </c>
    </row>
    <row r="165" ht="22.5" hidden="1" customHeight="1">
      <c r="A165" s="98"/>
      <c r="B165" s="99" t="str">
        <f t="shared" si="3"/>
        <v/>
      </c>
      <c r="C165" s="144"/>
      <c r="D165" s="144"/>
      <c r="E165" s="100"/>
      <c r="F165" s="102"/>
      <c r="G165" s="104"/>
      <c r="H165" s="100" t="b">
        <v>0</v>
      </c>
      <c r="I165" s="102"/>
      <c r="J165" s="102" t="str">
        <f t="shared" si="4"/>
        <v/>
      </c>
    </row>
    <row r="166" ht="22.5" hidden="1" customHeight="1">
      <c r="A166" s="109"/>
      <c r="B166" s="110" t="str">
        <f t="shared" si="3"/>
        <v/>
      </c>
      <c r="C166" s="147"/>
      <c r="D166" s="147"/>
      <c r="E166" s="111"/>
      <c r="F166" s="115"/>
      <c r="G166" s="112"/>
      <c r="H166" s="111" t="b">
        <v>0</v>
      </c>
      <c r="I166" s="115"/>
      <c r="J166" s="115" t="str">
        <f t="shared" si="4"/>
        <v/>
      </c>
    </row>
    <row r="167" ht="22.5" hidden="1" customHeight="1">
      <c r="A167" s="98"/>
      <c r="B167" s="99" t="str">
        <f t="shared" si="3"/>
        <v/>
      </c>
      <c r="C167" s="144"/>
      <c r="D167" s="144"/>
      <c r="E167" s="100"/>
      <c r="F167" s="102"/>
      <c r="G167" s="104"/>
      <c r="H167" s="100" t="b">
        <v>0</v>
      </c>
      <c r="I167" s="102"/>
      <c r="J167" s="102" t="str">
        <f t="shared" si="4"/>
        <v/>
      </c>
    </row>
    <row r="168" ht="22.5" hidden="1" customHeight="1">
      <c r="A168" s="109"/>
      <c r="B168" s="110" t="str">
        <f t="shared" si="3"/>
        <v/>
      </c>
      <c r="C168" s="147"/>
      <c r="D168" s="147"/>
      <c r="E168" s="111"/>
      <c r="F168" s="115"/>
      <c r="G168" s="112"/>
      <c r="H168" s="111" t="b">
        <v>0</v>
      </c>
      <c r="I168" s="115"/>
      <c r="J168" s="115" t="str">
        <f t="shared" si="4"/>
        <v/>
      </c>
    </row>
    <row r="169" ht="22.5" hidden="1" customHeight="1">
      <c r="A169" s="98"/>
      <c r="B169" s="99" t="str">
        <f t="shared" si="3"/>
        <v/>
      </c>
      <c r="C169" s="144"/>
      <c r="D169" s="144"/>
      <c r="E169" s="100"/>
      <c r="F169" s="102"/>
      <c r="G169" s="104"/>
      <c r="H169" s="100" t="b">
        <v>0</v>
      </c>
      <c r="I169" s="102"/>
      <c r="J169" s="102" t="str">
        <f t="shared" si="4"/>
        <v/>
      </c>
    </row>
    <row r="170" ht="22.5" hidden="1" customHeight="1">
      <c r="A170" s="109"/>
      <c r="B170" s="110" t="str">
        <f t="shared" si="3"/>
        <v/>
      </c>
      <c r="C170" s="147"/>
      <c r="D170" s="147"/>
      <c r="E170" s="111"/>
      <c r="F170" s="115"/>
      <c r="G170" s="112"/>
      <c r="H170" s="111" t="b">
        <v>0</v>
      </c>
      <c r="I170" s="115"/>
      <c r="J170" s="115" t="str">
        <f t="shared" si="4"/>
        <v/>
      </c>
    </row>
    <row r="171" ht="22.5" hidden="1" customHeight="1">
      <c r="A171" s="98"/>
      <c r="B171" s="99" t="str">
        <f t="shared" si="3"/>
        <v/>
      </c>
      <c r="C171" s="144"/>
      <c r="D171" s="144"/>
      <c r="E171" s="100"/>
      <c r="F171" s="102"/>
      <c r="G171" s="104"/>
      <c r="H171" s="100" t="b">
        <v>0</v>
      </c>
      <c r="I171" s="102"/>
      <c r="J171" s="102" t="str">
        <f t="shared" si="4"/>
        <v/>
      </c>
    </row>
    <row r="172" ht="22.5" hidden="1" customHeight="1">
      <c r="A172" s="109"/>
      <c r="B172" s="110" t="str">
        <f t="shared" si="3"/>
        <v/>
      </c>
      <c r="C172" s="147"/>
      <c r="D172" s="147"/>
      <c r="E172" s="111"/>
      <c r="F172" s="115"/>
      <c r="G172" s="112"/>
      <c r="H172" s="111" t="b">
        <v>0</v>
      </c>
      <c r="I172" s="115"/>
      <c r="J172" s="115" t="str">
        <f t="shared" si="4"/>
        <v/>
      </c>
    </row>
    <row r="173" ht="22.5" hidden="1" customHeight="1">
      <c r="A173" s="98"/>
      <c r="B173" s="99" t="str">
        <f t="shared" si="3"/>
        <v/>
      </c>
      <c r="C173" s="144"/>
      <c r="D173" s="144"/>
      <c r="E173" s="100"/>
      <c r="F173" s="102"/>
      <c r="G173" s="104"/>
      <c r="H173" s="100" t="b">
        <v>0</v>
      </c>
      <c r="I173" s="102"/>
      <c r="J173" s="102" t="str">
        <f t="shared" si="4"/>
        <v/>
      </c>
    </row>
    <row r="174" ht="22.5" hidden="1" customHeight="1">
      <c r="A174" s="109"/>
      <c r="B174" s="110" t="str">
        <f t="shared" si="3"/>
        <v/>
      </c>
      <c r="C174" s="147"/>
      <c r="D174" s="147"/>
      <c r="E174" s="111"/>
      <c r="F174" s="115"/>
      <c r="G174" s="112"/>
      <c r="H174" s="111" t="b">
        <v>0</v>
      </c>
      <c r="I174" s="115"/>
      <c r="J174" s="115" t="str">
        <f t="shared" si="4"/>
        <v/>
      </c>
    </row>
    <row r="175" ht="22.5" hidden="1" customHeight="1">
      <c r="A175" s="98"/>
      <c r="B175" s="99" t="str">
        <f t="shared" si="3"/>
        <v/>
      </c>
      <c r="C175" s="144"/>
      <c r="D175" s="144"/>
      <c r="E175" s="100"/>
      <c r="F175" s="102"/>
      <c r="G175" s="104"/>
      <c r="H175" s="100" t="b">
        <v>0</v>
      </c>
      <c r="I175" s="102"/>
      <c r="J175" s="102" t="str">
        <f t="shared" si="4"/>
        <v/>
      </c>
    </row>
    <row r="176" ht="22.5" hidden="1" customHeight="1">
      <c r="A176" s="109"/>
      <c r="B176" s="110" t="str">
        <f t="shared" si="3"/>
        <v/>
      </c>
      <c r="C176" s="147"/>
      <c r="D176" s="147"/>
      <c r="E176" s="111"/>
      <c r="F176" s="115"/>
      <c r="G176" s="112"/>
      <c r="H176" s="111" t="b">
        <v>0</v>
      </c>
      <c r="I176" s="115"/>
      <c r="J176" s="115" t="str">
        <f t="shared" si="4"/>
        <v/>
      </c>
    </row>
    <row r="177" ht="22.5" hidden="1" customHeight="1">
      <c r="A177" s="98"/>
      <c r="B177" s="99" t="str">
        <f t="shared" si="3"/>
        <v/>
      </c>
      <c r="C177" s="144"/>
      <c r="D177" s="144"/>
      <c r="E177" s="100"/>
      <c r="F177" s="102"/>
      <c r="G177" s="104"/>
      <c r="H177" s="100" t="b">
        <v>0</v>
      </c>
      <c r="I177" s="102"/>
      <c r="J177" s="102" t="str">
        <f t="shared" si="4"/>
        <v/>
      </c>
    </row>
    <row r="178" ht="22.5" hidden="1" customHeight="1">
      <c r="A178" s="109"/>
      <c r="B178" s="110" t="str">
        <f t="shared" si="3"/>
        <v/>
      </c>
      <c r="C178" s="147"/>
      <c r="D178" s="147"/>
      <c r="E178" s="111"/>
      <c r="F178" s="115"/>
      <c r="G178" s="112"/>
      <c r="H178" s="111" t="b">
        <v>0</v>
      </c>
      <c r="I178" s="115"/>
      <c r="J178" s="115" t="str">
        <f t="shared" si="4"/>
        <v/>
      </c>
    </row>
    <row r="179" ht="22.5" hidden="1" customHeight="1">
      <c r="A179" s="98"/>
      <c r="B179" s="99" t="str">
        <f t="shared" si="3"/>
        <v/>
      </c>
      <c r="C179" s="144"/>
      <c r="D179" s="144"/>
      <c r="E179" s="100"/>
      <c r="F179" s="102"/>
      <c r="G179" s="104"/>
      <c r="H179" s="100" t="b">
        <v>0</v>
      </c>
      <c r="I179" s="102"/>
      <c r="J179" s="102" t="str">
        <f t="shared" si="4"/>
        <v/>
      </c>
    </row>
    <row r="180" ht="22.5" hidden="1" customHeight="1">
      <c r="A180" s="109"/>
      <c r="B180" s="110" t="str">
        <f t="shared" si="3"/>
        <v/>
      </c>
      <c r="C180" s="147"/>
      <c r="D180" s="147"/>
      <c r="E180" s="111"/>
      <c r="F180" s="115"/>
      <c r="G180" s="112"/>
      <c r="H180" s="111" t="b">
        <v>0</v>
      </c>
      <c r="I180" s="115"/>
      <c r="J180" s="115" t="str">
        <f t="shared" si="4"/>
        <v/>
      </c>
    </row>
    <row r="181" ht="22.5" hidden="1" customHeight="1">
      <c r="A181" s="98"/>
      <c r="B181" s="99" t="str">
        <f t="shared" si="3"/>
        <v/>
      </c>
      <c r="C181" s="144"/>
      <c r="D181" s="144"/>
      <c r="E181" s="100"/>
      <c r="F181" s="102"/>
      <c r="G181" s="104"/>
      <c r="H181" s="100" t="b">
        <v>0</v>
      </c>
      <c r="I181" s="102"/>
      <c r="J181" s="102" t="str">
        <f t="shared" si="4"/>
        <v/>
      </c>
    </row>
    <row r="182" ht="22.5" hidden="1" customHeight="1">
      <c r="A182" s="109"/>
      <c r="B182" s="110" t="str">
        <f t="shared" si="3"/>
        <v/>
      </c>
      <c r="C182" s="147"/>
      <c r="D182" s="147"/>
      <c r="E182" s="111"/>
      <c r="F182" s="115"/>
      <c r="G182" s="112"/>
      <c r="H182" s="111" t="b">
        <v>0</v>
      </c>
      <c r="I182" s="115"/>
      <c r="J182" s="115" t="str">
        <f t="shared" si="4"/>
        <v/>
      </c>
    </row>
    <row r="183" ht="22.5" hidden="1" customHeight="1">
      <c r="A183" s="98"/>
      <c r="B183" s="99" t="str">
        <f t="shared" si="3"/>
        <v/>
      </c>
      <c r="C183" s="144"/>
      <c r="D183" s="144"/>
      <c r="E183" s="100"/>
      <c r="F183" s="102"/>
      <c r="G183" s="104"/>
      <c r="H183" s="100" t="b">
        <v>0</v>
      </c>
      <c r="I183" s="102"/>
      <c r="J183" s="102" t="str">
        <f t="shared" si="4"/>
        <v/>
      </c>
    </row>
    <row r="184" ht="22.5" hidden="1" customHeight="1">
      <c r="A184" s="109"/>
      <c r="B184" s="110" t="str">
        <f t="shared" si="3"/>
        <v/>
      </c>
      <c r="C184" s="147"/>
      <c r="D184" s="147"/>
      <c r="E184" s="111"/>
      <c r="F184" s="115"/>
      <c r="G184" s="112"/>
      <c r="H184" s="111" t="b">
        <v>0</v>
      </c>
      <c r="I184" s="115"/>
      <c r="J184" s="115" t="str">
        <f t="shared" si="4"/>
        <v/>
      </c>
    </row>
    <row r="185" ht="22.5" hidden="1" customHeight="1">
      <c r="A185" s="98"/>
      <c r="B185" s="99" t="str">
        <f t="shared" si="3"/>
        <v/>
      </c>
      <c r="C185" s="144"/>
      <c r="D185" s="144"/>
      <c r="E185" s="100"/>
      <c r="F185" s="102"/>
      <c r="G185" s="104"/>
      <c r="H185" s="100" t="b">
        <v>0</v>
      </c>
      <c r="I185" s="102"/>
      <c r="J185" s="102" t="str">
        <f t="shared" si="4"/>
        <v/>
      </c>
    </row>
    <row r="186" ht="22.5" hidden="1" customHeight="1">
      <c r="A186" s="109"/>
      <c r="B186" s="110" t="str">
        <f t="shared" si="3"/>
        <v/>
      </c>
      <c r="C186" s="147"/>
      <c r="D186" s="147"/>
      <c r="E186" s="111"/>
      <c r="F186" s="115"/>
      <c r="G186" s="112"/>
      <c r="H186" s="111" t="b">
        <v>0</v>
      </c>
      <c r="I186" s="115"/>
      <c r="J186" s="115" t="str">
        <f t="shared" si="4"/>
        <v/>
      </c>
    </row>
    <row r="187" ht="22.5" hidden="1" customHeight="1">
      <c r="A187" s="98"/>
      <c r="B187" s="99" t="str">
        <f t="shared" si="3"/>
        <v/>
      </c>
      <c r="C187" s="144"/>
      <c r="D187" s="144"/>
      <c r="E187" s="100"/>
      <c r="F187" s="102"/>
      <c r="G187" s="104"/>
      <c r="H187" s="100" t="b">
        <v>0</v>
      </c>
      <c r="I187" s="102"/>
      <c r="J187" s="102" t="str">
        <f t="shared" si="4"/>
        <v/>
      </c>
    </row>
    <row r="188" ht="22.5" hidden="1" customHeight="1">
      <c r="A188" s="109"/>
      <c r="B188" s="110" t="str">
        <f t="shared" si="3"/>
        <v/>
      </c>
      <c r="C188" s="147"/>
      <c r="D188" s="147"/>
      <c r="E188" s="111"/>
      <c r="F188" s="115"/>
      <c r="G188" s="112"/>
      <c r="H188" s="111" t="b">
        <v>0</v>
      </c>
      <c r="I188" s="115"/>
      <c r="J188" s="115" t="str">
        <f t="shared" si="4"/>
        <v/>
      </c>
    </row>
    <row r="189" ht="22.5" hidden="1" customHeight="1">
      <c r="A189" s="98"/>
      <c r="B189" s="99" t="str">
        <f t="shared" si="3"/>
        <v/>
      </c>
      <c r="C189" s="144"/>
      <c r="D189" s="144"/>
      <c r="E189" s="100"/>
      <c r="F189" s="102"/>
      <c r="G189" s="104"/>
      <c r="H189" s="100" t="b">
        <v>0</v>
      </c>
      <c r="I189" s="102"/>
      <c r="J189" s="102" t="str">
        <f t="shared" si="4"/>
        <v/>
      </c>
    </row>
    <row r="190" ht="22.5" hidden="1" customHeight="1">
      <c r="A190" s="109"/>
      <c r="B190" s="110" t="str">
        <f t="shared" si="3"/>
        <v/>
      </c>
      <c r="C190" s="147"/>
      <c r="D190" s="147"/>
      <c r="E190" s="111"/>
      <c r="F190" s="115"/>
      <c r="G190" s="112"/>
      <c r="H190" s="111" t="b">
        <v>0</v>
      </c>
      <c r="I190" s="115"/>
      <c r="J190" s="115" t="str">
        <f t="shared" si="4"/>
        <v/>
      </c>
    </row>
    <row r="191" ht="22.5" hidden="1" customHeight="1">
      <c r="A191" s="98"/>
      <c r="B191" s="99" t="str">
        <f t="shared" si="3"/>
        <v/>
      </c>
      <c r="C191" s="144"/>
      <c r="D191" s="144"/>
      <c r="E191" s="100"/>
      <c r="F191" s="102"/>
      <c r="G191" s="104"/>
      <c r="H191" s="100" t="b">
        <v>0</v>
      </c>
      <c r="I191" s="102"/>
      <c r="J191" s="102" t="str">
        <f t="shared" si="4"/>
        <v/>
      </c>
    </row>
    <row r="192" ht="22.5" hidden="1" customHeight="1">
      <c r="A192" s="109"/>
      <c r="B192" s="110" t="str">
        <f t="shared" si="3"/>
        <v/>
      </c>
      <c r="C192" s="147"/>
      <c r="D192" s="147"/>
      <c r="E192" s="111"/>
      <c r="F192" s="115"/>
      <c r="G192" s="112"/>
      <c r="H192" s="111" t="b">
        <v>0</v>
      </c>
      <c r="I192" s="115"/>
      <c r="J192" s="115" t="str">
        <f t="shared" si="4"/>
        <v/>
      </c>
    </row>
    <row r="193" ht="22.5" hidden="1" customHeight="1">
      <c r="A193" s="98"/>
      <c r="B193" s="99" t="str">
        <f t="shared" si="3"/>
        <v/>
      </c>
      <c r="C193" s="144"/>
      <c r="D193" s="144"/>
      <c r="E193" s="100"/>
      <c r="F193" s="102"/>
      <c r="G193" s="104"/>
      <c r="H193" s="100" t="b">
        <v>0</v>
      </c>
      <c r="I193" s="102"/>
      <c r="J193" s="102" t="str">
        <f t="shared" si="4"/>
        <v/>
      </c>
    </row>
    <row r="194" ht="22.5" hidden="1" customHeight="1">
      <c r="A194" s="109"/>
      <c r="B194" s="110" t="str">
        <f t="shared" si="3"/>
        <v/>
      </c>
      <c r="C194" s="147"/>
      <c r="D194" s="147"/>
      <c r="E194" s="111"/>
      <c r="F194" s="115"/>
      <c r="G194" s="112"/>
      <c r="H194" s="111" t="b">
        <v>0</v>
      </c>
      <c r="I194" s="115"/>
      <c r="J194" s="115" t="str">
        <f t="shared" si="4"/>
        <v/>
      </c>
    </row>
    <row r="195" ht="22.5" hidden="1" customHeight="1">
      <c r="A195" s="98"/>
      <c r="B195" s="99" t="str">
        <f t="shared" si="3"/>
        <v/>
      </c>
      <c r="C195" s="144"/>
      <c r="D195" s="144"/>
      <c r="E195" s="100"/>
      <c r="F195" s="102"/>
      <c r="G195" s="104"/>
      <c r="H195" s="100" t="b">
        <v>0</v>
      </c>
      <c r="I195" s="102"/>
      <c r="J195" s="102" t="str">
        <f t="shared" si="4"/>
        <v/>
      </c>
    </row>
    <row r="196" ht="22.5" hidden="1" customHeight="1">
      <c r="A196" s="109"/>
      <c r="B196" s="110" t="str">
        <f t="shared" si="3"/>
        <v/>
      </c>
      <c r="C196" s="147"/>
      <c r="D196" s="147"/>
      <c r="E196" s="111"/>
      <c r="F196" s="115"/>
      <c r="G196" s="112"/>
      <c r="H196" s="111" t="b">
        <v>0</v>
      </c>
      <c r="I196" s="115"/>
      <c r="J196" s="115" t="str">
        <f t="shared" si="4"/>
        <v/>
      </c>
    </row>
    <row r="197" ht="22.5" hidden="1" customHeight="1">
      <c r="A197" s="98"/>
      <c r="B197" s="99" t="str">
        <f t="shared" si="3"/>
        <v/>
      </c>
      <c r="C197" s="144"/>
      <c r="D197" s="144"/>
      <c r="E197" s="100"/>
      <c r="F197" s="102"/>
      <c r="G197" s="104"/>
      <c r="H197" s="100" t="b">
        <v>0</v>
      </c>
      <c r="I197" s="102"/>
      <c r="J197" s="102" t="str">
        <f t="shared" si="4"/>
        <v/>
      </c>
    </row>
    <row r="198" ht="22.5" hidden="1" customHeight="1">
      <c r="A198" s="109"/>
      <c r="B198" s="110" t="str">
        <f t="shared" si="3"/>
        <v/>
      </c>
      <c r="C198" s="147"/>
      <c r="D198" s="147"/>
      <c r="E198" s="111"/>
      <c r="F198" s="115"/>
      <c r="G198" s="112"/>
      <c r="H198" s="111" t="b">
        <v>0</v>
      </c>
      <c r="I198" s="115"/>
      <c r="J198" s="115" t="str">
        <f t="shared" si="4"/>
        <v/>
      </c>
    </row>
    <row r="199" ht="22.5" hidden="1" customHeight="1">
      <c r="A199" s="98"/>
      <c r="B199" s="99" t="str">
        <f t="shared" si="3"/>
        <v/>
      </c>
      <c r="C199" s="144"/>
      <c r="D199" s="144"/>
      <c r="E199" s="100"/>
      <c r="F199" s="102"/>
      <c r="G199" s="104"/>
      <c r="H199" s="100" t="b">
        <v>0</v>
      </c>
      <c r="I199" s="102"/>
      <c r="J199" s="102" t="str">
        <f t="shared" si="4"/>
        <v/>
      </c>
    </row>
    <row r="200" ht="22.5" hidden="1" customHeight="1">
      <c r="A200" s="109"/>
      <c r="B200" s="110" t="str">
        <f t="shared" si="3"/>
        <v/>
      </c>
      <c r="C200" s="147"/>
      <c r="D200" s="147"/>
      <c r="E200" s="111"/>
      <c r="F200" s="115"/>
      <c r="G200" s="112"/>
      <c r="H200" s="111" t="b">
        <v>0</v>
      </c>
      <c r="I200" s="115"/>
      <c r="J200" s="115" t="str">
        <f t="shared" si="4"/>
        <v/>
      </c>
    </row>
    <row r="201" ht="22.5" hidden="1" customHeight="1">
      <c r="A201" s="98"/>
      <c r="B201" s="99" t="str">
        <f t="shared" si="3"/>
        <v/>
      </c>
      <c r="C201" s="144"/>
      <c r="D201" s="144"/>
      <c r="E201" s="100"/>
      <c r="F201" s="102"/>
      <c r="G201" s="104"/>
      <c r="H201" s="100" t="b">
        <v>0</v>
      </c>
      <c r="I201" s="102"/>
      <c r="J201" s="102" t="str">
        <f t="shared" si="4"/>
        <v/>
      </c>
    </row>
    <row r="202" ht="22.5" hidden="1" customHeight="1">
      <c r="A202" s="109"/>
      <c r="B202" s="110" t="str">
        <f t="shared" si="3"/>
        <v/>
      </c>
      <c r="C202" s="147"/>
      <c r="D202" s="147"/>
      <c r="E202" s="111"/>
      <c r="F202" s="115"/>
      <c r="G202" s="112"/>
      <c r="H202" s="111" t="b">
        <v>0</v>
      </c>
      <c r="I202" s="115"/>
      <c r="J202" s="115" t="str">
        <f t="shared" si="4"/>
        <v/>
      </c>
    </row>
    <row r="203" ht="22.5" hidden="1" customHeight="1">
      <c r="A203" s="98"/>
      <c r="B203" s="99" t="str">
        <f t="shared" si="3"/>
        <v/>
      </c>
      <c r="C203" s="144"/>
      <c r="D203" s="144"/>
      <c r="E203" s="100"/>
      <c r="F203" s="102"/>
      <c r="G203" s="104"/>
      <c r="H203" s="100" t="b">
        <v>0</v>
      </c>
      <c r="I203" s="102"/>
      <c r="J203" s="102" t="str">
        <f t="shared" si="4"/>
        <v/>
      </c>
    </row>
    <row r="204" ht="22.5" hidden="1" customHeight="1">
      <c r="A204" s="109"/>
      <c r="B204" s="110" t="str">
        <f t="shared" si="3"/>
        <v/>
      </c>
      <c r="C204" s="147"/>
      <c r="D204" s="147"/>
      <c r="E204" s="111"/>
      <c r="F204" s="115"/>
      <c r="G204" s="112"/>
      <c r="H204" s="111" t="b">
        <v>0</v>
      </c>
      <c r="I204" s="115"/>
      <c r="J204" s="115" t="str">
        <f t="shared" si="4"/>
        <v/>
      </c>
    </row>
    <row r="205" ht="22.5" hidden="1" customHeight="1">
      <c r="A205" s="98"/>
      <c r="B205" s="99" t="str">
        <f t="shared" si="3"/>
        <v/>
      </c>
      <c r="C205" s="144"/>
      <c r="D205" s="144"/>
      <c r="E205" s="100"/>
      <c r="F205" s="102"/>
      <c r="G205" s="104"/>
      <c r="H205" s="100" t="b">
        <v>0</v>
      </c>
      <c r="I205" s="102"/>
      <c r="J205" s="102" t="str">
        <f t="shared" si="4"/>
        <v/>
      </c>
    </row>
    <row r="206" ht="22.5" hidden="1" customHeight="1">
      <c r="A206" s="109"/>
      <c r="B206" s="110" t="str">
        <f t="shared" si="3"/>
        <v/>
      </c>
      <c r="C206" s="147"/>
      <c r="D206" s="147"/>
      <c r="E206" s="111"/>
      <c r="F206" s="115"/>
      <c r="G206" s="112"/>
      <c r="H206" s="111" t="b">
        <v>0</v>
      </c>
      <c r="I206" s="115"/>
      <c r="J206" s="115" t="str">
        <f t="shared" si="4"/>
        <v/>
      </c>
    </row>
    <row r="207" ht="22.5" hidden="1" customHeight="1">
      <c r="A207" s="98"/>
      <c r="B207" s="99" t="str">
        <f t="shared" si="3"/>
        <v/>
      </c>
      <c r="C207" s="144"/>
      <c r="D207" s="144"/>
      <c r="E207" s="100"/>
      <c r="F207" s="102"/>
      <c r="G207" s="104"/>
      <c r="H207" s="100" t="b">
        <v>0</v>
      </c>
      <c r="I207" s="102"/>
      <c r="J207" s="102" t="str">
        <f t="shared" si="4"/>
        <v/>
      </c>
    </row>
    <row r="208" ht="22.5" hidden="1" customHeight="1">
      <c r="A208" s="109"/>
      <c r="B208" s="110" t="str">
        <f t="shared" si="3"/>
        <v/>
      </c>
      <c r="C208" s="147"/>
      <c r="D208" s="147"/>
      <c r="E208" s="111"/>
      <c r="F208" s="115"/>
      <c r="G208" s="112"/>
      <c r="H208" s="111" t="b">
        <v>0</v>
      </c>
      <c r="I208" s="115"/>
      <c r="J208" s="115" t="str">
        <f t="shared" si="4"/>
        <v/>
      </c>
    </row>
    <row r="209" ht="22.5" hidden="1" customHeight="1">
      <c r="A209" s="98"/>
      <c r="B209" s="99" t="str">
        <f t="shared" si="3"/>
        <v/>
      </c>
      <c r="C209" s="144"/>
      <c r="D209" s="144"/>
      <c r="E209" s="100"/>
      <c r="F209" s="102"/>
      <c r="G209" s="104"/>
      <c r="H209" s="100" t="b">
        <v>0</v>
      </c>
      <c r="I209" s="102"/>
      <c r="J209" s="102" t="str">
        <f t="shared" si="4"/>
        <v/>
      </c>
    </row>
    <row r="210" ht="22.5" hidden="1" customHeight="1">
      <c r="A210" s="109"/>
      <c r="B210" s="110" t="str">
        <f t="shared" si="3"/>
        <v/>
      </c>
      <c r="C210" s="147"/>
      <c r="D210" s="147"/>
      <c r="E210" s="111"/>
      <c r="F210" s="115"/>
      <c r="G210" s="112"/>
      <c r="H210" s="111" t="b">
        <v>0</v>
      </c>
      <c r="I210" s="115"/>
      <c r="J210" s="115" t="str">
        <f t="shared" si="4"/>
        <v/>
      </c>
    </row>
    <row r="211" ht="22.5" hidden="1" customHeight="1">
      <c r="A211" s="98"/>
      <c r="B211" s="99" t="str">
        <f t="shared" si="3"/>
        <v/>
      </c>
      <c r="C211" s="144"/>
      <c r="D211" s="144"/>
      <c r="E211" s="100"/>
      <c r="F211" s="102"/>
      <c r="G211" s="104"/>
      <c r="H211" s="100" t="b">
        <v>0</v>
      </c>
      <c r="I211" s="102"/>
      <c r="J211" s="102" t="str">
        <f t="shared" si="4"/>
        <v/>
      </c>
    </row>
    <row r="212" ht="22.5" hidden="1" customHeight="1">
      <c r="A212" s="109"/>
      <c r="B212" s="110" t="str">
        <f t="shared" si="3"/>
        <v/>
      </c>
      <c r="C212" s="147"/>
      <c r="D212" s="147"/>
      <c r="E212" s="111"/>
      <c r="F212" s="115"/>
      <c r="G212" s="112"/>
      <c r="H212" s="111" t="b">
        <v>0</v>
      </c>
      <c r="I212" s="115"/>
      <c r="J212" s="115" t="str">
        <f t="shared" si="4"/>
        <v/>
      </c>
    </row>
    <row r="213" ht="22.5" hidden="1" customHeight="1">
      <c r="A213" s="98"/>
      <c r="B213" s="99" t="str">
        <f t="shared" si="3"/>
        <v/>
      </c>
      <c r="C213" s="144"/>
      <c r="D213" s="144"/>
      <c r="E213" s="100"/>
      <c r="F213" s="102"/>
      <c r="G213" s="104"/>
      <c r="H213" s="100" t="b">
        <v>0</v>
      </c>
      <c r="I213" s="102"/>
      <c r="J213" s="102" t="str">
        <f t="shared" si="4"/>
        <v/>
      </c>
    </row>
    <row r="214" ht="22.5" hidden="1" customHeight="1">
      <c r="A214" s="109"/>
      <c r="B214" s="110" t="str">
        <f t="shared" si="3"/>
        <v/>
      </c>
      <c r="C214" s="147"/>
      <c r="D214" s="147"/>
      <c r="E214" s="111"/>
      <c r="F214" s="115"/>
      <c r="G214" s="112"/>
      <c r="H214" s="111" t="b">
        <v>0</v>
      </c>
      <c r="I214" s="115"/>
      <c r="J214" s="115" t="str">
        <f t="shared" si="4"/>
        <v/>
      </c>
    </row>
    <row r="215" ht="22.5" hidden="1" customHeight="1">
      <c r="A215" s="98"/>
      <c r="B215" s="99" t="str">
        <f t="shared" si="3"/>
        <v/>
      </c>
      <c r="C215" s="144"/>
      <c r="D215" s="144"/>
      <c r="E215" s="100"/>
      <c r="F215" s="102"/>
      <c r="G215" s="104"/>
      <c r="H215" s="100" t="b">
        <v>0</v>
      </c>
      <c r="I215" s="102"/>
      <c r="J215" s="102" t="str">
        <f t="shared" si="4"/>
        <v/>
      </c>
    </row>
    <row r="216" ht="22.5" hidden="1" customHeight="1">
      <c r="A216" s="109"/>
      <c r="B216" s="110" t="str">
        <f t="shared" si="3"/>
        <v/>
      </c>
      <c r="C216" s="147"/>
      <c r="D216" s="147"/>
      <c r="E216" s="111"/>
      <c r="F216" s="115"/>
      <c r="G216" s="112"/>
      <c r="H216" s="111" t="b">
        <v>0</v>
      </c>
      <c r="I216" s="115"/>
      <c r="J216" s="115" t="str">
        <f t="shared" si="4"/>
        <v/>
      </c>
    </row>
    <row r="217" ht="22.5" hidden="1" customHeight="1">
      <c r="A217" s="98"/>
      <c r="B217" s="99" t="str">
        <f t="shared" si="3"/>
        <v/>
      </c>
      <c r="C217" s="144"/>
      <c r="D217" s="144"/>
      <c r="E217" s="100"/>
      <c r="F217" s="102"/>
      <c r="G217" s="104"/>
      <c r="H217" s="100" t="b">
        <v>0</v>
      </c>
      <c r="I217" s="102"/>
      <c r="J217" s="102" t="str">
        <f t="shared" si="4"/>
        <v/>
      </c>
    </row>
    <row r="218" ht="22.5" hidden="1" customHeight="1">
      <c r="A218" s="109"/>
      <c r="B218" s="110" t="str">
        <f t="shared" si="3"/>
        <v/>
      </c>
      <c r="C218" s="147"/>
      <c r="D218" s="147"/>
      <c r="E218" s="111"/>
      <c r="F218" s="115"/>
      <c r="G218" s="112"/>
      <c r="H218" s="111" t="b">
        <v>0</v>
      </c>
      <c r="I218" s="115"/>
      <c r="J218" s="115" t="str">
        <f t="shared" si="4"/>
        <v/>
      </c>
    </row>
    <row r="219" ht="22.5" hidden="1" customHeight="1">
      <c r="A219" s="98"/>
      <c r="B219" s="99" t="str">
        <f t="shared" si="3"/>
        <v/>
      </c>
      <c r="C219" s="144"/>
      <c r="D219" s="144"/>
      <c r="E219" s="100"/>
      <c r="F219" s="102"/>
      <c r="G219" s="104"/>
      <c r="H219" s="100" t="b">
        <v>0</v>
      </c>
      <c r="I219" s="102"/>
      <c r="J219" s="102" t="str">
        <f t="shared" si="4"/>
        <v/>
      </c>
    </row>
    <row r="220" ht="22.5" hidden="1" customHeight="1">
      <c r="A220" s="109"/>
      <c r="B220" s="110" t="str">
        <f t="shared" si="3"/>
        <v/>
      </c>
      <c r="C220" s="147"/>
      <c r="D220" s="147"/>
      <c r="E220" s="111"/>
      <c r="F220" s="115"/>
      <c r="G220" s="112"/>
      <c r="H220" s="111" t="b">
        <v>0</v>
      </c>
      <c r="I220" s="115"/>
      <c r="J220" s="115" t="str">
        <f t="shared" si="4"/>
        <v/>
      </c>
    </row>
    <row r="221" ht="22.5" hidden="1" customHeight="1">
      <c r="A221" s="98"/>
      <c r="B221" s="99" t="str">
        <f t="shared" si="3"/>
        <v/>
      </c>
      <c r="C221" s="144"/>
      <c r="D221" s="144"/>
      <c r="E221" s="100"/>
      <c r="F221" s="102"/>
      <c r="G221" s="104"/>
      <c r="H221" s="100" t="b">
        <v>0</v>
      </c>
      <c r="I221" s="102"/>
      <c r="J221" s="102" t="str">
        <f t="shared" si="4"/>
        <v/>
      </c>
    </row>
    <row r="222" ht="22.5" hidden="1" customHeight="1">
      <c r="A222" s="109"/>
      <c r="B222" s="110" t="str">
        <f t="shared" si="3"/>
        <v/>
      </c>
      <c r="C222" s="147"/>
      <c r="D222" s="147"/>
      <c r="E222" s="111"/>
      <c r="F222" s="115"/>
      <c r="G222" s="112"/>
      <c r="H222" s="111" t="b">
        <v>0</v>
      </c>
      <c r="I222" s="115"/>
      <c r="J222" s="115" t="str">
        <f t="shared" si="4"/>
        <v/>
      </c>
    </row>
    <row r="223" ht="22.5" hidden="1" customHeight="1">
      <c r="A223" s="98"/>
      <c r="B223" s="99" t="str">
        <f t="shared" si="3"/>
        <v/>
      </c>
      <c r="C223" s="144"/>
      <c r="D223" s="144"/>
      <c r="E223" s="100"/>
      <c r="F223" s="102"/>
      <c r="G223" s="104"/>
      <c r="H223" s="100" t="b">
        <v>0</v>
      </c>
      <c r="I223" s="102"/>
      <c r="J223" s="102" t="str">
        <f t="shared" si="4"/>
        <v/>
      </c>
    </row>
    <row r="224" ht="22.5" hidden="1" customHeight="1">
      <c r="A224" s="109"/>
      <c r="B224" s="110" t="str">
        <f t="shared" si="3"/>
        <v/>
      </c>
      <c r="C224" s="147"/>
      <c r="D224" s="147"/>
      <c r="E224" s="111"/>
      <c r="F224" s="115"/>
      <c r="G224" s="112"/>
      <c r="H224" s="111" t="b">
        <v>0</v>
      </c>
      <c r="I224" s="115"/>
      <c r="J224" s="115" t="str">
        <f t="shared" si="4"/>
        <v/>
      </c>
    </row>
    <row r="225" ht="22.5" hidden="1" customHeight="1">
      <c r="A225" s="98"/>
      <c r="B225" s="99" t="str">
        <f t="shared" si="3"/>
        <v/>
      </c>
      <c r="C225" s="144"/>
      <c r="D225" s="144"/>
      <c r="E225" s="100"/>
      <c r="F225" s="102"/>
      <c r="G225" s="104"/>
      <c r="H225" s="100" t="b">
        <v>0</v>
      </c>
      <c r="I225" s="102"/>
      <c r="J225" s="102" t="str">
        <f t="shared" si="4"/>
        <v/>
      </c>
    </row>
    <row r="226" ht="22.5" hidden="1" customHeight="1">
      <c r="A226" s="109"/>
      <c r="B226" s="110" t="str">
        <f t="shared" si="3"/>
        <v/>
      </c>
      <c r="C226" s="147"/>
      <c r="D226" s="147"/>
      <c r="E226" s="111"/>
      <c r="F226" s="115"/>
      <c r="G226" s="112"/>
      <c r="H226" s="111" t="b">
        <v>0</v>
      </c>
      <c r="I226" s="115"/>
      <c r="J226" s="115" t="str">
        <f t="shared" si="4"/>
        <v/>
      </c>
    </row>
    <row r="227" ht="22.5" hidden="1" customHeight="1">
      <c r="A227" s="98"/>
      <c r="B227" s="99" t="str">
        <f t="shared" si="3"/>
        <v/>
      </c>
      <c r="C227" s="144"/>
      <c r="D227" s="144"/>
      <c r="E227" s="100"/>
      <c r="F227" s="102"/>
      <c r="G227" s="104"/>
      <c r="H227" s="100" t="b">
        <v>0</v>
      </c>
      <c r="I227" s="102"/>
      <c r="J227" s="102" t="str">
        <f t="shared" si="4"/>
        <v/>
      </c>
    </row>
    <row r="228" ht="22.5" hidden="1" customHeight="1">
      <c r="A228" s="109"/>
      <c r="B228" s="110" t="str">
        <f t="shared" si="3"/>
        <v/>
      </c>
      <c r="C228" s="147"/>
      <c r="D228" s="147"/>
      <c r="E228" s="111"/>
      <c r="F228" s="115"/>
      <c r="G228" s="112"/>
      <c r="H228" s="111" t="b">
        <v>0</v>
      </c>
      <c r="I228" s="115"/>
      <c r="J228" s="115" t="str">
        <f t="shared" si="4"/>
        <v/>
      </c>
    </row>
    <row r="229" ht="22.5" hidden="1" customHeight="1">
      <c r="A229" s="98"/>
      <c r="B229" s="99" t="str">
        <f t="shared" si="3"/>
        <v/>
      </c>
      <c r="C229" s="144"/>
      <c r="D229" s="144"/>
      <c r="E229" s="100"/>
      <c r="F229" s="102"/>
      <c r="G229" s="104"/>
      <c r="H229" s="100" t="b">
        <v>0</v>
      </c>
      <c r="I229" s="102"/>
      <c r="J229" s="102" t="str">
        <f t="shared" si="4"/>
        <v/>
      </c>
    </row>
    <row r="230" ht="22.5" hidden="1" customHeight="1">
      <c r="A230" s="109"/>
      <c r="B230" s="110" t="str">
        <f t="shared" si="3"/>
        <v/>
      </c>
      <c r="C230" s="147"/>
      <c r="D230" s="147"/>
      <c r="E230" s="111"/>
      <c r="F230" s="115"/>
      <c r="G230" s="112"/>
      <c r="H230" s="111" t="b">
        <v>0</v>
      </c>
      <c r="I230" s="115"/>
      <c r="J230" s="115" t="str">
        <f t="shared" si="4"/>
        <v/>
      </c>
    </row>
    <row r="231" ht="22.5" hidden="1" customHeight="1">
      <c r="A231" s="98"/>
      <c r="B231" s="99" t="str">
        <f t="shared" si="3"/>
        <v/>
      </c>
      <c r="C231" s="144"/>
      <c r="D231" s="144"/>
      <c r="E231" s="100"/>
      <c r="F231" s="102"/>
      <c r="G231" s="104"/>
      <c r="H231" s="100" t="b">
        <v>0</v>
      </c>
      <c r="I231" s="102"/>
      <c r="J231" s="102" t="str">
        <f t="shared" si="4"/>
        <v/>
      </c>
    </row>
    <row r="232" ht="22.5" hidden="1" customHeight="1">
      <c r="A232" s="109"/>
      <c r="B232" s="110" t="str">
        <f t="shared" si="3"/>
        <v/>
      </c>
      <c r="C232" s="147"/>
      <c r="D232" s="147"/>
      <c r="E232" s="111"/>
      <c r="F232" s="115"/>
      <c r="G232" s="112"/>
      <c r="H232" s="111" t="b">
        <v>0</v>
      </c>
      <c r="I232" s="115"/>
      <c r="J232" s="115" t="str">
        <f t="shared" si="4"/>
        <v/>
      </c>
    </row>
    <row r="233" ht="22.5" hidden="1" customHeight="1">
      <c r="A233" s="98"/>
      <c r="B233" s="99" t="str">
        <f t="shared" si="3"/>
        <v/>
      </c>
      <c r="C233" s="144"/>
      <c r="D233" s="144"/>
      <c r="E233" s="100"/>
      <c r="F233" s="102"/>
      <c r="G233" s="104"/>
      <c r="H233" s="100" t="b">
        <v>0</v>
      </c>
      <c r="I233" s="102"/>
      <c r="J233" s="102" t="str">
        <f t="shared" si="4"/>
        <v/>
      </c>
    </row>
    <row r="234" ht="22.5" hidden="1" customHeight="1">
      <c r="A234" s="109"/>
      <c r="B234" s="110" t="str">
        <f t="shared" si="3"/>
        <v/>
      </c>
      <c r="C234" s="147"/>
      <c r="D234" s="147"/>
      <c r="E234" s="111"/>
      <c r="F234" s="115"/>
      <c r="G234" s="112"/>
      <c r="H234" s="111" t="b">
        <v>0</v>
      </c>
      <c r="I234" s="115"/>
      <c r="J234" s="115" t="str">
        <f t="shared" si="4"/>
        <v/>
      </c>
    </row>
    <row r="235" ht="22.5" hidden="1" customHeight="1">
      <c r="A235" s="98"/>
      <c r="B235" s="99" t="str">
        <f t="shared" si="3"/>
        <v/>
      </c>
      <c r="C235" s="144"/>
      <c r="D235" s="144"/>
      <c r="E235" s="100"/>
      <c r="F235" s="102"/>
      <c r="G235" s="104"/>
      <c r="H235" s="100" t="b">
        <v>0</v>
      </c>
      <c r="I235" s="102"/>
      <c r="J235" s="102" t="str">
        <f t="shared" si="4"/>
        <v/>
      </c>
    </row>
    <row r="236" ht="22.5" hidden="1" customHeight="1">
      <c r="A236" s="109"/>
      <c r="B236" s="110" t="str">
        <f t="shared" si="3"/>
        <v/>
      </c>
      <c r="C236" s="147"/>
      <c r="D236" s="147"/>
      <c r="E236" s="111"/>
      <c r="F236" s="115"/>
      <c r="G236" s="112"/>
      <c r="H236" s="111" t="b">
        <v>0</v>
      </c>
      <c r="I236" s="115"/>
      <c r="J236" s="115" t="str">
        <f t="shared" si="4"/>
        <v/>
      </c>
    </row>
    <row r="237" ht="22.5" hidden="1" customHeight="1">
      <c r="A237" s="98"/>
      <c r="B237" s="99" t="str">
        <f t="shared" si="3"/>
        <v/>
      </c>
      <c r="C237" s="144"/>
      <c r="D237" s="144"/>
      <c r="E237" s="100"/>
      <c r="F237" s="102"/>
      <c r="G237" s="104"/>
      <c r="H237" s="100" t="b">
        <v>0</v>
      </c>
      <c r="I237" s="102"/>
      <c r="J237" s="102" t="str">
        <f t="shared" si="4"/>
        <v/>
      </c>
    </row>
    <row r="238" ht="22.5" hidden="1" customHeight="1">
      <c r="A238" s="109"/>
      <c r="B238" s="110" t="str">
        <f t="shared" si="3"/>
        <v/>
      </c>
      <c r="C238" s="147"/>
      <c r="D238" s="147"/>
      <c r="E238" s="111"/>
      <c r="F238" s="115"/>
      <c r="G238" s="112"/>
      <c r="H238" s="111" t="b">
        <v>0</v>
      </c>
      <c r="I238" s="115"/>
      <c r="J238" s="115" t="str">
        <f t="shared" si="4"/>
        <v/>
      </c>
    </row>
    <row r="239" ht="22.5" hidden="1" customHeight="1">
      <c r="A239" s="98"/>
      <c r="B239" s="99" t="str">
        <f t="shared" si="3"/>
        <v/>
      </c>
      <c r="C239" s="144"/>
      <c r="D239" s="144"/>
      <c r="E239" s="100"/>
      <c r="F239" s="102"/>
      <c r="G239" s="104"/>
      <c r="H239" s="100" t="b">
        <v>0</v>
      </c>
      <c r="I239" s="102"/>
      <c r="J239" s="102" t="str">
        <f t="shared" si="4"/>
        <v/>
      </c>
    </row>
    <row r="240" ht="22.5" hidden="1" customHeight="1">
      <c r="A240" s="109"/>
      <c r="B240" s="110" t="str">
        <f t="shared" si="3"/>
        <v/>
      </c>
      <c r="C240" s="147"/>
      <c r="D240" s="147"/>
      <c r="E240" s="111"/>
      <c r="F240" s="115"/>
      <c r="G240" s="112"/>
      <c r="H240" s="111" t="b">
        <v>0</v>
      </c>
      <c r="I240" s="115"/>
      <c r="J240" s="115" t="str">
        <f t="shared" si="4"/>
        <v/>
      </c>
    </row>
    <row r="241" ht="22.5" hidden="1" customHeight="1">
      <c r="A241" s="98"/>
      <c r="B241" s="99" t="str">
        <f t="shared" si="3"/>
        <v/>
      </c>
      <c r="C241" s="144"/>
      <c r="D241" s="144"/>
      <c r="E241" s="100"/>
      <c r="F241" s="102"/>
      <c r="G241" s="104"/>
      <c r="H241" s="100" t="b">
        <v>0</v>
      </c>
      <c r="I241" s="102"/>
      <c r="J241" s="102" t="str">
        <f t="shared" si="4"/>
        <v/>
      </c>
    </row>
    <row r="242" ht="22.5" hidden="1" customHeight="1">
      <c r="A242" s="109"/>
      <c r="B242" s="110" t="str">
        <f t="shared" si="3"/>
        <v/>
      </c>
      <c r="C242" s="147"/>
      <c r="D242" s="147"/>
      <c r="E242" s="111"/>
      <c r="F242" s="115"/>
      <c r="G242" s="112"/>
      <c r="H242" s="111" t="b">
        <v>0</v>
      </c>
      <c r="I242" s="115"/>
      <c r="J242" s="115" t="str">
        <f t="shared" si="4"/>
        <v/>
      </c>
    </row>
    <row r="243" ht="22.5" hidden="1" customHeight="1">
      <c r="A243" s="98"/>
      <c r="B243" s="99" t="str">
        <f t="shared" si="3"/>
        <v/>
      </c>
      <c r="C243" s="144"/>
      <c r="D243" s="144"/>
      <c r="E243" s="100"/>
      <c r="F243" s="102"/>
      <c r="G243" s="104"/>
      <c r="H243" s="100" t="b">
        <v>0</v>
      </c>
      <c r="I243" s="102"/>
      <c r="J243" s="102" t="str">
        <f t="shared" si="4"/>
        <v/>
      </c>
    </row>
    <row r="244" ht="22.5" hidden="1" customHeight="1">
      <c r="A244" s="109"/>
      <c r="B244" s="110" t="str">
        <f t="shared" si="3"/>
        <v/>
      </c>
      <c r="C244" s="147"/>
      <c r="D244" s="147"/>
      <c r="E244" s="111"/>
      <c r="F244" s="115"/>
      <c r="G244" s="112"/>
      <c r="H244" s="111" t="b">
        <v>0</v>
      </c>
      <c r="I244" s="115"/>
      <c r="J244" s="115" t="str">
        <f t="shared" si="4"/>
        <v/>
      </c>
    </row>
    <row r="245" ht="22.5" hidden="1" customHeight="1">
      <c r="A245" s="98"/>
      <c r="B245" s="99" t="str">
        <f t="shared" si="3"/>
        <v/>
      </c>
      <c r="C245" s="144"/>
      <c r="D245" s="144"/>
      <c r="E245" s="100"/>
      <c r="F245" s="102"/>
      <c r="G245" s="104"/>
      <c r="H245" s="100" t="b">
        <v>0</v>
      </c>
      <c r="I245" s="102"/>
      <c r="J245" s="102" t="str">
        <f t="shared" si="4"/>
        <v/>
      </c>
    </row>
    <row r="246" ht="22.5" hidden="1" customHeight="1">
      <c r="A246" s="109"/>
      <c r="B246" s="110" t="str">
        <f t="shared" si="3"/>
        <v/>
      </c>
      <c r="C246" s="147"/>
      <c r="D246" s="147"/>
      <c r="E246" s="111"/>
      <c r="F246" s="115"/>
      <c r="G246" s="112"/>
      <c r="H246" s="111" t="b">
        <v>0</v>
      </c>
      <c r="I246" s="115"/>
      <c r="J246" s="115" t="str">
        <f t="shared" si="4"/>
        <v/>
      </c>
    </row>
    <row r="247" ht="22.5" hidden="1" customHeight="1">
      <c r="A247" s="98"/>
      <c r="B247" s="99" t="str">
        <f t="shared" si="3"/>
        <v/>
      </c>
      <c r="C247" s="144"/>
      <c r="D247" s="144"/>
      <c r="E247" s="100"/>
      <c r="F247" s="102"/>
      <c r="G247" s="104"/>
      <c r="H247" s="100" t="b">
        <v>0</v>
      </c>
      <c r="I247" s="102"/>
      <c r="J247" s="102" t="str">
        <f t="shared" si="4"/>
        <v/>
      </c>
    </row>
    <row r="248" ht="22.5" hidden="1" customHeight="1">
      <c r="A248" s="109"/>
      <c r="B248" s="110" t="str">
        <f t="shared" si="3"/>
        <v/>
      </c>
      <c r="C248" s="147"/>
      <c r="D248" s="147"/>
      <c r="E248" s="111"/>
      <c r="F248" s="115"/>
      <c r="G248" s="112"/>
      <c r="H248" s="111" t="b">
        <v>0</v>
      </c>
      <c r="I248" s="115"/>
      <c r="J248" s="115" t="str">
        <f t="shared" si="4"/>
        <v/>
      </c>
    </row>
    <row r="249" ht="22.5" hidden="1" customHeight="1">
      <c r="A249" s="98"/>
      <c r="B249" s="99" t="str">
        <f t="shared" si="3"/>
        <v/>
      </c>
      <c r="C249" s="144"/>
      <c r="D249" s="144"/>
      <c r="E249" s="100"/>
      <c r="F249" s="102"/>
      <c r="G249" s="104"/>
      <c r="H249" s="100" t="b">
        <v>0</v>
      </c>
      <c r="I249" s="102"/>
      <c r="J249" s="102" t="str">
        <f t="shared" si="4"/>
        <v/>
      </c>
    </row>
    <row r="250" ht="22.5" hidden="1" customHeight="1">
      <c r="A250" s="109"/>
      <c r="B250" s="110" t="str">
        <f t="shared" si="3"/>
        <v/>
      </c>
      <c r="C250" s="147"/>
      <c r="D250" s="147"/>
      <c r="E250" s="111"/>
      <c r="F250" s="115"/>
      <c r="G250" s="112"/>
      <c r="H250" s="111" t="b">
        <v>0</v>
      </c>
      <c r="I250" s="115"/>
      <c r="J250" s="115" t="str">
        <f t="shared" si="4"/>
        <v/>
      </c>
    </row>
    <row r="251" ht="22.5" hidden="1" customHeight="1">
      <c r="A251" s="98"/>
      <c r="B251" s="99" t="str">
        <f t="shared" si="3"/>
        <v/>
      </c>
      <c r="C251" s="144"/>
      <c r="D251" s="144"/>
      <c r="E251" s="100"/>
      <c r="F251" s="102"/>
      <c r="G251" s="104"/>
      <c r="H251" s="100" t="b">
        <v>0</v>
      </c>
      <c r="I251" s="102"/>
      <c r="J251" s="102" t="str">
        <f t="shared" si="4"/>
        <v/>
      </c>
    </row>
    <row r="252" ht="22.5" hidden="1" customHeight="1">
      <c r="A252" s="109"/>
      <c r="B252" s="110" t="str">
        <f t="shared" si="3"/>
        <v/>
      </c>
      <c r="C252" s="147"/>
      <c r="D252" s="147"/>
      <c r="E252" s="111"/>
      <c r="F252" s="115"/>
      <c r="G252" s="112"/>
      <c r="H252" s="111" t="b">
        <v>0</v>
      </c>
      <c r="I252" s="115"/>
      <c r="J252" s="115" t="str">
        <f t="shared" si="4"/>
        <v/>
      </c>
    </row>
    <row r="253" ht="22.5" hidden="1" customHeight="1">
      <c r="A253" s="98"/>
      <c r="B253" s="99" t="str">
        <f t="shared" si="3"/>
        <v/>
      </c>
      <c r="C253" s="144"/>
      <c r="D253" s="144"/>
      <c r="E253" s="100"/>
      <c r="F253" s="102"/>
      <c r="G253" s="104"/>
      <c r="H253" s="100" t="b">
        <v>0</v>
      </c>
      <c r="I253" s="102"/>
      <c r="J253" s="102" t="str">
        <f t="shared" si="4"/>
        <v/>
      </c>
    </row>
    <row r="254" ht="22.5" hidden="1" customHeight="1">
      <c r="A254" s="109"/>
      <c r="B254" s="110" t="str">
        <f t="shared" si="3"/>
        <v/>
      </c>
      <c r="C254" s="147"/>
      <c r="D254" s="147"/>
      <c r="E254" s="111"/>
      <c r="F254" s="115"/>
      <c r="G254" s="112"/>
      <c r="H254" s="111" t="b">
        <v>0</v>
      </c>
      <c r="I254" s="115"/>
      <c r="J254" s="115" t="str">
        <f t="shared" si="4"/>
        <v/>
      </c>
    </row>
    <row r="255" ht="22.5" hidden="1" customHeight="1">
      <c r="A255" s="98"/>
      <c r="B255" s="99" t="str">
        <f t="shared" si="3"/>
        <v/>
      </c>
      <c r="C255" s="144"/>
      <c r="D255" s="144"/>
      <c r="E255" s="100"/>
      <c r="F255" s="102"/>
      <c r="G255" s="104"/>
      <c r="H255" s="100" t="b">
        <v>0</v>
      </c>
      <c r="I255" s="102"/>
      <c r="J255" s="102" t="str">
        <f t="shared" si="4"/>
        <v/>
      </c>
    </row>
    <row r="256" ht="22.5" hidden="1" customHeight="1">
      <c r="A256" s="109"/>
      <c r="B256" s="110" t="str">
        <f t="shared" si="3"/>
        <v/>
      </c>
      <c r="C256" s="147"/>
      <c r="D256" s="147"/>
      <c r="E256" s="111"/>
      <c r="F256" s="115"/>
      <c r="G256" s="112"/>
      <c r="H256" s="111" t="b">
        <v>0</v>
      </c>
      <c r="I256" s="115"/>
      <c r="J256" s="115" t="str">
        <f t="shared" si="4"/>
        <v/>
      </c>
    </row>
    <row r="257" ht="22.5" hidden="1" customHeight="1">
      <c r="A257" s="98"/>
      <c r="B257" s="99" t="str">
        <f t="shared" si="3"/>
        <v/>
      </c>
      <c r="C257" s="144"/>
      <c r="D257" s="144"/>
      <c r="E257" s="100"/>
      <c r="F257" s="102"/>
      <c r="G257" s="104"/>
      <c r="H257" s="100" t="b">
        <v>0</v>
      </c>
      <c r="I257" s="102"/>
      <c r="J257" s="102" t="str">
        <f t="shared" si="4"/>
        <v/>
      </c>
    </row>
    <row r="258" ht="22.5" hidden="1" customHeight="1">
      <c r="A258" s="109"/>
      <c r="B258" s="110" t="str">
        <f t="shared" si="3"/>
        <v/>
      </c>
      <c r="C258" s="147"/>
      <c r="D258" s="147"/>
      <c r="E258" s="111"/>
      <c r="F258" s="115"/>
      <c r="G258" s="112"/>
      <c r="H258" s="111" t="b">
        <v>0</v>
      </c>
      <c r="I258" s="115"/>
      <c r="J258" s="115" t="str">
        <f t="shared" si="4"/>
        <v/>
      </c>
    </row>
    <row r="259" ht="22.5" hidden="1" customHeight="1">
      <c r="A259" s="98"/>
      <c r="B259" s="99" t="str">
        <f t="shared" si="3"/>
        <v/>
      </c>
      <c r="C259" s="144"/>
      <c r="D259" s="144"/>
      <c r="E259" s="100"/>
      <c r="F259" s="102"/>
      <c r="G259" s="104"/>
      <c r="H259" s="100" t="b">
        <v>0</v>
      </c>
      <c r="I259" s="102"/>
      <c r="J259" s="102" t="str">
        <f t="shared" si="4"/>
        <v/>
      </c>
    </row>
    <row r="260" ht="22.5" hidden="1" customHeight="1">
      <c r="A260" s="109"/>
      <c r="B260" s="110" t="str">
        <f t="shared" si="3"/>
        <v/>
      </c>
      <c r="C260" s="147"/>
      <c r="D260" s="147"/>
      <c r="E260" s="111"/>
      <c r="F260" s="115"/>
      <c r="G260" s="112"/>
      <c r="H260" s="111" t="b">
        <v>0</v>
      </c>
      <c r="I260" s="115"/>
      <c r="J260" s="115" t="str">
        <f t="shared" si="4"/>
        <v/>
      </c>
    </row>
    <row r="261" ht="22.5" hidden="1" customHeight="1">
      <c r="A261" s="98"/>
      <c r="B261" s="99" t="str">
        <f t="shared" si="3"/>
        <v/>
      </c>
      <c r="C261" s="144"/>
      <c r="D261" s="144"/>
      <c r="E261" s="100"/>
      <c r="F261" s="102"/>
      <c r="G261" s="104"/>
      <c r="H261" s="100" t="b">
        <v>0</v>
      </c>
      <c r="I261" s="102"/>
      <c r="J261" s="102" t="str">
        <f t="shared" si="4"/>
        <v/>
      </c>
    </row>
    <row r="262" ht="22.5" hidden="1" customHeight="1">
      <c r="A262" s="109"/>
      <c r="B262" s="110" t="str">
        <f t="shared" si="3"/>
        <v/>
      </c>
      <c r="C262" s="147"/>
      <c r="D262" s="147"/>
      <c r="E262" s="111"/>
      <c r="F262" s="115"/>
      <c r="G262" s="112"/>
      <c r="H262" s="111" t="b">
        <v>0</v>
      </c>
      <c r="I262" s="115"/>
      <c r="J262" s="115" t="str">
        <f t="shared" si="4"/>
        <v/>
      </c>
    </row>
    <row r="263" ht="22.5" hidden="1" customHeight="1">
      <c r="A263" s="98"/>
      <c r="B263" s="99" t="str">
        <f t="shared" si="3"/>
        <v/>
      </c>
      <c r="C263" s="144"/>
      <c r="D263" s="144"/>
      <c r="E263" s="100"/>
      <c r="F263" s="102"/>
      <c r="G263" s="104"/>
      <c r="H263" s="100" t="b">
        <v>0</v>
      </c>
      <c r="I263" s="102"/>
      <c r="J263" s="102" t="str">
        <f t="shared" si="4"/>
        <v/>
      </c>
    </row>
    <row r="264" ht="22.5" hidden="1" customHeight="1">
      <c r="A264" s="109"/>
      <c r="B264" s="110" t="str">
        <f t="shared" si="3"/>
        <v/>
      </c>
      <c r="C264" s="147"/>
      <c r="D264" s="147"/>
      <c r="E264" s="111"/>
      <c r="F264" s="115"/>
      <c r="G264" s="112"/>
      <c r="H264" s="111" t="b">
        <v>0</v>
      </c>
      <c r="I264" s="115"/>
      <c r="J264" s="115" t="str">
        <f t="shared" si="4"/>
        <v/>
      </c>
    </row>
    <row r="265" ht="22.5" hidden="1" customHeight="1">
      <c r="A265" s="98"/>
      <c r="B265" s="99" t="str">
        <f t="shared" si="3"/>
        <v/>
      </c>
      <c r="C265" s="144"/>
      <c r="D265" s="144"/>
      <c r="E265" s="100"/>
      <c r="F265" s="102"/>
      <c r="G265" s="104"/>
      <c r="H265" s="100" t="b">
        <v>0</v>
      </c>
      <c r="I265" s="102"/>
      <c r="J265" s="102" t="str">
        <f t="shared" si="4"/>
        <v/>
      </c>
    </row>
    <row r="266" ht="22.5" hidden="1" customHeight="1">
      <c r="A266" s="109"/>
      <c r="B266" s="110" t="str">
        <f t="shared" si="3"/>
        <v/>
      </c>
      <c r="C266" s="147"/>
      <c r="D266" s="147"/>
      <c r="E266" s="111"/>
      <c r="F266" s="115"/>
      <c r="G266" s="112"/>
      <c r="H266" s="111" t="b">
        <v>0</v>
      </c>
      <c r="I266" s="115"/>
      <c r="J266" s="115" t="str">
        <f t="shared" si="4"/>
        <v/>
      </c>
    </row>
    <row r="267" ht="22.5" hidden="1" customHeight="1">
      <c r="A267" s="98"/>
      <c r="B267" s="99" t="str">
        <f t="shared" si="3"/>
        <v/>
      </c>
      <c r="C267" s="144"/>
      <c r="D267" s="144"/>
      <c r="E267" s="100"/>
      <c r="F267" s="102"/>
      <c r="G267" s="104"/>
      <c r="H267" s="100" t="b">
        <v>0</v>
      </c>
      <c r="I267" s="102"/>
      <c r="J267" s="102" t="str">
        <f t="shared" si="4"/>
        <v/>
      </c>
    </row>
    <row r="268" ht="22.5" hidden="1" customHeight="1">
      <c r="A268" s="109"/>
      <c r="B268" s="110" t="str">
        <f t="shared" si="3"/>
        <v/>
      </c>
      <c r="C268" s="147"/>
      <c r="D268" s="147"/>
      <c r="E268" s="111"/>
      <c r="F268" s="115"/>
      <c r="G268" s="112"/>
      <c r="H268" s="111" t="b">
        <v>0</v>
      </c>
      <c r="I268" s="115"/>
      <c r="J268" s="115" t="str">
        <f t="shared" si="4"/>
        <v/>
      </c>
    </row>
    <row r="269" ht="22.5" hidden="1" customHeight="1">
      <c r="A269" s="98"/>
      <c r="B269" s="99" t="str">
        <f t="shared" si="3"/>
        <v/>
      </c>
      <c r="C269" s="144"/>
      <c r="D269" s="144"/>
      <c r="E269" s="100"/>
      <c r="F269" s="102"/>
      <c r="G269" s="104"/>
      <c r="H269" s="100" t="b">
        <v>0</v>
      </c>
      <c r="I269" s="102"/>
      <c r="J269" s="102" t="str">
        <f t="shared" si="4"/>
        <v/>
      </c>
    </row>
    <row r="270" ht="22.5" hidden="1" customHeight="1">
      <c r="A270" s="109"/>
      <c r="B270" s="110" t="str">
        <f t="shared" si="3"/>
        <v/>
      </c>
      <c r="C270" s="147"/>
      <c r="D270" s="147"/>
      <c r="E270" s="111"/>
      <c r="F270" s="115"/>
      <c r="G270" s="112"/>
      <c r="H270" s="111" t="b">
        <v>0</v>
      </c>
      <c r="I270" s="115"/>
      <c r="J270" s="115" t="str">
        <f t="shared" si="4"/>
        <v/>
      </c>
    </row>
    <row r="271" ht="22.5" hidden="1" customHeight="1">
      <c r="A271" s="98"/>
      <c r="B271" s="99" t="str">
        <f t="shared" si="3"/>
        <v/>
      </c>
      <c r="C271" s="144"/>
      <c r="D271" s="144"/>
      <c r="E271" s="100"/>
      <c r="F271" s="102"/>
      <c r="G271" s="104"/>
      <c r="H271" s="100" t="b">
        <v>0</v>
      </c>
      <c r="I271" s="102"/>
      <c r="J271" s="102" t="str">
        <f t="shared" si="4"/>
        <v/>
      </c>
    </row>
    <row r="272" ht="22.5" hidden="1" customHeight="1">
      <c r="A272" s="109"/>
      <c r="B272" s="110" t="str">
        <f t="shared" si="3"/>
        <v/>
      </c>
      <c r="C272" s="147"/>
      <c r="D272" s="147"/>
      <c r="E272" s="111"/>
      <c r="F272" s="115"/>
      <c r="G272" s="112"/>
      <c r="H272" s="111" t="b">
        <v>0</v>
      </c>
      <c r="I272" s="115"/>
      <c r="J272" s="115" t="str">
        <f t="shared" si="4"/>
        <v/>
      </c>
    </row>
    <row r="273" ht="22.5" hidden="1" customHeight="1">
      <c r="A273" s="98"/>
      <c r="B273" s="99" t="str">
        <f t="shared" si="3"/>
        <v/>
      </c>
      <c r="C273" s="144"/>
      <c r="D273" s="144"/>
      <c r="E273" s="100"/>
      <c r="F273" s="102"/>
      <c r="G273" s="104"/>
      <c r="H273" s="100" t="b">
        <v>0</v>
      </c>
      <c r="I273" s="102"/>
      <c r="J273" s="102" t="str">
        <f t="shared" si="4"/>
        <v/>
      </c>
    </row>
    <row r="274" ht="22.5" hidden="1" customHeight="1">
      <c r="A274" s="109"/>
      <c r="B274" s="110" t="str">
        <f t="shared" si="3"/>
        <v/>
      </c>
      <c r="C274" s="147"/>
      <c r="D274" s="147"/>
      <c r="E274" s="111"/>
      <c r="F274" s="115"/>
      <c r="G274" s="112"/>
      <c r="H274" s="111" t="b">
        <v>0</v>
      </c>
      <c r="I274" s="115"/>
      <c r="J274" s="115" t="str">
        <f t="shared" si="4"/>
        <v/>
      </c>
    </row>
    <row r="275" ht="22.5" hidden="1" customHeight="1">
      <c r="A275" s="98"/>
      <c r="B275" s="99" t="str">
        <f t="shared" si="3"/>
        <v/>
      </c>
      <c r="C275" s="144"/>
      <c r="D275" s="144"/>
      <c r="E275" s="100"/>
      <c r="F275" s="102"/>
      <c r="G275" s="104"/>
      <c r="H275" s="100" t="b">
        <v>0</v>
      </c>
      <c r="I275" s="102"/>
      <c r="J275" s="102" t="str">
        <f t="shared" si="4"/>
        <v/>
      </c>
    </row>
    <row r="276" ht="22.5" hidden="1" customHeight="1">
      <c r="A276" s="109"/>
      <c r="B276" s="110" t="str">
        <f t="shared" si="3"/>
        <v/>
      </c>
      <c r="C276" s="147"/>
      <c r="D276" s="147"/>
      <c r="E276" s="111"/>
      <c r="F276" s="115"/>
      <c r="G276" s="112"/>
      <c r="H276" s="111" t="b">
        <v>0</v>
      </c>
      <c r="I276" s="115"/>
      <c r="J276" s="115" t="str">
        <f t="shared" si="4"/>
        <v/>
      </c>
    </row>
    <row r="277" ht="22.5" hidden="1" customHeight="1">
      <c r="A277" s="98"/>
      <c r="B277" s="99" t="str">
        <f t="shared" si="3"/>
        <v/>
      </c>
      <c r="C277" s="144"/>
      <c r="D277" s="144"/>
      <c r="E277" s="100"/>
      <c r="F277" s="102"/>
      <c r="G277" s="104"/>
      <c r="H277" s="100" t="b">
        <v>0</v>
      </c>
      <c r="I277" s="102"/>
      <c r="J277" s="102" t="str">
        <f t="shared" si="4"/>
        <v/>
      </c>
    </row>
    <row r="278" ht="22.5" hidden="1" customHeight="1">
      <c r="A278" s="109"/>
      <c r="B278" s="110" t="str">
        <f t="shared" si="3"/>
        <v/>
      </c>
      <c r="C278" s="147"/>
      <c r="D278" s="147"/>
      <c r="E278" s="111"/>
      <c r="F278" s="115"/>
      <c r="G278" s="112"/>
      <c r="H278" s="111" t="b">
        <v>0</v>
      </c>
      <c r="I278" s="115"/>
      <c r="J278" s="115" t="str">
        <f t="shared" si="4"/>
        <v/>
      </c>
    </row>
    <row r="279" ht="22.5" hidden="1" customHeight="1">
      <c r="A279" s="98"/>
      <c r="B279" s="99" t="str">
        <f t="shared" si="3"/>
        <v/>
      </c>
      <c r="C279" s="144"/>
      <c r="D279" s="144"/>
      <c r="E279" s="100"/>
      <c r="F279" s="102"/>
      <c r="G279" s="104"/>
      <c r="H279" s="100" t="b">
        <v>0</v>
      </c>
      <c r="I279" s="102"/>
      <c r="J279" s="102" t="str">
        <f t="shared" si="4"/>
        <v/>
      </c>
    </row>
    <row r="280" ht="22.5" hidden="1" customHeight="1">
      <c r="A280" s="109"/>
      <c r="B280" s="110" t="str">
        <f t="shared" si="3"/>
        <v/>
      </c>
      <c r="C280" s="147"/>
      <c r="D280" s="147"/>
      <c r="E280" s="111"/>
      <c r="F280" s="115"/>
      <c r="G280" s="112"/>
      <c r="H280" s="111" t="b">
        <v>0</v>
      </c>
      <c r="I280" s="115"/>
      <c r="J280" s="115" t="str">
        <f t="shared" si="4"/>
        <v/>
      </c>
    </row>
    <row r="281" ht="22.5" hidden="1" customHeight="1">
      <c r="A281" s="98"/>
      <c r="B281" s="99" t="str">
        <f t="shared" si="3"/>
        <v/>
      </c>
      <c r="C281" s="144"/>
      <c r="D281" s="144"/>
      <c r="E281" s="100"/>
      <c r="F281" s="102"/>
      <c r="G281" s="104"/>
      <c r="H281" s="100" t="b">
        <v>0</v>
      </c>
      <c r="I281" s="102"/>
      <c r="J281" s="102" t="str">
        <f t="shared" si="4"/>
        <v/>
      </c>
    </row>
    <row r="282" ht="22.5" hidden="1" customHeight="1">
      <c r="A282" s="109"/>
      <c r="B282" s="110" t="str">
        <f t="shared" si="3"/>
        <v/>
      </c>
      <c r="C282" s="147"/>
      <c r="D282" s="147"/>
      <c r="E282" s="111"/>
      <c r="F282" s="115"/>
      <c r="G282" s="112"/>
      <c r="H282" s="111" t="b">
        <v>0</v>
      </c>
      <c r="I282" s="115"/>
      <c r="J282" s="115" t="str">
        <f t="shared" si="4"/>
        <v/>
      </c>
    </row>
    <row r="283" ht="22.5" hidden="1" customHeight="1">
      <c r="A283" s="98"/>
      <c r="B283" s="99" t="str">
        <f t="shared" si="3"/>
        <v/>
      </c>
      <c r="C283" s="144"/>
      <c r="D283" s="144"/>
      <c r="E283" s="100"/>
      <c r="F283" s="102"/>
      <c r="G283" s="104"/>
      <c r="H283" s="100" t="b">
        <v>0</v>
      </c>
      <c r="I283" s="102"/>
      <c r="J283" s="102" t="str">
        <f t="shared" si="4"/>
        <v/>
      </c>
    </row>
    <row r="284" ht="22.5" hidden="1" customHeight="1">
      <c r="A284" s="109"/>
      <c r="B284" s="110" t="str">
        <f t="shared" si="3"/>
        <v/>
      </c>
      <c r="C284" s="147"/>
      <c r="D284" s="147"/>
      <c r="E284" s="111"/>
      <c r="F284" s="115"/>
      <c r="G284" s="112"/>
      <c r="H284" s="111" t="b">
        <v>0</v>
      </c>
      <c r="I284" s="115"/>
      <c r="J284" s="115" t="str">
        <f t="shared" si="4"/>
        <v/>
      </c>
    </row>
    <row r="285" ht="22.5" hidden="1" customHeight="1">
      <c r="A285" s="98"/>
      <c r="B285" s="99" t="str">
        <f t="shared" si="3"/>
        <v/>
      </c>
      <c r="C285" s="144"/>
      <c r="D285" s="144"/>
      <c r="E285" s="100"/>
      <c r="F285" s="102"/>
      <c r="G285" s="104"/>
      <c r="H285" s="100" t="b">
        <v>0</v>
      </c>
      <c r="I285" s="102"/>
      <c r="J285" s="102" t="str">
        <f t="shared" si="4"/>
        <v/>
      </c>
    </row>
    <row r="286" ht="22.5" hidden="1" customHeight="1">
      <c r="A286" s="109"/>
      <c r="B286" s="110" t="str">
        <f t="shared" si="3"/>
        <v/>
      </c>
      <c r="C286" s="147"/>
      <c r="D286" s="147"/>
      <c r="E286" s="111"/>
      <c r="F286" s="115"/>
      <c r="G286" s="112"/>
      <c r="H286" s="111" t="b">
        <v>0</v>
      </c>
      <c r="I286" s="115"/>
      <c r="J286" s="115" t="str">
        <f t="shared" si="4"/>
        <v/>
      </c>
    </row>
    <row r="287" ht="22.5" hidden="1" customHeight="1">
      <c r="A287" s="98"/>
      <c r="B287" s="99" t="str">
        <f t="shared" si="3"/>
        <v/>
      </c>
      <c r="C287" s="144"/>
      <c r="D287" s="144"/>
      <c r="E287" s="100"/>
      <c r="F287" s="102"/>
      <c r="G287" s="104"/>
      <c r="H287" s="100" t="b">
        <v>0</v>
      </c>
      <c r="I287" s="102"/>
      <c r="J287" s="102" t="str">
        <f t="shared" si="4"/>
        <v/>
      </c>
    </row>
    <row r="288" ht="22.5" hidden="1" customHeight="1">
      <c r="A288" s="109"/>
      <c r="B288" s="110" t="str">
        <f t="shared" si="3"/>
        <v/>
      </c>
      <c r="C288" s="147"/>
      <c r="D288" s="147"/>
      <c r="E288" s="111"/>
      <c r="F288" s="115"/>
      <c r="G288" s="112"/>
      <c r="H288" s="111" t="b">
        <v>0</v>
      </c>
      <c r="I288" s="115"/>
      <c r="J288" s="115" t="str">
        <f t="shared" si="4"/>
        <v/>
      </c>
    </row>
    <row r="289" ht="22.5" hidden="1" customHeight="1">
      <c r="A289" s="98"/>
      <c r="B289" s="99" t="str">
        <f t="shared" si="3"/>
        <v/>
      </c>
      <c r="C289" s="144"/>
      <c r="D289" s="144"/>
      <c r="E289" s="100"/>
      <c r="F289" s="102"/>
      <c r="G289" s="104"/>
      <c r="H289" s="100" t="b">
        <v>0</v>
      </c>
      <c r="I289" s="102"/>
      <c r="J289" s="102" t="str">
        <f t="shared" si="4"/>
        <v/>
      </c>
    </row>
    <row r="290" ht="22.5" hidden="1" customHeight="1">
      <c r="A290" s="109"/>
      <c r="B290" s="110" t="str">
        <f t="shared" si="3"/>
        <v/>
      </c>
      <c r="C290" s="147"/>
      <c r="D290" s="147"/>
      <c r="E290" s="111"/>
      <c r="F290" s="115"/>
      <c r="G290" s="112"/>
      <c r="H290" s="111" t="b">
        <v>0</v>
      </c>
      <c r="I290" s="115"/>
      <c r="J290" s="115" t="str">
        <f t="shared" si="4"/>
        <v/>
      </c>
    </row>
    <row r="291" ht="22.5" hidden="1" customHeight="1">
      <c r="A291" s="98"/>
      <c r="B291" s="99" t="str">
        <f t="shared" si="3"/>
        <v/>
      </c>
      <c r="C291" s="144"/>
      <c r="D291" s="144"/>
      <c r="E291" s="100"/>
      <c r="F291" s="102"/>
      <c r="G291" s="104"/>
      <c r="H291" s="100" t="b">
        <v>0</v>
      </c>
      <c r="I291" s="102"/>
      <c r="J291" s="102" t="str">
        <f t="shared" si="4"/>
        <v/>
      </c>
    </row>
    <row r="292" ht="22.5" hidden="1" customHeight="1">
      <c r="A292" s="109"/>
      <c r="B292" s="110" t="str">
        <f t="shared" si="3"/>
        <v/>
      </c>
      <c r="C292" s="147"/>
      <c r="D292" s="147"/>
      <c r="E292" s="111"/>
      <c r="F292" s="115"/>
      <c r="G292" s="112"/>
      <c r="H292" s="111" t="b">
        <v>0</v>
      </c>
      <c r="I292" s="115"/>
      <c r="J292" s="115" t="str">
        <f t="shared" si="4"/>
        <v/>
      </c>
    </row>
    <row r="293" ht="22.5" hidden="1" customHeight="1">
      <c r="A293" s="98"/>
      <c r="B293" s="99" t="str">
        <f t="shared" si="3"/>
        <v/>
      </c>
      <c r="C293" s="144"/>
      <c r="D293" s="144"/>
      <c r="E293" s="100"/>
      <c r="F293" s="102"/>
      <c r="G293" s="104"/>
      <c r="H293" s="100" t="b">
        <v>0</v>
      </c>
      <c r="I293" s="102"/>
      <c r="J293" s="102" t="str">
        <f t="shared" si="4"/>
        <v/>
      </c>
    </row>
    <row r="294" ht="22.5" hidden="1" customHeight="1">
      <c r="A294" s="109"/>
      <c r="B294" s="110" t="str">
        <f t="shared" si="3"/>
        <v/>
      </c>
      <c r="C294" s="147"/>
      <c r="D294" s="147"/>
      <c r="E294" s="111"/>
      <c r="F294" s="115"/>
      <c r="G294" s="112"/>
      <c r="H294" s="111" t="b">
        <v>0</v>
      </c>
      <c r="I294" s="115"/>
      <c r="J294" s="115" t="str">
        <f t="shared" si="4"/>
        <v/>
      </c>
    </row>
    <row r="295" ht="22.5" hidden="1" customHeight="1">
      <c r="A295" s="98"/>
      <c r="B295" s="99" t="str">
        <f t="shared" si="3"/>
        <v/>
      </c>
      <c r="C295" s="144"/>
      <c r="D295" s="144"/>
      <c r="E295" s="100"/>
      <c r="F295" s="102"/>
      <c r="G295" s="104"/>
      <c r="H295" s="100" t="b">
        <v>0</v>
      </c>
      <c r="I295" s="102"/>
      <c r="J295" s="102" t="str">
        <f t="shared" si="4"/>
        <v/>
      </c>
    </row>
    <row r="296" ht="22.5" hidden="1" customHeight="1">
      <c r="A296" s="109"/>
      <c r="B296" s="110" t="str">
        <f t="shared" si="3"/>
        <v/>
      </c>
      <c r="C296" s="147"/>
      <c r="D296" s="147"/>
      <c r="E296" s="111"/>
      <c r="F296" s="115"/>
      <c r="G296" s="112"/>
      <c r="H296" s="111" t="b">
        <v>0</v>
      </c>
      <c r="I296" s="115"/>
      <c r="J296" s="115" t="str">
        <f t="shared" si="4"/>
        <v/>
      </c>
    </row>
    <row r="297" ht="22.5" hidden="1" customHeight="1">
      <c r="A297" s="98"/>
      <c r="B297" s="99" t="str">
        <f t="shared" si="3"/>
        <v/>
      </c>
      <c r="C297" s="144"/>
      <c r="D297" s="144"/>
      <c r="E297" s="100"/>
      <c r="F297" s="102"/>
      <c r="G297" s="104"/>
      <c r="H297" s="100" t="b">
        <v>0</v>
      </c>
      <c r="I297" s="102"/>
      <c r="J297" s="102" t="str">
        <f t="shared" si="4"/>
        <v/>
      </c>
    </row>
    <row r="298" ht="22.5" hidden="1" customHeight="1">
      <c r="A298" s="109"/>
      <c r="B298" s="110" t="str">
        <f t="shared" si="3"/>
        <v/>
      </c>
      <c r="C298" s="147"/>
      <c r="D298" s="147"/>
      <c r="E298" s="111"/>
      <c r="F298" s="115"/>
      <c r="G298" s="112"/>
      <c r="H298" s="111" t="b">
        <v>0</v>
      </c>
      <c r="I298" s="115"/>
      <c r="J298" s="115" t="str">
        <f t="shared" si="4"/>
        <v/>
      </c>
    </row>
    <row r="299" ht="22.5" hidden="1" customHeight="1">
      <c r="A299" s="98"/>
      <c r="B299" s="99" t="str">
        <f t="shared" si="3"/>
        <v/>
      </c>
      <c r="C299" s="144"/>
      <c r="D299" s="144"/>
      <c r="E299" s="100"/>
      <c r="F299" s="102"/>
      <c r="G299" s="104"/>
      <c r="H299" s="100" t="b">
        <v>0</v>
      </c>
      <c r="I299" s="102"/>
      <c r="J299" s="102" t="str">
        <f t="shared" si="4"/>
        <v/>
      </c>
    </row>
    <row r="300" ht="22.5" hidden="1" customHeight="1">
      <c r="A300" s="109"/>
      <c r="B300" s="110" t="str">
        <f t="shared" si="3"/>
        <v/>
      </c>
      <c r="C300" s="147"/>
      <c r="D300" s="147"/>
      <c r="E300" s="111"/>
      <c r="F300" s="115"/>
      <c r="G300" s="112"/>
      <c r="H300" s="111" t="b">
        <v>0</v>
      </c>
      <c r="I300" s="115"/>
      <c r="J300" s="115" t="str">
        <f t="shared" si="4"/>
        <v/>
      </c>
    </row>
    <row r="301" ht="22.5" hidden="1" customHeight="1">
      <c r="A301" s="98"/>
      <c r="B301" s="99" t="str">
        <f t="shared" si="3"/>
        <v/>
      </c>
      <c r="C301" s="144"/>
      <c r="D301" s="144"/>
      <c r="E301" s="100"/>
      <c r="F301" s="102"/>
      <c r="G301" s="104"/>
      <c r="H301" s="100" t="b">
        <v>0</v>
      </c>
      <c r="I301" s="102"/>
      <c r="J301" s="102" t="str">
        <f t="shared" si="4"/>
        <v/>
      </c>
    </row>
    <row r="302" ht="22.5" hidden="1" customHeight="1">
      <c r="A302" s="109"/>
      <c r="B302" s="110" t="str">
        <f t="shared" si="3"/>
        <v/>
      </c>
      <c r="C302" s="147"/>
      <c r="D302" s="147"/>
      <c r="E302" s="111"/>
      <c r="F302" s="115"/>
      <c r="G302" s="112"/>
      <c r="H302" s="111" t="b">
        <v>0</v>
      </c>
      <c r="I302" s="115"/>
      <c r="J302" s="115" t="str">
        <f t="shared" si="4"/>
        <v/>
      </c>
    </row>
    <row r="303" ht="22.5" hidden="1" customHeight="1">
      <c r="A303" s="98"/>
      <c r="B303" s="99" t="str">
        <f t="shared" si="3"/>
        <v/>
      </c>
      <c r="C303" s="144"/>
      <c r="D303" s="144"/>
      <c r="E303" s="100"/>
      <c r="F303" s="102"/>
      <c r="G303" s="104"/>
      <c r="H303" s="100" t="b">
        <v>0</v>
      </c>
      <c r="I303" s="102"/>
      <c r="J303" s="102" t="str">
        <f t="shared" si="4"/>
        <v/>
      </c>
    </row>
    <row r="304" ht="22.5" hidden="1" customHeight="1">
      <c r="A304" s="109"/>
      <c r="B304" s="110" t="str">
        <f t="shared" si="3"/>
        <v/>
      </c>
      <c r="C304" s="147"/>
      <c r="D304" s="147"/>
      <c r="E304" s="111"/>
      <c r="F304" s="115"/>
      <c r="G304" s="112"/>
      <c r="H304" s="111" t="b">
        <v>0</v>
      </c>
      <c r="I304" s="115"/>
      <c r="J304" s="115" t="str">
        <f t="shared" si="4"/>
        <v/>
      </c>
    </row>
    <row r="305" ht="22.5" hidden="1" customHeight="1">
      <c r="A305" s="98"/>
      <c r="B305" s="99" t="str">
        <f t="shared" si="3"/>
        <v/>
      </c>
      <c r="C305" s="144"/>
      <c r="D305" s="144"/>
      <c r="E305" s="100"/>
      <c r="F305" s="102"/>
      <c r="G305" s="104"/>
      <c r="H305" s="100" t="b">
        <v>0</v>
      </c>
      <c r="I305" s="102"/>
      <c r="J305" s="102" t="str">
        <f t="shared" si="4"/>
        <v/>
      </c>
    </row>
    <row r="306" ht="22.5" hidden="1" customHeight="1">
      <c r="A306" s="109"/>
      <c r="B306" s="110" t="str">
        <f t="shared" si="3"/>
        <v/>
      </c>
      <c r="C306" s="147"/>
      <c r="D306" s="147"/>
      <c r="E306" s="111"/>
      <c r="F306" s="115"/>
      <c r="G306" s="112"/>
      <c r="H306" s="111" t="b">
        <v>0</v>
      </c>
      <c r="I306" s="115"/>
      <c r="J306" s="115" t="str">
        <f t="shared" si="4"/>
        <v/>
      </c>
    </row>
    <row r="307" ht="22.5" hidden="1" customHeight="1">
      <c r="A307" s="98"/>
      <c r="B307" s="99" t="str">
        <f t="shared" si="3"/>
        <v/>
      </c>
      <c r="C307" s="144"/>
      <c r="D307" s="144"/>
      <c r="E307" s="100"/>
      <c r="F307" s="102"/>
      <c r="G307" s="104"/>
      <c r="H307" s="100" t="b">
        <v>0</v>
      </c>
      <c r="I307" s="102"/>
      <c r="J307" s="102" t="str">
        <f t="shared" si="4"/>
        <v/>
      </c>
    </row>
    <row r="308" ht="22.5" hidden="1" customHeight="1">
      <c r="A308" s="109"/>
      <c r="B308" s="110" t="str">
        <f t="shared" si="3"/>
        <v/>
      </c>
      <c r="C308" s="147"/>
      <c r="D308" s="147"/>
      <c r="E308" s="111"/>
      <c r="F308" s="115"/>
      <c r="G308" s="112"/>
      <c r="H308" s="111" t="b">
        <v>0</v>
      </c>
      <c r="I308" s="115"/>
      <c r="J308" s="115" t="str">
        <f t="shared" si="4"/>
        <v/>
      </c>
    </row>
    <row r="309" ht="22.5" hidden="1" customHeight="1">
      <c r="A309" s="98"/>
      <c r="B309" s="99" t="str">
        <f t="shared" si="3"/>
        <v/>
      </c>
      <c r="C309" s="144"/>
      <c r="D309" s="144"/>
      <c r="E309" s="100"/>
      <c r="F309" s="102"/>
      <c r="G309" s="104"/>
      <c r="H309" s="100" t="b">
        <v>0</v>
      </c>
      <c r="I309" s="102"/>
      <c r="J309" s="102" t="str">
        <f t="shared" si="4"/>
        <v/>
      </c>
    </row>
    <row r="310" ht="22.5" hidden="1" customHeight="1">
      <c r="A310" s="109"/>
      <c r="B310" s="110" t="str">
        <f t="shared" si="3"/>
        <v/>
      </c>
      <c r="C310" s="147"/>
      <c r="D310" s="147"/>
      <c r="E310" s="111"/>
      <c r="F310" s="115"/>
      <c r="G310" s="112"/>
      <c r="H310" s="111" t="b">
        <v>0</v>
      </c>
      <c r="I310" s="115"/>
      <c r="J310" s="115" t="str">
        <f t="shared" si="4"/>
        <v/>
      </c>
    </row>
    <row r="311" ht="22.5" hidden="1" customHeight="1">
      <c r="A311" s="98"/>
      <c r="B311" s="99" t="str">
        <f t="shared" si="3"/>
        <v/>
      </c>
      <c r="C311" s="144"/>
      <c r="D311" s="144"/>
      <c r="E311" s="100"/>
      <c r="F311" s="102"/>
      <c r="G311" s="104"/>
      <c r="H311" s="100" t="b">
        <v>0</v>
      </c>
      <c r="I311" s="102"/>
      <c r="J311" s="102" t="str">
        <f t="shared" si="4"/>
        <v/>
      </c>
    </row>
    <row r="312" ht="22.5" hidden="1" customHeight="1">
      <c r="A312" s="109"/>
      <c r="B312" s="110" t="str">
        <f t="shared" si="3"/>
        <v/>
      </c>
      <c r="C312" s="147"/>
      <c r="D312" s="147"/>
      <c r="E312" s="111"/>
      <c r="F312" s="115"/>
      <c r="G312" s="112"/>
      <c r="H312" s="111" t="b">
        <v>0</v>
      </c>
      <c r="I312" s="115"/>
      <c r="J312" s="115" t="str">
        <f t="shared" si="4"/>
        <v/>
      </c>
    </row>
    <row r="313" ht="22.5" hidden="1" customHeight="1">
      <c r="A313" s="98"/>
      <c r="B313" s="99" t="str">
        <f t="shared" si="3"/>
        <v/>
      </c>
      <c r="C313" s="144"/>
      <c r="D313" s="144"/>
      <c r="E313" s="100"/>
      <c r="F313" s="102"/>
      <c r="G313" s="104"/>
      <c r="H313" s="100" t="b">
        <v>0</v>
      </c>
      <c r="I313" s="102"/>
      <c r="J313" s="102" t="str">
        <f t="shared" si="4"/>
        <v/>
      </c>
    </row>
    <row r="314" ht="22.5" hidden="1" customHeight="1">
      <c r="A314" s="109"/>
      <c r="B314" s="110" t="str">
        <f t="shared" si="3"/>
        <v/>
      </c>
      <c r="C314" s="147"/>
      <c r="D314" s="147"/>
      <c r="E314" s="111"/>
      <c r="F314" s="115"/>
      <c r="G314" s="112"/>
      <c r="H314" s="111" t="b">
        <v>0</v>
      </c>
      <c r="I314" s="115"/>
      <c r="J314" s="115" t="str">
        <f t="shared" si="4"/>
        <v/>
      </c>
    </row>
    <row r="315" ht="22.5" hidden="1" customHeight="1">
      <c r="A315" s="98"/>
      <c r="B315" s="99" t="str">
        <f t="shared" si="3"/>
        <v/>
      </c>
      <c r="C315" s="144"/>
      <c r="D315" s="144"/>
      <c r="E315" s="100"/>
      <c r="F315" s="102"/>
      <c r="G315" s="104"/>
      <c r="H315" s="100" t="b">
        <v>0</v>
      </c>
      <c r="I315" s="102"/>
      <c r="J315" s="102" t="str">
        <f t="shared" si="4"/>
        <v/>
      </c>
    </row>
    <row r="316" ht="22.5" hidden="1" customHeight="1">
      <c r="A316" s="109"/>
      <c r="B316" s="110" t="str">
        <f t="shared" si="3"/>
        <v/>
      </c>
      <c r="C316" s="147"/>
      <c r="D316" s="147"/>
      <c r="E316" s="111"/>
      <c r="F316" s="115"/>
      <c r="G316" s="112"/>
      <c r="H316" s="111" t="b">
        <v>0</v>
      </c>
      <c r="I316" s="115"/>
      <c r="J316" s="115" t="str">
        <f t="shared" si="4"/>
        <v/>
      </c>
    </row>
    <row r="317" ht="22.5" hidden="1" customHeight="1">
      <c r="A317" s="98"/>
      <c r="B317" s="99" t="str">
        <f t="shared" si="3"/>
        <v/>
      </c>
      <c r="C317" s="144"/>
      <c r="D317" s="144"/>
      <c r="E317" s="100"/>
      <c r="F317" s="102"/>
      <c r="G317" s="104"/>
      <c r="H317" s="100" t="b">
        <v>0</v>
      </c>
      <c r="I317" s="102"/>
      <c r="J317" s="102" t="str">
        <f t="shared" si="4"/>
        <v/>
      </c>
    </row>
    <row r="318" ht="22.5" hidden="1" customHeight="1">
      <c r="A318" s="109"/>
      <c r="B318" s="110" t="str">
        <f t="shared" si="3"/>
        <v/>
      </c>
      <c r="C318" s="147"/>
      <c r="D318" s="147"/>
      <c r="E318" s="111"/>
      <c r="F318" s="115"/>
      <c r="G318" s="112"/>
      <c r="H318" s="111" t="b">
        <v>0</v>
      </c>
      <c r="I318" s="115"/>
      <c r="J318" s="115" t="str">
        <f t="shared" si="4"/>
        <v/>
      </c>
    </row>
    <row r="319" ht="22.5" hidden="1" customHeight="1">
      <c r="A319" s="98"/>
      <c r="B319" s="99" t="str">
        <f t="shared" si="3"/>
        <v/>
      </c>
      <c r="C319" s="144"/>
      <c r="D319" s="144"/>
      <c r="E319" s="100"/>
      <c r="F319" s="102"/>
      <c r="G319" s="104"/>
      <c r="H319" s="100" t="b">
        <v>0</v>
      </c>
      <c r="I319" s="102"/>
      <c r="J319" s="102" t="str">
        <f t="shared" si="4"/>
        <v/>
      </c>
    </row>
    <row r="320" ht="22.5" hidden="1" customHeight="1">
      <c r="A320" s="109"/>
      <c r="B320" s="110" t="str">
        <f t="shared" si="3"/>
        <v/>
      </c>
      <c r="C320" s="147"/>
      <c r="D320" s="147"/>
      <c r="E320" s="111"/>
      <c r="F320" s="115"/>
      <c r="G320" s="112"/>
      <c r="H320" s="111" t="b">
        <v>0</v>
      </c>
      <c r="I320" s="115"/>
      <c r="J320" s="115" t="str">
        <f t="shared" si="4"/>
        <v/>
      </c>
    </row>
    <row r="321" ht="22.5" hidden="1" customHeight="1">
      <c r="A321" s="98"/>
      <c r="B321" s="99" t="str">
        <f t="shared" si="3"/>
        <v/>
      </c>
      <c r="C321" s="144"/>
      <c r="D321" s="144"/>
      <c r="E321" s="100"/>
      <c r="F321" s="102"/>
      <c r="G321" s="104"/>
      <c r="H321" s="100" t="b">
        <v>0</v>
      </c>
      <c r="I321" s="102"/>
      <c r="J321" s="102" t="str">
        <f t="shared" si="4"/>
        <v/>
      </c>
    </row>
    <row r="322" ht="22.5" hidden="1" customHeight="1">
      <c r="A322" s="109"/>
      <c r="B322" s="110" t="str">
        <f t="shared" si="3"/>
        <v/>
      </c>
      <c r="C322" s="147"/>
      <c r="D322" s="147"/>
      <c r="E322" s="111"/>
      <c r="F322" s="115"/>
      <c r="G322" s="112"/>
      <c r="H322" s="111" t="b">
        <v>0</v>
      </c>
      <c r="I322" s="115"/>
      <c r="J322" s="115" t="str">
        <f t="shared" si="4"/>
        <v/>
      </c>
    </row>
    <row r="323" ht="22.5" hidden="1" customHeight="1">
      <c r="A323" s="98"/>
      <c r="B323" s="99" t="str">
        <f t="shared" si="3"/>
        <v/>
      </c>
      <c r="C323" s="144"/>
      <c r="D323" s="144"/>
      <c r="E323" s="100"/>
      <c r="F323" s="102"/>
      <c r="G323" s="104"/>
      <c r="H323" s="100" t="b">
        <v>0</v>
      </c>
      <c r="I323" s="102"/>
      <c r="J323" s="102" t="str">
        <f t="shared" si="4"/>
        <v/>
      </c>
    </row>
    <row r="324" ht="22.5" hidden="1" customHeight="1">
      <c r="A324" s="109"/>
      <c r="B324" s="110" t="str">
        <f t="shared" si="3"/>
        <v/>
      </c>
      <c r="C324" s="147"/>
      <c r="D324" s="147"/>
      <c r="E324" s="111"/>
      <c r="F324" s="115"/>
      <c r="G324" s="112"/>
      <c r="H324" s="111" t="b">
        <v>0</v>
      </c>
      <c r="I324" s="115"/>
      <c r="J324" s="115" t="str">
        <f t="shared" si="4"/>
        <v/>
      </c>
    </row>
    <row r="325" ht="22.5" hidden="1" customHeight="1">
      <c r="A325" s="98"/>
      <c r="B325" s="99" t="str">
        <f t="shared" si="3"/>
        <v/>
      </c>
      <c r="C325" s="144"/>
      <c r="D325" s="144"/>
      <c r="E325" s="100"/>
      <c r="F325" s="102"/>
      <c r="G325" s="104"/>
      <c r="H325" s="100" t="b">
        <v>0</v>
      </c>
      <c r="I325" s="102"/>
      <c r="J325" s="102" t="str">
        <f t="shared" si="4"/>
        <v/>
      </c>
    </row>
    <row r="326" ht="22.5" hidden="1" customHeight="1">
      <c r="A326" s="109"/>
      <c r="B326" s="110" t="str">
        <f t="shared" si="3"/>
        <v/>
      </c>
      <c r="C326" s="147"/>
      <c r="D326" s="147"/>
      <c r="E326" s="111"/>
      <c r="F326" s="115"/>
      <c r="G326" s="112"/>
      <c r="H326" s="111" t="b">
        <v>0</v>
      </c>
      <c r="I326" s="115"/>
      <c r="J326" s="115" t="str">
        <f t="shared" si="4"/>
        <v/>
      </c>
    </row>
    <row r="327" ht="22.5" hidden="1" customHeight="1">
      <c r="A327" s="98"/>
      <c r="B327" s="99" t="str">
        <f t="shared" si="3"/>
        <v/>
      </c>
      <c r="C327" s="144"/>
      <c r="D327" s="144"/>
      <c r="E327" s="100"/>
      <c r="F327" s="102"/>
      <c r="G327" s="104"/>
      <c r="H327" s="100" t="b">
        <v>0</v>
      </c>
      <c r="I327" s="102"/>
      <c r="J327" s="102" t="str">
        <f t="shared" si="4"/>
        <v/>
      </c>
    </row>
    <row r="328" ht="22.5" hidden="1" customHeight="1">
      <c r="A328" s="109"/>
      <c r="B328" s="110" t="str">
        <f t="shared" si="3"/>
        <v/>
      </c>
      <c r="C328" s="147"/>
      <c r="D328" s="147"/>
      <c r="E328" s="111"/>
      <c r="F328" s="115"/>
      <c r="G328" s="112"/>
      <c r="H328" s="111" t="b">
        <v>0</v>
      </c>
      <c r="I328" s="115"/>
      <c r="J328" s="115" t="str">
        <f t="shared" si="4"/>
        <v/>
      </c>
    </row>
    <row r="329" ht="22.5" hidden="1" customHeight="1">
      <c r="A329" s="98"/>
      <c r="B329" s="99" t="str">
        <f t="shared" si="3"/>
        <v/>
      </c>
      <c r="C329" s="144"/>
      <c r="D329" s="144"/>
      <c r="E329" s="100"/>
      <c r="F329" s="102"/>
      <c r="G329" s="104"/>
      <c r="H329" s="100" t="b">
        <v>0</v>
      </c>
      <c r="I329" s="102"/>
      <c r="J329" s="102" t="str">
        <f t="shared" si="4"/>
        <v/>
      </c>
    </row>
    <row r="330" ht="22.5" hidden="1" customHeight="1">
      <c r="A330" s="109"/>
      <c r="B330" s="110" t="str">
        <f t="shared" si="3"/>
        <v/>
      </c>
      <c r="C330" s="147"/>
      <c r="D330" s="147"/>
      <c r="E330" s="111"/>
      <c r="F330" s="115"/>
      <c r="G330" s="112"/>
      <c r="H330" s="111" t="b">
        <v>0</v>
      </c>
      <c r="I330" s="115"/>
      <c r="J330" s="115" t="str">
        <f t="shared" si="4"/>
        <v/>
      </c>
    </row>
    <row r="331" ht="22.5" hidden="1" customHeight="1">
      <c r="A331" s="98"/>
      <c r="B331" s="99" t="str">
        <f t="shared" si="3"/>
        <v/>
      </c>
      <c r="C331" s="144"/>
      <c r="D331" s="144"/>
      <c r="E331" s="100"/>
      <c r="F331" s="102"/>
      <c r="G331" s="104"/>
      <c r="H331" s="100" t="b">
        <v>0</v>
      </c>
      <c r="I331" s="102"/>
      <c r="J331" s="102" t="str">
        <f t="shared" si="4"/>
        <v/>
      </c>
    </row>
    <row r="332" ht="22.5" hidden="1" customHeight="1">
      <c r="A332" s="109"/>
      <c r="B332" s="110" t="str">
        <f t="shared" si="3"/>
        <v/>
      </c>
      <c r="C332" s="147"/>
      <c r="D332" s="147"/>
      <c r="E332" s="111"/>
      <c r="F332" s="115"/>
      <c r="G332" s="112"/>
      <c r="H332" s="111" t="b">
        <v>0</v>
      </c>
      <c r="I332" s="115"/>
      <c r="J332" s="115" t="str">
        <f t="shared" si="4"/>
        <v/>
      </c>
    </row>
    <row r="333" ht="22.5" hidden="1" customHeight="1">
      <c r="A333" s="98"/>
      <c r="B333" s="99" t="str">
        <f t="shared" si="3"/>
        <v/>
      </c>
      <c r="C333" s="144"/>
      <c r="D333" s="144"/>
      <c r="E333" s="100"/>
      <c r="F333" s="102"/>
      <c r="G333" s="104"/>
      <c r="H333" s="100" t="b">
        <v>0</v>
      </c>
      <c r="I333" s="102"/>
      <c r="J333" s="102" t="str">
        <f t="shared" si="4"/>
        <v/>
      </c>
    </row>
    <row r="334" ht="22.5" hidden="1" customHeight="1">
      <c r="A334" s="109"/>
      <c r="B334" s="110" t="str">
        <f t="shared" si="3"/>
        <v/>
      </c>
      <c r="C334" s="147"/>
      <c r="D334" s="147"/>
      <c r="E334" s="111"/>
      <c r="F334" s="115"/>
      <c r="G334" s="112"/>
      <c r="H334" s="111" t="b">
        <v>0</v>
      </c>
      <c r="I334" s="115"/>
      <c r="J334" s="115" t="str">
        <f t="shared" si="4"/>
        <v/>
      </c>
    </row>
    <row r="335" ht="22.5" hidden="1" customHeight="1">
      <c r="A335" s="98"/>
      <c r="B335" s="99" t="str">
        <f t="shared" si="3"/>
        <v/>
      </c>
      <c r="C335" s="144"/>
      <c r="D335" s="144"/>
      <c r="E335" s="100"/>
      <c r="F335" s="102"/>
      <c r="G335" s="104"/>
      <c r="H335" s="100" t="b">
        <v>0</v>
      </c>
      <c r="I335" s="102"/>
      <c r="J335" s="102" t="str">
        <f t="shared" si="4"/>
        <v/>
      </c>
    </row>
    <row r="336" ht="22.5" hidden="1" customHeight="1">
      <c r="A336" s="109"/>
      <c r="B336" s="110" t="str">
        <f t="shared" si="3"/>
        <v/>
      </c>
      <c r="C336" s="147"/>
      <c r="D336" s="147"/>
      <c r="E336" s="111"/>
      <c r="F336" s="115"/>
      <c r="G336" s="112"/>
      <c r="H336" s="111" t="b">
        <v>0</v>
      </c>
      <c r="I336" s="115"/>
      <c r="J336" s="115" t="str">
        <f t="shared" si="4"/>
        <v/>
      </c>
    </row>
    <row r="337" ht="22.5" hidden="1" customHeight="1">
      <c r="A337" s="98"/>
      <c r="B337" s="99" t="str">
        <f t="shared" si="3"/>
        <v/>
      </c>
      <c r="C337" s="144"/>
      <c r="D337" s="144"/>
      <c r="E337" s="100"/>
      <c r="F337" s="102"/>
      <c r="G337" s="104"/>
      <c r="H337" s="100" t="b">
        <v>0</v>
      </c>
      <c r="I337" s="102"/>
      <c r="J337" s="102" t="str">
        <f t="shared" si="4"/>
        <v/>
      </c>
    </row>
    <row r="338" ht="22.5" hidden="1" customHeight="1">
      <c r="A338" s="109"/>
      <c r="B338" s="110" t="str">
        <f t="shared" si="3"/>
        <v/>
      </c>
      <c r="C338" s="147"/>
      <c r="D338" s="147"/>
      <c r="E338" s="111"/>
      <c r="F338" s="115"/>
      <c r="G338" s="112"/>
      <c r="H338" s="111" t="b">
        <v>0</v>
      </c>
      <c r="I338" s="115"/>
      <c r="J338" s="115" t="str">
        <f t="shared" si="4"/>
        <v/>
      </c>
    </row>
    <row r="339" ht="22.5" hidden="1" customHeight="1">
      <c r="A339" s="98"/>
      <c r="B339" s="99" t="str">
        <f t="shared" si="3"/>
        <v/>
      </c>
      <c r="C339" s="144"/>
      <c r="D339" s="144"/>
      <c r="E339" s="100"/>
      <c r="F339" s="102"/>
      <c r="G339" s="104"/>
      <c r="H339" s="100" t="b">
        <v>0</v>
      </c>
      <c r="I339" s="102"/>
      <c r="J339" s="102" t="str">
        <f t="shared" si="4"/>
        <v/>
      </c>
    </row>
    <row r="340" ht="22.5" hidden="1" customHeight="1">
      <c r="A340" s="109"/>
      <c r="B340" s="110" t="str">
        <f t="shared" si="3"/>
        <v/>
      </c>
      <c r="C340" s="147"/>
      <c r="D340" s="147"/>
      <c r="E340" s="111"/>
      <c r="F340" s="115"/>
      <c r="G340" s="112"/>
      <c r="H340" s="111" t="b">
        <v>0</v>
      </c>
      <c r="I340" s="115"/>
      <c r="J340" s="115" t="str">
        <f t="shared" si="4"/>
        <v/>
      </c>
    </row>
    <row r="341" ht="22.5" hidden="1" customHeight="1">
      <c r="A341" s="98"/>
      <c r="B341" s="99" t="str">
        <f t="shared" si="3"/>
        <v/>
      </c>
      <c r="C341" s="144"/>
      <c r="D341" s="144"/>
      <c r="E341" s="100"/>
      <c r="F341" s="102"/>
      <c r="G341" s="104"/>
      <c r="H341" s="100" t="b">
        <v>0</v>
      </c>
      <c r="I341" s="102"/>
      <c r="J341" s="102" t="str">
        <f t="shared" si="4"/>
        <v/>
      </c>
    </row>
    <row r="342" ht="22.5" hidden="1" customHeight="1">
      <c r="A342" s="109"/>
      <c r="B342" s="110" t="str">
        <f t="shared" si="3"/>
        <v/>
      </c>
      <c r="C342" s="147"/>
      <c r="D342" s="147"/>
      <c r="E342" s="111"/>
      <c r="F342" s="115"/>
      <c r="G342" s="112"/>
      <c r="H342" s="111" t="b">
        <v>0</v>
      </c>
      <c r="I342" s="115"/>
      <c r="J342" s="115" t="str">
        <f t="shared" si="4"/>
        <v/>
      </c>
    </row>
    <row r="343" ht="22.5" hidden="1" customHeight="1">
      <c r="A343" s="98"/>
      <c r="B343" s="99" t="str">
        <f t="shared" si="3"/>
        <v/>
      </c>
      <c r="C343" s="144"/>
      <c r="D343" s="144"/>
      <c r="E343" s="100"/>
      <c r="F343" s="102"/>
      <c r="G343" s="104"/>
      <c r="H343" s="100" t="b">
        <v>0</v>
      </c>
      <c r="I343" s="102"/>
      <c r="J343" s="102" t="str">
        <f t="shared" si="4"/>
        <v/>
      </c>
    </row>
    <row r="344" ht="22.5" hidden="1" customHeight="1">
      <c r="A344" s="109"/>
      <c r="B344" s="110" t="str">
        <f t="shared" si="3"/>
        <v/>
      </c>
      <c r="C344" s="147"/>
      <c r="D344" s="147"/>
      <c r="E344" s="111"/>
      <c r="F344" s="115"/>
      <c r="G344" s="112"/>
      <c r="H344" s="111" t="b">
        <v>0</v>
      </c>
      <c r="I344" s="115"/>
      <c r="J344" s="115" t="str">
        <f t="shared" si="4"/>
        <v/>
      </c>
    </row>
    <row r="345" ht="22.5" hidden="1" customHeight="1">
      <c r="A345" s="98"/>
      <c r="B345" s="99" t="str">
        <f t="shared" si="3"/>
        <v/>
      </c>
      <c r="C345" s="144"/>
      <c r="D345" s="144"/>
      <c r="E345" s="100"/>
      <c r="F345" s="102"/>
      <c r="G345" s="104"/>
      <c r="H345" s="100" t="b">
        <v>0</v>
      </c>
      <c r="I345" s="102"/>
      <c r="J345" s="102" t="str">
        <f t="shared" si="4"/>
        <v/>
      </c>
    </row>
    <row r="346" ht="22.5" hidden="1" customHeight="1">
      <c r="A346" s="109"/>
      <c r="B346" s="110" t="str">
        <f t="shared" si="3"/>
        <v/>
      </c>
      <c r="C346" s="147"/>
      <c r="D346" s="147"/>
      <c r="E346" s="111"/>
      <c r="F346" s="115"/>
      <c r="G346" s="112"/>
      <c r="H346" s="111" t="b">
        <v>0</v>
      </c>
      <c r="I346" s="115"/>
      <c r="J346" s="115" t="str">
        <f t="shared" si="4"/>
        <v/>
      </c>
    </row>
    <row r="347" ht="22.5" hidden="1" customHeight="1">
      <c r="A347" s="98"/>
      <c r="B347" s="99" t="str">
        <f t="shared" si="3"/>
        <v/>
      </c>
      <c r="C347" s="144"/>
      <c r="D347" s="144"/>
      <c r="E347" s="100"/>
      <c r="F347" s="102"/>
      <c r="G347" s="104"/>
      <c r="H347" s="100" t="b">
        <v>0</v>
      </c>
      <c r="I347" s="102"/>
      <c r="J347" s="102" t="str">
        <f t="shared" si="4"/>
        <v/>
      </c>
    </row>
    <row r="348" ht="22.5" hidden="1" customHeight="1">
      <c r="A348" s="109"/>
      <c r="B348" s="110" t="str">
        <f t="shared" si="3"/>
        <v/>
      </c>
      <c r="C348" s="147"/>
      <c r="D348" s="147"/>
      <c r="E348" s="111"/>
      <c r="F348" s="115"/>
      <c r="G348" s="112"/>
      <c r="H348" s="111" t="b">
        <v>0</v>
      </c>
      <c r="I348" s="115"/>
      <c r="J348" s="115" t="str">
        <f t="shared" si="4"/>
        <v/>
      </c>
    </row>
    <row r="349" ht="22.5" hidden="1" customHeight="1">
      <c r="A349" s="98"/>
      <c r="B349" s="99" t="str">
        <f t="shared" si="3"/>
        <v/>
      </c>
      <c r="C349" s="144"/>
      <c r="D349" s="144"/>
      <c r="E349" s="100"/>
      <c r="F349" s="102"/>
      <c r="G349" s="104"/>
      <c r="H349" s="100" t="b">
        <v>0</v>
      </c>
      <c r="I349" s="102"/>
      <c r="J349" s="102" t="str">
        <f t="shared" si="4"/>
        <v/>
      </c>
    </row>
    <row r="350" ht="22.5" hidden="1" customHeight="1">
      <c r="A350" s="109"/>
      <c r="B350" s="110" t="str">
        <f t="shared" si="3"/>
        <v/>
      </c>
      <c r="C350" s="147"/>
      <c r="D350" s="147"/>
      <c r="E350" s="111"/>
      <c r="F350" s="115"/>
      <c r="G350" s="112"/>
      <c r="H350" s="111" t="b">
        <v>0</v>
      </c>
      <c r="I350" s="115"/>
      <c r="J350" s="115" t="str">
        <f t="shared" si="4"/>
        <v/>
      </c>
    </row>
    <row r="351" ht="22.5" hidden="1" customHeight="1">
      <c r="A351" s="98"/>
      <c r="B351" s="99" t="str">
        <f t="shared" si="3"/>
        <v/>
      </c>
      <c r="C351" s="144"/>
      <c r="D351" s="144"/>
      <c r="E351" s="100"/>
      <c r="F351" s="102"/>
      <c r="G351" s="104"/>
      <c r="H351" s="100" t="b">
        <v>0</v>
      </c>
      <c r="I351" s="102"/>
      <c r="J351" s="102" t="str">
        <f t="shared" si="4"/>
        <v/>
      </c>
    </row>
    <row r="352" ht="22.5" hidden="1" customHeight="1">
      <c r="A352" s="109"/>
      <c r="B352" s="110" t="str">
        <f t="shared" si="3"/>
        <v/>
      </c>
      <c r="C352" s="147"/>
      <c r="D352" s="147"/>
      <c r="E352" s="111"/>
      <c r="F352" s="115"/>
      <c r="G352" s="112"/>
      <c r="H352" s="111" t="b">
        <v>0</v>
      </c>
      <c r="I352" s="115"/>
      <c r="J352" s="115" t="str">
        <f t="shared" si="4"/>
        <v/>
      </c>
    </row>
    <row r="353" ht="22.5" hidden="1" customHeight="1">
      <c r="A353" s="98"/>
      <c r="B353" s="99" t="str">
        <f t="shared" si="3"/>
        <v/>
      </c>
      <c r="C353" s="144"/>
      <c r="D353" s="144"/>
      <c r="E353" s="100"/>
      <c r="F353" s="102"/>
      <c r="G353" s="104"/>
      <c r="H353" s="100" t="b">
        <v>0</v>
      </c>
      <c r="I353" s="102"/>
      <c r="J353" s="102" t="str">
        <f t="shared" si="4"/>
        <v/>
      </c>
    </row>
    <row r="354" ht="22.5" hidden="1" customHeight="1">
      <c r="A354" s="109"/>
      <c r="B354" s="110" t="str">
        <f t="shared" si="3"/>
        <v/>
      </c>
      <c r="C354" s="147"/>
      <c r="D354" s="147"/>
      <c r="E354" s="111"/>
      <c r="F354" s="115"/>
      <c r="G354" s="112"/>
      <c r="H354" s="111" t="b">
        <v>0</v>
      </c>
      <c r="I354" s="115"/>
      <c r="J354" s="115" t="str">
        <f t="shared" si="4"/>
        <v/>
      </c>
    </row>
    <row r="355" ht="22.5" hidden="1" customHeight="1">
      <c r="A355" s="98"/>
      <c r="B355" s="99" t="str">
        <f t="shared" si="3"/>
        <v/>
      </c>
      <c r="C355" s="144"/>
      <c r="D355" s="144"/>
      <c r="E355" s="100"/>
      <c r="F355" s="102"/>
      <c r="G355" s="104"/>
      <c r="H355" s="100" t="b">
        <v>0</v>
      </c>
      <c r="I355" s="102"/>
      <c r="J355" s="102" t="str">
        <f t="shared" si="4"/>
        <v/>
      </c>
    </row>
    <row r="356" ht="22.5" hidden="1" customHeight="1">
      <c r="A356" s="109"/>
      <c r="B356" s="110" t="str">
        <f t="shared" si="3"/>
        <v/>
      </c>
      <c r="C356" s="147"/>
      <c r="D356" s="147"/>
      <c r="E356" s="111"/>
      <c r="F356" s="115"/>
      <c r="G356" s="112"/>
      <c r="H356" s="111" t="b">
        <v>0</v>
      </c>
      <c r="I356" s="115"/>
      <c r="J356" s="115" t="str">
        <f t="shared" si="4"/>
        <v/>
      </c>
    </row>
    <row r="357" ht="22.5" hidden="1" customHeight="1">
      <c r="A357" s="98"/>
      <c r="B357" s="99" t="str">
        <f t="shared" si="3"/>
        <v/>
      </c>
      <c r="C357" s="144"/>
      <c r="D357" s="144"/>
      <c r="E357" s="100"/>
      <c r="F357" s="102"/>
      <c r="G357" s="104"/>
      <c r="H357" s="100" t="b">
        <v>0</v>
      </c>
      <c r="I357" s="102"/>
      <c r="J357" s="102" t="str">
        <f t="shared" si="4"/>
        <v/>
      </c>
    </row>
    <row r="358" ht="22.5" hidden="1" customHeight="1">
      <c r="A358" s="109"/>
      <c r="B358" s="110" t="str">
        <f t="shared" si="3"/>
        <v/>
      </c>
      <c r="C358" s="147"/>
      <c r="D358" s="147"/>
      <c r="E358" s="111"/>
      <c r="F358" s="115"/>
      <c r="G358" s="112"/>
      <c r="H358" s="111" t="b">
        <v>0</v>
      </c>
      <c r="I358" s="115"/>
      <c r="J358" s="115" t="str">
        <f t="shared" si="4"/>
        <v/>
      </c>
    </row>
    <row r="359" ht="22.5" hidden="1" customHeight="1">
      <c r="A359" s="98"/>
      <c r="B359" s="99" t="str">
        <f t="shared" si="3"/>
        <v/>
      </c>
      <c r="C359" s="144"/>
      <c r="D359" s="144"/>
      <c r="E359" s="100"/>
      <c r="F359" s="102"/>
      <c r="G359" s="104"/>
      <c r="H359" s="100" t="b">
        <v>0</v>
      </c>
      <c r="I359" s="102"/>
      <c r="J359" s="102" t="str">
        <f t="shared" si="4"/>
        <v/>
      </c>
    </row>
    <row r="360" ht="22.5" hidden="1" customHeight="1">
      <c r="A360" s="109"/>
      <c r="B360" s="110" t="str">
        <f t="shared" si="3"/>
        <v/>
      </c>
      <c r="C360" s="147"/>
      <c r="D360" s="147"/>
      <c r="E360" s="111"/>
      <c r="F360" s="115"/>
      <c r="G360" s="112"/>
      <c r="H360" s="111" t="b">
        <v>0</v>
      </c>
      <c r="I360" s="115"/>
      <c r="J360" s="115" t="str">
        <f t="shared" si="4"/>
        <v/>
      </c>
    </row>
    <row r="361" ht="22.5" hidden="1" customHeight="1">
      <c r="A361" s="98"/>
      <c r="B361" s="99" t="str">
        <f t="shared" si="3"/>
        <v/>
      </c>
      <c r="C361" s="144"/>
      <c r="D361" s="144"/>
      <c r="E361" s="100"/>
      <c r="F361" s="102"/>
      <c r="G361" s="104"/>
      <c r="H361" s="100" t="b">
        <v>0</v>
      </c>
      <c r="I361" s="102"/>
      <c r="J361" s="102" t="str">
        <f t="shared" si="4"/>
        <v/>
      </c>
    </row>
    <row r="362" ht="22.5" hidden="1" customHeight="1">
      <c r="A362" s="109"/>
      <c r="B362" s="110" t="str">
        <f t="shared" si="3"/>
        <v/>
      </c>
      <c r="C362" s="147"/>
      <c r="D362" s="147"/>
      <c r="E362" s="111"/>
      <c r="F362" s="115"/>
      <c r="G362" s="112"/>
      <c r="H362" s="111" t="b">
        <v>0</v>
      </c>
      <c r="I362" s="115"/>
      <c r="J362" s="115" t="str">
        <f t="shared" si="4"/>
        <v/>
      </c>
    </row>
    <row r="363" ht="22.5" hidden="1" customHeight="1">
      <c r="A363" s="98"/>
      <c r="B363" s="99" t="str">
        <f t="shared" si="3"/>
        <v/>
      </c>
      <c r="C363" s="144"/>
      <c r="D363" s="144"/>
      <c r="E363" s="100"/>
      <c r="F363" s="102"/>
      <c r="G363" s="104"/>
      <c r="H363" s="100" t="b">
        <v>0</v>
      </c>
      <c r="I363" s="102"/>
      <c r="J363" s="102" t="str">
        <f t="shared" si="4"/>
        <v/>
      </c>
    </row>
    <row r="364" ht="22.5" hidden="1" customHeight="1">
      <c r="A364" s="109"/>
      <c r="B364" s="110" t="str">
        <f t="shared" si="3"/>
        <v/>
      </c>
      <c r="C364" s="147"/>
      <c r="D364" s="147"/>
      <c r="E364" s="111"/>
      <c r="F364" s="115"/>
      <c r="G364" s="112"/>
      <c r="H364" s="111" t="b">
        <v>0</v>
      </c>
      <c r="I364" s="115"/>
      <c r="J364" s="115" t="str">
        <f t="shared" si="4"/>
        <v/>
      </c>
    </row>
    <row r="365" ht="22.5" hidden="1" customHeight="1">
      <c r="A365" s="98"/>
      <c r="B365" s="99" t="str">
        <f t="shared" si="3"/>
        <v/>
      </c>
      <c r="C365" s="144"/>
      <c r="D365" s="144"/>
      <c r="E365" s="100"/>
      <c r="F365" s="102"/>
      <c r="G365" s="104"/>
      <c r="H365" s="100" t="b">
        <v>0</v>
      </c>
      <c r="I365" s="102"/>
      <c r="J365" s="102" t="str">
        <f t="shared" si="4"/>
        <v/>
      </c>
    </row>
    <row r="366" ht="22.5" hidden="1" customHeight="1">
      <c r="A366" s="109"/>
      <c r="B366" s="110" t="str">
        <f t="shared" si="3"/>
        <v/>
      </c>
      <c r="C366" s="147"/>
      <c r="D366" s="147"/>
      <c r="E366" s="111"/>
      <c r="F366" s="115"/>
      <c r="G366" s="112"/>
      <c r="H366" s="111" t="b">
        <v>0</v>
      </c>
      <c r="I366" s="115"/>
      <c r="J366" s="115" t="str">
        <f t="shared" si="4"/>
        <v/>
      </c>
    </row>
    <row r="367" ht="22.5" hidden="1" customHeight="1">
      <c r="A367" s="98"/>
      <c r="B367" s="99" t="str">
        <f t="shared" si="3"/>
        <v/>
      </c>
      <c r="C367" s="144"/>
      <c r="D367" s="144"/>
      <c r="E367" s="100"/>
      <c r="F367" s="102"/>
      <c r="G367" s="104"/>
      <c r="H367" s="100" t="b">
        <v>0</v>
      </c>
      <c r="I367" s="102"/>
      <c r="J367" s="102" t="str">
        <f t="shared" si="4"/>
        <v/>
      </c>
    </row>
    <row r="368" ht="22.5" hidden="1" customHeight="1">
      <c r="A368" s="109"/>
      <c r="B368" s="110" t="str">
        <f t="shared" si="3"/>
        <v/>
      </c>
      <c r="C368" s="147"/>
      <c r="D368" s="147"/>
      <c r="E368" s="111"/>
      <c r="F368" s="115"/>
      <c r="G368" s="112"/>
      <c r="H368" s="111" t="b">
        <v>0</v>
      </c>
      <c r="I368" s="115"/>
      <c r="J368" s="115" t="str">
        <f t="shared" si="4"/>
        <v/>
      </c>
    </row>
    <row r="369" ht="22.5" hidden="1" customHeight="1">
      <c r="A369" s="98"/>
      <c r="B369" s="99" t="str">
        <f t="shared" si="3"/>
        <v/>
      </c>
      <c r="C369" s="144"/>
      <c r="D369" s="144"/>
      <c r="E369" s="100"/>
      <c r="F369" s="102"/>
      <c r="G369" s="104"/>
      <c r="H369" s="100" t="b">
        <v>0</v>
      </c>
      <c r="I369" s="102"/>
      <c r="J369" s="102" t="str">
        <f t="shared" si="4"/>
        <v/>
      </c>
    </row>
    <row r="370" ht="22.5" hidden="1" customHeight="1">
      <c r="A370" s="109"/>
      <c r="B370" s="110" t="str">
        <f t="shared" si="3"/>
        <v/>
      </c>
      <c r="C370" s="147"/>
      <c r="D370" s="147"/>
      <c r="E370" s="111"/>
      <c r="F370" s="115"/>
      <c r="G370" s="112"/>
      <c r="H370" s="111" t="b">
        <v>0</v>
      </c>
      <c r="I370" s="115"/>
      <c r="J370" s="115" t="str">
        <f t="shared" si="4"/>
        <v/>
      </c>
    </row>
    <row r="371" ht="22.5" hidden="1" customHeight="1">
      <c r="A371" s="98"/>
      <c r="B371" s="99" t="str">
        <f t="shared" si="3"/>
        <v/>
      </c>
      <c r="C371" s="144"/>
      <c r="D371" s="144"/>
      <c r="E371" s="100"/>
      <c r="F371" s="102"/>
      <c r="G371" s="104"/>
      <c r="H371" s="100" t="b">
        <v>0</v>
      </c>
      <c r="I371" s="102"/>
      <c r="J371" s="102" t="str">
        <f t="shared" si="4"/>
        <v/>
      </c>
    </row>
    <row r="372" ht="22.5" hidden="1" customHeight="1">
      <c r="A372" s="109"/>
      <c r="B372" s="110" t="str">
        <f t="shared" si="3"/>
        <v/>
      </c>
      <c r="C372" s="147"/>
      <c r="D372" s="147"/>
      <c r="E372" s="111"/>
      <c r="F372" s="115"/>
      <c r="G372" s="112"/>
      <c r="H372" s="111" t="b">
        <v>0</v>
      </c>
      <c r="I372" s="115"/>
      <c r="J372" s="115" t="str">
        <f t="shared" si="4"/>
        <v/>
      </c>
    </row>
    <row r="373" ht="22.5" hidden="1" customHeight="1">
      <c r="A373" s="98"/>
      <c r="B373" s="99" t="str">
        <f t="shared" si="3"/>
        <v/>
      </c>
      <c r="C373" s="144"/>
      <c r="D373" s="144"/>
      <c r="E373" s="100"/>
      <c r="F373" s="102"/>
      <c r="G373" s="104"/>
      <c r="H373" s="100" t="b">
        <v>0</v>
      </c>
      <c r="I373" s="102"/>
      <c r="J373" s="102" t="str">
        <f t="shared" si="4"/>
        <v/>
      </c>
    </row>
    <row r="374" ht="22.5" hidden="1" customHeight="1">
      <c r="A374" s="109"/>
      <c r="B374" s="110" t="str">
        <f t="shared" si="3"/>
        <v/>
      </c>
      <c r="C374" s="147"/>
      <c r="D374" s="147"/>
      <c r="E374" s="111"/>
      <c r="F374" s="115"/>
      <c r="G374" s="112"/>
      <c r="H374" s="111" t="b">
        <v>0</v>
      </c>
      <c r="I374" s="115"/>
      <c r="J374" s="115" t="str">
        <f t="shared" si="4"/>
        <v/>
      </c>
    </row>
    <row r="375" ht="22.5" hidden="1" customHeight="1">
      <c r="A375" s="98"/>
      <c r="B375" s="99" t="str">
        <f t="shared" si="3"/>
        <v/>
      </c>
      <c r="C375" s="144"/>
      <c r="D375" s="144"/>
      <c r="E375" s="100"/>
      <c r="F375" s="102"/>
      <c r="G375" s="104"/>
      <c r="H375" s="100" t="b">
        <v>0</v>
      </c>
      <c r="I375" s="102"/>
      <c r="J375" s="102" t="str">
        <f t="shared" si="4"/>
        <v/>
      </c>
    </row>
    <row r="376" ht="22.5" hidden="1" customHeight="1">
      <c r="A376" s="109"/>
      <c r="B376" s="110" t="str">
        <f t="shared" si="3"/>
        <v/>
      </c>
      <c r="C376" s="147"/>
      <c r="D376" s="147"/>
      <c r="E376" s="111"/>
      <c r="F376" s="115"/>
      <c r="G376" s="112"/>
      <c r="H376" s="111" t="b">
        <v>0</v>
      </c>
      <c r="I376" s="115"/>
      <c r="J376" s="115" t="str">
        <f t="shared" si="4"/>
        <v/>
      </c>
    </row>
    <row r="377" ht="22.5" hidden="1" customHeight="1">
      <c r="A377" s="98"/>
      <c r="B377" s="99" t="str">
        <f t="shared" si="3"/>
        <v/>
      </c>
      <c r="C377" s="144"/>
      <c r="D377" s="144"/>
      <c r="E377" s="100"/>
      <c r="F377" s="102"/>
      <c r="G377" s="104"/>
      <c r="H377" s="100" t="b">
        <v>0</v>
      </c>
      <c r="I377" s="102"/>
      <c r="J377" s="102" t="str">
        <f t="shared" si="4"/>
        <v/>
      </c>
    </row>
    <row r="378" ht="22.5" hidden="1" customHeight="1">
      <c r="A378" s="109"/>
      <c r="B378" s="110" t="str">
        <f t="shared" si="3"/>
        <v/>
      </c>
      <c r="C378" s="147"/>
      <c r="D378" s="147"/>
      <c r="E378" s="111"/>
      <c r="F378" s="115"/>
      <c r="G378" s="112"/>
      <c r="H378" s="111" t="b">
        <v>0</v>
      </c>
      <c r="I378" s="115"/>
      <c r="J378" s="115" t="str">
        <f t="shared" si="4"/>
        <v/>
      </c>
    </row>
    <row r="379" ht="22.5" hidden="1" customHeight="1">
      <c r="A379" s="98"/>
      <c r="B379" s="99" t="str">
        <f t="shared" si="3"/>
        <v/>
      </c>
      <c r="C379" s="144"/>
      <c r="D379" s="144"/>
      <c r="E379" s="100"/>
      <c r="F379" s="102"/>
      <c r="G379" s="104"/>
      <c r="H379" s="100" t="b">
        <v>0</v>
      </c>
      <c r="I379" s="102"/>
      <c r="J379" s="102" t="str">
        <f t="shared" si="4"/>
        <v/>
      </c>
    </row>
    <row r="380" ht="22.5" hidden="1" customHeight="1">
      <c r="A380" s="109"/>
      <c r="B380" s="110" t="str">
        <f t="shared" si="3"/>
        <v/>
      </c>
      <c r="C380" s="147"/>
      <c r="D380" s="147"/>
      <c r="E380" s="111"/>
      <c r="F380" s="115"/>
      <c r="G380" s="112"/>
      <c r="H380" s="111" t="b">
        <v>0</v>
      </c>
      <c r="I380" s="115"/>
      <c r="J380" s="115" t="str">
        <f t="shared" si="4"/>
        <v/>
      </c>
    </row>
    <row r="381" ht="22.5" hidden="1" customHeight="1">
      <c r="A381" s="98"/>
      <c r="B381" s="99" t="str">
        <f t="shared" si="3"/>
        <v/>
      </c>
      <c r="C381" s="144"/>
      <c r="D381" s="144"/>
      <c r="E381" s="100"/>
      <c r="F381" s="102"/>
      <c r="G381" s="104"/>
      <c r="H381" s="100" t="b">
        <v>0</v>
      </c>
      <c r="I381" s="102"/>
      <c r="J381" s="102" t="str">
        <f t="shared" si="4"/>
        <v/>
      </c>
    </row>
    <row r="382" ht="22.5" hidden="1" customHeight="1">
      <c r="A382" s="109"/>
      <c r="B382" s="110" t="str">
        <f t="shared" si="3"/>
        <v/>
      </c>
      <c r="C382" s="147"/>
      <c r="D382" s="147"/>
      <c r="E382" s="111"/>
      <c r="F382" s="115"/>
      <c r="G382" s="112"/>
      <c r="H382" s="111" t="b">
        <v>0</v>
      </c>
      <c r="I382" s="115"/>
      <c r="J382" s="115" t="str">
        <f t="shared" si="4"/>
        <v/>
      </c>
    </row>
    <row r="383" ht="22.5" hidden="1" customHeight="1">
      <c r="A383" s="98"/>
      <c r="B383" s="99" t="str">
        <f t="shared" si="3"/>
        <v/>
      </c>
      <c r="C383" s="144"/>
      <c r="D383" s="144"/>
      <c r="E383" s="100"/>
      <c r="F383" s="102"/>
      <c r="G383" s="104"/>
      <c r="H383" s="100" t="b">
        <v>0</v>
      </c>
      <c r="I383" s="102"/>
      <c r="J383" s="102" t="str">
        <f t="shared" si="4"/>
        <v/>
      </c>
    </row>
    <row r="384" ht="22.5" hidden="1" customHeight="1">
      <c r="A384" s="109"/>
      <c r="B384" s="110" t="str">
        <f t="shared" si="3"/>
        <v/>
      </c>
      <c r="C384" s="147"/>
      <c r="D384" s="147"/>
      <c r="E384" s="111"/>
      <c r="F384" s="115"/>
      <c r="G384" s="112"/>
      <c r="H384" s="111" t="b">
        <v>0</v>
      </c>
      <c r="I384" s="115"/>
      <c r="J384" s="115" t="str">
        <f t="shared" si="4"/>
        <v/>
      </c>
    </row>
    <row r="385" ht="22.5" hidden="1" customHeight="1">
      <c r="A385" s="98"/>
      <c r="B385" s="99" t="str">
        <f t="shared" si="3"/>
        <v/>
      </c>
      <c r="C385" s="144"/>
      <c r="D385" s="144"/>
      <c r="E385" s="100"/>
      <c r="F385" s="102"/>
      <c r="G385" s="104"/>
      <c r="H385" s="100" t="b">
        <v>0</v>
      </c>
      <c r="I385" s="102"/>
      <c r="J385" s="102" t="str">
        <f t="shared" si="4"/>
        <v/>
      </c>
    </row>
    <row r="386" ht="22.5" hidden="1" customHeight="1">
      <c r="A386" s="109"/>
      <c r="B386" s="110" t="str">
        <f t="shared" si="3"/>
        <v/>
      </c>
      <c r="C386" s="147"/>
      <c r="D386" s="147"/>
      <c r="E386" s="111"/>
      <c r="F386" s="115"/>
      <c r="G386" s="112"/>
      <c r="H386" s="111" t="b">
        <v>0</v>
      </c>
      <c r="I386" s="115"/>
      <c r="J386" s="115" t="str">
        <f t="shared" si="4"/>
        <v/>
      </c>
    </row>
    <row r="387" ht="22.5" hidden="1" customHeight="1">
      <c r="A387" s="98"/>
      <c r="B387" s="99" t="str">
        <f t="shared" si="3"/>
        <v/>
      </c>
      <c r="C387" s="144"/>
      <c r="D387" s="144"/>
      <c r="E387" s="100"/>
      <c r="F387" s="102"/>
      <c r="G387" s="104"/>
      <c r="H387" s="100" t="b">
        <v>0</v>
      </c>
      <c r="I387" s="102"/>
      <c r="J387" s="102" t="str">
        <f t="shared" si="4"/>
        <v/>
      </c>
    </row>
    <row r="388" ht="22.5" hidden="1" customHeight="1">
      <c r="A388" s="109"/>
      <c r="B388" s="110" t="str">
        <f t="shared" si="3"/>
        <v/>
      </c>
      <c r="C388" s="147"/>
      <c r="D388" s="147"/>
      <c r="E388" s="111"/>
      <c r="F388" s="115"/>
      <c r="G388" s="112"/>
      <c r="H388" s="111" t="b">
        <v>0</v>
      </c>
      <c r="I388" s="115"/>
      <c r="J388" s="115" t="str">
        <f t="shared" si="4"/>
        <v/>
      </c>
    </row>
    <row r="389" ht="22.5" hidden="1" customHeight="1">
      <c r="A389" s="98"/>
      <c r="B389" s="99" t="str">
        <f t="shared" si="3"/>
        <v/>
      </c>
      <c r="C389" s="144"/>
      <c r="D389" s="144"/>
      <c r="E389" s="100"/>
      <c r="F389" s="102"/>
      <c r="G389" s="104"/>
      <c r="H389" s="100" t="b">
        <v>0</v>
      </c>
      <c r="I389" s="102"/>
      <c r="J389" s="102" t="str">
        <f t="shared" si="4"/>
        <v/>
      </c>
    </row>
    <row r="390" ht="22.5" hidden="1" customHeight="1">
      <c r="A390" s="109"/>
      <c r="B390" s="110" t="str">
        <f t="shared" si="3"/>
        <v/>
      </c>
      <c r="C390" s="147"/>
      <c r="D390" s="147"/>
      <c r="E390" s="111"/>
      <c r="F390" s="115"/>
      <c r="G390" s="112"/>
      <c r="H390" s="111" t="b">
        <v>0</v>
      </c>
      <c r="I390" s="115"/>
      <c r="J390" s="115" t="str">
        <f t="shared" si="4"/>
        <v/>
      </c>
    </row>
    <row r="391" ht="22.5" hidden="1" customHeight="1">
      <c r="A391" s="98"/>
      <c r="B391" s="99" t="str">
        <f t="shared" si="3"/>
        <v/>
      </c>
      <c r="C391" s="144"/>
      <c r="D391" s="144"/>
      <c r="E391" s="100"/>
      <c r="F391" s="102"/>
      <c r="G391" s="104"/>
      <c r="H391" s="100" t="b">
        <v>0</v>
      </c>
      <c r="I391" s="102"/>
      <c r="J391" s="102" t="str">
        <f t="shared" si="4"/>
        <v/>
      </c>
    </row>
    <row r="392" ht="22.5" hidden="1" customHeight="1">
      <c r="A392" s="109"/>
      <c r="B392" s="110" t="str">
        <f t="shared" si="3"/>
        <v/>
      </c>
      <c r="C392" s="147"/>
      <c r="D392" s="147"/>
      <c r="E392" s="111"/>
      <c r="F392" s="115"/>
      <c r="G392" s="112"/>
      <c r="H392" s="111" t="b">
        <v>0</v>
      </c>
      <c r="I392" s="115"/>
      <c r="J392" s="115" t="str">
        <f t="shared" si="4"/>
        <v/>
      </c>
    </row>
    <row r="393" ht="22.5" hidden="1" customHeight="1">
      <c r="A393" s="98"/>
      <c r="B393" s="99" t="str">
        <f t="shared" si="3"/>
        <v/>
      </c>
      <c r="C393" s="144"/>
      <c r="D393" s="144"/>
      <c r="E393" s="100"/>
      <c r="F393" s="102"/>
      <c r="G393" s="104"/>
      <c r="H393" s="100" t="b">
        <v>0</v>
      </c>
      <c r="I393" s="102"/>
      <c r="J393" s="102" t="str">
        <f t="shared" si="4"/>
        <v/>
      </c>
    </row>
    <row r="394" ht="22.5" hidden="1" customHeight="1">
      <c r="A394" s="109"/>
      <c r="B394" s="110" t="str">
        <f t="shared" si="3"/>
        <v/>
      </c>
      <c r="C394" s="147"/>
      <c r="D394" s="147"/>
      <c r="E394" s="111"/>
      <c r="F394" s="115"/>
      <c r="G394" s="112"/>
      <c r="H394" s="111" t="b">
        <v>0</v>
      </c>
      <c r="I394" s="115"/>
      <c r="J394" s="115" t="str">
        <f t="shared" si="4"/>
        <v/>
      </c>
    </row>
    <row r="395" ht="22.5" hidden="1" customHeight="1">
      <c r="A395" s="98"/>
      <c r="B395" s="99" t="str">
        <f t="shared" si="3"/>
        <v/>
      </c>
      <c r="C395" s="144"/>
      <c r="D395" s="144"/>
      <c r="E395" s="100"/>
      <c r="F395" s="102"/>
      <c r="G395" s="104"/>
      <c r="H395" s="100" t="b">
        <v>0</v>
      </c>
      <c r="I395" s="102"/>
      <c r="J395" s="102" t="str">
        <f t="shared" si="4"/>
        <v/>
      </c>
    </row>
    <row r="396" ht="22.5" hidden="1" customHeight="1">
      <c r="A396" s="109"/>
      <c r="B396" s="110" t="str">
        <f t="shared" si="3"/>
        <v/>
      </c>
      <c r="C396" s="147"/>
      <c r="D396" s="147"/>
      <c r="E396" s="111"/>
      <c r="F396" s="115"/>
      <c r="G396" s="112"/>
      <c r="H396" s="111" t="b">
        <v>0</v>
      </c>
      <c r="I396" s="115"/>
      <c r="J396" s="115" t="str">
        <f t="shared" si="4"/>
        <v/>
      </c>
    </row>
    <row r="397" ht="22.5" hidden="1" customHeight="1">
      <c r="A397" s="98"/>
      <c r="B397" s="99" t="str">
        <f t="shared" si="3"/>
        <v/>
      </c>
      <c r="C397" s="144"/>
      <c r="D397" s="144"/>
      <c r="E397" s="100"/>
      <c r="F397" s="102"/>
      <c r="G397" s="104"/>
      <c r="H397" s="100" t="b">
        <v>0</v>
      </c>
      <c r="I397" s="102"/>
      <c r="J397" s="102" t="str">
        <f t="shared" si="4"/>
        <v/>
      </c>
    </row>
    <row r="398" ht="22.5" hidden="1" customHeight="1">
      <c r="A398" s="109"/>
      <c r="B398" s="110" t="str">
        <f t="shared" si="3"/>
        <v/>
      </c>
      <c r="C398" s="147"/>
      <c r="D398" s="147"/>
      <c r="E398" s="111"/>
      <c r="F398" s="115"/>
      <c r="G398" s="112"/>
      <c r="H398" s="111" t="b">
        <v>0</v>
      </c>
      <c r="I398" s="115"/>
      <c r="J398" s="115" t="str">
        <f t="shared" si="4"/>
        <v/>
      </c>
    </row>
    <row r="399" ht="22.5" hidden="1" customHeight="1">
      <c r="A399" s="98"/>
      <c r="B399" s="99" t="str">
        <f t="shared" si="3"/>
        <v/>
      </c>
      <c r="C399" s="144"/>
      <c r="D399" s="144"/>
      <c r="E399" s="100"/>
      <c r="F399" s="102"/>
      <c r="G399" s="104"/>
      <c r="H399" s="100" t="b">
        <v>0</v>
      </c>
      <c r="I399" s="102"/>
      <c r="J399" s="102" t="str">
        <f t="shared" si="4"/>
        <v/>
      </c>
    </row>
    <row r="400" ht="22.5" hidden="1" customHeight="1">
      <c r="A400" s="109"/>
      <c r="B400" s="110" t="str">
        <f t="shared" si="3"/>
        <v/>
      </c>
      <c r="C400" s="147"/>
      <c r="D400" s="147"/>
      <c r="E400" s="111"/>
      <c r="F400" s="115"/>
      <c r="G400" s="112"/>
      <c r="H400" s="111" t="b">
        <v>0</v>
      </c>
      <c r="I400" s="115"/>
      <c r="J400" s="115" t="str">
        <f t="shared" si="4"/>
        <v/>
      </c>
    </row>
    <row r="401" ht="22.5" hidden="1" customHeight="1">
      <c r="A401" s="98"/>
      <c r="B401" s="99" t="str">
        <f t="shared" si="3"/>
        <v/>
      </c>
      <c r="C401" s="144"/>
      <c r="D401" s="144"/>
      <c r="E401" s="100"/>
      <c r="F401" s="102"/>
      <c r="G401" s="104"/>
      <c r="H401" s="100" t="b">
        <v>0</v>
      </c>
      <c r="I401" s="102"/>
      <c r="J401" s="102" t="str">
        <f t="shared" si="4"/>
        <v/>
      </c>
    </row>
    <row r="402" ht="22.5" hidden="1" customHeight="1">
      <c r="A402" s="109"/>
      <c r="B402" s="110" t="str">
        <f t="shared" si="3"/>
        <v/>
      </c>
      <c r="C402" s="147"/>
      <c r="D402" s="147"/>
      <c r="E402" s="111"/>
      <c r="F402" s="115"/>
      <c r="G402" s="112"/>
      <c r="H402" s="111" t="b">
        <v>0</v>
      </c>
      <c r="I402" s="115"/>
      <c r="J402" s="115" t="str">
        <f t="shared" si="4"/>
        <v/>
      </c>
    </row>
    <row r="403" ht="22.5" hidden="1" customHeight="1">
      <c r="A403" s="98"/>
      <c r="B403" s="99" t="str">
        <f t="shared" si="3"/>
        <v/>
      </c>
      <c r="C403" s="144"/>
      <c r="D403" s="144"/>
      <c r="E403" s="100"/>
      <c r="F403" s="102"/>
      <c r="G403" s="104"/>
      <c r="H403" s="100" t="b">
        <v>0</v>
      </c>
      <c r="I403" s="102"/>
      <c r="J403" s="102" t="str">
        <f t="shared" si="4"/>
        <v/>
      </c>
    </row>
    <row r="404" ht="22.5" hidden="1" customHeight="1">
      <c r="A404" s="109"/>
      <c r="B404" s="110" t="str">
        <f t="shared" si="3"/>
        <v/>
      </c>
      <c r="C404" s="147"/>
      <c r="D404" s="147"/>
      <c r="E404" s="111"/>
      <c r="F404" s="115"/>
      <c r="G404" s="112"/>
      <c r="H404" s="111" t="b">
        <v>0</v>
      </c>
      <c r="I404" s="115"/>
      <c r="J404" s="115" t="str">
        <f t="shared" si="4"/>
        <v/>
      </c>
    </row>
    <row r="405" ht="22.5" hidden="1" customHeight="1">
      <c r="A405" s="98"/>
      <c r="B405" s="99" t="str">
        <f t="shared" si="3"/>
        <v/>
      </c>
      <c r="C405" s="144"/>
      <c r="D405" s="144"/>
      <c r="E405" s="100"/>
      <c r="F405" s="102"/>
      <c r="G405" s="104"/>
      <c r="H405" s="100" t="b">
        <v>0</v>
      </c>
      <c r="I405" s="102"/>
      <c r="J405" s="102" t="str">
        <f t="shared" si="4"/>
        <v/>
      </c>
    </row>
    <row r="406" ht="22.5" hidden="1" customHeight="1">
      <c r="A406" s="109"/>
      <c r="B406" s="110" t="str">
        <f t="shared" si="3"/>
        <v/>
      </c>
      <c r="C406" s="147"/>
      <c r="D406" s="147"/>
      <c r="E406" s="111"/>
      <c r="F406" s="115"/>
      <c r="G406" s="112"/>
      <c r="H406" s="111" t="b">
        <v>0</v>
      </c>
      <c r="I406" s="115"/>
      <c r="J406" s="115" t="str">
        <f t="shared" si="4"/>
        <v/>
      </c>
    </row>
    <row r="407" ht="22.5" hidden="1" customHeight="1">
      <c r="A407" s="98"/>
      <c r="B407" s="99" t="str">
        <f t="shared" si="3"/>
        <v/>
      </c>
      <c r="C407" s="144"/>
      <c r="D407" s="144"/>
      <c r="E407" s="100"/>
      <c r="F407" s="102"/>
      <c r="G407" s="104"/>
      <c r="H407" s="100" t="b">
        <v>0</v>
      </c>
      <c r="I407" s="102"/>
      <c r="J407" s="102" t="str">
        <f t="shared" si="4"/>
        <v/>
      </c>
    </row>
    <row r="408" ht="22.5" hidden="1" customHeight="1">
      <c r="A408" s="109"/>
      <c r="B408" s="110" t="str">
        <f t="shared" si="3"/>
        <v/>
      </c>
      <c r="C408" s="147"/>
      <c r="D408" s="147"/>
      <c r="E408" s="111"/>
      <c r="F408" s="115"/>
      <c r="G408" s="112"/>
      <c r="H408" s="111" t="b">
        <v>0</v>
      </c>
      <c r="I408" s="115"/>
      <c r="J408" s="115" t="str">
        <f t="shared" si="4"/>
        <v/>
      </c>
    </row>
    <row r="409" ht="22.5" hidden="1" customHeight="1">
      <c r="A409" s="98"/>
      <c r="B409" s="99" t="str">
        <f t="shared" si="3"/>
        <v/>
      </c>
      <c r="C409" s="144"/>
      <c r="D409" s="144"/>
      <c r="E409" s="100"/>
      <c r="F409" s="102"/>
      <c r="G409" s="104"/>
      <c r="H409" s="100" t="b">
        <v>0</v>
      </c>
      <c r="I409" s="102"/>
      <c r="J409" s="102" t="str">
        <f t="shared" si="4"/>
        <v/>
      </c>
    </row>
    <row r="410" ht="22.5" hidden="1" customHeight="1">
      <c r="A410" s="109"/>
      <c r="B410" s="110" t="str">
        <f t="shared" si="3"/>
        <v/>
      </c>
      <c r="C410" s="147"/>
      <c r="D410" s="147"/>
      <c r="E410" s="111"/>
      <c r="F410" s="115"/>
      <c r="G410" s="112"/>
      <c r="H410" s="111" t="b">
        <v>0</v>
      </c>
      <c r="I410" s="115"/>
      <c r="J410" s="115" t="str">
        <f t="shared" si="4"/>
        <v/>
      </c>
    </row>
    <row r="411" ht="22.5" hidden="1" customHeight="1">
      <c r="A411" s="98"/>
      <c r="B411" s="99" t="str">
        <f t="shared" si="3"/>
        <v/>
      </c>
      <c r="C411" s="144"/>
      <c r="D411" s="144"/>
      <c r="E411" s="100"/>
      <c r="F411" s="102"/>
      <c r="G411" s="104"/>
      <c r="H411" s="100" t="b">
        <v>0</v>
      </c>
      <c r="I411" s="102"/>
      <c r="J411" s="102" t="str">
        <f t="shared" si="4"/>
        <v/>
      </c>
    </row>
    <row r="412" ht="22.5" hidden="1" customHeight="1">
      <c r="A412" s="109"/>
      <c r="B412" s="110" t="str">
        <f t="shared" si="3"/>
        <v/>
      </c>
      <c r="C412" s="147"/>
      <c r="D412" s="147"/>
      <c r="E412" s="111"/>
      <c r="F412" s="115"/>
      <c r="G412" s="112"/>
      <c r="H412" s="111" t="b">
        <v>0</v>
      </c>
      <c r="I412" s="115"/>
      <c r="J412" s="115" t="str">
        <f t="shared" si="4"/>
        <v/>
      </c>
    </row>
    <row r="413" ht="22.5" hidden="1" customHeight="1">
      <c r="A413" s="98"/>
      <c r="B413" s="99" t="str">
        <f t="shared" si="3"/>
        <v/>
      </c>
      <c r="C413" s="144"/>
      <c r="D413" s="144"/>
      <c r="E413" s="100"/>
      <c r="F413" s="102"/>
      <c r="G413" s="104"/>
      <c r="H413" s="100" t="b">
        <v>0</v>
      </c>
      <c r="I413" s="102"/>
      <c r="J413" s="102" t="str">
        <f t="shared" si="4"/>
        <v/>
      </c>
    </row>
    <row r="414" ht="22.5" hidden="1" customHeight="1">
      <c r="A414" s="109"/>
      <c r="B414" s="110" t="str">
        <f t="shared" si="3"/>
        <v/>
      </c>
      <c r="C414" s="147"/>
      <c r="D414" s="147"/>
      <c r="E414" s="111"/>
      <c r="F414" s="115"/>
      <c r="G414" s="112"/>
      <c r="H414" s="111" t="b">
        <v>0</v>
      </c>
      <c r="I414" s="115"/>
      <c r="J414" s="115" t="str">
        <f t="shared" si="4"/>
        <v/>
      </c>
    </row>
    <row r="415" ht="22.5" hidden="1" customHeight="1">
      <c r="A415" s="98"/>
      <c r="B415" s="99" t="str">
        <f t="shared" si="3"/>
        <v/>
      </c>
      <c r="C415" s="144"/>
      <c r="D415" s="144"/>
      <c r="E415" s="100"/>
      <c r="F415" s="102"/>
      <c r="G415" s="104"/>
      <c r="H415" s="100" t="b">
        <v>0</v>
      </c>
      <c r="I415" s="102"/>
      <c r="J415" s="102" t="str">
        <f t="shared" si="4"/>
        <v/>
      </c>
    </row>
    <row r="416" ht="22.5" hidden="1" customHeight="1">
      <c r="A416" s="109"/>
      <c r="B416" s="110" t="str">
        <f t="shared" si="3"/>
        <v/>
      </c>
      <c r="C416" s="147"/>
      <c r="D416" s="147"/>
      <c r="E416" s="111"/>
      <c r="F416" s="115"/>
      <c r="G416" s="112"/>
      <c r="H416" s="111" t="b">
        <v>0</v>
      </c>
      <c r="I416" s="115"/>
      <c r="J416" s="115" t="str">
        <f t="shared" si="4"/>
        <v/>
      </c>
    </row>
    <row r="417" ht="22.5" hidden="1" customHeight="1">
      <c r="A417" s="98"/>
      <c r="B417" s="99" t="str">
        <f t="shared" si="3"/>
        <v/>
      </c>
      <c r="C417" s="144"/>
      <c r="D417" s="144"/>
      <c r="E417" s="100"/>
      <c r="F417" s="102"/>
      <c r="G417" s="104"/>
      <c r="H417" s="100" t="b">
        <v>0</v>
      </c>
      <c r="I417" s="102"/>
      <c r="J417" s="102" t="str">
        <f t="shared" si="4"/>
        <v/>
      </c>
    </row>
    <row r="418" ht="22.5" hidden="1" customHeight="1">
      <c r="A418" s="109"/>
      <c r="B418" s="110" t="str">
        <f t="shared" si="3"/>
        <v/>
      </c>
      <c r="C418" s="147"/>
      <c r="D418" s="147"/>
      <c r="E418" s="111"/>
      <c r="F418" s="115"/>
      <c r="G418" s="112"/>
      <c r="H418" s="111" t="b">
        <v>0</v>
      </c>
      <c r="I418" s="115"/>
      <c r="J418" s="115" t="str">
        <f t="shared" si="4"/>
        <v/>
      </c>
    </row>
    <row r="419" ht="22.5" hidden="1" customHeight="1">
      <c r="A419" s="98"/>
      <c r="B419" s="99" t="str">
        <f t="shared" si="3"/>
        <v/>
      </c>
      <c r="C419" s="144"/>
      <c r="D419" s="144"/>
      <c r="E419" s="100"/>
      <c r="F419" s="102"/>
      <c r="G419" s="104"/>
      <c r="H419" s="100" t="b">
        <v>0</v>
      </c>
      <c r="I419" s="102"/>
      <c r="J419" s="102" t="str">
        <f t="shared" si="4"/>
        <v/>
      </c>
    </row>
    <row r="420" ht="22.5" hidden="1" customHeight="1">
      <c r="A420" s="109"/>
      <c r="B420" s="110" t="str">
        <f t="shared" si="3"/>
        <v/>
      </c>
      <c r="C420" s="147"/>
      <c r="D420" s="147"/>
      <c r="E420" s="111"/>
      <c r="F420" s="115"/>
      <c r="G420" s="112"/>
      <c r="H420" s="111" t="b">
        <v>0</v>
      </c>
      <c r="I420" s="115"/>
      <c r="J420" s="115" t="str">
        <f t="shared" si="4"/>
        <v/>
      </c>
    </row>
    <row r="421" ht="22.5" hidden="1" customHeight="1">
      <c r="A421" s="98"/>
      <c r="B421" s="99" t="str">
        <f t="shared" si="3"/>
        <v/>
      </c>
      <c r="C421" s="144"/>
      <c r="D421" s="144"/>
      <c r="E421" s="100"/>
      <c r="F421" s="102"/>
      <c r="G421" s="104"/>
      <c r="H421" s="100" t="b">
        <v>0</v>
      </c>
      <c r="I421" s="102"/>
      <c r="J421" s="102" t="str">
        <f t="shared" si="4"/>
        <v/>
      </c>
    </row>
    <row r="422" ht="22.5" hidden="1" customHeight="1">
      <c r="A422" s="109"/>
      <c r="B422" s="110" t="str">
        <f t="shared" si="3"/>
        <v/>
      </c>
      <c r="C422" s="147"/>
      <c r="D422" s="147"/>
      <c r="E422" s="111"/>
      <c r="F422" s="115"/>
      <c r="G422" s="112"/>
      <c r="H422" s="111" t="b">
        <v>0</v>
      </c>
      <c r="I422" s="115"/>
      <c r="J422" s="115" t="str">
        <f t="shared" si="4"/>
        <v/>
      </c>
    </row>
    <row r="423" ht="22.5" hidden="1" customHeight="1">
      <c r="A423" s="98"/>
      <c r="B423" s="99" t="str">
        <f t="shared" si="3"/>
        <v/>
      </c>
      <c r="C423" s="144"/>
      <c r="D423" s="144"/>
      <c r="E423" s="100"/>
      <c r="F423" s="102"/>
      <c r="G423" s="104"/>
      <c r="H423" s="100" t="b">
        <v>0</v>
      </c>
      <c r="I423" s="102"/>
      <c r="J423" s="102" t="str">
        <f t="shared" si="4"/>
        <v/>
      </c>
    </row>
    <row r="424" ht="22.5" hidden="1" customHeight="1">
      <c r="A424" s="109"/>
      <c r="B424" s="110" t="str">
        <f t="shared" si="3"/>
        <v/>
      </c>
      <c r="C424" s="147"/>
      <c r="D424" s="147"/>
      <c r="E424" s="111"/>
      <c r="F424" s="115"/>
      <c r="G424" s="112"/>
      <c r="H424" s="111" t="b">
        <v>0</v>
      </c>
      <c r="I424" s="115"/>
      <c r="J424" s="115" t="str">
        <f t="shared" si="4"/>
        <v/>
      </c>
    </row>
    <row r="425" ht="22.5" hidden="1" customHeight="1">
      <c r="A425" s="98"/>
      <c r="B425" s="99" t="str">
        <f t="shared" si="3"/>
        <v/>
      </c>
      <c r="C425" s="144"/>
      <c r="D425" s="144"/>
      <c r="E425" s="100"/>
      <c r="F425" s="102"/>
      <c r="G425" s="104"/>
      <c r="H425" s="100" t="b">
        <v>0</v>
      </c>
      <c r="I425" s="102"/>
      <c r="J425" s="102" t="str">
        <f t="shared" si="4"/>
        <v/>
      </c>
    </row>
    <row r="426" ht="22.5" hidden="1" customHeight="1">
      <c r="A426" s="109"/>
      <c r="B426" s="110" t="str">
        <f t="shared" si="3"/>
        <v/>
      </c>
      <c r="C426" s="147"/>
      <c r="D426" s="147"/>
      <c r="E426" s="111"/>
      <c r="F426" s="115"/>
      <c r="G426" s="112"/>
      <c r="H426" s="111" t="b">
        <v>0</v>
      </c>
      <c r="I426" s="115"/>
      <c r="J426" s="115" t="str">
        <f t="shared" si="4"/>
        <v/>
      </c>
    </row>
    <row r="427" ht="22.5" hidden="1" customHeight="1">
      <c r="A427" s="98"/>
      <c r="B427" s="99" t="str">
        <f t="shared" si="3"/>
        <v/>
      </c>
      <c r="C427" s="144"/>
      <c r="D427" s="144"/>
      <c r="E427" s="100"/>
      <c r="F427" s="102"/>
      <c r="G427" s="104"/>
      <c r="H427" s="100" t="b">
        <v>0</v>
      </c>
      <c r="I427" s="102"/>
      <c r="J427" s="102" t="str">
        <f t="shared" si="4"/>
        <v/>
      </c>
    </row>
    <row r="428" ht="22.5" hidden="1" customHeight="1">
      <c r="A428" s="109"/>
      <c r="B428" s="110" t="str">
        <f t="shared" si="3"/>
        <v/>
      </c>
      <c r="C428" s="147"/>
      <c r="D428" s="147"/>
      <c r="E428" s="111"/>
      <c r="F428" s="115"/>
      <c r="G428" s="112"/>
      <c r="H428" s="111" t="b">
        <v>0</v>
      </c>
      <c r="I428" s="115"/>
      <c r="J428" s="115" t="str">
        <f t="shared" si="4"/>
        <v/>
      </c>
    </row>
    <row r="429" ht="22.5" hidden="1" customHeight="1">
      <c r="A429" s="98"/>
      <c r="B429" s="99" t="str">
        <f t="shared" si="3"/>
        <v/>
      </c>
      <c r="C429" s="144"/>
      <c r="D429" s="144"/>
      <c r="E429" s="100"/>
      <c r="F429" s="102"/>
      <c r="G429" s="104"/>
      <c r="H429" s="100" t="b">
        <v>0</v>
      </c>
      <c r="I429" s="102"/>
      <c r="J429" s="102" t="str">
        <f t="shared" si="4"/>
        <v/>
      </c>
    </row>
    <row r="430" ht="22.5" hidden="1" customHeight="1">
      <c r="A430" s="109"/>
      <c r="B430" s="110" t="str">
        <f t="shared" si="3"/>
        <v/>
      </c>
      <c r="C430" s="147"/>
      <c r="D430" s="147"/>
      <c r="E430" s="111"/>
      <c r="F430" s="115"/>
      <c r="G430" s="112"/>
      <c r="H430" s="111" t="b">
        <v>0</v>
      </c>
      <c r="I430" s="115"/>
      <c r="J430" s="115" t="str">
        <f t="shared" si="4"/>
        <v/>
      </c>
    </row>
    <row r="431" ht="22.5" hidden="1" customHeight="1">
      <c r="A431" s="98"/>
      <c r="B431" s="99" t="str">
        <f t="shared" si="3"/>
        <v/>
      </c>
      <c r="C431" s="144"/>
      <c r="D431" s="144"/>
      <c r="E431" s="100"/>
      <c r="F431" s="102"/>
      <c r="G431" s="104"/>
      <c r="H431" s="100" t="b">
        <v>0</v>
      </c>
      <c r="I431" s="102"/>
      <c r="J431" s="102" t="str">
        <f t="shared" si="4"/>
        <v/>
      </c>
    </row>
    <row r="432" ht="22.5" hidden="1" customHeight="1">
      <c r="A432" s="109"/>
      <c r="B432" s="110" t="str">
        <f t="shared" si="3"/>
        <v/>
      </c>
      <c r="C432" s="147"/>
      <c r="D432" s="147"/>
      <c r="E432" s="111"/>
      <c r="F432" s="115"/>
      <c r="G432" s="112"/>
      <c r="H432" s="111" t="b">
        <v>0</v>
      </c>
      <c r="I432" s="115"/>
      <c r="J432" s="115" t="str">
        <f t="shared" si="4"/>
        <v/>
      </c>
    </row>
    <row r="433" ht="22.5" hidden="1" customHeight="1">
      <c r="A433" s="98"/>
      <c r="B433" s="99" t="str">
        <f t="shared" si="3"/>
        <v/>
      </c>
      <c r="C433" s="144"/>
      <c r="D433" s="144"/>
      <c r="E433" s="100"/>
      <c r="F433" s="102"/>
      <c r="G433" s="104"/>
      <c r="H433" s="100" t="b">
        <v>0</v>
      </c>
      <c r="I433" s="102"/>
      <c r="J433" s="102" t="str">
        <f t="shared" si="4"/>
        <v/>
      </c>
    </row>
    <row r="434" ht="22.5" hidden="1" customHeight="1">
      <c r="A434" s="109"/>
      <c r="B434" s="110" t="str">
        <f t="shared" si="3"/>
        <v/>
      </c>
      <c r="C434" s="147"/>
      <c r="D434" s="147"/>
      <c r="E434" s="111"/>
      <c r="F434" s="115"/>
      <c r="G434" s="112"/>
      <c r="H434" s="111" t="b">
        <v>0</v>
      </c>
      <c r="I434" s="115"/>
      <c r="J434" s="115" t="str">
        <f t="shared" si="4"/>
        <v/>
      </c>
    </row>
    <row r="435" ht="22.5" hidden="1" customHeight="1">
      <c r="A435" s="98"/>
      <c r="B435" s="99" t="str">
        <f t="shared" si="3"/>
        <v/>
      </c>
      <c r="C435" s="144"/>
      <c r="D435" s="144"/>
      <c r="E435" s="100"/>
      <c r="F435" s="102"/>
      <c r="G435" s="104"/>
      <c r="H435" s="100" t="b">
        <v>0</v>
      </c>
      <c r="I435" s="102"/>
      <c r="J435" s="102" t="str">
        <f t="shared" si="4"/>
        <v/>
      </c>
    </row>
    <row r="436" ht="22.5" hidden="1" customHeight="1">
      <c r="A436" s="109"/>
      <c r="B436" s="110" t="str">
        <f t="shared" si="3"/>
        <v/>
      </c>
      <c r="C436" s="147"/>
      <c r="D436" s="147"/>
      <c r="E436" s="111"/>
      <c r="F436" s="115"/>
      <c r="G436" s="112"/>
      <c r="H436" s="111" t="b">
        <v>0</v>
      </c>
      <c r="I436" s="115"/>
      <c r="J436" s="115" t="str">
        <f t="shared" si="4"/>
        <v/>
      </c>
    </row>
    <row r="437" ht="22.5" hidden="1" customHeight="1">
      <c r="A437" s="98"/>
      <c r="B437" s="99" t="str">
        <f t="shared" si="3"/>
        <v/>
      </c>
      <c r="C437" s="144"/>
      <c r="D437" s="144"/>
      <c r="E437" s="100"/>
      <c r="F437" s="102"/>
      <c r="G437" s="104"/>
      <c r="H437" s="100" t="b">
        <v>0</v>
      </c>
      <c r="I437" s="102"/>
      <c r="J437" s="102" t="str">
        <f t="shared" si="4"/>
        <v/>
      </c>
    </row>
    <row r="438" ht="22.5" hidden="1" customHeight="1">
      <c r="A438" s="109"/>
      <c r="B438" s="110" t="str">
        <f t="shared" si="3"/>
        <v/>
      </c>
      <c r="C438" s="147"/>
      <c r="D438" s="147"/>
      <c r="E438" s="111"/>
      <c r="F438" s="115"/>
      <c r="G438" s="112"/>
      <c r="H438" s="111" t="b">
        <v>0</v>
      </c>
      <c r="I438" s="115"/>
      <c r="J438" s="115" t="str">
        <f t="shared" si="4"/>
        <v/>
      </c>
    </row>
    <row r="439" ht="22.5" hidden="1" customHeight="1">
      <c r="A439" s="98"/>
      <c r="B439" s="99" t="str">
        <f t="shared" si="3"/>
        <v/>
      </c>
      <c r="C439" s="144"/>
      <c r="D439" s="144"/>
      <c r="E439" s="100"/>
      <c r="F439" s="102"/>
      <c r="G439" s="104"/>
      <c r="H439" s="100" t="b">
        <v>0</v>
      </c>
      <c r="I439" s="102"/>
      <c r="J439" s="102" t="str">
        <f t="shared" si="4"/>
        <v/>
      </c>
    </row>
    <row r="440" ht="22.5" hidden="1" customHeight="1">
      <c r="A440" s="109"/>
      <c r="B440" s="110" t="str">
        <f t="shared" si="3"/>
        <v/>
      </c>
      <c r="C440" s="147"/>
      <c r="D440" s="147"/>
      <c r="E440" s="111"/>
      <c r="F440" s="115"/>
      <c r="G440" s="112"/>
      <c r="H440" s="111" t="b">
        <v>0</v>
      </c>
      <c r="I440" s="115"/>
      <c r="J440" s="115" t="str">
        <f t="shared" si="4"/>
        <v/>
      </c>
    </row>
    <row r="441" ht="22.5" hidden="1" customHeight="1">
      <c r="A441" s="98"/>
      <c r="B441" s="99" t="str">
        <f t="shared" si="3"/>
        <v/>
      </c>
      <c r="C441" s="144"/>
      <c r="D441" s="144"/>
      <c r="E441" s="100"/>
      <c r="F441" s="102"/>
      <c r="G441" s="104"/>
      <c r="H441" s="100" t="b">
        <v>0</v>
      </c>
      <c r="I441" s="102"/>
      <c r="J441" s="102" t="str">
        <f t="shared" si="4"/>
        <v/>
      </c>
    </row>
    <row r="442" ht="22.5" hidden="1" customHeight="1">
      <c r="A442" s="109"/>
      <c r="B442" s="110" t="str">
        <f t="shared" si="3"/>
        <v/>
      </c>
      <c r="C442" s="147"/>
      <c r="D442" s="147"/>
      <c r="E442" s="111"/>
      <c r="F442" s="115"/>
      <c r="G442" s="112"/>
      <c r="H442" s="111" t="b">
        <v>0</v>
      </c>
      <c r="I442" s="115"/>
      <c r="J442" s="115" t="str">
        <f t="shared" si="4"/>
        <v/>
      </c>
    </row>
    <row r="443" ht="22.5" hidden="1" customHeight="1">
      <c r="A443" s="98"/>
      <c r="B443" s="99" t="str">
        <f t="shared" si="3"/>
        <v/>
      </c>
      <c r="C443" s="144"/>
      <c r="D443" s="144"/>
      <c r="E443" s="100"/>
      <c r="F443" s="102"/>
      <c r="G443" s="104"/>
      <c r="H443" s="100" t="b">
        <v>0</v>
      </c>
      <c r="I443" s="102"/>
      <c r="J443" s="102" t="str">
        <f t="shared" si="4"/>
        <v/>
      </c>
    </row>
    <row r="444" ht="22.5" hidden="1" customHeight="1">
      <c r="A444" s="109"/>
      <c r="B444" s="110" t="str">
        <f t="shared" si="3"/>
        <v/>
      </c>
      <c r="C444" s="147"/>
      <c r="D444" s="147"/>
      <c r="E444" s="111"/>
      <c r="F444" s="115"/>
      <c r="G444" s="112"/>
      <c r="H444" s="111" t="b">
        <v>0</v>
      </c>
      <c r="I444" s="115"/>
      <c r="J444" s="115" t="str">
        <f t="shared" si="4"/>
        <v/>
      </c>
    </row>
    <row r="445" ht="22.5" hidden="1" customHeight="1">
      <c r="A445" s="98"/>
      <c r="B445" s="99" t="str">
        <f t="shared" si="3"/>
        <v/>
      </c>
      <c r="C445" s="144"/>
      <c r="D445" s="144"/>
      <c r="E445" s="100"/>
      <c r="F445" s="102"/>
      <c r="G445" s="104"/>
      <c r="H445" s="100" t="b">
        <v>0</v>
      </c>
      <c r="I445" s="102"/>
      <c r="J445" s="102" t="str">
        <f t="shared" si="4"/>
        <v/>
      </c>
    </row>
    <row r="446" ht="22.5" hidden="1" customHeight="1">
      <c r="A446" s="109"/>
      <c r="B446" s="110" t="str">
        <f t="shared" si="3"/>
        <v/>
      </c>
      <c r="C446" s="147"/>
      <c r="D446" s="147"/>
      <c r="E446" s="111"/>
      <c r="F446" s="115"/>
      <c r="G446" s="112"/>
      <c r="H446" s="111" t="b">
        <v>0</v>
      </c>
      <c r="I446" s="115"/>
      <c r="J446" s="115" t="str">
        <f t="shared" si="4"/>
        <v/>
      </c>
    </row>
    <row r="447" ht="22.5" hidden="1" customHeight="1">
      <c r="A447" s="98"/>
      <c r="B447" s="99" t="str">
        <f t="shared" si="3"/>
        <v/>
      </c>
      <c r="C447" s="144"/>
      <c r="D447" s="144"/>
      <c r="E447" s="100"/>
      <c r="F447" s="102"/>
      <c r="G447" s="104"/>
      <c r="H447" s="100" t="b">
        <v>0</v>
      </c>
      <c r="I447" s="102"/>
      <c r="J447" s="102" t="str">
        <f t="shared" si="4"/>
        <v/>
      </c>
    </row>
    <row r="448" ht="22.5" hidden="1" customHeight="1">
      <c r="A448" s="109"/>
      <c r="B448" s="110" t="str">
        <f t="shared" si="3"/>
        <v/>
      </c>
      <c r="C448" s="147"/>
      <c r="D448" s="147"/>
      <c r="E448" s="111"/>
      <c r="F448" s="115"/>
      <c r="G448" s="112"/>
      <c r="H448" s="111" t="b">
        <v>0</v>
      </c>
      <c r="I448" s="115"/>
      <c r="J448" s="115" t="str">
        <f t="shared" si="4"/>
        <v/>
      </c>
    </row>
    <row r="449" ht="22.5" hidden="1" customHeight="1">
      <c r="A449" s="98"/>
      <c r="B449" s="99" t="str">
        <f t="shared" si="3"/>
        <v/>
      </c>
      <c r="C449" s="144"/>
      <c r="D449" s="144"/>
      <c r="E449" s="100"/>
      <c r="F449" s="102"/>
      <c r="G449" s="104"/>
      <c r="H449" s="100" t="b">
        <v>0</v>
      </c>
      <c r="I449" s="102"/>
      <c r="J449" s="102" t="str">
        <f t="shared" si="4"/>
        <v/>
      </c>
    </row>
    <row r="450" ht="22.5" hidden="1" customHeight="1">
      <c r="A450" s="109"/>
      <c r="B450" s="110" t="str">
        <f t="shared" si="3"/>
        <v/>
      </c>
      <c r="C450" s="147"/>
      <c r="D450" s="147"/>
      <c r="E450" s="111"/>
      <c r="F450" s="115"/>
      <c r="G450" s="112"/>
      <c r="H450" s="111" t="b">
        <v>0</v>
      </c>
      <c r="I450" s="115"/>
      <c r="J450" s="115" t="str">
        <f t="shared" si="4"/>
        <v/>
      </c>
    </row>
    <row r="451" ht="22.5" hidden="1" customHeight="1">
      <c r="A451" s="98"/>
      <c r="B451" s="99" t="str">
        <f t="shared" si="3"/>
        <v/>
      </c>
      <c r="C451" s="144"/>
      <c r="D451" s="144"/>
      <c r="E451" s="100"/>
      <c r="F451" s="102"/>
      <c r="G451" s="104"/>
      <c r="H451" s="100" t="b">
        <v>0</v>
      </c>
      <c r="I451" s="102"/>
      <c r="J451" s="102" t="str">
        <f t="shared" si="4"/>
        <v/>
      </c>
    </row>
    <row r="452" ht="22.5" hidden="1" customHeight="1">
      <c r="A452" s="109"/>
      <c r="B452" s="110" t="str">
        <f t="shared" si="3"/>
        <v/>
      </c>
      <c r="C452" s="147"/>
      <c r="D452" s="147"/>
      <c r="E452" s="111"/>
      <c r="F452" s="115"/>
      <c r="G452" s="112"/>
      <c r="H452" s="111" t="b">
        <v>0</v>
      </c>
      <c r="I452" s="115"/>
      <c r="J452" s="115" t="str">
        <f t="shared" si="4"/>
        <v/>
      </c>
    </row>
    <row r="453" ht="22.5" hidden="1" customHeight="1">
      <c r="A453" s="98"/>
      <c r="B453" s="99" t="str">
        <f t="shared" si="3"/>
        <v/>
      </c>
      <c r="C453" s="144"/>
      <c r="D453" s="144"/>
      <c r="E453" s="100"/>
      <c r="F453" s="102"/>
      <c r="G453" s="104"/>
      <c r="H453" s="100" t="b">
        <v>0</v>
      </c>
      <c r="I453" s="102"/>
      <c r="J453" s="102" t="str">
        <f t="shared" si="4"/>
        <v/>
      </c>
    </row>
    <row r="454" ht="22.5" hidden="1" customHeight="1">
      <c r="A454" s="109"/>
      <c r="B454" s="110" t="str">
        <f t="shared" si="3"/>
        <v/>
      </c>
      <c r="C454" s="147"/>
      <c r="D454" s="147"/>
      <c r="E454" s="111"/>
      <c r="F454" s="115"/>
      <c r="G454" s="112"/>
      <c r="H454" s="111" t="b">
        <v>0</v>
      </c>
      <c r="I454" s="115"/>
      <c r="J454" s="115" t="str">
        <f t="shared" si="4"/>
        <v/>
      </c>
    </row>
    <row r="455" ht="22.5" hidden="1" customHeight="1">
      <c r="A455" s="98"/>
      <c r="B455" s="99" t="str">
        <f t="shared" si="3"/>
        <v/>
      </c>
      <c r="C455" s="144"/>
      <c r="D455" s="144"/>
      <c r="E455" s="100"/>
      <c r="F455" s="102"/>
      <c r="G455" s="104"/>
      <c r="H455" s="100" t="b">
        <v>0</v>
      </c>
      <c r="I455" s="102"/>
      <c r="J455" s="102" t="str">
        <f t="shared" si="4"/>
        <v/>
      </c>
    </row>
    <row r="456" ht="22.5" hidden="1" customHeight="1">
      <c r="A456" s="109"/>
      <c r="B456" s="110" t="str">
        <f t="shared" si="3"/>
        <v/>
      </c>
      <c r="C456" s="147"/>
      <c r="D456" s="147"/>
      <c r="E456" s="111"/>
      <c r="F456" s="115"/>
      <c r="G456" s="112"/>
      <c r="H456" s="111" t="b">
        <v>0</v>
      </c>
      <c r="I456" s="115"/>
      <c r="J456" s="115" t="str">
        <f t="shared" si="4"/>
        <v/>
      </c>
    </row>
    <row r="457" ht="22.5" hidden="1" customHeight="1">
      <c r="A457" s="98"/>
      <c r="B457" s="99" t="str">
        <f t="shared" si="3"/>
        <v/>
      </c>
      <c r="C457" s="144"/>
      <c r="D457" s="144"/>
      <c r="E457" s="100"/>
      <c r="F457" s="102"/>
      <c r="G457" s="104"/>
      <c r="H457" s="100" t="b">
        <v>0</v>
      </c>
      <c r="I457" s="102"/>
      <c r="J457" s="102" t="str">
        <f t="shared" si="4"/>
        <v/>
      </c>
    </row>
    <row r="458" ht="22.5" hidden="1" customHeight="1">
      <c r="A458" s="109"/>
      <c r="B458" s="110" t="str">
        <f t="shared" si="3"/>
        <v/>
      </c>
      <c r="C458" s="147"/>
      <c r="D458" s="147"/>
      <c r="E458" s="111"/>
      <c r="F458" s="115"/>
      <c r="G458" s="112"/>
      <c r="H458" s="111" t="b">
        <v>0</v>
      </c>
      <c r="I458" s="115"/>
      <c r="J458" s="115" t="str">
        <f t="shared" si="4"/>
        <v/>
      </c>
    </row>
    <row r="459" ht="22.5" hidden="1" customHeight="1">
      <c r="A459" s="98"/>
      <c r="B459" s="99" t="str">
        <f t="shared" si="3"/>
        <v/>
      </c>
      <c r="C459" s="144"/>
      <c r="D459" s="144"/>
      <c r="E459" s="100"/>
      <c r="F459" s="102"/>
      <c r="G459" s="104"/>
      <c r="H459" s="100" t="b">
        <v>0</v>
      </c>
      <c r="I459" s="102"/>
      <c r="J459" s="102" t="str">
        <f t="shared" si="4"/>
        <v/>
      </c>
    </row>
    <row r="460" ht="22.5" hidden="1" customHeight="1">
      <c r="A460" s="109"/>
      <c r="B460" s="110" t="str">
        <f t="shared" si="3"/>
        <v/>
      </c>
      <c r="C460" s="147"/>
      <c r="D460" s="147"/>
      <c r="E460" s="111"/>
      <c r="F460" s="115"/>
      <c r="G460" s="112"/>
      <c r="H460" s="111" t="b">
        <v>0</v>
      </c>
      <c r="I460" s="115"/>
      <c r="J460" s="115" t="str">
        <f t="shared" si="4"/>
        <v/>
      </c>
    </row>
    <row r="461" ht="22.5" hidden="1" customHeight="1">
      <c r="A461" s="98"/>
      <c r="B461" s="99" t="str">
        <f t="shared" si="3"/>
        <v/>
      </c>
      <c r="C461" s="144"/>
      <c r="D461" s="144"/>
      <c r="E461" s="100"/>
      <c r="F461" s="102"/>
      <c r="G461" s="104"/>
      <c r="H461" s="100" t="b">
        <v>0</v>
      </c>
      <c r="I461" s="102"/>
      <c r="J461" s="102" t="str">
        <f t="shared" si="4"/>
        <v/>
      </c>
    </row>
    <row r="462" ht="22.5" hidden="1" customHeight="1">
      <c r="A462" s="109"/>
      <c r="B462" s="110" t="str">
        <f t="shared" si="3"/>
        <v/>
      </c>
      <c r="C462" s="147"/>
      <c r="D462" s="147"/>
      <c r="E462" s="111"/>
      <c r="F462" s="115"/>
      <c r="G462" s="112"/>
      <c r="H462" s="111" t="b">
        <v>0</v>
      </c>
      <c r="I462" s="115"/>
      <c r="J462" s="115" t="str">
        <f t="shared" si="4"/>
        <v/>
      </c>
    </row>
    <row r="463" ht="22.5" hidden="1" customHeight="1">
      <c r="A463" s="98"/>
      <c r="B463" s="99" t="str">
        <f t="shared" si="3"/>
        <v/>
      </c>
      <c r="C463" s="144"/>
      <c r="D463" s="144"/>
      <c r="E463" s="100"/>
      <c r="F463" s="102"/>
      <c r="G463" s="104"/>
      <c r="H463" s="100" t="b">
        <v>0</v>
      </c>
      <c r="I463" s="102"/>
      <c r="J463" s="102" t="str">
        <f t="shared" si="4"/>
        <v/>
      </c>
    </row>
    <row r="464" ht="22.5" hidden="1" customHeight="1">
      <c r="A464" s="109"/>
      <c r="B464" s="110" t="str">
        <f t="shared" si="3"/>
        <v/>
      </c>
      <c r="C464" s="147"/>
      <c r="D464" s="147"/>
      <c r="E464" s="111"/>
      <c r="F464" s="115"/>
      <c r="G464" s="112"/>
      <c r="H464" s="111" t="b">
        <v>0</v>
      </c>
      <c r="I464" s="115"/>
      <c r="J464" s="115" t="str">
        <f t="shared" si="4"/>
        <v/>
      </c>
    </row>
    <row r="465" ht="22.5" hidden="1" customHeight="1">
      <c r="A465" s="98"/>
      <c r="B465" s="99" t="str">
        <f t="shared" si="3"/>
        <v/>
      </c>
      <c r="C465" s="144"/>
      <c r="D465" s="144"/>
      <c r="E465" s="100"/>
      <c r="F465" s="102"/>
      <c r="G465" s="104"/>
      <c r="H465" s="100" t="b">
        <v>0</v>
      </c>
      <c r="I465" s="102"/>
      <c r="J465" s="102" t="str">
        <f t="shared" si="4"/>
        <v/>
      </c>
    </row>
    <row r="466" ht="22.5" hidden="1" customHeight="1">
      <c r="A466" s="109"/>
      <c r="B466" s="110" t="str">
        <f t="shared" si="3"/>
        <v/>
      </c>
      <c r="C466" s="147"/>
      <c r="D466" s="147"/>
      <c r="E466" s="111"/>
      <c r="F466" s="115"/>
      <c r="G466" s="112"/>
      <c r="H466" s="111" t="b">
        <v>0</v>
      </c>
      <c r="I466" s="115"/>
      <c r="J466" s="115" t="str">
        <f t="shared" si="4"/>
        <v/>
      </c>
    </row>
    <row r="467" ht="22.5" hidden="1" customHeight="1">
      <c r="A467" s="98"/>
      <c r="B467" s="99" t="str">
        <f t="shared" si="3"/>
        <v/>
      </c>
      <c r="C467" s="144"/>
      <c r="D467" s="144"/>
      <c r="E467" s="100"/>
      <c r="F467" s="102"/>
      <c r="G467" s="104"/>
      <c r="H467" s="100" t="b">
        <v>0</v>
      </c>
      <c r="I467" s="102"/>
      <c r="J467" s="102" t="str">
        <f t="shared" si="4"/>
        <v/>
      </c>
    </row>
    <row r="468" ht="22.5" hidden="1" customHeight="1">
      <c r="A468" s="109"/>
      <c r="B468" s="110" t="str">
        <f t="shared" si="3"/>
        <v/>
      </c>
      <c r="C468" s="147"/>
      <c r="D468" s="147"/>
      <c r="E468" s="111"/>
      <c r="F468" s="115"/>
      <c r="G468" s="112"/>
      <c r="H468" s="111" t="b">
        <v>0</v>
      </c>
      <c r="I468" s="115"/>
      <c r="J468" s="115" t="str">
        <f t="shared" si="4"/>
        <v/>
      </c>
    </row>
    <row r="469" ht="22.5" hidden="1" customHeight="1">
      <c r="A469" s="98"/>
      <c r="B469" s="99" t="str">
        <f t="shared" si="3"/>
        <v/>
      </c>
      <c r="C469" s="144"/>
      <c r="D469" s="144"/>
      <c r="E469" s="100"/>
      <c r="F469" s="102"/>
      <c r="G469" s="104"/>
      <c r="H469" s="100" t="b">
        <v>0</v>
      </c>
      <c r="I469" s="102"/>
      <c r="J469" s="102" t="str">
        <f t="shared" si="4"/>
        <v/>
      </c>
    </row>
    <row r="470" ht="22.5" hidden="1" customHeight="1">
      <c r="A470" s="109"/>
      <c r="B470" s="110" t="str">
        <f t="shared" si="3"/>
        <v/>
      </c>
      <c r="C470" s="147"/>
      <c r="D470" s="147"/>
      <c r="E470" s="111"/>
      <c r="F470" s="115"/>
      <c r="G470" s="112"/>
      <c r="H470" s="111" t="b">
        <v>0</v>
      </c>
      <c r="I470" s="115"/>
      <c r="J470" s="115" t="str">
        <f t="shared" si="4"/>
        <v/>
      </c>
    </row>
    <row r="471" ht="22.5" hidden="1" customHeight="1">
      <c r="A471" s="98"/>
      <c r="B471" s="99" t="str">
        <f t="shared" si="3"/>
        <v/>
      </c>
      <c r="C471" s="144"/>
      <c r="D471" s="144"/>
      <c r="E471" s="100"/>
      <c r="F471" s="102"/>
      <c r="G471" s="104"/>
      <c r="H471" s="100" t="b">
        <v>0</v>
      </c>
      <c r="I471" s="102"/>
      <c r="J471" s="102" t="str">
        <f t="shared" si="4"/>
        <v/>
      </c>
    </row>
    <row r="472" ht="22.5" hidden="1" customHeight="1">
      <c r="A472" s="109"/>
      <c r="B472" s="110" t="str">
        <f t="shared" si="3"/>
        <v/>
      </c>
      <c r="C472" s="147"/>
      <c r="D472" s="147"/>
      <c r="E472" s="111"/>
      <c r="F472" s="115"/>
      <c r="G472" s="112"/>
      <c r="H472" s="111" t="b">
        <v>0</v>
      </c>
      <c r="I472" s="115"/>
      <c r="J472" s="115" t="str">
        <f t="shared" si="4"/>
        <v/>
      </c>
    </row>
    <row r="473" ht="22.5" hidden="1" customHeight="1">
      <c r="A473" s="98"/>
      <c r="B473" s="99" t="str">
        <f t="shared" si="3"/>
        <v/>
      </c>
      <c r="C473" s="144"/>
      <c r="D473" s="144"/>
      <c r="E473" s="100"/>
      <c r="F473" s="102"/>
      <c r="G473" s="104"/>
      <c r="H473" s="100" t="b">
        <v>0</v>
      </c>
      <c r="I473" s="102"/>
      <c r="J473" s="102" t="str">
        <f t="shared" si="4"/>
        <v/>
      </c>
    </row>
    <row r="474" ht="22.5" hidden="1" customHeight="1">
      <c r="A474" s="109"/>
      <c r="B474" s="110" t="str">
        <f t="shared" si="3"/>
        <v/>
      </c>
      <c r="C474" s="147"/>
      <c r="D474" s="147"/>
      <c r="E474" s="111"/>
      <c r="F474" s="115"/>
      <c r="G474" s="112"/>
      <c r="H474" s="111" t="b">
        <v>0</v>
      </c>
      <c r="I474" s="115"/>
      <c r="J474" s="115" t="str">
        <f t="shared" si="4"/>
        <v/>
      </c>
    </row>
    <row r="475" ht="22.5" hidden="1" customHeight="1">
      <c r="A475" s="98"/>
      <c r="B475" s="99" t="str">
        <f t="shared" si="3"/>
        <v/>
      </c>
      <c r="C475" s="144"/>
      <c r="D475" s="144"/>
      <c r="E475" s="100"/>
      <c r="F475" s="102"/>
      <c r="G475" s="104"/>
      <c r="H475" s="100" t="b">
        <v>0</v>
      </c>
      <c r="I475" s="102"/>
      <c r="J475" s="102" t="str">
        <f t="shared" si="4"/>
        <v/>
      </c>
    </row>
    <row r="476" ht="22.5" hidden="1" customHeight="1">
      <c r="A476" s="109"/>
      <c r="B476" s="110" t="str">
        <f t="shared" si="3"/>
        <v/>
      </c>
      <c r="C476" s="147"/>
      <c r="D476" s="147"/>
      <c r="E476" s="111"/>
      <c r="F476" s="115"/>
      <c r="G476" s="112"/>
      <c r="H476" s="111" t="b">
        <v>0</v>
      </c>
      <c r="I476" s="115"/>
      <c r="J476" s="115" t="str">
        <f t="shared" si="4"/>
        <v/>
      </c>
    </row>
    <row r="477" ht="22.5" hidden="1" customHeight="1">
      <c r="A477" s="98"/>
      <c r="B477" s="99" t="str">
        <f t="shared" si="3"/>
        <v/>
      </c>
      <c r="C477" s="144"/>
      <c r="D477" s="144"/>
      <c r="E477" s="100"/>
      <c r="F477" s="102"/>
      <c r="G477" s="104"/>
      <c r="H477" s="100" t="b">
        <v>0</v>
      </c>
      <c r="I477" s="102"/>
      <c r="J477" s="102" t="str">
        <f t="shared" si="4"/>
        <v/>
      </c>
    </row>
    <row r="478" ht="22.5" hidden="1" customHeight="1">
      <c r="A478" s="109"/>
      <c r="B478" s="110" t="str">
        <f t="shared" si="3"/>
        <v/>
      </c>
      <c r="C478" s="147"/>
      <c r="D478" s="147"/>
      <c r="E478" s="111"/>
      <c r="F478" s="115"/>
      <c r="G478" s="112"/>
      <c r="H478" s="111" t="b">
        <v>0</v>
      </c>
      <c r="I478" s="115"/>
      <c r="J478" s="115" t="str">
        <f t="shared" si="4"/>
        <v/>
      </c>
    </row>
    <row r="479" ht="22.5" hidden="1" customHeight="1">
      <c r="A479" s="98"/>
      <c r="B479" s="99" t="str">
        <f t="shared" si="3"/>
        <v/>
      </c>
      <c r="C479" s="144"/>
      <c r="D479" s="144"/>
      <c r="E479" s="100"/>
      <c r="F479" s="102"/>
      <c r="G479" s="104"/>
      <c r="H479" s="100" t="b">
        <v>0</v>
      </c>
      <c r="I479" s="102"/>
      <c r="J479" s="102" t="str">
        <f t="shared" si="4"/>
        <v/>
      </c>
    </row>
    <row r="480" ht="22.5" hidden="1" customHeight="1">
      <c r="A480" s="109"/>
      <c r="B480" s="110" t="str">
        <f t="shared" si="3"/>
        <v/>
      </c>
      <c r="C480" s="147"/>
      <c r="D480" s="147"/>
      <c r="E480" s="111"/>
      <c r="F480" s="115"/>
      <c r="G480" s="112"/>
      <c r="H480" s="111" t="b">
        <v>0</v>
      </c>
      <c r="I480" s="115"/>
      <c r="J480" s="115" t="str">
        <f t="shared" si="4"/>
        <v/>
      </c>
    </row>
    <row r="481" ht="22.5" hidden="1" customHeight="1">
      <c r="A481" s="98"/>
      <c r="B481" s="99" t="str">
        <f t="shared" si="3"/>
        <v/>
      </c>
      <c r="C481" s="144"/>
      <c r="D481" s="144"/>
      <c r="E481" s="100"/>
      <c r="F481" s="102"/>
      <c r="G481" s="104"/>
      <c r="H481" s="100" t="b">
        <v>0</v>
      </c>
      <c r="I481" s="102"/>
      <c r="J481" s="102" t="str">
        <f t="shared" si="4"/>
        <v/>
      </c>
    </row>
    <row r="482" ht="22.5" hidden="1" customHeight="1">
      <c r="A482" s="109"/>
      <c r="B482" s="110" t="str">
        <f t="shared" si="3"/>
        <v/>
      </c>
      <c r="C482" s="147"/>
      <c r="D482" s="147"/>
      <c r="E482" s="111"/>
      <c r="F482" s="115"/>
      <c r="G482" s="112"/>
      <c r="H482" s="111" t="b">
        <v>0</v>
      </c>
      <c r="I482" s="115"/>
      <c r="J482" s="115" t="str">
        <f t="shared" si="4"/>
        <v/>
      </c>
    </row>
    <row r="483" ht="22.5" hidden="1" customHeight="1">
      <c r="A483" s="98"/>
      <c r="B483" s="99" t="str">
        <f t="shared" si="3"/>
        <v/>
      </c>
      <c r="C483" s="144"/>
      <c r="D483" s="144"/>
      <c r="E483" s="100"/>
      <c r="F483" s="102"/>
      <c r="G483" s="104"/>
      <c r="H483" s="100" t="b">
        <v>0</v>
      </c>
      <c r="I483" s="102"/>
      <c r="J483" s="102" t="str">
        <f t="shared" si="4"/>
        <v/>
      </c>
    </row>
    <row r="484" ht="22.5" hidden="1" customHeight="1">
      <c r="A484" s="109"/>
      <c r="B484" s="110" t="str">
        <f t="shared" si="3"/>
        <v/>
      </c>
      <c r="C484" s="147"/>
      <c r="D484" s="147"/>
      <c r="E484" s="111"/>
      <c r="F484" s="115"/>
      <c r="G484" s="112"/>
      <c r="H484" s="111" t="b">
        <v>0</v>
      </c>
      <c r="I484" s="115"/>
      <c r="J484" s="115" t="str">
        <f t="shared" si="4"/>
        <v/>
      </c>
    </row>
    <row r="485" ht="22.5" hidden="1" customHeight="1">
      <c r="A485" s="98"/>
      <c r="B485" s="99" t="str">
        <f t="shared" si="3"/>
        <v/>
      </c>
      <c r="C485" s="144"/>
      <c r="D485" s="144"/>
      <c r="E485" s="100"/>
      <c r="F485" s="102"/>
      <c r="G485" s="104"/>
      <c r="H485" s="100" t="b">
        <v>0</v>
      </c>
      <c r="I485" s="102"/>
      <c r="J485" s="102" t="str">
        <f t="shared" si="4"/>
        <v/>
      </c>
    </row>
    <row r="486" ht="22.5" hidden="1" customHeight="1">
      <c r="A486" s="109"/>
      <c r="B486" s="110" t="str">
        <f t="shared" si="3"/>
        <v/>
      </c>
      <c r="C486" s="147"/>
      <c r="D486" s="147"/>
      <c r="E486" s="111"/>
      <c r="F486" s="115"/>
      <c r="G486" s="112"/>
      <c r="H486" s="111" t="b">
        <v>0</v>
      </c>
      <c r="I486" s="115"/>
      <c r="J486" s="115" t="str">
        <f t="shared" si="4"/>
        <v/>
      </c>
    </row>
    <row r="487" ht="22.5" hidden="1" customHeight="1">
      <c r="A487" s="98"/>
      <c r="B487" s="99" t="str">
        <f t="shared" si="3"/>
        <v/>
      </c>
      <c r="C487" s="144"/>
      <c r="D487" s="144"/>
      <c r="E487" s="100"/>
      <c r="F487" s="102"/>
      <c r="G487" s="104"/>
      <c r="H487" s="100" t="b">
        <v>0</v>
      </c>
      <c r="I487" s="102"/>
      <c r="J487" s="102" t="str">
        <f t="shared" si="4"/>
        <v/>
      </c>
    </row>
    <row r="488" ht="22.5" hidden="1" customHeight="1">
      <c r="A488" s="109"/>
      <c r="B488" s="110" t="str">
        <f t="shared" si="3"/>
        <v/>
      </c>
      <c r="C488" s="147"/>
      <c r="D488" s="147"/>
      <c r="E488" s="111"/>
      <c r="F488" s="115"/>
      <c r="G488" s="112"/>
      <c r="H488" s="111" t="b">
        <v>0</v>
      </c>
      <c r="I488" s="115"/>
      <c r="J488" s="115" t="str">
        <f t="shared" si="4"/>
        <v/>
      </c>
    </row>
    <row r="489" ht="22.5" hidden="1" customHeight="1">
      <c r="A489" s="98"/>
      <c r="B489" s="99" t="str">
        <f t="shared" si="3"/>
        <v/>
      </c>
      <c r="C489" s="144"/>
      <c r="D489" s="144"/>
      <c r="E489" s="100"/>
      <c r="F489" s="102"/>
      <c r="G489" s="104"/>
      <c r="H489" s="100" t="b">
        <v>0</v>
      </c>
      <c r="I489" s="102"/>
      <c r="J489" s="102" t="str">
        <f t="shared" si="4"/>
        <v/>
      </c>
    </row>
    <row r="490" ht="22.5" hidden="1" customHeight="1">
      <c r="A490" s="109"/>
      <c r="B490" s="110" t="str">
        <f t="shared" si="3"/>
        <v/>
      </c>
      <c r="C490" s="147"/>
      <c r="D490" s="147"/>
      <c r="E490" s="111"/>
      <c r="F490" s="115"/>
      <c r="G490" s="112"/>
      <c r="H490" s="111" t="b">
        <v>0</v>
      </c>
      <c r="I490" s="115"/>
      <c r="J490" s="115" t="str">
        <f t="shared" si="4"/>
        <v/>
      </c>
    </row>
    <row r="491" ht="22.5" hidden="1" customHeight="1">
      <c r="A491" s="98"/>
      <c r="B491" s="99" t="str">
        <f t="shared" si="3"/>
        <v/>
      </c>
      <c r="C491" s="144"/>
      <c r="D491" s="144"/>
      <c r="E491" s="100"/>
      <c r="F491" s="102"/>
      <c r="G491" s="104"/>
      <c r="H491" s="100" t="b">
        <v>0</v>
      </c>
      <c r="I491" s="102"/>
      <c r="J491" s="102" t="str">
        <f t="shared" si="4"/>
        <v/>
      </c>
    </row>
    <row r="492" ht="22.5" hidden="1" customHeight="1">
      <c r="A492" s="109"/>
      <c r="B492" s="110" t="str">
        <f t="shared" si="3"/>
        <v/>
      </c>
      <c r="C492" s="147"/>
      <c r="D492" s="147"/>
      <c r="E492" s="111"/>
      <c r="F492" s="115"/>
      <c r="G492" s="112"/>
      <c r="H492" s="111" t="b">
        <v>0</v>
      </c>
      <c r="I492" s="115"/>
      <c r="J492" s="115" t="str">
        <f t="shared" si="4"/>
        <v/>
      </c>
    </row>
    <row r="493" ht="22.5" hidden="1" customHeight="1">
      <c r="A493" s="98"/>
      <c r="B493" s="99" t="str">
        <f t="shared" si="3"/>
        <v/>
      </c>
      <c r="C493" s="144"/>
      <c r="D493" s="144"/>
      <c r="E493" s="100"/>
      <c r="F493" s="102"/>
      <c r="G493" s="104"/>
      <c r="H493" s="100" t="b">
        <v>0</v>
      </c>
      <c r="I493" s="102"/>
      <c r="J493" s="102" t="str">
        <f t="shared" si="4"/>
        <v/>
      </c>
    </row>
    <row r="494" ht="22.5" hidden="1" customHeight="1">
      <c r="A494" s="109"/>
      <c r="B494" s="110" t="str">
        <f t="shared" si="3"/>
        <v/>
      </c>
      <c r="C494" s="147"/>
      <c r="D494" s="147"/>
      <c r="E494" s="111"/>
      <c r="F494" s="115"/>
      <c r="G494" s="112"/>
      <c r="H494" s="111" t="b">
        <v>0</v>
      </c>
      <c r="I494" s="115"/>
      <c r="J494" s="115" t="str">
        <f t="shared" si="4"/>
        <v/>
      </c>
    </row>
    <row r="495" ht="22.5" hidden="1" customHeight="1">
      <c r="A495" s="98"/>
      <c r="B495" s="99" t="str">
        <f t="shared" si="3"/>
        <v/>
      </c>
      <c r="C495" s="144"/>
      <c r="D495" s="144"/>
      <c r="E495" s="100"/>
      <c r="F495" s="102"/>
      <c r="G495" s="104"/>
      <c r="H495" s="100" t="b">
        <v>0</v>
      </c>
      <c r="I495" s="102"/>
      <c r="J495" s="102" t="str">
        <f t="shared" si="4"/>
        <v/>
      </c>
    </row>
    <row r="496" ht="22.5" hidden="1" customHeight="1">
      <c r="A496" s="109"/>
      <c r="B496" s="110" t="str">
        <f t="shared" si="3"/>
        <v/>
      </c>
      <c r="C496" s="147"/>
      <c r="D496" s="147"/>
      <c r="E496" s="111"/>
      <c r="F496" s="115"/>
      <c r="G496" s="112"/>
      <c r="H496" s="111" t="b">
        <v>0</v>
      </c>
      <c r="I496" s="115"/>
      <c r="J496" s="115" t="str">
        <f t="shared" si="4"/>
        <v/>
      </c>
    </row>
    <row r="497" ht="22.5" hidden="1" customHeight="1">
      <c r="A497" s="98"/>
      <c r="B497" s="99" t="str">
        <f t="shared" si="3"/>
        <v/>
      </c>
      <c r="C497" s="144"/>
      <c r="D497" s="144"/>
      <c r="E497" s="100"/>
      <c r="F497" s="102"/>
      <c r="G497" s="104"/>
      <c r="H497" s="100" t="b">
        <v>0</v>
      </c>
      <c r="I497" s="102"/>
      <c r="J497" s="102" t="str">
        <f t="shared" si="4"/>
        <v/>
      </c>
    </row>
    <row r="498" ht="22.5" hidden="1" customHeight="1">
      <c r="A498" s="109"/>
      <c r="B498" s="110" t="str">
        <f t="shared" si="3"/>
        <v/>
      </c>
      <c r="C498" s="147"/>
      <c r="D498" s="147"/>
      <c r="E498" s="111"/>
      <c r="F498" s="115"/>
      <c r="G498" s="112"/>
      <c r="H498" s="111" t="b">
        <v>0</v>
      </c>
      <c r="I498" s="115"/>
      <c r="J498" s="115" t="str">
        <f t="shared" si="4"/>
        <v/>
      </c>
    </row>
    <row r="499" ht="22.5" hidden="1" customHeight="1">
      <c r="A499" s="98"/>
      <c r="B499" s="99" t="str">
        <f t="shared" si="3"/>
        <v/>
      </c>
      <c r="C499" s="144"/>
      <c r="D499" s="144"/>
      <c r="E499" s="100"/>
      <c r="F499" s="102"/>
      <c r="G499" s="104"/>
      <c r="H499" s="100" t="b">
        <v>0</v>
      </c>
      <c r="I499" s="102"/>
      <c r="J499" s="102" t="str">
        <f t="shared" si="4"/>
        <v/>
      </c>
    </row>
    <row r="500" ht="22.5" hidden="1" customHeight="1">
      <c r="A500" s="109"/>
      <c r="B500" s="110" t="str">
        <f t="shared" si="3"/>
        <v/>
      </c>
      <c r="C500" s="147"/>
      <c r="D500" s="147"/>
      <c r="E500" s="111"/>
      <c r="F500" s="115"/>
      <c r="G500" s="112"/>
      <c r="H500" s="111" t="b">
        <v>0</v>
      </c>
      <c r="I500" s="115"/>
      <c r="J500" s="115" t="str">
        <f t="shared" si="4"/>
        <v/>
      </c>
    </row>
    <row r="501" ht="22.5" hidden="1" customHeight="1">
      <c r="A501" s="98"/>
      <c r="B501" s="99" t="str">
        <f t="shared" si="3"/>
        <v/>
      </c>
      <c r="C501" s="144"/>
      <c r="D501" s="144"/>
      <c r="E501" s="100"/>
      <c r="F501" s="102"/>
      <c r="G501" s="104"/>
      <c r="H501" s="100" t="b">
        <v>0</v>
      </c>
      <c r="I501" s="102"/>
      <c r="J501" s="102" t="str">
        <f t="shared" si="4"/>
        <v/>
      </c>
    </row>
    <row r="502" ht="22.5" hidden="1" customHeight="1">
      <c r="A502" s="109"/>
      <c r="B502" s="110" t="str">
        <f t="shared" si="3"/>
        <v/>
      </c>
      <c r="C502" s="147"/>
      <c r="D502" s="147"/>
      <c r="E502" s="111"/>
      <c r="F502" s="115"/>
      <c r="G502" s="112"/>
      <c r="H502" s="111" t="b">
        <v>0</v>
      </c>
      <c r="I502" s="115"/>
      <c r="J502" s="115" t="str">
        <f t="shared" si="4"/>
        <v/>
      </c>
    </row>
    <row r="503" ht="22.5" hidden="1" customHeight="1">
      <c r="A503" s="98">
        <v>46286.0</v>
      </c>
      <c r="B503" s="99" t="str">
        <f t="shared" si="3"/>
        <v>SEPTIEMBRE</v>
      </c>
      <c r="C503" s="100" t="s">
        <v>39</v>
      </c>
      <c r="D503" s="100" t="s">
        <v>140</v>
      </c>
      <c r="E503" s="100" t="s">
        <v>437</v>
      </c>
      <c r="F503" s="100" t="s">
        <v>128</v>
      </c>
      <c r="G503" s="104">
        <v>106.0</v>
      </c>
      <c r="H503" s="100" t="b">
        <v>1</v>
      </c>
      <c r="I503" s="102"/>
      <c r="J503" s="102" t="str">
        <f t="shared" si="4"/>
        <v>DIGITAL</v>
      </c>
    </row>
    <row r="504" ht="22.5" hidden="1" customHeight="1">
      <c r="A504" s="109">
        <v>46293.0</v>
      </c>
      <c r="B504" s="110" t="str">
        <f t="shared" si="3"/>
        <v>SEPTIEMBRE</v>
      </c>
      <c r="C504" s="111" t="s">
        <v>39</v>
      </c>
      <c r="D504" s="111" t="s">
        <v>219</v>
      </c>
      <c r="E504" s="111" t="s">
        <v>438</v>
      </c>
      <c r="F504" s="111" t="s">
        <v>137</v>
      </c>
      <c r="G504" s="112">
        <v>8000.0</v>
      </c>
      <c r="H504" s="111" t="b">
        <v>0</v>
      </c>
      <c r="I504" s="115"/>
      <c r="J504" s="111" t="s">
        <v>222</v>
      </c>
    </row>
    <row r="505" ht="22.5" hidden="1" customHeight="1">
      <c r="A505" s="98">
        <v>46293.0</v>
      </c>
      <c r="B505" s="99" t="str">
        <f t="shared" si="3"/>
        <v>SEPTIEMBRE</v>
      </c>
      <c r="C505" s="100" t="s">
        <v>39</v>
      </c>
      <c r="D505" s="100" t="s">
        <v>157</v>
      </c>
      <c r="E505" s="100" t="s">
        <v>439</v>
      </c>
      <c r="F505" s="100" t="s">
        <v>137</v>
      </c>
      <c r="G505" s="104">
        <v>4100.0</v>
      </c>
      <c r="H505" s="100" t="b">
        <v>0</v>
      </c>
      <c r="I505" s="102"/>
      <c r="J505" s="100" t="s">
        <v>222</v>
      </c>
    </row>
    <row r="506" ht="22.5" hidden="1" customHeight="1">
      <c r="A506" s="109">
        <v>46295.0</v>
      </c>
      <c r="B506" s="110" t="str">
        <f t="shared" si="3"/>
        <v>SEPTIEMBRE</v>
      </c>
      <c r="C506" s="111" t="s">
        <v>39</v>
      </c>
      <c r="D506" s="111" t="s">
        <v>219</v>
      </c>
      <c r="E506" s="111" t="s">
        <v>440</v>
      </c>
      <c r="F506" s="111" t="s">
        <v>137</v>
      </c>
      <c r="G506" s="112">
        <v>200.0</v>
      </c>
      <c r="H506" s="111" t="b">
        <v>0</v>
      </c>
      <c r="I506" s="115"/>
      <c r="J506" s="115" t="str">
        <f t="shared" ref="J506:J514" si="5">IF(A506="","",IF(OR(UPPER(TRIM(F506))="TRANSFERENCIA",UPPER(TRIM(F506))="TERMINAL"),"DIGITAL",IF(UPPER(TRIM(F506))="EFECTIVO","CAJA DIARIA","")))</f>
        <v>CAJA DIARIA</v>
      </c>
    </row>
    <row r="507" ht="22.5" hidden="1" customHeight="1">
      <c r="A507" s="98">
        <v>46294.0</v>
      </c>
      <c r="B507" s="99" t="str">
        <f t="shared" si="3"/>
        <v>SEPTIEMBRE</v>
      </c>
      <c r="C507" s="100" t="s">
        <v>39</v>
      </c>
      <c r="D507" s="100" t="s">
        <v>441</v>
      </c>
      <c r="E507" s="100" t="s">
        <v>442</v>
      </c>
      <c r="F507" s="100" t="s">
        <v>137</v>
      </c>
      <c r="G507" s="104">
        <v>500.0</v>
      </c>
      <c r="H507" s="100" t="b">
        <v>0</v>
      </c>
      <c r="I507" s="102"/>
      <c r="J507" s="102" t="str">
        <f t="shared" si="5"/>
        <v>CAJA DIARIA</v>
      </c>
    </row>
    <row r="508" ht="22.5" hidden="1" customHeight="1">
      <c r="A508" s="109">
        <v>46295.0</v>
      </c>
      <c r="B508" s="110" t="str">
        <f t="shared" si="3"/>
        <v>SEPTIEMBRE</v>
      </c>
      <c r="C508" s="111" t="s">
        <v>39</v>
      </c>
      <c r="D508" s="111" t="s">
        <v>173</v>
      </c>
      <c r="E508" s="111" t="s">
        <v>443</v>
      </c>
      <c r="F508" s="111" t="s">
        <v>137</v>
      </c>
      <c r="G508" s="112">
        <v>1500.0</v>
      </c>
      <c r="H508" s="111" t="b">
        <v>0</v>
      </c>
      <c r="I508" s="115"/>
      <c r="J508" s="115" t="str">
        <f t="shared" si="5"/>
        <v>CAJA DIARIA</v>
      </c>
    </row>
    <row r="509" ht="22.5" customHeight="1">
      <c r="A509" s="98">
        <v>46297.0</v>
      </c>
      <c r="B509" s="99" t="str">
        <f t="shared" si="3"/>
        <v>OCTUBRE</v>
      </c>
      <c r="C509" s="100" t="s">
        <v>125</v>
      </c>
      <c r="D509" s="100" t="s">
        <v>173</v>
      </c>
      <c r="E509" s="100" t="s">
        <v>444</v>
      </c>
      <c r="F509" s="100" t="s">
        <v>128</v>
      </c>
      <c r="G509" s="104">
        <v>610.0</v>
      </c>
      <c r="H509" s="100" t="b">
        <v>1</v>
      </c>
      <c r="I509" s="102"/>
      <c r="J509" s="102" t="str">
        <f t="shared" si="5"/>
        <v>DIGITAL</v>
      </c>
    </row>
    <row r="510" ht="22.5" customHeight="1">
      <c r="A510" s="109">
        <v>46297.0</v>
      </c>
      <c r="B510" s="110" t="str">
        <f t="shared" si="3"/>
        <v>OCTUBRE</v>
      </c>
      <c r="C510" s="111" t="s">
        <v>125</v>
      </c>
      <c r="D510" s="111" t="s">
        <v>162</v>
      </c>
      <c r="E510" s="111" t="s">
        <v>445</v>
      </c>
      <c r="F510" s="111" t="s">
        <v>128</v>
      </c>
      <c r="G510" s="112">
        <v>125.85</v>
      </c>
      <c r="H510" s="111" t="b">
        <v>1</v>
      </c>
      <c r="I510" s="115"/>
      <c r="J510" s="115" t="str">
        <f t="shared" si="5"/>
        <v>DIGITAL</v>
      </c>
    </row>
    <row r="511" ht="22.5" hidden="1" customHeight="1">
      <c r="A511" s="98">
        <v>46294.0</v>
      </c>
      <c r="B511" s="99" t="str">
        <f t="shared" si="3"/>
        <v>SEPTIEMBRE</v>
      </c>
      <c r="C511" s="100" t="s">
        <v>125</v>
      </c>
      <c r="D511" s="100" t="s">
        <v>162</v>
      </c>
      <c r="E511" s="100" t="s">
        <v>446</v>
      </c>
      <c r="F511" s="100" t="s">
        <v>128</v>
      </c>
      <c r="G511" s="104">
        <v>195.0</v>
      </c>
      <c r="H511" s="100" t="b">
        <v>0</v>
      </c>
      <c r="I511" s="102"/>
      <c r="J511" s="102" t="str">
        <f t="shared" si="5"/>
        <v>DIGITAL</v>
      </c>
    </row>
    <row r="512" ht="22.5" hidden="1" customHeight="1">
      <c r="A512" s="109">
        <v>46294.0</v>
      </c>
      <c r="B512" s="110" t="str">
        <f t="shared" si="3"/>
        <v>SEPTIEMBRE</v>
      </c>
      <c r="C512" s="111" t="s">
        <v>39</v>
      </c>
      <c r="D512" s="111" t="s">
        <v>140</v>
      </c>
      <c r="E512" s="111" t="s">
        <v>447</v>
      </c>
      <c r="F512" s="111" t="s">
        <v>128</v>
      </c>
      <c r="G512" s="112">
        <v>103.0</v>
      </c>
      <c r="H512" s="111" t="b">
        <v>0</v>
      </c>
      <c r="I512" s="115"/>
      <c r="J512" s="115" t="str">
        <f t="shared" si="5"/>
        <v>DIGITAL</v>
      </c>
    </row>
    <row r="513" ht="22.5" hidden="1" customHeight="1">
      <c r="A513" s="98">
        <v>46294.0</v>
      </c>
      <c r="B513" s="99" t="str">
        <f t="shared" si="3"/>
        <v>SEPTIEMBRE</v>
      </c>
      <c r="C513" s="100" t="s">
        <v>125</v>
      </c>
      <c r="D513" s="100" t="s">
        <v>173</v>
      </c>
      <c r="E513" s="100" t="s">
        <v>448</v>
      </c>
      <c r="F513" s="100" t="s">
        <v>128</v>
      </c>
      <c r="G513" s="104">
        <v>48.62</v>
      </c>
      <c r="H513" s="100" t="b">
        <v>0</v>
      </c>
      <c r="I513" s="102"/>
      <c r="J513" s="102" t="str">
        <f t="shared" si="5"/>
        <v>DIGITAL</v>
      </c>
    </row>
    <row r="514" ht="22.5" customHeight="1">
      <c r="A514" s="109">
        <v>46296.0</v>
      </c>
      <c r="B514" s="110" t="str">
        <f t="shared" si="3"/>
        <v>OCTUBRE</v>
      </c>
      <c r="C514" s="111" t="s">
        <v>39</v>
      </c>
      <c r="D514" s="111" t="s">
        <v>140</v>
      </c>
      <c r="E514" s="111" t="s">
        <v>447</v>
      </c>
      <c r="F514" s="111" t="s">
        <v>128</v>
      </c>
      <c r="G514" s="112">
        <v>523.0</v>
      </c>
      <c r="H514" s="111" t="b">
        <v>0</v>
      </c>
      <c r="I514" s="115"/>
      <c r="J514" s="115" t="str">
        <f t="shared" si="5"/>
        <v>DIGITAL</v>
      </c>
    </row>
    <row r="515" ht="22.5" customHeight="1">
      <c r="A515" s="98">
        <v>46302.0</v>
      </c>
      <c r="B515" s="99" t="str">
        <f t="shared" si="3"/>
        <v>OCTUBRE</v>
      </c>
      <c r="C515" s="144" t="s">
        <v>39</v>
      </c>
      <c r="D515" s="144" t="s">
        <v>219</v>
      </c>
      <c r="E515" s="100" t="s">
        <v>449</v>
      </c>
      <c r="F515" s="102" t="s">
        <v>137</v>
      </c>
      <c r="G515" s="104">
        <v>500.0</v>
      </c>
      <c r="H515" s="100" t="b">
        <v>0</v>
      </c>
      <c r="I515" s="102" t="s">
        <v>129</v>
      </c>
      <c r="J515" s="102" t="s">
        <v>450</v>
      </c>
    </row>
    <row r="516" ht="22.5" customHeight="1">
      <c r="A516" s="109">
        <v>46302.0</v>
      </c>
      <c r="B516" s="110" t="str">
        <f t="shared" si="3"/>
        <v>OCTUBRE</v>
      </c>
      <c r="C516" s="147" t="s">
        <v>39</v>
      </c>
      <c r="D516" s="147" t="s">
        <v>173</v>
      </c>
      <c r="E516" s="111" t="s">
        <v>451</v>
      </c>
      <c r="F516" s="115" t="s">
        <v>137</v>
      </c>
      <c r="G516" s="112">
        <v>40.0</v>
      </c>
      <c r="H516" s="111" t="b">
        <v>0</v>
      </c>
      <c r="I516" s="115" t="s">
        <v>129</v>
      </c>
      <c r="J516" s="115" t="s">
        <v>222</v>
      </c>
    </row>
    <row r="517" ht="22.5" hidden="1" customHeight="1">
      <c r="A517" s="98">
        <v>46317.0</v>
      </c>
      <c r="B517" s="99" t="str">
        <f t="shared" si="3"/>
        <v>OCTUBRE</v>
      </c>
      <c r="C517" s="144" t="s">
        <v>70</v>
      </c>
      <c r="D517" s="144" t="s">
        <v>219</v>
      </c>
      <c r="E517" s="100" t="s">
        <v>452</v>
      </c>
      <c r="F517" s="102" t="s">
        <v>137</v>
      </c>
      <c r="G517" s="104">
        <v>400.0</v>
      </c>
      <c r="H517" s="100" t="b">
        <v>0</v>
      </c>
      <c r="I517" s="102" t="s">
        <v>129</v>
      </c>
      <c r="J517" s="102" t="s">
        <v>450</v>
      </c>
    </row>
    <row r="518" ht="22.5" hidden="1" customHeight="1">
      <c r="A518" s="109"/>
      <c r="B518" s="110" t="str">
        <f t="shared" si="3"/>
        <v/>
      </c>
      <c r="C518" s="147"/>
      <c r="D518" s="147"/>
      <c r="E518" s="111"/>
      <c r="F518" s="115"/>
      <c r="G518" s="112"/>
      <c r="H518" s="111" t="b">
        <v>0</v>
      </c>
      <c r="I518" s="115"/>
      <c r="J518" s="115" t="str">
        <f t="shared" ref="J518:J621" si="6">IF(A518="","",IF(OR(UPPER(TRIM(F518))="TRANSFERENCIA",UPPER(TRIM(F518))="TERMINAL"),"DIGITAL",IF(UPPER(TRIM(F518))="EFECTIVO","CAJA DIARIA","")))</f>
        <v/>
      </c>
    </row>
    <row r="519" ht="22.5" hidden="1" customHeight="1">
      <c r="A519" s="98"/>
      <c r="B519" s="99" t="str">
        <f t="shared" si="3"/>
        <v/>
      </c>
      <c r="C519" s="144"/>
      <c r="D519" s="144"/>
      <c r="E519" s="100"/>
      <c r="F519" s="102"/>
      <c r="G519" s="104"/>
      <c r="H519" s="100" t="b">
        <v>0</v>
      </c>
      <c r="I519" s="102"/>
      <c r="J519" s="102" t="str">
        <f t="shared" si="6"/>
        <v/>
      </c>
    </row>
    <row r="520" ht="22.5" hidden="1" customHeight="1">
      <c r="A520" s="109"/>
      <c r="B520" s="110" t="str">
        <f t="shared" si="3"/>
        <v/>
      </c>
      <c r="C520" s="147"/>
      <c r="D520" s="147"/>
      <c r="E520" s="111"/>
      <c r="F520" s="115"/>
      <c r="G520" s="112"/>
      <c r="H520" s="111" t="b">
        <v>0</v>
      </c>
      <c r="I520" s="115"/>
      <c r="J520" s="115" t="str">
        <f t="shared" si="6"/>
        <v/>
      </c>
    </row>
    <row r="521" ht="22.5" hidden="1" customHeight="1">
      <c r="A521" s="98"/>
      <c r="B521" s="99" t="str">
        <f t="shared" si="3"/>
        <v/>
      </c>
      <c r="C521" s="144"/>
      <c r="D521" s="144"/>
      <c r="E521" s="100"/>
      <c r="F521" s="102"/>
      <c r="G521" s="104"/>
      <c r="H521" s="100" t="b">
        <v>0</v>
      </c>
      <c r="I521" s="102"/>
      <c r="J521" s="102" t="str">
        <f t="shared" si="6"/>
        <v/>
      </c>
    </row>
    <row r="522" ht="22.5" hidden="1" customHeight="1">
      <c r="A522" s="109"/>
      <c r="B522" s="110" t="str">
        <f t="shared" si="3"/>
        <v/>
      </c>
      <c r="C522" s="147"/>
      <c r="D522" s="147"/>
      <c r="E522" s="111"/>
      <c r="F522" s="115"/>
      <c r="G522" s="112"/>
      <c r="H522" s="111" t="b">
        <v>0</v>
      </c>
      <c r="I522" s="115"/>
      <c r="J522" s="115" t="str">
        <f t="shared" si="6"/>
        <v/>
      </c>
    </row>
    <row r="523" ht="22.5" hidden="1" customHeight="1">
      <c r="A523" s="98"/>
      <c r="B523" s="99" t="str">
        <f t="shared" si="3"/>
        <v/>
      </c>
      <c r="C523" s="144"/>
      <c r="D523" s="144"/>
      <c r="E523" s="100"/>
      <c r="F523" s="102"/>
      <c r="G523" s="104"/>
      <c r="H523" s="100" t="b">
        <v>0</v>
      </c>
      <c r="I523" s="102"/>
      <c r="J523" s="102" t="str">
        <f t="shared" si="6"/>
        <v/>
      </c>
    </row>
    <row r="524" ht="22.5" hidden="1" customHeight="1">
      <c r="A524" s="109"/>
      <c r="B524" s="110" t="str">
        <f t="shared" si="3"/>
        <v/>
      </c>
      <c r="C524" s="147"/>
      <c r="D524" s="147"/>
      <c r="E524" s="111"/>
      <c r="F524" s="115"/>
      <c r="G524" s="112"/>
      <c r="H524" s="111" t="b">
        <v>0</v>
      </c>
      <c r="I524" s="115"/>
      <c r="J524" s="115" t="str">
        <f t="shared" si="6"/>
        <v/>
      </c>
    </row>
    <row r="525" ht="22.5" hidden="1" customHeight="1">
      <c r="A525" s="98"/>
      <c r="B525" s="99" t="str">
        <f t="shared" si="3"/>
        <v/>
      </c>
      <c r="C525" s="144"/>
      <c r="D525" s="144"/>
      <c r="E525" s="100"/>
      <c r="F525" s="102"/>
      <c r="G525" s="104"/>
      <c r="H525" s="100" t="b">
        <v>0</v>
      </c>
      <c r="I525" s="102"/>
      <c r="J525" s="102" t="str">
        <f t="shared" si="6"/>
        <v/>
      </c>
    </row>
    <row r="526" ht="22.5" hidden="1" customHeight="1">
      <c r="A526" s="109"/>
      <c r="B526" s="110" t="str">
        <f t="shared" si="3"/>
        <v/>
      </c>
      <c r="C526" s="147"/>
      <c r="D526" s="147"/>
      <c r="E526" s="111"/>
      <c r="F526" s="115"/>
      <c r="G526" s="112"/>
      <c r="H526" s="111" t="b">
        <v>0</v>
      </c>
      <c r="I526" s="115"/>
      <c r="J526" s="115" t="str">
        <f t="shared" si="6"/>
        <v/>
      </c>
    </row>
    <row r="527" ht="22.5" hidden="1" customHeight="1">
      <c r="A527" s="98"/>
      <c r="B527" s="99" t="str">
        <f t="shared" si="3"/>
        <v/>
      </c>
      <c r="C527" s="144"/>
      <c r="D527" s="144"/>
      <c r="E527" s="100"/>
      <c r="F527" s="102"/>
      <c r="G527" s="104"/>
      <c r="H527" s="100" t="b">
        <v>0</v>
      </c>
      <c r="I527" s="102"/>
      <c r="J527" s="102" t="str">
        <f t="shared" si="6"/>
        <v/>
      </c>
    </row>
    <row r="528" ht="22.5" hidden="1" customHeight="1">
      <c r="A528" s="109"/>
      <c r="B528" s="110" t="str">
        <f t="shared" si="3"/>
        <v/>
      </c>
      <c r="C528" s="147"/>
      <c r="D528" s="147"/>
      <c r="E528" s="111"/>
      <c r="F528" s="115"/>
      <c r="G528" s="112"/>
      <c r="H528" s="111" t="b">
        <v>0</v>
      </c>
      <c r="I528" s="115"/>
      <c r="J528" s="115" t="str">
        <f t="shared" si="6"/>
        <v/>
      </c>
    </row>
    <row r="529" ht="22.5" hidden="1" customHeight="1">
      <c r="A529" s="98"/>
      <c r="B529" s="99" t="str">
        <f t="shared" si="3"/>
        <v/>
      </c>
      <c r="C529" s="144"/>
      <c r="D529" s="144"/>
      <c r="E529" s="100"/>
      <c r="F529" s="102"/>
      <c r="G529" s="104"/>
      <c r="H529" s="100" t="b">
        <v>0</v>
      </c>
      <c r="I529" s="102"/>
      <c r="J529" s="102" t="str">
        <f t="shared" si="6"/>
        <v/>
      </c>
    </row>
    <row r="530" ht="22.5" hidden="1" customHeight="1">
      <c r="A530" s="109"/>
      <c r="B530" s="110" t="str">
        <f t="shared" si="3"/>
        <v/>
      </c>
      <c r="C530" s="147"/>
      <c r="D530" s="147"/>
      <c r="E530" s="111"/>
      <c r="F530" s="115"/>
      <c r="G530" s="112"/>
      <c r="H530" s="111" t="b">
        <v>0</v>
      </c>
      <c r="I530" s="115"/>
      <c r="J530" s="115" t="str">
        <f t="shared" si="6"/>
        <v/>
      </c>
    </row>
    <row r="531" ht="22.5" hidden="1" customHeight="1">
      <c r="A531" s="98"/>
      <c r="B531" s="99" t="str">
        <f t="shared" si="3"/>
        <v/>
      </c>
      <c r="C531" s="144"/>
      <c r="D531" s="144"/>
      <c r="E531" s="100"/>
      <c r="F531" s="102"/>
      <c r="G531" s="104"/>
      <c r="H531" s="100" t="b">
        <v>0</v>
      </c>
      <c r="I531" s="102"/>
      <c r="J531" s="102" t="str">
        <f t="shared" si="6"/>
        <v/>
      </c>
    </row>
    <row r="532" ht="22.5" hidden="1" customHeight="1">
      <c r="A532" s="109"/>
      <c r="B532" s="110" t="str">
        <f t="shared" si="3"/>
        <v/>
      </c>
      <c r="C532" s="147"/>
      <c r="D532" s="147"/>
      <c r="E532" s="111"/>
      <c r="F532" s="115"/>
      <c r="G532" s="112"/>
      <c r="H532" s="111" t="b">
        <v>0</v>
      </c>
      <c r="I532" s="115"/>
      <c r="J532" s="115" t="str">
        <f t="shared" si="6"/>
        <v/>
      </c>
    </row>
    <row r="533" ht="22.5" hidden="1" customHeight="1">
      <c r="A533" s="98"/>
      <c r="B533" s="99" t="str">
        <f t="shared" si="3"/>
        <v/>
      </c>
      <c r="C533" s="144"/>
      <c r="D533" s="144"/>
      <c r="E533" s="100"/>
      <c r="F533" s="102"/>
      <c r="G533" s="104"/>
      <c r="H533" s="100" t="b">
        <v>0</v>
      </c>
      <c r="I533" s="102"/>
      <c r="J533" s="102" t="str">
        <f t="shared" si="6"/>
        <v/>
      </c>
    </row>
    <row r="534" ht="22.5" hidden="1" customHeight="1">
      <c r="A534" s="109"/>
      <c r="B534" s="110" t="str">
        <f t="shared" si="3"/>
        <v/>
      </c>
      <c r="C534" s="147"/>
      <c r="D534" s="147"/>
      <c r="E534" s="111"/>
      <c r="F534" s="115"/>
      <c r="G534" s="112"/>
      <c r="H534" s="111" t="b">
        <v>0</v>
      </c>
      <c r="I534" s="115"/>
      <c r="J534" s="115" t="str">
        <f t="shared" si="6"/>
        <v/>
      </c>
    </row>
    <row r="535" ht="22.5" hidden="1" customHeight="1">
      <c r="A535" s="98"/>
      <c r="B535" s="99" t="str">
        <f t="shared" si="3"/>
        <v/>
      </c>
      <c r="C535" s="144"/>
      <c r="D535" s="144"/>
      <c r="E535" s="100"/>
      <c r="F535" s="102"/>
      <c r="G535" s="104"/>
      <c r="H535" s="100" t="b">
        <v>0</v>
      </c>
      <c r="I535" s="102"/>
      <c r="J535" s="102" t="str">
        <f t="shared" si="6"/>
        <v/>
      </c>
    </row>
    <row r="536" ht="22.5" hidden="1" customHeight="1">
      <c r="A536" s="109"/>
      <c r="B536" s="110" t="str">
        <f t="shared" si="3"/>
        <v/>
      </c>
      <c r="C536" s="147"/>
      <c r="D536" s="147"/>
      <c r="E536" s="111"/>
      <c r="F536" s="115"/>
      <c r="G536" s="112"/>
      <c r="H536" s="111" t="b">
        <v>0</v>
      </c>
      <c r="I536" s="115"/>
      <c r="J536" s="115" t="str">
        <f t="shared" si="6"/>
        <v/>
      </c>
    </row>
    <row r="537" ht="22.5" hidden="1" customHeight="1">
      <c r="A537" s="98"/>
      <c r="B537" s="99" t="str">
        <f t="shared" si="3"/>
        <v/>
      </c>
      <c r="C537" s="144"/>
      <c r="D537" s="144"/>
      <c r="E537" s="100"/>
      <c r="F537" s="102"/>
      <c r="G537" s="104"/>
      <c r="H537" s="100" t="b">
        <v>0</v>
      </c>
      <c r="I537" s="102"/>
      <c r="J537" s="102" t="str">
        <f t="shared" si="6"/>
        <v/>
      </c>
    </row>
    <row r="538" ht="22.5" hidden="1" customHeight="1">
      <c r="A538" s="109"/>
      <c r="B538" s="110" t="str">
        <f t="shared" si="3"/>
        <v/>
      </c>
      <c r="C538" s="147"/>
      <c r="D538" s="147"/>
      <c r="E538" s="111"/>
      <c r="F538" s="115"/>
      <c r="G538" s="112"/>
      <c r="H538" s="111" t="b">
        <v>0</v>
      </c>
      <c r="I538" s="115"/>
      <c r="J538" s="115" t="str">
        <f t="shared" si="6"/>
        <v/>
      </c>
    </row>
    <row r="539" ht="22.5" hidden="1" customHeight="1">
      <c r="A539" s="98"/>
      <c r="B539" s="99" t="str">
        <f t="shared" si="3"/>
        <v/>
      </c>
      <c r="C539" s="144"/>
      <c r="D539" s="144"/>
      <c r="E539" s="100"/>
      <c r="F539" s="102"/>
      <c r="G539" s="104"/>
      <c r="H539" s="100" t="b">
        <v>0</v>
      </c>
      <c r="I539" s="102"/>
      <c r="J539" s="102" t="str">
        <f t="shared" si="6"/>
        <v/>
      </c>
    </row>
    <row r="540" ht="22.5" hidden="1" customHeight="1">
      <c r="A540" s="109"/>
      <c r="B540" s="110" t="str">
        <f t="shared" si="3"/>
        <v/>
      </c>
      <c r="C540" s="147"/>
      <c r="D540" s="147"/>
      <c r="E540" s="111"/>
      <c r="F540" s="115"/>
      <c r="G540" s="112"/>
      <c r="H540" s="111" t="b">
        <v>0</v>
      </c>
      <c r="I540" s="115"/>
      <c r="J540" s="115" t="str">
        <f t="shared" si="6"/>
        <v/>
      </c>
    </row>
    <row r="541" ht="22.5" hidden="1" customHeight="1">
      <c r="A541" s="98"/>
      <c r="B541" s="99" t="str">
        <f t="shared" si="3"/>
        <v/>
      </c>
      <c r="C541" s="144"/>
      <c r="D541" s="144"/>
      <c r="E541" s="100"/>
      <c r="F541" s="102"/>
      <c r="G541" s="104"/>
      <c r="H541" s="100" t="b">
        <v>0</v>
      </c>
      <c r="I541" s="102"/>
      <c r="J541" s="102" t="str">
        <f t="shared" si="6"/>
        <v/>
      </c>
    </row>
    <row r="542" ht="22.5" hidden="1" customHeight="1">
      <c r="A542" s="109"/>
      <c r="B542" s="110" t="str">
        <f t="shared" si="3"/>
        <v/>
      </c>
      <c r="C542" s="147"/>
      <c r="D542" s="147"/>
      <c r="E542" s="111"/>
      <c r="F542" s="115"/>
      <c r="G542" s="112"/>
      <c r="H542" s="111" t="b">
        <v>0</v>
      </c>
      <c r="I542" s="115"/>
      <c r="J542" s="115" t="str">
        <f t="shared" si="6"/>
        <v/>
      </c>
    </row>
    <row r="543" ht="22.5" hidden="1" customHeight="1">
      <c r="A543" s="98"/>
      <c r="B543" s="99" t="str">
        <f t="shared" si="3"/>
        <v/>
      </c>
      <c r="C543" s="144"/>
      <c r="D543" s="144"/>
      <c r="E543" s="100"/>
      <c r="F543" s="102"/>
      <c r="G543" s="104"/>
      <c r="H543" s="100" t="b">
        <v>0</v>
      </c>
      <c r="I543" s="102"/>
      <c r="J543" s="102" t="str">
        <f t="shared" si="6"/>
        <v/>
      </c>
    </row>
    <row r="544" ht="22.5" hidden="1" customHeight="1">
      <c r="A544" s="109"/>
      <c r="B544" s="110" t="str">
        <f t="shared" si="3"/>
        <v/>
      </c>
      <c r="C544" s="147"/>
      <c r="D544" s="147"/>
      <c r="E544" s="111"/>
      <c r="F544" s="115"/>
      <c r="G544" s="112"/>
      <c r="H544" s="111" t="b">
        <v>0</v>
      </c>
      <c r="I544" s="115"/>
      <c r="J544" s="115" t="str">
        <f t="shared" si="6"/>
        <v/>
      </c>
    </row>
    <row r="545" ht="22.5" hidden="1" customHeight="1">
      <c r="A545" s="98"/>
      <c r="B545" s="99" t="str">
        <f t="shared" si="3"/>
        <v/>
      </c>
      <c r="C545" s="144"/>
      <c r="D545" s="144"/>
      <c r="E545" s="100"/>
      <c r="F545" s="102"/>
      <c r="G545" s="104"/>
      <c r="H545" s="100" t="b">
        <v>0</v>
      </c>
      <c r="I545" s="102"/>
      <c r="J545" s="102" t="str">
        <f t="shared" si="6"/>
        <v/>
      </c>
    </row>
    <row r="546" ht="22.5" hidden="1" customHeight="1">
      <c r="A546" s="109"/>
      <c r="B546" s="110" t="str">
        <f t="shared" si="3"/>
        <v/>
      </c>
      <c r="C546" s="147"/>
      <c r="D546" s="147"/>
      <c r="E546" s="111"/>
      <c r="F546" s="115"/>
      <c r="G546" s="112"/>
      <c r="H546" s="111" t="b">
        <v>0</v>
      </c>
      <c r="I546" s="115"/>
      <c r="J546" s="115" t="str">
        <f t="shared" si="6"/>
        <v/>
      </c>
    </row>
    <row r="547" ht="22.5" hidden="1" customHeight="1">
      <c r="A547" s="98"/>
      <c r="B547" s="99" t="str">
        <f t="shared" si="3"/>
        <v/>
      </c>
      <c r="C547" s="144"/>
      <c r="D547" s="144"/>
      <c r="E547" s="100"/>
      <c r="F547" s="102"/>
      <c r="G547" s="104"/>
      <c r="H547" s="100" t="b">
        <v>0</v>
      </c>
      <c r="I547" s="102"/>
      <c r="J547" s="102" t="str">
        <f t="shared" si="6"/>
        <v/>
      </c>
    </row>
    <row r="548" ht="22.5" hidden="1" customHeight="1">
      <c r="A548" s="109"/>
      <c r="B548" s="110" t="str">
        <f t="shared" si="3"/>
        <v/>
      </c>
      <c r="C548" s="147"/>
      <c r="D548" s="147"/>
      <c r="E548" s="111"/>
      <c r="F548" s="115"/>
      <c r="G548" s="112"/>
      <c r="H548" s="111" t="b">
        <v>0</v>
      </c>
      <c r="I548" s="115"/>
      <c r="J548" s="115" t="str">
        <f t="shared" si="6"/>
        <v/>
      </c>
    </row>
    <row r="549" ht="22.5" hidden="1" customHeight="1">
      <c r="A549" s="98"/>
      <c r="B549" s="99" t="str">
        <f t="shared" si="3"/>
        <v/>
      </c>
      <c r="C549" s="144"/>
      <c r="D549" s="144"/>
      <c r="E549" s="100"/>
      <c r="F549" s="102"/>
      <c r="G549" s="104"/>
      <c r="H549" s="100" t="b">
        <v>0</v>
      </c>
      <c r="I549" s="102"/>
      <c r="J549" s="102" t="str">
        <f t="shared" si="6"/>
        <v/>
      </c>
    </row>
    <row r="550" ht="22.5" hidden="1" customHeight="1">
      <c r="A550" s="109"/>
      <c r="B550" s="110" t="str">
        <f t="shared" si="3"/>
        <v/>
      </c>
      <c r="C550" s="147"/>
      <c r="D550" s="147"/>
      <c r="E550" s="111"/>
      <c r="F550" s="115"/>
      <c r="G550" s="112"/>
      <c r="H550" s="111" t="b">
        <v>0</v>
      </c>
      <c r="I550" s="115"/>
      <c r="J550" s="115" t="str">
        <f t="shared" si="6"/>
        <v/>
      </c>
    </row>
    <row r="551" ht="22.5" hidden="1" customHeight="1">
      <c r="A551" s="98"/>
      <c r="B551" s="99" t="str">
        <f t="shared" si="3"/>
        <v/>
      </c>
      <c r="C551" s="144"/>
      <c r="D551" s="144"/>
      <c r="E551" s="100"/>
      <c r="F551" s="102"/>
      <c r="G551" s="104"/>
      <c r="H551" s="100" t="b">
        <v>0</v>
      </c>
      <c r="I551" s="102"/>
      <c r="J551" s="102" t="str">
        <f t="shared" si="6"/>
        <v/>
      </c>
    </row>
    <row r="552" ht="22.5" hidden="1" customHeight="1">
      <c r="A552" s="109"/>
      <c r="B552" s="110" t="str">
        <f t="shared" si="3"/>
        <v/>
      </c>
      <c r="C552" s="147"/>
      <c r="D552" s="147"/>
      <c r="E552" s="111"/>
      <c r="F552" s="115"/>
      <c r="G552" s="112"/>
      <c r="H552" s="111" t="b">
        <v>0</v>
      </c>
      <c r="I552" s="115"/>
      <c r="J552" s="115" t="str">
        <f t="shared" si="6"/>
        <v/>
      </c>
    </row>
    <row r="553" ht="22.5" hidden="1" customHeight="1">
      <c r="A553" s="98"/>
      <c r="B553" s="99" t="str">
        <f t="shared" si="3"/>
        <v/>
      </c>
      <c r="C553" s="144"/>
      <c r="D553" s="144"/>
      <c r="E553" s="100"/>
      <c r="F553" s="102"/>
      <c r="G553" s="104"/>
      <c r="H553" s="100" t="b">
        <v>0</v>
      </c>
      <c r="I553" s="102"/>
      <c r="J553" s="102" t="str">
        <f t="shared" si="6"/>
        <v/>
      </c>
    </row>
    <row r="554" ht="22.5" hidden="1" customHeight="1">
      <c r="A554" s="109"/>
      <c r="B554" s="110" t="str">
        <f t="shared" si="3"/>
        <v/>
      </c>
      <c r="C554" s="147"/>
      <c r="D554" s="147"/>
      <c r="E554" s="111"/>
      <c r="F554" s="115"/>
      <c r="G554" s="112"/>
      <c r="H554" s="111" t="b">
        <v>0</v>
      </c>
      <c r="I554" s="115"/>
      <c r="J554" s="115" t="str">
        <f t="shared" si="6"/>
        <v/>
      </c>
    </row>
    <row r="555" ht="22.5" hidden="1" customHeight="1">
      <c r="A555" s="98"/>
      <c r="B555" s="99" t="str">
        <f t="shared" si="3"/>
        <v/>
      </c>
      <c r="C555" s="144"/>
      <c r="D555" s="144"/>
      <c r="E555" s="100"/>
      <c r="F555" s="102"/>
      <c r="G555" s="104"/>
      <c r="H555" s="100" t="b">
        <v>0</v>
      </c>
      <c r="I555" s="102"/>
      <c r="J555" s="102" t="str">
        <f t="shared" si="6"/>
        <v/>
      </c>
    </row>
    <row r="556" ht="22.5" hidden="1" customHeight="1">
      <c r="A556" s="109"/>
      <c r="B556" s="110" t="str">
        <f t="shared" si="3"/>
        <v/>
      </c>
      <c r="C556" s="147"/>
      <c r="D556" s="147"/>
      <c r="E556" s="111"/>
      <c r="F556" s="115"/>
      <c r="G556" s="112"/>
      <c r="H556" s="111" t="b">
        <v>0</v>
      </c>
      <c r="I556" s="115"/>
      <c r="J556" s="115" t="str">
        <f t="shared" si="6"/>
        <v/>
      </c>
    </row>
    <row r="557" ht="22.5" hidden="1" customHeight="1">
      <c r="A557" s="98"/>
      <c r="B557" s="99" t="str">
        <f t="shared" si="3"/>
        <v/>
      </c>
      <c r="C557" s="144"/>
      <c r="D557" s="144"/>
      <c r="E557" s="100"/>
      <c r="F557" s="102"/>
      <c r="G557" s="104"/>
      <c r="H557" s="100" t="b">
        <v>0</v>
      </c>
      <c r="I557" s="102"/>
      <c r="J557" s="102" t="str">
        <f t="shared" si="6"/>
        <v/>
      </c>
    </row>
    <row r="558" ht="22.5" hidden="1" customHeight="1">
      <c r="A558" s="109"/>
      <c r="B558" s="110" t="str">
        <f t="shared" si="3"/>
        <v/>
      </c>
      <c r="C558" s="147"/>
      <c r="D558" s="147"/>
      <c r="E558" s="111"/>
      <c r="F558" s="115"/>
      <c r="G558" s="112"/>
      <c r="H558" s="111" t="b">
        <v>0</v>
      </c>
      <c r="I558" s="115"/>
      <c r="J558" s="115" t="str">
        <f t="shared" si="6"/>
        <v/>
      </c>
    </row>
    <row r="559" ht="22.5" hidden="1" customHeight="1">
      <c r="A559" s="98"/>
      <c r="B559" s="99" t="str">
        <f t="shared" si="3"/>
        <v/>
      </c>
      <c r="C559" s="144"/>
      <c r="D559" s="144"/>
      <c r="E559" s="100"/>
      <c r="F559" s="102"/>
      <c r="G559" s="104"/>
      <c r="H559" s="100" t="b">
        <v>0</v>
      </c>
      <c r="I559" s="102"/>
      <c r="J559" s="102" t="str">
        <f t="shared" si="6"/>
        <v/>
      </c>
    </row>
    <row r="560" ht="22.5" hidden="1" customHeight="1">
      <c r="A560" s="109"/>
      <c r="B560" s="110" t="str">
        <f t="shared" si="3"/>
        <v/>
      </c>
      <c r="C560" s="147"/>
      <c r="D560" s="147"/>
      <c r="E560" s="111"/>
      <c r="F560" s="115"/>
      <c r="G560" s="112"/>
      <c r="H560" s="111" t="b">
        <v>0</v>
      </c>
      <c r="I560" s="115"/>
      <c r="J560" s="115" t="str">
        <f t="shared" si="6"/>
        <v/>
      </c>
    </row>
    <row r="561" ht="22.5" hidden="1" customHeight="1">
      <c r="A561" s="98"/>
      <c r="B561" s="99" t="str">
        <f t="shared" si="3"/>
        <v/>
      </c>
      <c r="C561" s="144"/>
      <c r="D561" s="144"/>
      <c r="E561" s="100"/>
      <c r="F561" s="102"/>
      <c r="G561" s="104"/>
      <c r="H561" s="100" t="b">
        <v>0</v>
      </c>
      <c r="I561" s="102"/>
      <c r="J561" s="102" t="str">
        <f t="shared" si="6"/>
        <v/>
      </c>
    </row>
    <row r="562" ht="22.5" hidden="1" customHeight="1">
      <c r="A562" s="109"/>
      <c r="B562" s="110" t="str">
        <f t="shared" si="3"/>
        <v/>
      </c>
      <c r="C562" s="147"/>
      <c r="D562" s="147"/>
      <c r="E562" s="111"/>
      <c r="F562" s="115"/>
      <c r="G562" s="112"/>
      <c r="H562" s="111" t="b">
        <v>0</v>
      </c>
      <c r="I562" s="115"/>
      <c r="J562" s="115" t="str">
        <f t="shared" si="6"/>
        <v/>
      </c>
    </row>
    <row r="563" ht="22.5" hidden="1" customHeight="1">
      <c r="A563" s="98"/>
      <c r="B563" s="99" t="str">
        <f t="shared" si="3"/>
        <v/>
      </c>
      <c r="C563" s="144"/>
      <c r="D563" s="144"/>
      <c r="E563" s="100"/>
      <c r="F563" s="102"/>
      <c r="G563" s="104"/>
      <c r="H563" s="100" t="b">
        <v>0</v>
      </c>
      <c r="I563" s="102"/>
      <c r="J563" s="102" t="str">
        <f t="shared" si="6"/>
        <v/>
      </c>
    </row>
    <row r="564" ht="22.5" hidden="1" customHeight="1">
      <c r="A564" s="109"/>
      <c r="B564" s="110" t="str">
        <f t="shared" si="3"/>
        <v/>
      </c>
      <c r="C564" s="147"/>
      <c r="D564" s="147"/>
      <c r="E564" s="111"/>
      <c r="F564" s="115"/>
      <c r="G564" s="112"/>
      <c r="H564" s="111" t="b">
        <v>0</v>
      </c>
      <c r="I564" s="115"/>
      <c r="J564" s="115" t="str">
        <f t="shared" si="6"/>
        <v/>
      </c>
    </row>
    <row r="565" ht="22.5" hidden="1" customHeight="1">
      <c r="A565" s="98"/>
      <c r="B565" s="99" t="str">
        <f t="shared" si="3"/>
        <v/>
      </c>
      <c r="C565" s="144"/>
      <c r="D565" s="144"/>
      <c r="E565" s="100"/>
      <c r="F565" s="102"/>
      <c r="G565" s="104"/>
      <c r="H565" s="100" t="b">
        <v>0</v>
      </c>
      <c r="I565" s="102"/>
      <c r="J565" s="102" t="str">
        <f t="shared" si="6"/>
        <v/>
      </c>
    </row>
    <row r="566" ht="22.5" hidden="1" customHeight="1">
      <c r="A566" s="109"/>
      <c r="B566" s="110" t="str">
        <f t="shared" si="3"/>
        <v/>
      </c>
      <c r="C566" s="147"/>
      <c r="D566" s="147"/>
      <c r="E566" s="111"/>
      <c r="F566" s="115"/>
      <c r="G566" s="112"/>
      <c r="H566" s="111" t="b">
        <v>0</v>
      </c>
      <c r="I566" s="115"/>
      <c r="J566" s="115" t="str">
        <f t="shared" si="6"/>
        <v/>
      </c>
    </row>
    <row r="567" ht="22.5" hidden="1" customHeight="1">
      <c r="A567" s="98"/>
      <c r="B567" s="99" t="str">
        <f t="shared" si="3"/>
        <v/>
      </c>
      <c r="C567" s="144"/>
      <c r="D567" s="144"/>
      <c r="E567" s="100"/>
      <c r="F567" s="102"/>
      <c r="G567" s="104"/>
      <c r="H567" s="100" t="b">
        <v>0</v>
      </c>
      <c r="I567" s="102"/>
      <c r="J567" s="102" t="str">
        <f t="shared" si="6"/>
        <v/>
      </c>
    </row>
    <row r="568" ht="22.5" hidden="1" customHeight="1">
      <c r="A568" s="109"/>
      <c r="B568" s="110" t="str">
        <f t="shared" si="3"/>
        <v/>
      </c>
      <c r="C568" s="147"/>
      <c r="D568" s="147"/>
      <c r="E568" s="111"/>
      <c r="F568" s="115"/>
      <c r="G568" s="112"/>
      <c r="H568" s="111" t="b">
        <v>0</v>
      </c>
      <c r="I568" s="115"/>
      <c r="J568" s="115" t="str">
        <f t="shared" si="6"/>
        <v/>
      </c>
    </row>
    <row r="569" ht="22.5" hidden="1" customHeight="1">
      <c r="A569" s="98"/>
      <c r="B569" s="99" t="str">
        <f t="shared" si="3"/>
        <v/>
      </c>
      <c r="C569" s="144"/>
      <c r="D569" s="144"/>
      <c r="E569" s="100"/>
      <c r="F569" s="102"/>
      <c r="G569" s="104"/>
      <c r="H569" s="100" t="b">
        <v>0</v>
      </c>
      <c r="I569" s="102"/>
      <c r="J569" s="102" t="str">
        <f t="shared" si="6"/>
        <v/>
      </c>
    </row>
    <row r="570" ht="22.5" hidden="1" customHeight="1">
      <c r="A570" s="109"/>
      <c r="B570" s="110" t="str">
        <f t="shared" si="3"/>
        <v/>
      </c>
      <c r="C570" s="147"/>
      <c r="D570" s="147"/>
      <c r="E570" s="111"/>
      <c r="F570" s="115"/>
      <c r="G570" s="112"/>
      <c r="H570" s="111" t="b">
        <v>0</v>
      </c>
      <c r="I570" s="115"/>
      <c r="J570" s="115" t="str">
        <f t="shared" si="6"/>
        <v/>
      </c>
    </row>
    <row r="571" ht="22.5" hidden="1" customHeight="1">
      <c r="A571" s="98"/>
      <c r="B571" s="99" t="str">
        <f t="shared" si="3"/>
        <v/>
      </c>
      <c r="C571" s="144"/>
      <c r="D571" s="144"/>
      <c r="E571" s="100"/>
      <c r="F571" s="102"/>
      <c r="G571" s="104"/>
      <c r="H571" s="100" t="b">
        <v>0</v>
      </c>
      <c r="I571" s="102"/>
      <c r="J571" s="102" t="str">
        <f t="shared" si="6"/>
        <v/>
      </c>
    </row>
    <row r="572" ht="22.5" hidden="1" customHeight="1">
      <c r="A572" s="109"/>
      <c r="B572" s="110" t="str">
        <f t="shared" si="3"/>
        <v/>
      </c>
      <c r="C572" s="147"/>
      <c r="D572" s="147"/>
      <c r="E572" s="111"/>
      <c r="F572" s="115"/>
      <c r="G572" s="112"/>
      <c r="H572" s="111" t="b">
        <v>0</v>
      </c>
      <c r="I572" s="115"/>
      <c r="J572" s="115" t="str">
        <f t="shared" si="6"/>
        <v/>
      </c>
    </row>
    <row r="573" ht="22.5" hidden="1" customHeight="1">
      <c r="A573" s="98"/>
      <c r="B573" s="99" t="str">
        <f t="shared" si="3"/>
        <v/>
      </c>
      <c r="C573" s="144"/>
      <c r="D573" s="144"/>
      <c r="E573" s="100"/>
      <c r="F573" s="102"/>
      <c r="G573" s="104"/>
      <c r="H573" s="100" t="b">
        <v>0</v>
      </c>
      <c r="I573" s="102"/>
      <c r="J573" s="102" t="str">
        <f t="shared" si="6"/>
        <v/>
      </c>
    </row>
    <row r="574" ht="22.5" hidden="1" customHeight="1">
      <c r="A574" s="109"/>
      <c r="B574" s="110" t="str">
        <f t="shared" si="3"/>
        <v/>
      </c>
      <c r="C574" s="147"/>
      <c r="D574" s="147"/>
      <c r="E574" s="111"/>
      <c r="F574" s="115"/>
      <c r="G574" s="112"/>
      <c r="H574" s="111" t="b">
        <v>0</v>
      </c>
      <c r="I574" s="115"/>
      <c r="J574" s="115" t="str">
        <f t="shared" si="6"/>
        <v/>
      </c>
    </row>
    <row r="575" ht="22.5" hidden="1" customHeight="1">
      <c r="A575" s="98"/>
      <c r="B575" s="99" t="str">
        <f t="shared" si="3"/>
        <v/>
      </c>
      <c r="C575" s="144"/>
      <c r="D575" s="144"/>
      <c r="E575" s="100"/>
      <c r="F575" s="102"/>
      <c r="G575" s="104"/>
      <c r="H575" s="100" t="b">
        <v>0</v>
      </c>
      <c r="I575" s="102"/>
      <c r="J575" s="102" t="str">
        <f t="shared" si="6"/>
        <v/>
      </c>
    </row>
    <row r="576" ht="22.5" hidden="1" customHeight="1">
      <c r="A576" s="109"/>
      <c r="B576" s="110" t="str">
        <f t="shared" si="3"/>
        <v/>
      </c>
      <c r="C576" s="147"/>
      <c r="D576" s="147"/>
      <c r="E576" s="111"/>
      <c r="F576" s="115"/>
      <c r="G576" s="112"/>
      <c r="H576" s="111" t="b">
        <v>0</v>
      </c>
      <c r="I576" s="115"/>
      <c r="J576" s="115" t="str">
        <f t="shared" si="6"/>
        <v/>
      </c>
    </row>
    <row r="577" ht="22.5" hidden="1" customHeight="1">
      <c r="A577" s="98"/>
      <c r="B577" s="99" t="str">
        <f t="shared" si="3"/>
        <v/>
      </c>
      <c r="C577" s="144"/>
      <c r="D577" s="144"/>
      <c r="E577" s="100"/>
      <c r="F577" s="102"/>
      <c r="G577" s="104"/>
      <c r="H577" s="100" t="b">
        <v>0</v>
      </c>
      <c r="I577" s="102"/>
      <c r="J577" s="102" t="str">
        <f t="shared" si="6"/>
        <v/>
      </c>
    </row>
    <row r="578" ht="22.5" hidden="1" customHeight="1">
      <c r="A578" s="109"/>
      <c r="B578" s="110" t="str">
        <f t="shared" si="3"/>
        <v/>
      </c>
      <c r="C578" s="147"/>
      <c r="D578" s="147"/>
      <c r="E578" s="111"/>
      <c r="F578" s="115"/>
      <c r="G578" s="112"/>
      <c r="H578" s="111" t="b">
        <v>0</v>
      </c>
      <c r="I578" s="115"/>
      <c r="J578" s="115" t="str">
        <f t="shared" si="6"/>
        <v/>
      </c>
    </row>
    <row r="579" ht="22.5" hidden="1" customHeight="1">
      <c r="A579" s="98"/>
      <c r="B579" s="99" t="str">
        <f t="shared" si="3"/>
        <v/>
      </c>
      <c r="C579" s="144"/>
      <c r="D579" s="144"/>
      <c r="E579" s="100"/>
      <c r="F579" s="102"/>
      <c r="G579" s="104"/>
      <c r="H579" s="100" t="b">
        <v>0</v>
      </c>
      <c r="I579" s="102"/>
      <c r="J579" s="102" t="str">
        <f t="shared" si="6"/>
        <v/>
      </c>
    </row>
    <row r="580" ht="22.5" hidden="1" customHeight="1">
      <c r="A580" s="109"/>
      <c r="B580" s="110" t="str">
        <f t="shared" si="3"/>
        <v/>
      </c>
      <c r="C580" s="147"/>
      <c r="D580" s="147"/>
      <c r="E580" s="111"/>
      <c r="F580" s="115"/>
      <c r="G580" s="112"/>
      <c r="H580" s="111" t="b">
        <v>0</v>
      </c>
      <c r="I580" s="115"/>
      <c r="J580" s="115" t="str">
        <f t="shared" si="6"/>
        <v/>
      </c>
    </row>
    <row r="581" ht="22.5" hidden="1" customHeight="1">
      <c r="A581" s="98"/>
      <c r="B581" s="99" t="str">
        <f t="shared" si="3"/>
        <v/>
      </c>
      <c r="C581" s="144"/>
      <c r="D581" s="144"/>
      <c r="E581" s="100"/>
      <c r="F581" s="102"/>
      <c r="G581" s="104"/>
      <c r="H581" s="100" t="b">
        <v>0</v>
      </c>
      <c r="I581" s="102"/>
      <c r="J581" s="102" t="str">
        <f t="shared" si="6"/>
        <v/>
      </c>
    </row>
    <row r="582" ht="22.5" hidden="1" customHeight="1">
      <c r="A582" s="109"/>
      <c r="B582" s="110" t="str">
        <f t="shared" si="3"/>
        <v/>
      </c>
      <c r="C582" s="147"/>
      <c r="D582" s="147"/>
      <c r="E582" s="111"/>
      <c r="F582" s="115"/>
      <c r="G582" s="112"/>
      <c r="H582" s="111" t="b">
        <v>0</v>
      </c>
      <c r="I582" s="115"/>
      <c r="J582" s="115" t="str">
        <f t="shared" si="6"/>
        <v/>
      </c>
    </row>
    <row r="583" ht="22.5" hidden="1" customHeight="1">
      <c r="A583" s="98"/>
      <c r="B583" s="99" t="str">
        <f t="shared" si="3"/>
        <v/>
      </c>
      <c r="C583" s="144"/>
      <c r="D583" s="144"/>
      <c r="E583" s="100"/>
      <c r="F583" s="102"/>
      <c r="G583" s="104"/>
      <c r="H583" s="100" t="b">
        <v>0</v>
      </c>
      <c r="I583" s="102"/>
      <c r="J583" s="102" t="str">
        <f t="shared" si="6"/>
        <v/>
      </c>
    </row>
    <row r="584" ht="22.5" hidden="1" customHeight="1">
      <c r="A584" s="109"/>
      <c r="B584" s="110" t="str">
        <f t="shared" si="3"/>
        <v/>
      </c>
      <c r="C584" s="147"/>
      <c r="D584" s="147"/>
      <c r="E584" s="111"/>
      <c r="F584" s="115"/>
      <c r="G584" s="112"/>
      <c r="H584" s="111" t="b">
        <v>0</v>
      </c>
      <c r="I584" s="115"/>
      <c r="J584" s="115" t="str">
        <f t="shared" si="6"/>
        <v/>
      </c>
    </row>
    <row r="585" ht="22.5" hidden="1" customHeight="1">
      <c r="A585" s="98"/>
      <c r="B585" s="99" t="str">
        <f t="shared" si="3"/>
        <v/>
      </c>
      <c r="C585" s="144"/>
      <c r="D585" s="144"/>
      <c r="E585" s="100"/>
      <c r="F585" s="102"/>
      <c r="G585" s="104"/>
      <c r="H585" s="100" t="b">
        <v>0</v>
      </c>
      <c r="I585" s="102"/>
      <c r="J585" s="102" t="str">
        <f t="shared" si="6"/>
        <v/>
      </c>
    </row>
    <row r="586" ht="22.5" hidden="1" customHeight="1">
      <c r="A586" s="109"/>
      <c r="B586" s="110" t="str">
        <f t="shared" si="3"/>
        <v/>
      </c>
      <c r="C586" s="147"/>
      <c r="D586" s="147"/>
      <c r="E586" s="111"/>
      <c r="F586" s="115"/>
      <c r="G586" s="112"/>
      <c r="H586" s="111" t="b">
        <v>0</v>
      </c>
      <c r="I586" s="115"/>
      <c r="J586" s="115" t="str">
        <f t="shared" si="6"/>
        <v/>
      </c>
    </row>
    <row r="587" ht="22.5" hidden="1" customHeight="1">
      <c r="A587" s="98"/>
      <c r="B587" s="99" t="str">
        <f t="shared" si="3"/>
        <v/>
      </c>
      <c r="C587" s="144"/>
      <c r="D587" s="144"/>
      <c r="E587" s="100"/>
      <c r="F587" s="102"/>
      <c r="G587" s="104"/>
      <c r="H587" s="100" t="b">
        <v>0</v>
      </c>
      <c r="I587" s="102"/>
      <c r="J587" s="102" t="str">
        <f t="shared" si="6"/>
        <v/>
      </c>
    </row>
    <row r="588" ht="22.5" hidden="1" customHeight="1">
      <c r="A588" s="109"/>
      <c r="B588" s="110" t="str">
        <f t="shared" si="3"/>
        <v/>
      </c>
      <c r="C588" s="147"/>
      <c r="D588" s="147"/>
      <c r="E588" s="111"/>
      <c r="F588" s="115"/>
      <c r="G588" s="112"/>
      <c r="H588" s="111" t="b">
        <v>0</v>
      </c>
      <c r="I588" s="115"/>
      <c r="J588" s="115" t="str">
        <f t="shared" si="6"/>
        <v/>
      </c>
    </row>
    <row r="589" ht="22.5" hidden="1" customHeight="1">
      <c r="A589" s="98"/>
      <c r="B589" s="99" t="str">
        <f t="shared" si="3"/>
        <v/>
      </c>
      <c r="C589" s="144"/>
      <c r="D589" s="144"/>
      <c r="E589" s="100"/>
      <c r="F589" s="102"/>
      <c r="G589" s="104"/>
      <c r="H589" s="100" t="b">
        <v>0</v>
      </c>
      <c r="I589" s="102"/>
      <c r="J589" s="102" t="str">
        <f t="shared" si="6"/>
        <v/>
      </c>
    </row>
    <row r="590" ht="22.5" hidden="1" customHeight="1">
      <c r="A590" s="109"/>
      <c r="B590" s="110" t="str">
        <f t="shared" si="3"/>
        <v/>
      </c>
      <c r="C590" s="147"/>
      <c r="D590" s="147"/>
      <c r="E590" s="111"/>
      <c r="F590" s="115"/>
      <c r="G590" s="112"/>
      <c r="H590" s="111" t="b">
        <v>0</v>
      </c>
      <c r="I590" s="115"/>
      <c r="J590" s="115" t="str">
        <f t="shared" si="6"/>
        <v/>
      </c>
    </row>
    <row r="591" ht="22.5" hidden="1" customHeight="1">
      <c r="A591" s="98"/>
      <c r="B591" s="99" t="str">
        <f t="shared" si="3"/>
        <v/>
      </c>
      <c r="C591" s="144"/>
      <c r="D591" s="144"/>
      <c r="E591" s="100"/>
      <c r="F591" s="102"/>
      <c r="G591" s="104"/>
      <c r="H591" s="100" t="b">
        <v>0</v>
      </c>
      <c r="I591" s="102"/>
      <c r="J591" s="102" t="str">
        <f t="shared" si="6"/>
        <v/>
      </c>
    </row>
    <row r="592" ht="22.5" hidden="1" customHeight="1">
      <c r="A592" s="109"/>
      <c r="B592" s="110" t="str">
        <f t="shared" si="3"/>
        <v/>
      </c>
      <c r="C592" s="147"/>
      <c r="D592" s="147"/>
      <c r="E592" s="111"/>
      <c r="F592" s="115"/>
      <c r="G592" s="112"/>
      <c r="H592" s="111" t="b">
        <v>0</v>
      </c>
      <c r="I592" s="115"/>
      <c r="J592" s="115" t="str">
        <f t="shared" si="6"/>
        <v/>
      </c>
    </row>
    <row r="593" ht="22.5" hidden="1" customHeight="1">
      <c r="A593" s="98"/>
      <c r="B593" s="99" t="str">
        <f t="shared" si="3"/>
        <v/>
      </c>
      <c r="C593" s="144"/>
      <c r="D593" s="144"/>
      <c r="E593" s="100"/>
      <c r="F593" s="102"/>
      <c r="G593" s="104"/>
      <c r="H593" s="100" t="b">
        <v>0</v>
      </c>
      <c r="I593" s="102"/>
      <c r="J593" s="102" t="str">
        <f t="shared" si="6"/>
        <v/>
      </c>
    </row>
    <row r="594" ht="22.5" hidden="1" customHeight="1">
      <c r="A594" s="109"/>
      <c r="B594" s="110" t="str">
        <f t="shared" si="3"/>
        <v/>
      </c>
      <c r="C594" s="147"/>
      <c r="D594" s="147"/>
      <c r="E594" s="111"/>
      <c r="F594" s="115"/>
      <c r="G594" s="112"/>
      <c r="H594" s="111" t="b">
        <v>0</v>
      </c>
      <c r="I594" s="115"/>
      <c r="J594" s="115" t="str">
        <f t="shared" si="6"/>
        <v/>
      </c>
    </row>
    <row r="595" ht="22.5" hidden="1" customHeight="1">
      <c r="A595" s="98"/>
      <c r="B595" s="99" t="str">
        <f t="shared" si="3"/>
        <v/>
      </c>
      <c r="C595" s="144"/>
      <c r="D595" s="144"/>
      <c r="E595" s="100"/>
      <c r="F595" s="102"/>
      <c r="G595" s="104"/>
      <c r="H595" s="100" t="b">
        <v>0</v>
      </c>
      <c r="I595" s="102"/>
      <c r="J595" s="102" t="str">
        <f t="shared" si="6"/>
        <v/>
      </c>
    </row>
    <row r="596" ht="22.5" hidden="1" customHeight="1">
      <c r="A596" s="109"/>
      <c r="B596" s="110" t="str">
        <f t="shared" si="3"/>
        <v/>
      </c>
      <c r="C596" s="147"/>
      <c r="D596" s="147"/>
      <c r="E596" s="111"/>
      <c r="F596" s="115"/>
      <c r="G596" s="112"/>
      <c r="H596" s="111" t="b">
        <v>0</v>
      </c>
      <c r="I596" s="115"/>
      <c r="J596" s="115" t="str">
        <f t="shared" si="6"/>
        <v/>
      </c>
    </row>
    <row r="597" ht="22.5" hidden="1" customHeight="1">
      <c r="A597" s="98"/>
      <c r="B597" s="99" t="str">
        <f t="shared" si="3"/>
        <v/>
      </c>
      <c r="C597" s="144"/>
      <c r="D597" s="144"/>
      <c r="E597" s="100"/>
      <c r="F597" s="102"/>
      <c r="G597" s="104"/>
      <c r="H597" s="100" t="b">
        <v>0</v>
      </c>
      <c r="I597" s="102"/>
      <c r="J597" s="102" t="str">
        <f t="shared" si="6"/>
        <v/>
      </c>
    </row>
    <row r="598" ht="22.5" hidden="1" customHeight="1">
      <c r="A598" s="109"/>
      <c r="B598" s="110" t="str">
        <f t="shared" si="3"/>
        <v/>
      </c>
      <c r="C598" s="147"/>
      <c r="D598" s="147"/>
      <c r="E598" s="111"/>
      <c r="F598" s="115"/>
      <c r="G598" s="112"/>
      <c r="H598" s="111" t="b">
        <v>0</v>
      </c>
      <c r="I598" s="115"/>
      <c r="J598" s="115" t="str">
        <f t="shared" si="6"/>
        <v/>
      </c>
    </row>
    <row r="599" ht="22.5" hidden="1" customHeight="1">
      <c r="A599" s="98"/>
      <c r="B599" s="99" t="str">
        <f t="shared" si="3"/>
        <v/>
      </c>
      <c r="C599" s="144"/>
      <c r="D599" s="144"/>
      <c r="E599" s="100"/>
      <c r="F599" s="102"/>
      <c r="G599" s="104"/>
      <c r="H599" s="100" t="b">
        <v>0</v>
      </c>
      <c r="I599" s="102"/>
      <c r="J599" s="102" t="str">
        <f t="shared" si="6"/>
        <v/>
      </c>
    </row>
    <row r="600" ht="22.5" hidden="1" customHeight="1">
      <c r="A600" s="109"/>
      <c r="B600" s="110" t="str">
        <f t="shared" si="3"/>
        <v/>
      </c>
      <c r="C600" s="147"/>
      <c r="D600" s="147"/>
      <c r="E600" s="111"/>
      <c r="F600" s="115"/>
      <c r="G600" s="112"/>
      <c r="H600" s="111" t="b">
        <v>0</v>
      </c>
      <c r="I600" s="115"/>
      <c r="J600" s="115" t="str">
        <f t="shared" si="6"/>
        <v/>
      </c>
    </row>
    <row r="601" ht="22.5" hidden="1" customHeight="1">
      <c r="A601" s="98"/>
      <c r="B601" s="99" t="str">
        <f t="shared" si="3"/>
        <v/>
      </c>
      <c r="C601" s="144"/>
      <c r="D601" s="144"/>
      <c r="E601" s="100"/>
      <c r="F601" s="102"/>
      <c r="G601" s="104"/>
      <c r="H601" s="100" t="b">
        <v>0</v>
      </c>
      <c r="I601" s="102"/>
      <c r="J601" s="102" t="str">
        <f t="shared" si="6"/>
        <v/>
      </c>
    </row>
    <row r="602" ht="22.5" hidden="1" customHeight="1">
      <c r="A602" s="109"/>
      <c r="B602" s="110" t="str">
        <f t="shared" si="3"/>
        <v/>
      </c>
      <c r="C602" s="147"/>
      <c r="D602" s="147"/>
      <c r="E602" s="111"/>
      <c r="F602" s="115"/>
      <c r="G602" s="112"/>
      <c r="H602" s="111" t="b">
        <v>0</v>
      </c>
      <c r="I602" s="115"/>
      <c r="J602" s="115" t="str">
        <f t="shared" si="6"/>
        <v/>
      </c>
    </row>
    <row r="603" ht="22.5" hidden="1" customHeight="1">
      <c r="A603" s="98"/>
      <c r="B603" s="99" t="str">
        <f t="shared" si="3"/>
        <v/>
      </c>
      <c r="C603" s="144"/>
      <c r="D603" s="144"/>
      <c r="E603" s="100"/>
      <c r="F603" s="102"/>
      <c r="G603" s="104"/>
      <c r="H603" s="100" t="b">
        <v>0</v>
      </c>
      <c r="I603" s="102"/>
      <c r="J603" s="102" t="str">
        <f t="shared" si="6"/>
        <v/>
      </c>
    </row>
    <row r="604" ht="22.5" hidden="1" customHeight="1">
      <c r="A604" s="109"/>
      <c r="B604" s="110" t="str">
        <f t="shared" si="3"/>
        <v/>
      </c>
      <c r="C604" s="147"/>
      <c r="D604" s="147"/>
      <c r="E604" s="111"/>
      <c r="F604" s="115"/>
      <c r="G604" s="112"/>
      <c r="H604" s="111" t="b">
        <v>0</v>
      </c>
      <c r="I604" s="115"/>
      <c r="J604" s="115" t="str">
        <f t="shared" si="6"/>
        <v/>
      </c>
    </row>
    <row r="605" ht="22.5" hidden="1" customHeight="1">
      <c r="A605" s="98"/>
      <c r="B605" s="99" t="str">
        <f t="shared" si="3"/>
        <v/>
      </c>
      <c r="C605" s="144"/>
      <c r="D605" s="144"/>
      <c r="E605" s="100"/>
      <c r="F605" s="102"/>
      <c r="G605" s="104"/>
      <c r="H605" s="100" t="b">
        <v>0</v>
      </c>
      <c r="I605" s="102"/>
      <c r="J605" s="102" t="str">
        <f t="shared" si="6"/>
        <v/>
      </c>
    </row>
    <row r="606" ht="22.5" hidden="1" customHeight="1">
      <c r="A606" s="109"/>
      <c r="B606" s="110" t="str">
        <f t="shared" si="3"/>
        <v/>
      </c>
      <c r="C606" s="147"/>
      <c r="D606" s="147"/>
      <c r="E606" s="111"/>
      <c r="F606" s="115"/>
      <c r="G606" s="112"/>
      <c r="H606" s="111" t="b">
        <v>0</v>
      </c>
      <c r="I606" s="115"/>
      <c r="J606" s="115" t="str">
        <f t="shared" si="6"/>
        <v/>
      </c>
    </row>
    <row r="607" ht="22.5" hidden="1" customHeight="1">
      <c r="A607" s="98"/>
      <c r="B607" s="99" t="str">
        <f t="shared" si="3"/>
        <v/>
      </c>
      <c r="C607" s="144"/>
      <c r="D607" s="144"/>
      <c r="E607" s="100"/>
      <c r="F607" s="102"/>
      <c r="G607" s="104"/>
      <c r="H607" s="100" t="b">
        <v>0</v>
      </c>
      <c r="I607" s="102"/>
      <c r="J607" s="102" t="str">
        <f t="shared" si="6"/>
        <v/>
      </c>
    </row>
    <row r="608" ht="22.5" hidden="1" customHeight="1">
      <c r="A608" s="109"/>
      <c r="B608" s="110" t="str">
        <f t="shared" si="3"/>
        <v/>
      </c>
      <c r="C608" s="147"/>
      <c r="D608" s="147"/>
      <c r="E608" s="111"/>
      <c r="F608" s="115"/>
      <c r="G608" s="112"/>
      <c r="H608" s="111" t="b">
        <v>0</v>
      </c>
      <c r="I608" s="115"/>
      <c r="J608" s="115" t="str">
        <f t="shared" si="6"/>
        <v/>
      </c>
    </row>
    <row r="609" ht="22.5" hidden="1" customHeight="1">
      <c r="A609" s="98"/>
      <c r="B609" s="99" t="str">
        <f t="shared" si="3"/>
        <v/>
      </c>
      <c r="C609" s="144"/>
      <c r="D609" s="144"/>
      <c r="E609" s="100"/>
      <c r="F609" s="102"/>
      <c r="G609" s="104"/>
      <c r="H609" s="100" t="b">
        <v>0</v>
      </c>
      <c r="I609" s="102"/>
      <c r="J609" s="102" t="str">
        <f t="shared" si="6"/>
        <v/>
      </c>
    </row>
    <row r="610" ht="22.5" hidden="1" customHeight="1">
      <c r="A610" s="109"/>
      <c r="B610" s="110" t="str">
        <f t="shared" si="3"/>
        <v/>
      </c>
      <c r="C610" s="147"/>
      <c r="D610" s="147"/>
      <c r="E610" s="111"/>
      <c r="F610" s="115"/>
      <c r="G610" s="112"/>
      <c r="H610" s="111" t="b">
        <v>0</v>
      </c>
      <c r="I610" s="115"/>
      <c r="J610" s="115" t="str">
        <f t="shared" si="6"/>
        <v/>
      </c>
    </row>
    <row r="611" ht="22.5" hidden="1" customHeight="1">
      <c r="A611" s="98"/>
      <c r="B611" s="99" t="str">
        <f t="shared" si="3"/>
        <v/>
      </c>
      <c r="C611" s="144"/>
      <c r="D611" s="144"/>
      <c r="E611" s="100"/>
      <c r="F611" s="102"/>
      <c r="G611" s="104"/>
      <c r="H611" s="100" t="b">
        <v>0</v>
      </c>
      <c r="I611" s="102"/>
      <c r="J611" s="102" t="str">
        <f t="shared" si="6"/>
        <v/>
      </c>
    </row>
    <row r="612" ht="22.5" hidden="1" customHeight="1">
      <c r="A612" s="109"/>
      <c r="B612" s="110" t="str">
        <f t="shared" si="3"/>
        <v/>
      </c>
      <c r="C612" s="147"/>
      <c r="D612" s="147"/>
      <c r="E612" s="111"/>
      <c r="F612" s="115"/>
      <c r="G612" s="112"/>
      <c r="H612" s="111" t="b">
        <v>0</v>
      </c>
      <c r="I612" s="115"/>
      <c r="J612" s="115" t="str">
        <f t="shared" si="6"/>
        <v/>
      </c>
    </row>
    <row r="613" ht="22.5" customHeight="1">
      <c r="A613" s="98">
        <v>46297.0</v>
      </c>
      <c r="B613" s="99" t="str">
        <f t="shared" si="3"/>
        <v>OCTUBRE</v>
      </c>
      <c r="C613" s="100" t="s">
        <v>125</v>
      </c>
      <c r="D613" s="100" t="s">
        <v>173</v>
      </c>
      <c r="E613" s="100" t="s">
        <v>165</v>
      </c>
      <c r="F613" s="100" t="s">
        <v>128</v>
      </c>
      <c r="G613" s="104">
        <v>30.0</v>
      </c>
      <c r="H613" s="100" t="b">
        <v>0</v>
      </c>
      <c r="I613" s="102"/>
      <c r="J613" s="102" t="str">
        <f t="shared" si="6"/>
        <v>DIGITAL</v>
      </c>
    </row>
    <row r="614" ht="22.5" customHeight="1">
      <c r="A614" s="109">
        <v>46298.0</v>
      </c>
      <c r="B614" s="110" t="str">
        <f t="shared" si="3"/>
        <v>OCTUBRE</v>
      </c>
      <c r="C614" s="111" t="s">
        <v>39</v>
      </c>
      <c r="D614" s="111" t="s">
        <v>147</v>
      </c>
      <c r="E614" s="111" t="s">
        <v>455</v>
      </c>
      <c r="F614" s="111" t="s">
        <v>128</v>
      </c>
      <c r="G614" s="112">
        <v>549.0</v>
      </c>
      <c r="H614" s="111" t="b">
        <v>1</v>
      </c>
      <c r="I614" s="115"/>
      <c r="J614" s="115" t="str">
        <f t="shared" si="6"/>
        <v>DIGITAL</v>
      </c>
    </row>
    <row r="615" ht="22.5" customHeight="1">
      <c r="A615" s="98">
        <v>46298.0</v>
      </c>
      <c r="B615" s="99" t="str">
        <f t="shared" si="3"/>
        <v>OCTUBRE</v>
      </c>
      <c r="C615" s="100" t="s">
        <v>39</v>
      </c>
      <c r="D615" s="100" t="s">
        <v>192</v>
      </c>
      <c r="E615" s="100" t="s">
        <v>192</v>
      </c>
      <c r="F615" s="100" t="s">
        <v>128</v>
      </c>
      <c r="G615" s="104">
        <v>10440.0</v>
      </c>
      <c r="H615" s="100" t="b">
        <v>1</v>
      </c>
      <c r="I615" s="102"/>
      <c r="J615" s="102" t="str">
        <f t="shared" si="6"/>
        <v>DIGITAL</v>
      </c>
    </row>
    <row r="616" ht="22.5" customHeight="1">
      <c r="A616" s="109">
        <v>46298.0</v>
      </c>
      <c r="B616" s="110" t="str">
        <f t="shared" si="3"/>
        <v>OCTUBRE</v>
      </c>
      <c r="C616" s="111" t="s">
        <v>39</v>
      </c>
      <c r="D616" s="111" t="s">
        <v>166</v>
      </c>
      <c r="E616" s="111" t="s">
        <v>167</v>
      </c>
      <c r="F616" s="111" t="s">
        <v>128</v>
      </c>
      <c r="G616" s="112">
        <v>399.0</v>
      </c>
      <c r="H616" s="111" t="b">
        <v>0</v>
      </c>
      <c r="I616" s="115"/>
      <c r="J616" s="115" t="str">
        <f t="shared" si="6"/>
        <v>DIGITAL</v>
      </c>
    </row>
    <row r="617" ht="22.5" customHeight="1">
      <c r="A617" s="98">
        <v>46300.0</v>
      </c>
      <c r="B617" s="99" t="str">
        <f t="shared" si="3"/>
        <v>OCTUBRE</v>
      </c>
      <c r="C617" s="100" t="s">
        <v>39</v>
      </c>
      <c r="D617" s="100" t="s">
        <v>140</v>
      </c>
      <c r="E617" s="100" t="s">
        <v>456</v>
      </c>
      <c r="F617" s="100" t="s">
        <v>128</v>
      </c>
      <c r="G617" s="104">
        <v>539.54</v>
      </c>
      <c r="H617" s="100" t="b">
        <v>1</v>
      </c>
      <c r="I617" s="102"/>
      <c r="J617" s="102" t="str">
        <f t="shared" si="6"/>
        <v>DIGITAL</v>
      </c>
    </row>
    <row r="618" ht="22.5" customHeight="1">
      <c r="A618" s="109">
        <v>46300.0</v>
      </c>
      <c r="B618" s="110" t="str">
        <f t="shared" si="3"/>
        <v>OCTUBRE</v>
      </c>
      <c r="C618" s="111" t="s">
        <v>181</v>
      </c>
      <c r="D618" s="147"/>
      <c r="E618" s="111" t="s">
        <v>457</v>
      </c>
      <c r="F618" s="111" t="s">
        <v>137</v>
      </c>
      <c r="G618" s="112">
        <v>60.0</v>
      </c>
      <c r="H618" s="111" t="b">
        <v>0</v>
      </c>
      <c r="I618" s="115"/>
      <c r="J618" s="115" t="str">
        <f t="shared" si="6"/>
        <v>CAJA DIARIA</v>
      </c>
    </row>
    <row r="619" ht="22.5" customHeight="1">
      <c r="A619" s="98">
        <v>46301.0</v>
      </c>
      <c r="B619" s="99" t="str">
        <f t="shared" si="3"/>
        <v>OCTUBRE</v>
      </c>
      <c r="C619" s="100" t="s">
        <v>39</v>
      </c>
      <c r="D619" s="100" t="s">
        <v>219</v>
      </c>
      <c r="E619" s="100" t="s">
        <v>458</v>
      </c>
      <c r="F619" s="100" t="s">
        <v>137</v>
      </c>
      <c r="G619" s="104">
        <v>200.0</v>
      </c>
      <c r="H619" s="100" t="b">
        <v>0</v>
      </c>
      <c r="I619" s="102"/>
      <c r="J619" s="102" t="str">
        <f t="shared" si="6"/>
        <v>CAJA DIARIA</v>
      </c>
    </row>
    <row r="620" ht="22.5" customHeight="1">
      <c r="A620" s="109">
        <v>46304.0</v>
      </c>
      <c r="B620" s="110" t="str">
        <f t="shared" si="3"/>
        <v>OCTUBRE</v>
      </c>
      <c r="C620" s="147" t="s">
        <v>39</v>
      </c>
      <c r="D620" s="147" t="s">
        <v>219</v>
      </c>
      <c r="E620" s="111" t="s">
        <v>452</v>
      </c>
      <c r="F620" s="115" t="s">
        <v>137</v>
      </c>
      <c r="G620" s="112">
        <v>100.0</v>
      </c>
      <c r="H620" s="111" t="b">
        <v>0</v>
      </c>
      <c r="I620" s="115" t="s">
        <v>129</v>
      </c>
      <c r="J620" s="115" t="str">
        <f t="shared" si="6"/>
        <v>CAJA DIARIA</v>
      </c>
    </row>
    <row r="621" ht="22.5" customHeight="1">
      <c r="A621" s="98">
        <v>46304.0</v>
      </c>
      <c r="B621" s="99" t="str">
        <f t="shared" si="3"/>
        <v>OCTUBRE</v>
      </c>
      <c r="C621" s="144" t="s">
        <v>39</v>
      </c>
      <c r="D621" s="144" t="s">
        <v>459</v>
      </c>
      <c r="E621" s="100" t="s">
        <v>460</v>
      </c>
      <c r="F621" s="102" t="s">
        <v>128</v>
      </c>
      <c r="G621" s="104">
        <v>1392.0</v>
      </c>
      <c r="H621" s="100" t="b">
        <v>1</v>
      </c>
      <c r="I621" s="102" t="s">
        <v>160</v>
      </c>
      <c r="J621" s="102" t="str">
        <f t="shared" si="6"/>
        <v>DIGITAL</v>
      </c>
    </row>
    <row r="622" ht="22.5" customHeight="1">
      <c r="A622" s="109">
        <v>46304.0</v>
      </c>
      <c r="B622" s="110" t="str">
        <f t="shared" si="3"/>
        <v>OCTUBRE</v>
      </c>
      <c r="C622" s="111" t="s">
        <v>39</v>
      </c>
      <c r="D622" s="111" t="s">
        <v>219</v>
      </c>
      <c r="E622" s="111" t="s">
        <v>461</v>
      </c>
      <c r="F622" s="111" t="s">
        <v>137</v>
      </c>
      <c r="G622" s="112">
        <v>100.0</v>
      </c>
      <c r="H622" s="111" t="b">
        <v>0</v>
      </c>
      <c r="I622" s="115"/>
      <c r="J622" s="111" t="s">
        <v>222</v>
      </c>
    </row>
    <row r="623" ht="22.5" customHeight="1">
      <c r="A623" s="98">
        <v>46308.0</v>
      </c>
      <c r="B623" s="99" t="str">
        <f t="shared" si="3"/>
        <v>OCTUBRE</v>
      </c>
      <c r="C623" s="100" t="s">
        <v>70</v>
      </c>
      <c r="D623" s="100" t="s">
        <v>219</v>
      </c>
      <c r="E623" s="100" t="s">
        <v>462</v>
      </c>
      <c r="F623" s="100" t="s">
        <v>137</v>
      </c>
      <c r="G623" s="104">
        <v>400.0</v>
      </c>
      <c r="H623" s="100" t="b">
        <v>0</v>
      </c>
      <c r="I623" s="102" t="s">
        <v>129</v>
      </c>
      <c r="J623" s="100" t="s">
        <v>450</v>
      </c>
    </row>
    <row r="624" ht="22.5" customHeight="1">
      <c r="A624" s="109">
        <v>46309.0</v>
      </c>
      <c r="B624" s="110" t="str">
        <f t="shared" si="3"/>
        <v>OCTUBRE</v>
      </c>
      <c r="C624" s="147" t="s">
        <v>39</v>
      </c>
      <c r="D624" s="147" t="s">
        <v>219</v>
      </c>
      <c r="E624" s="111" t="s">
        <v>463</v>
      </c>
      <c r="F624" s="115" t="s">
        <v>137</v>
      </c>
      <c r="G624" s="112">
        <v>800.0</v>
      </c>
      <c r="H624" s="111" t="b">
        <v>0</v>
      </c>
      <c r="I624" s="115" t="s">
        <v>160</v>
      </c>
      <c r="J624" s="115" t="s">
        <v>450</v>
      </c>
    </row>
    <row r="625" ht="22.5" customHeight="1">
      <c r="A625" s="98">
        <v>46309.0</v>
      </c>
      <c r="B625" s="99" t="str">
        <f t="shared" si="3"/>
        <v>OCTUBRE</v>
      </c>
      <c r="C625" s="144" t="s">
        <v>39</v>
      </c>
      <c r="D625" s="144" t="s">
        <v>219</v>
      </c>
      <c r="E625" s="100" t="s">
        <v>463</v>
      </c>
      <c r="F625" s="102" t="s">
        <v>137</v>
      </c>
      <c r="G625" s="104">
        <v>7200.0</v>
      </c>
      <c r="H625" s="100" t="b">
        <v>0</v>
      </c>
      <c r="I625" s="102" t="s">
        <v>160</v>
      </c>
      <c r="J625" s="102" t="s">
        <v>222</v>
      </c>
    </row>
    <row r="626" ht="22.5" customHeight="1">
      <c r="A626" s="109">
        <v>46310.0</v>
      </c>
      <c r="B626" s="110" t="str">
        <f t="shared" si="3"/>
        <v>OCTUBRE</v>
      </c>
      <c r="C626" s="111" t="s">
        <v>39</v>
      </c>
      <c r="D626" s="111" t="s">
        <v>219</v>
      </c>
      <c r="E626" s="111" t="s">
        <v>464</v>
      </c>
      <c r="F626" s="111" t="s">
        <v>128</v>
      </c>
      <c r="G626" s="112">
        <v>9280.0</v>
      </c>
      <c r="H626" s="111" t="b">
        <v>0</v>
      </c>
      <c r="I626" s="111" t="s">
        <v>160</v>
      </c>
      <c r="J626" s="111" t="s">
        <v>465</v>
      </c>
    </row>
    <row r="627" ht="22.5" customHeight="1">
      <c r="A627" s="98">
        <v>46310.0</v>
      </c>
      <c r="B627" s="99" t="str">
        <f t="shared" si="3"/>
        <v>OCTUBRE</v>
      </c>
      <c r="C627" s="100" t="s">
        <v>39</v>
      </c>
      <c r="D627" s="100" t="s">
        <v>219</v>
      </c>
      <c r="E627" s="100" t="s">
        <v>466</v>
      </c>
      <c r="F627" s="100" t="s">
        <v>137</v>
      </c>
      <c r="G627" s="104">
        <v>500.0</v>
      </c>
      <c r="H627" s="100" t="b">
        <v>0</v>
      </c>
      <c r="I627" s="102"/>
      <c r="J627" s="100" t="s">
        <v>450</v>
      </c>
    </row>
    <row r="628" ht="22.5" customHeight="1">
      <c r="A628" s="109">
        <v>46311.0</v>
      </c>
      <c r="B628" s="110" t="str">
        <f t="shared" si="3"/>
        <v>OCTUBRE</v>
      </c>
      <c r="C628" s="111" t="s">
        <v>125</v>
      </c>
      <c r="D628" s="111" t="s">
        <v>162</v>
      </c>
      <c r="E628" s="111" t="s">
        <v>163</v>
      </c>
      <c r="F628" s="111" t="s">
        <v>128</v>
      </c>
      <c r="G628" s="112">
        <v>421.0</v>
      </c>
      <c r="H628" s="111" t="b">
        <v>1</v>
      </c>
      <c r="I628" s="111" t="s">
        <v>129</v>
      </c>
      <c r="J628" s="111" t="s">
        <v>465</v>
      </c>
    </row>
    <row r="629" ht="22.5" customHeight="1">
      <c r="A629" s="98">
        <v>46311.0</v>
      </c>
      <c r="B629" s="99" t="str">
        <f t="shared" si="3"/>
        <v>OCTUBRE</v>
      </c>
      <c r="C629" s="100" t="s">
        <v>39</v>
      </c>
      <c r="D629" s="100" t="s">
        <v>140</v>
      </c>
      <c r="E629" s="100" t="s">
        <v>467</v>
      </c>
      <c r="F629" s="100" t="s">
        <v>128</v>
      </c>
      <c r="G629" s="104">
        <v>205.0</v>
      </c>
      <c r="H629" s="100" t="b">
        <v>0</v>
      </c>
      <c r="I629" s="102"/>
      <c r="J629" s="100" t="s">
        <v>465</v>
      </c>
    </row>
    <row r="630" ht="22.5" customHeight="1">
      <c r="A630" s="109">
        <v>46311.0</v>
      </c>
      <c r="B630" s="110" t="str">
        <f t="shared" si="3"/>
        <v>OCTUBRE</v>
      </c>
      <c r="C630" s="111" t="s">
        <v>39</v>
      </c>
      <c r="D630" s="111" t="s">
        <v>157</v>
      </c>
      <c r="E630" s="111" t="s">
        <v>468</v>
      </c>
      <c r="F630" s="111" t="s">
        <v>128</v>
      </c>
      <c r="G630" s="111">
        <v>782.58</v>
      </c>
      <c r="H630" s="111" t="b">
        <v>0</v>
      </c>
      <c r="I630" s="115"/>
      <c r="J630" s="111" t="s">
        <v>465</v>
      </c>
    </row>
    <row r="631" ht="22.5" customHeight="1">
      <c r="A631" s="98"/>
      <c r="B631" s="99" t="str">
        <f t="shared" si="3"/>
        <v/>
      </c>
      <c r="C631" s="144"/>
      <c r="D631" s="144"/>
      <c r="E631" s="100"/>
      <c r="F631" s="102"/>
      <c r="G631" s="104"/>
      <c r="H631" s="100" t="b">
        <v>0</v>
      </c>
      <c r="I631" s="102"/>
      <c r="J631" s="102"/>
    </row>
    <row r="632" ht="22.5" customHeight="1">
      <c r="A632" s="109"/>
      <c r="B632" s="110" t="str">
        <f t="shared" si="3"/>
        <v/>
      </c>
      <c r="C632" s="147"/>
      <c r="D632" s="147"/>
      <c r="E632" s="111"/>
      <c r="F632" s="115"/>
      <c r="G632" s="112"/>
      <c r="H632" s="111" t="b">
        <v>0</v>
      </c>
      <c r="I632" s="115"/>
      <c r="J632" s="115"/>
    </row>
    <row r="633" ht="22.5" customHeight="1">
      <c r="A633" s="98"/>
      <c r="B633" s="99" t="str">
        <f t="shared" si="3"/>
        <v/>
      </c>
      <c r="C633" s="144"/>
      <c r="D633" s="144"/>
      <c r="E633" s="100"/>
      <c r="F633" s="102"/>
      <c r="G633" s="104"/>
      <c r="H633" s="100" t="b">
        <v>0</v>
      </c>
      <c r="I633" s="102"/>
      <c r="J633" s="102"/>
    </row>
    <row r="634" ht="22.5" customHeight="1">
      <c r="A634" s="109"/>
      <c r="B634" s="110" t="str">
        <f t="shared" si="3"/>
        <v/>
      </c>
      <c r="C634" s="147"/>
      <c r="D634" s="147"/>
      <c r="E634" s="111"/>
      <c r="F634" s="115"/>
      <c r="G634" s="112"/>
      <c r="H634" s="111" t="b">
        <v>0</v>
      </c>
      <c r="I634" s="115"/>
      <c r="J634" s="115"/>
    </row>
    <row r="635" ht="22.5" customHeight="1">
      <c r="A635" s="98"/>
      <c r="B635" s="99" t="str">
        <f t="shared" si="3"/>
        <v/>
      </c>
      <c r="C635" s="144"/>
      <c r="D635" s="144"/>
      <c r="E635" s="100"/>
      <c r="F635" s="102"/>
      <c r="G635" s="104"/>
      <c r="H635" s="100" t="b">
        <v>0</v>
      </c>
      <c r="I635" s="102"/>
      <c r="J635" s="102"/>
    </row>
    <row r="636" ht="22.5" customHeight="1">
      <c r="A636" s="109"/>
      <c r="B636" s="110" t="str">
        <f t="shared" si="3"/>
        <v/>
      </c>
      <c r="C636" s="147"/>
      <c r="D636" s="147"/>
      <c r="E636" s="111"/>
      <c r="F636" s="115"/>
      <c r="G636" s="112"/>
      <c r="H636" s="111" t="b">
        <v>0</v>
      </c>
      <c r="I636" s="115"/>
      <c r="J636" s="115"/>
    </row>
    <row r="637" ht="22.5" customHeight="1">
      <c r="A637" s="98"/>
      <c r="B637" s="99" t="str">
        <f t="shared" si="3"/>
        <v/>
      </c>
      <c r="C637" s="144"/>
      <c r="D637" s="144"/>
      <c r="E637" s="100"/>
      <c r="F637" s="102"/>
      <c r="G637" s="104"/>
      <c r="H637" s="100" t="b">
        <v>0</v>
      </c>
      <c r="I637" s="102"/>
      <c r="J637" s="102"/>
    </row>
  </sheetData>
  <autoFilter ref="$A$4:$J$625">
    <filterColumn colId="1">
      <customFilters>
        <customFilter val="OCTUBRE"/>
      </customFilters>
    </filterColumn>
  </autoFilter>
  <mergeCells count="2">
    <mergeCell ref="A1:I1"/>
    <mergeCell ref="A2:I2"/>
  </mergeCells>
  <dataValidations>
    <dataValidation type="list" allowBlank="1" showErrorMessage="1" sqref="F5:F637">
      <formula1>"EFECTIVO,TRANSFERENCIA,TERMINAL"</formula1>
    </dataValidation>
    <dataValidation type="custom" allowBlank="1" showDropDown="1" sqref="A5:A637">
      <formula1>OR(NOT(ISERROR(DATEVALUE(A5))), AND(ISNUMBER(A5), LEFT(CELL("format", A5))="D"))</formula1>
    </dataValidation>
    <dataValidation type="list" allowBlank="1" sqref="C5:C637">
      <formula1>"COMPRA,PAGO ,FALTANTE"</formula1>
    </dataValidation>
    <dataValidation type="list" allowBlank="1" sqref="D5:D637">
      <formula1>"OTROS,SERVICIOS,SUSCRIPCIONES,IMPUESTOS,MANTENIMIENTO,INSUMOS,MARKETING,EQUIPO,FINANCIAMIENTO,TRANSPORTE,RENTA,SALARIOS"</formula1>
    </dataValidation>
    <dataValidation type="custom" allowBlank="1" showDropDown="1" sqref="G5:G637">
      <formula1>AND(ISNUMBER(G5),(NOT(OR(NOT(ISERROR(DATEVALUE(G5))), AND(ISNUMBER(G5), LEFT(CELL("format", G5))="D")))))</formula1>
    </dataValidation>
    <dataValidation type="list" allowBlank="1" showErrorMessage="1" sqref="I5:I637">
      <formula1>"FIJO,VARIABLE"</formula1>
    </dataValidation>
    <dataValidation type="list" allowBlank="1" showErrorMessage="1" sqref="J5:J637">
      <formula1>"DIGITAL,CAJA DIARIA,EFECTIVO MÖOV"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18EC1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10.67"/>
    <col customWidth="1" min="2" max="2" width="13.67"/>
    <col customWidth="1" min="3" max="3" width="21.22"/>
    <col customWidth="1" min="4" max="4" width="20.11"/>
    <col customWidth="1" min="5" max="5" width="14.56"/>
    <col customWidth="1" min="6" max="8" width="12.89"/>
    <col customWidth="1" min="9" max="9" width="11.78"/>
    <col customWidth="1" min="10" max="10" width="25.67"/>
  </cols>
  <sheetData>
    <row r="1">
      <c r="A1" s="88" t="s">
        <v>376</v>
      </c>
    </row>
    <row r="2">
      <c r="A2" s="89" t="s">
        <v>377</v>
      </c>
    </row>
    <row r="3">
      <c r="A3" s="90" t="s">
        <v>109</v>
      </c>
      <c r="B3" s="90" t="s">
        <v>110</v>
      </c>
    </row>
    <row r="4" ht="22.5" customHeight="1">
      <c r="A4" s="187" t="s">
        <v>111</v>
      </c>
      <c r="B4" s="187" t="s">
        <v>113</v>
      </c>
      <c r="C4" s="187" t="s">
        <v>114</v>
      </c>
      <c r="D4" s="187" t="s">
        <v>378</v>
      </c>
      <c r="E4" s="187" t="s">
        <v>41</v>
      </c>
      <c r="F4" s="187" t="s">
        <v>379</v>
      </c>
      <c r="G4" s="187" t="s">
        <v>380</v>
      </c>
      <c r="H4" s="187" t="s">
        <v>381</v>
      </c>
      <c r="I4" s="187" t="s">
        <v>118</v>
      </c>
      <c r="J4" s="187" t="s">
        <v>382</v>
      </c>
    </row>
    <row r="5" ht="22.5" hidden="1" customHeight="1">
      <c r="A5" s="188">
        <v>46265.0</v>
      </c>
      <c r="B5" s="189" t="str">
        <f t="shared" ref="B5:B499" si="1">IF(A5="","",UPPER(TEXT(A5,"MMMM")))</f>
        <v>AGOSTO</v>
      </c>
      <c r="C5" s="190" t="s">
        <v>383</v>
      </c>
      <c r="D5" s="191" t="s">
        <v>384</v>
      </c>
      <c r="E5" s="191" t="s">
        <v>137</v>
      </c>
      <c r="F5" s="192">
        <v>1350.0</v>
      </c>
      <c r="G5" s="193">
        <f>IFERROR(__xludf.DUMMYFUNCTION("IF(F5="""","""",IF(REGEXMATCH(UPPER(TRIM(C5)),""RENDIMIENTO|INVERSI[ÓO]N""),0,IF(OR(UPPER(TRIM(E5))=""TERMINAL"",UPPER(TRIM(E5))=""TRANSFERENCIA""),F5-F5/1.16,0)))"),0.0)</f>
        <v>0</v>
      </c>
      <c r="H5" s="193">
        <f t="shared" ref="H5:H499" si="2">IF(F5="","",F5-G5)</f>
        <v>1350</v>
      </c>
      <c r="I5" s="194" t="b">
        <v>0</v>
      </c>
    </row>
    <row r="6" ht="22.5" hidden="1" customHeight="1">
      <c r="A6" s="188">
        <v>46265.0</v>
      </c>
      <c r="B6" s="189" t="str">
        <f t="shared" si="1"/>
        <v>AGOSTO</v>
      </c>
      <c r="C6" s="190" t="s">
        <v>385</v>
      </c>
      <c r="D6" s="191" t="s">
        <v>384</v>
      </c>
      <c r="E6" s="191" t="s">
        <v>137</v>
      </c>
      <c r="F6" s="192">
        <v>954.0</v>
      </c>
      <c r="G6" s="193">
        <f>IFERROR(__xludf.DUMMYFUNCTION("IF(F6="""","""",IF(REGEXMATCH(UPPER(TRIM(C6)),""RENDIMIENTO|INVERSI[ÓO]N""),0,IF(OR(UPPER(TRIM(E6))=""TERMINAL"",UPPER(TRIM(E6))=""TRANSFERENCIA""),F6-F6/1.16,0)))"),0.0)</f>
        <v>0</v>
      </c>
      <c r="H6" s="193">
        <f t="shared" si="2"/>
        <v>954</v>
      </c>
      <c r="I6" s="194" t="b">
        <v>0</v>
      </c>
    </row>
    <row r="7" ht="22.5" hidden="1" customHeight="1">
      <c r="A7" s="188">
        <v>46265.0</v>
      </c>
      <c r="B7" s="189" t="str">
        <f t="shared" si="1"/>
        <v>AGOSTO</v>
      </c>
      <c r="C7" s="190" t="s">
        <v>386</v>
      </c>
      <c r="D7" s="191" t="s">
        <v>384</v>
      </c>
      <c r="E7" s="191" t="s">
        <v>137</v>
      </c>
      <c r="F7" s="192">
        <v>2750.0</v>
      </c>
      <c r="G7" s="193">
        <f>IFERROR(__xludf.DUMMYFUNCTION("IF(F7="""","""",IF(REGEXMATCH(UPPER(TRIM(C7)),""RENDIMIENTO|INVERSI[ÓO]N""),0,IF(OR(UPPER(TRIM(E7))=""TERMINAL"",UPPER(TRIM(E7))=""TRANSFERENCIA""),F7-F7/1.16,0)))"),0.0)</f>
        <v>0</v>
      </c>
      <c r="H7" s="193">
        <f t="shared" si="2"/>
        <v>2750</v>
      </c>
      <c r="I7" s="194" t="b">
        <v>0</v>
      </c>
    </row>
    <row r="8" ht="22.5" hidden="1" customHeight="1">
      <c r="A8" s="188">
        <v>46265.0</v>
      </c>
      <c r="B8" s="189" t="str">
        <f t="shared" si="1"/>
        <v>AGOSTO</v>
      </c>
      <c r="C8" s="190" t="s">
        <v>386</v>
      </c>
      <c r="D8" s="191" t="s">
        <v>384</v>
      </c>
      <c r="E8" s="191" t="s">
        <v>128</v>
      </c>
      <c r="F8" s="192">
        <v>1077.67</v>
      </c>
      <c r="G8" s="193">
        <f>IFERROR(__xludf.DUMMYFUNCTION("IF(F8="""","""",IF(REGEXMATCH(UPPER(TRIM(C8)),""RENDIMIENTO|INVERSI[ÓO]N""),0,IF(OR(UPPER(TRIM(E8))=""TERMINAL"",UPPER(TRIM(E8))=""TRANSFERENCIA""),F8-F8/1.16,0)))"),148.64413793103438)</f>
        <v>148.6441379</v>
      </c>
      <c r="H8" s="193">
        <f t="shared" si="2"/>
        <v>929.0258621</v>
      </c>
      <c r="I8" s="194" t="b">
        <v>0</v>
      </c>
    </row>
    <row r="9" ht="22.5" hidden="1" customHeight="1">
      <c r="A9" s="188">
        <v>46266.0</v>
      </c>
      <c r="B9" s="189" t="str">
        <f t="shared" si="1"/>
        <v>SEPTIEMBRE</v>
      </c>
      <c r="C9" s="190" t="s">
        <v>386</v>
      </c>
      <c r="D9" s="191" t="s">
        <v>387</v>
      </c>
      <c r="E9" s="191" t="s">
        <v>128</v>
      </c>
      <c r="F9" s="192">
        <v>550.0</v>
      </c>
      <c r="G9" s="193">
        <f>IFERROR(__xludf.DUMMYFUNCTION("IF(F9="""","""",IF(REGEXMATCH(UPPER(TRIM(C9)),""RENDIMIENTO|INVERSI[ÓO]N""),0,IF(OR(UPPER(TRIM(E9))=""TERMINAL"",UPPER(TRIM(E9))=""TRANSFERENCIA""),F9-F9/1.16,0)))"),75.86206896551721)</f>
        <v>75.86206897</v>
      </c>
      <c r="H9" s="193">
        <f t="shared" si="2"/>
        <v>474.137931</v>
      </c>
      <c r="I9" s="194" t="b">
        <v>0</v>
      </c>
    </row>
    <row r="10" ht="22.5" hidden="1" customHeight="1">
      <c r="A10" s="188">
        <v>46266.0</v>
      </c>
      <c r="B10" s="189" t="str">
        <f t="shared" si="1"/>
        <v>SEPTIEMBRE</v>
      </c>
      <c r="C10" s="190" t="s">
        <v>386</v>
      </c>
      <c r="D10" s="191" t="s">
        <v>388</v>
      </c>
      <c r="E10" s="191" t="s">
        <v>128</v>
      </c>
      <c r="F10" s="192">
        <v>550.0</v>
      </c>
      <c r="G10" s="193">
        <f>IFERROR(__xludf.DUMMYFUNCTION("IF(F10="""","""",IF(REGEXMATCH(UPPER(TRIM(C10)),""RENDIMIENTO|INVERSI[ÓO]N""),0,IF(OR(UPPER(TRIM(E10))=""TERMINAL"",UPPER(TRIM(E10))=""TRANSFERENCIA""),F10-F10/1.16,0)))"),75.86206896551721)</f>
        <v>75.86206897</v>
      </c>
      <c r="H10" s="193">
        <f t="shared" si="2"/>
        <v>474.137931</v>
      </c>
      <c r="I10" s="194" t="b">
        <v>0</v>
      </c>
    </row>
    <row r="11" ht="22.5" hidden="1" customHeight="1">
      <c r="A11" s="188">
        <v>46266.0</v>
      </c>
      <c r="B11" s="189" t="str">
        <f t="shared" si="1"/>
        <v>SEPTIEMBRE</v>
      </c>
      <c r="C11" s="190" t="s">
        <v>386</v>
      </c>
      <c r="D11" s="191" t="s">
        <v>389</v>
      </c>
      <c r="E11" s="191" t="s">
        <v>137</v>
      </c>
      <c r="F11" s="192">
        <v>550.0</v>
      </c>
      <c r="G11" s="193">
        <f>IFERROR(__xludf.DUMMYFUNCTION("IF(F11="""","""",IF(REGEXMATCH(UPPER(TRIM(C11)),""RENDIMIENTO|INVERSI[ÓO]N""),0,IF(OR(UPPER(TRIM(E11))=""TERMINAL"",UPPER(TRIM(E11))=""TRANSFERENCIA""),F11-F11/1.16,0)))"),0.0)</f>
        <v>0</v>
      </c>
      <c r="H11" s="193">
        <f t="shared" si="2"/>
        <v>550</v>
      </c>
      <c r="I11" s="194" t="b">
        <v>0</v>
      </c>
    </row>
    <row r="12" ht="22.5" hidden="1" customHeight="1">
      <c r="A12" s="188">
        <v>46266.0</v>
      </c>
      <c r="B12" s="189" t="str">
        <f t="shared" si="1"/>
        <v>SEPTIEMBRE</v>
      </c>
      <c r="C12" s="190" t="s">
        <v>386</v>
      </c>
      <c r="D12" s="191" t="s">
        <v>390</v>
      </c>
      <c r="E12" s="191" t="s">
        <v>137</v>
      </c>
      <c r="F12" s="192">
        <v>200.0</v>
      </c>
      <c r="G12" s="193">
        <f>IFERROR(__xludf.DUMMYFUNCTION("IF(F12="""","""",IF(REGEXMATCH(UPPER(TRIM(C12)),""RENDIMIENTO|INVERSI[ÓO]N""),0,IF(OR(UPPER(TRIM(E12))=""TERMINAL"",UPPER(TRIM(E12))=""TRANSFERENCIA""),F12-F12/1.16,0)))"),0.0)</f>
        <v>0</v>
      </c>
      <c r="H12" s="193">
        <f t="shared" si="2"/>
        <v>200</v>
      </c>
      <c r="I12" s="194" t="b">
        <v>0</v>
      </c>
    </row>
    <row r="13" ht="22.5" hidden="1" customHeight="1">
      <c r="A13" s="188">
        <v>46266.0</v>
      </c>
      <c r="B13" s="189" t="str">
        <f t="shared" si="1"/>
        <v>SEPTIEMBRE</v>
      </c>
      <c r="C13" s="190" t="s">
        <v>385</v>
      </c>
      <c r="D13" s="191" t="s">
        <v>391</v>
      </c>
      <c r="E13" s="191" t="s">
        <v>137</v>
      </c>
      <c r="F13" s="192">
        <v>50.0</v>
      </c>
      <c r="G13" s="193">
        <f>IFERROR(__xludf.DUMMYFUNCTION("IF(F13="""","""",IF(REGEXMATCH(UPPER(TRIM(C13)),""RENDIMIENTO|INVERSI[ÓO]N""),0,IF(OR(UPPER(TRIM(E13))=""TERMINAL"",UPPER(TRIM(E13))=""TRANSFERENCIA""),F13-F13/1.16,0)))"),0.0)</f>
        <v>0</v>
      </c>
      <c r="H13" s="193">
        <f t="shared" si="2"/>
        <v>50</v>
      </c>
      <c r="I13" s="194" t="b">
        <v>0</v>
      </c>
    </row>
    <row r="14" ht="22.5" hidden="1" customHeight="1">
      <c r="A14" s="188">
        <v>46267.0</v>
      </c>
      <c r="B14" s="189" t="str">
        <f t="shared" si="1"/>
        <v>SEPTIEMBRE</v>
      </c>
      <c r="C14" s="190" t="s">
        <v>385</v>
      </c>
      <c r="D14" s="191" t="s">
        <v>392</v>
      </c>
      <c r="E14" s="191" t="s">
        <v>137</v>
      </c>
      <c r="F14" s="192">
        <v>30.0</v>
      </c>
      <c r="G14" s="193">
        <f>IFERROR(__xludf.DUMMYFUNCTION("IF(F14="""","""",IF(REGEXMATCH(UPPER(TRIM(C14)),""RENDIMIENTO|INVERSI[ÓO]N""),0,IF(OR(UPPER(TRIM(E14))=""TERMINAL"",UPPER(TRIM(E14))=""TRANSFERENCIA""),F14-F14/1.16,0)))"),0.0)</f>
        <v>0</v>
      </c>
      <c r="H14" s="193">
        <f t="shared" si="2"/>
        <v>30</v>
      </c>
      <c r="I14" s="194" t="b">
        <v>0</v>
      </c>
    </row>
    <row r="15" ht="22.5" hidden="1" customHeight="1">
      <c r="A15" s="188">
        <v>46267.0</v>
      </c>
      <c r="B15" s="189" t="str">
        <f t="shared" si="1"/>
        <v>SEPTIEMBRE</v>
      </c>
      <c r="C15" s="190" t="s">
        <v>386</v>
      </c>
      <c r="D15" s="191" t="s">
        <v>393</v>
      </c>
      <c r="E15" s="191" t="s">
        <v>137</v>
      </c>
      <c r="F15" s="192">
        <v>250.0</v>
      </c>
      <c r="G15" s="193">
        <f>IFERROR(__xludf.DUMMYFUNCTION("IF(F15="""","""",IF(REGEXMATCH(UPPER(TRIM(C15)),""RENDIMIENTO|INVERSI[ÓO]N""),0,IF(OR(UPPER(TRIM(E15))=""TERMINAL"",UPPER(TRIM(E15))=""TRANSFERENCIA""),F15-F15/1.16,0)))"),0.0)</f>
        <v>0</v>
      </c>
      <c r="H15" s="193">
        <f t="shared" si="2"/>
        <v>250</v>
      </c>
      <c r="I15" s="194" t="b">
        <v>0</v>
      </c>
    </row>
    <row r="16" ht="22.5" hidden="1" customHeight="1">
      <c r="A16" s="188">
        <v>46267.0</v>
      </c>
      <c r="B16" s="189" t="str">
        <f t="shared" si="1"/>
        <v>SEPTIEMBRE</v>
      </c>
      <c r="C16" s="190" t="s">
        <v>386</v>
      </c>
      <c r="D16" s="191" t="s">
        <v>394</v>
      </c>
      <c r="E16" s="191" t="s">
        <v>137</v>
      </c>
      <c r="F16" s="192">
        <v>550.0</v>
      </c>
      <c r="G16" s="193">
        <f>IFERROR(__xludf.DUMMYFUNCTION("IF(F16="""","""",IF(REGEXMATCH(UPPER(TRIM(C16)),""RENDIMIENTO|INVERSI[ÓO]N""),0,IF(OR(UPPER(TRIM(E16))=""TERMINAL"",UPPER(TRIM(E16))=""TRANSFERENCIA""),F16-F16/1.16,0)))"),0.0)</f>
        <v>0</v>
      </c>
      <c r="H16" s="193">
        <f t="shared" si="2"/>
        <v>550</v>
      </c>
      <c r="I16" s="194" t="b">
        <v>0</v>
      </c>
    </row>
    <row r="17" ht="22.5" hidden="1" customHeight="1">
      <c r="A17" s="188">
        <v>46267.0</v>
      </c>
      <c r="B17" s="189" t="str">
        <f t="shared" si="1"/>
        <v>SEPTIEMBRE</v>
      </c>
      <c r="C17" s="190" t="s">
        <v>383</v>
      </c>
      <c r="D17" s="191" t="s">
        <v>395</v>
      </c>
      <c r="E17" s="191" t="s">
        <v>137</v>
      </c>
      <c r="F17" s="192">
        <v>200.0</v>
      </c>
      <c r="G17" s="193">
        <f>IFERROR(__xludf.DUMMYFUNCTION("IF(F17="""","""",IF(REGEXMATCH(UPPER(TRIM(C17)),""RENDIMIENTO|INVERSI[ÓO]N""),0,IF(OR(UPPER(TRIM(E17))=""TERMINAL"",UPPER(TRIM(E17))=""TRANSFERENCIA""),F17-F17/1.16,0)))"),0.0)</f>
        <v>0</v>
      </c>
      <c r="H17" s="193">
        <f t="shared" si="2"/>
        <v>200</v>
      </c>
      <c r="I17" s="194" t="b">
        <v>0</v>
      </c>
    </row>
    <row r="18" ht="22.5" hidden="1" customHeight="1">
      <c r="A18" s="188">
        <v>46267.0</v>
      </c>
      <c r="B18" s="189" t="str">
        <f t="shared" si="1"/>
        <v>SEPTIEMBRE</v>
      </c>
      <c r="C18" s="190" t="s">
        <v>383</v>
      </c>
      <c r="D18" s="191" t="s">
        <v>396</v>
      </c>
      <c r="E18" s="191" t="s">
        <v>137</v>
      </c>
      <c r="F18" s="192">
        <v>200.0</v>
      </c>
      <c r="G18" s="193">
        <f>IFERROR(__xludf.DUMMYFUNCTION("IF(F18="""","""",IF(REGEXMATCH(UPPER(TRIM(C18)),""RENDIMIENTO|INVERSI[ÓO]N""),0,IF(OR(UPPER(TRIM(E18))=""TERMINAL"",UPPER(TRIM(E18))=""TRANSFERENCIA""),F18-F18/1.16,0)))"),0.0)</f>
        <v>0</v>
      </c>
      <c r="H18" s="193">
        <f t="shared" si="2"/>
        <v>200</v>
      </c>
      <c r="I18" s="194" t="b">
        <v>0</v>
      </c>
    </row>
    <row r="19" ht="22.5" hidden="1" customHeight="1">
      <c r="A19" s="188">
        <v>46268.0</v>
      </c>
      <c r="B19" s="189" t="str">
        <f t="shared" si="1"/>
        <v>SEPTIEMBRE</v>
      </c>
      <c r="C19" s="190" t="s">
        <v>397</v>
      </c>
      <c r="D19" s="191" t="s">
        <v>398</v>
      </c>
      <c r="E19" s="191" t="s">
        <v>128</v>
      </c>
      <c r="F19" s="192">
        <v>858.0</v>
      </c>
      <c r="G19" s="193">
        <f>IFERROR(__xludf.DUMMYFUNCTION("IF(F19="""","""",IF(REGEXMATCH(UPPER(TRIM(C19)),""RENDIMIENTO|INVERSI[ÓO]N""),0,IF(OR(UPPER(TRIM(E19))=""TERMINAL"",UPPER(TRIM(E19))=""TRANSFERENCIA""),F19-F19/1.16,0)))"),0.0)</f>
        <v>0</v>
      </c>
      <c r="H19" s="193">
        <f t="shared" si="2"/>
        <v>858</v>
      </c>
      <c r="I19" s="194" t="b">
        <v>0</v>
      </c>
      <c r="J19" s="191" t="s">
        <v>399</v>
      </c>
    </row>
    <row r="20" ht="22.5" hidden="1" customHeight="1">
      <c r="A20" s="188">
        <v>46268.0</v>
      </c>
      <c r="B20" s="189" t="str">
        <f t="shared" si="1"/>
        <v>SEPTIEMBRE</v>
      </c>
      <c r="C20" s="190" t="s">
        <v>386</v>
      </c>
      <c r="D20" s="191" t="s">
        <v>400</v>
      </c>
      <c r="E20" s="191" t="s">
        <v>137</v>
      </c>
      <c r="F20" s="192">
        <v>550.0</v>
      </c>
      <c r="G20" s="193">
        <f>IFERROR(__xludf.DUMMYFUNCTION("IF(F20="""","""",IF(REGEXMATCH(UPPER(TRIM(C20)),""RENDIMIENTO|INVERSI[ÓO]N""),0,IF(OR(UPPER(TRIM(E20))=""TERMINAL"",UPPER(TRIM(E20))=""TRANSFERENCIA""),F20-F20/1.16,0)))"),0.0)</f>
        <v>0</v>
      </c>
      <c r="H20" s="193">
        <f t="shared" si="2"/>
        <v>550</v>
      </c>
      <c r="I20" s="194" t="b">
        <v>0</v>
      </c>
    </row>
    <row r="21" ht="22.5" hidden="1" customHeight="1">
      <c r="A21" s="188">
        <v>46268.0</v>
      </c>
      <c r="B21" s="189" t="str">
        <f t="shared" si="1"/>
        <v>SEPTIEMBRE</v>
      </c>
      <c r="C21" s="190" t="s">
        <v>386</v>
      </c>
      <c r="D21" s="191" t="s">
        <v>401</v>
      </c>
      <c r="E21" s="191" t="s">
        <v>128</v>
      </c>
      <c r="F21" s="192">
        <v>550.0</v>
      </c>
      <c r="G21" s="193">
        <f>IFERROR(__xludf.DUMMYFUNCTION("IF(F21="""","""",IF(REGEXMATCH(UPPER(TRIM(C21)),""RENDIMIENTO|INVERSI[ÓO]N""),0,IF(OR(UPPER(TRIM(E21))=""TERMINAL"",UPPER(TRIM(E21))=""TRANSFERENCIA""),F21-F21/1.16,0)))"),75.86206896551721)</f>
        <v>75.86206897</v>
      </c>
      <c r="H21" s="193">
        <f t="shared" si="2"/>
        <v>474.137931</v>
      </c>
      <c r="I21" s="194" t="b">
        <v>0</v>
      </c>
    </row>
    <row r="22" ht="22.5" hidden="1" customHeight="1">
      <c r="A22" s="188">
        <v>46268.0</v>
      </c>
      <c r="B22" s="189" t="str">
        <f t="shared" si="1"/>
        <v>SEPTIEMBRE</v>
      </c>
      <c r="C22" s="190" t="s">
        <v>383</v>
      </c>
      <c r="D22" s="191" t="s">
        <v>389</v>
      </c>
      <c r="E22" s="191" t="s">
        <v>137</v>
      </c>
      <c r="F22" s="192">
        <v>200.0</v>
      </c>
      <c r="G22" s="193">
        <f>IFERROR(__xludf.DUMMYFUNCTION("IF(F22="""","""",IF(REGEXMATCH(UPPER(TRIM(C22)),""RENDIMIENTO|INVERSI[ÓO]N""),0,IF(OR(UPPER(TRIM(E22))=""TERMINAL"",UPPER(TRIM(E22))=""TRANSFERENCIA""),F22-F22/1.16,0)))"),0.0)</f>
        <v>0</v>
      </c>
      <c r="H22" s="193">
        <f t="shared" si="2"/>
        <v>200</v>
      </c>
      <c r="I22" s="194" t="b">
        <v>0</v>
      </c>
    </row>
    <row r="23" ht="22.5" hidden="1" customHeight="1">
      <c r="A23" s="188">
        <v>46268.0</v>
      </c>
      <c r="B23" s="189" t="str">
        <f t="shared" si="1"/>
        <v>SEPTIEMBRE</v>
      </c>
      <c r="C23" s="190" t="s">
        <v>385</v>
      </c>
      <c r="D23" s="191" t="s">
        <v>402</v>
      </c>
      <c r="E23" s="191" t="s">
        <v>137</v>
      </c>
      <c r="F23" s="192">
        <v>310.0</v>
      </c>
      <c r="G23" s="193">
        <f>IFERROR(__xludf.DUMMYFUNCTION("IF(F23="""","""",IF(REGEXMATCH(UPPER(TRIM(C23)),""RENDIMIENTO|INVERSI[ÓO]N""),0,IF(OR(UPPER(TRIM(E23))=""TERMINAL"",UPPER(TRIM(E23))=""TRANSFERENCIA""),F23-F23/1.16,0)))"),0.0)</f>
        <v>0</v>
      </c>
      <c r="H23" s="193">
        <f t="shared" si="2"/>
        <v>310</v>
      </c>
      <c r="I23" s="194" t="b">
        <v>0</v>
      </c>
    </row>
    <row r="24" ht="22.5" hidden="1" customHeight="1">
      <c r="A24" s="188">
        <v>46269.0</v>
      </c>
      <c r="B24" s="189" t="str">
        <f t="shared" si="1"/>
        <v>SEPTIEMBRE</v>
      </c>
      <c r="C24" s="190" t="s">
        <v>386</v>
      </c>
      <c r="D24" s="191" t="s">
        <v>403</v>
      </c>
      <c r="E24" s="191" t="s">
        <v>137</v>
      </c>
      <c r="F24" s="192">
        <v>550.0</v>
      </c>
      <c r="G24" s="193">
        <f>IFERROR(__xludf.DUMMYFUNCTION("IF(F24="""","""",IF(REGEXMATCH(UPPER(TRIM(C24)),""RENDIMIENTO|INVERSI[ÓO]N""),0,IF(OR(UPPER(TRIM(E24))=""TERMINAL"",UPPER(TRIM(E24))=""TRANSFERENCIA""),F24-F24/1.16,0)))"),0.0)</f>
        <v>0</v>
      </c>
      <c r="H24" s="193">
        <f t="shared" si="2"/>
        <v>550</v>
      </c>
      <c r="I24" s="194" t="b">
        <v>0</v>
      </c>
    </row>
    <row r="25" ht="22.5" hidden="1" customHeight="1">
      <c r="A25" s="188">
        <v>46269.0</v>
      </c>
      <c r="B25" s="189" t="str">
        <f t="shared" si="1"/>
        <v>SEPTIEMBRE</v>
      </c>
      <c r="C25" s="190" t="s">
        <v>405</v>
      </c>
      <c r="D25" s="191" t="s">
        <v>406</v>
      </c>
      <c r="E25" s="191" t="s">
        <v>292</v>
      </c>
      <c r="F25" s="192">
        <v>360.0</v>
      </c>
      <c r="G25" s="193">
        <f>IFERROR(__xludf.DUMMYFUNCTION("IF(F25="""","""",IF(REGEXMATCH(UPPER(TRIM(C25)),""RENDIMIENTO|INVERSI[ÓO]N""),0,IF(OR(UPPER(TRIM(E25))=""TERMINAL"",UPPER(TRIM(E25))=""TRANSFERENCIA""),F25-F25/1.16,0)))"),49.65517241379308)</f>
        <v>49.65517241</v>
      </c>
      <c r="H25" s="193">
        <f t="shared" si="2"/>
        <v>310.3448276</v>
      </c>
      <c r="I25" s="194" t="b">
        <v>0</v>
      </c>
    </row>
    <row r="26" ht="22.5" hidden="1" customHeight="1">
      <c r="A26" s="188">
        <v>46270.0</v>
      </c>
      <c r="B26" s="189" t="str">
        <f t="shared" si="1"/>
        <v>SEPTIEMBRE</v>
      </c>
      <c r="C26" s="190" t="s">
        <v>397</v>
      </c>
      <c r="D26" s="191" t="s">
        <v>407</v>
      </c>
      <c r="E26" s="191" t="s">
        <v>128</v>
      </c>
      <c r="F26" s="192">
        <v>1810.0</v>
      </c>
      <c r="G26" s="193">
        <f>IFERROR(__xludf.DUMMYFUNCTION("IF(F26="""","""",IF(REGEXMATCH(UPPER(TRIM(C26)),""RENDIMIENTO|INVERSI[ÓO]N""),0,IF(OR(UPPER(TRIM(E26))=""TERMINAL"",UPPER(TRIM(E26))=""TRANSFERENCIA""),F26-F26/1.16,0)))"),0.0)</f>
        <v>0</v>
      </c>
      <c r="H26" s="193">
        <f t="shared" si="2"/>
        <v>1810</v>
      </c>
      <c r="I26" s="194" t="b">
        <v>0</v>
      </c>
    </row>
    <row r="27" ht="22.5" hidden="1" customHeight="1">
      <c r="A27" s="188">
        <v>46272.0</v>
      </c>
      <c r="B27" s="189" t="str">
        <f t="shared" si="1"/>
        <v>SEPTIEMBRE</v>
      </c>
      <c r="C27" s="190" t="s">
        <v>385</v>
      </c>
      <c r="D27" s="191" t="s">
        <v>408</v>
      </c>
      <c r="E27" s="191" t="s">
        <v>128</v>
      </c>
      <c r="F27" s="192">
        <v>30.0</v>
      </c>
      <c r="G27" s="193">
        <f>IFERROR(__xludf.DUMMYFUNCTION("IF(F27="""","""",IF(REGEXMATCH(UPPER(TRIM(C27)),""RENDIMIENTO|INVERSI[ÓO]N""),0,IF(OR(UPPER(TRIM(E27))=""TERMINAL"",UPPER(TRIM(E27))=""TRANSFERENCIA""),F27-F27/1.16,0)))"),4.137931034482758)</f>
        <v>4.137931034</v>
      </c>
      <c r="H27" s="193">
        <f t="shared" si="2"/>
        <v>25.86206897</v>
      </c>
      <c r="I27" s="194" t="b">
        <v>0</v>
      </c>
    </row>
    <row r="28" ht="22.5" hidden="1" customHeight="1">
      <c r="A28" s="188">
        <v>46274.0</v>
      </c>
      <c r="B28" s="189" t="str">
        <f t="shared" si="1"/>
        <v>SEPTIEMBRE</v>
      </c>
      <c r="C28" s="190" t="s">
        <v>383</v>
      </c>
      <c r="D28" s="191" t="s">
        <v>409</v>
      </c>
      <c r="E28" s="191" t="s">
        <v>128</v>
      </c>
      <c r="F28" s="192">
        <v>200.0</v>
      </c>
      <c r="G28" s="193">
        <f>IFERROR(__xludf.DUMMYFUNCTION("IF(F28="""","""",IF(REGEXMATCH(UPPER(TRIM(C28)),""RENDIMIENTO|INVERSI[ÓO]N""),0,IF(OR(UPPER(TRIM(E28))=""TERMINAL"",UPPER(TRIM(E28))=""TRANSFERENCIA""),F28-F28/1.16,0)))"),27.586206896551715)</f>
        <v>27.5862069</v>
      </c>
      <c r="H28" s="193">
        <f t="shared" si="2"/>
        <v>172.4137931</v>
      </c>
      <c r="I28" s="194" t="b">
        <v>0</v>
      </c>
    </row>
    <row r="29" ht="22.5" hidden="1" customHeight="1">
      <c r="A29" s="188">
        <v>46273.0</v>
      </c>
      <c r="B29" s="189" t="str">
        <f t="shared" si="1"/>
        <v>SEPTIEMBRE</v>
      </c>
      <c r="C29" s="190" t="s">
        <v>386</v>
      </c>
      <c r="D29" s="191" t="s">
        <v>411</v>
      </c>
      <c r="E29" s="191" t="s">
        <v>137</v>
      </c>
      <c r="F29" s="192">
        <v>550.0</v>
      </c>
      <c r="G29" s="193">
        <f>IFERROR(__xludf.DUMMYFUNCTION("IF(F29="""","""",IF(REGEXMATCH(UPPER(TRIM(C29)),""RENDIMIENTO|INVERSI[ÓO]N""),0,IF(OR(UPPER(TRIM(E29))=""TERMINAL"",UPPER(TRIM(E29))=""TRANSFERENCIA""),F29-F29/1.16,0)))"),0.0)</f>
        <v>0</v>
      </c>
      <c r="H29" s="193">
        <f t="shared" si="2"/>
        <v>550</v>
      </c>
      <c r="I29" s="194" t="b">
        <v>0</v>
      </c>
    </row>
    <row r="30" ht="22.5" hidden="1" customHeight="1">
      <c r="A30" s="188">
        <v>46275.0</v>
      </c>
      <c r="B30" s="189" t="str">
        <f t="shared" si="1"/>
        <v>SEPTIEMBRE</v>
      </c>
      <c r="C30" s="190" t="s">
        <v>386</v>
      </c>
      <c r="D30" s="191" t="s">
        <v>412</v>
      </c>
      <c r="E30" s="191" t="s">
        <v>292</v>
      </c>
      <c r="F30" s="192">
        <v>550.0</v>
      </c>
      <c r="G30" s="193">
        <f>IFERROR(__xludf.DUMMYFUNCTION("IF(F30="""","""",IF(REGEXMATCH(UPPER(TRIM(C30)),""RENDIMIENTO|INVERSI[ÓO]N""),0,IF(OR(UPPER(TRIM(E30))=""TERMINAL"",UPPER(TRIM(E30))=""TRANSFERENCIA""),F30-F30/1.16,0)))"),75.86206896551721)</f>
        <v>75.86206897</v>
      </c>
      <c r="H30" s="193">
        <f t="shared" si="2"/>
        <v>474.137931</v>
      </c>
      <c r="I30" s="194" t="b">
        <v>0</v>
      </c>
    </row>
    <row r="31" ht="22.5" hidden="1" customHeight="1">
      <c r="A31" s="188">
        <v>46274.0</v>
      </c>
      <c r="B31" s="189" t="str">
        <f t="shared" si="1"/>
        <v>SEPTIEMBRE</v>
      </c>
      <c r="C31" s="190" t="s">
        <v>386</v>
      </c>
      <c r="D31" s="191" t="s">
        <v>413</v>
      </c>
      <c r="E31" s="191" t="s">
        <v>128</v>
      </c>
      <c r="F31" s="192">
        <v>484.0</v>
      </c>
      <c r="G31" s="193">
        <f>IFERROR(__xludf.DUMMYFUNCTION("IF(F31="""","""",IF(REGEXMATCH(UPPER(TRIM(C31)),""RENDIMIENTO|INVERSI[ÓO]N""),0,IF(OR(UPPER(TRIM(E31))=""TERMINAL"",UPPER(TRIM(E31))=""TRANSFERENCIA""),F31-F31/1.16,0)))"),66.75862068965512)</f>
        <v>66.75862069</v>
      </c>
      <c r="H31" s="193">
        <f t="shared" si="2"/>
        <v>417.2413793</v>
      </c>
      <c r="I31" s="194" t="b">
        <v>0</v>
      </c>
    </row>
    <row r="32" ht="22.5" hidden="1" customHeight="1">
      <c r="A32" s="188">
        <v>46279.0</v>
      </c>
      <c r="B32" s="189" t="str">
        <f t="shared" si="1"/>
        <v>SEPTIEMBRE</v>
      </c>
      <c r="C32" s="199"/>
      <c r="D32" s="191" t="s">
        <v>414</v>
      </c>
      <c r="E32" s="191" t="s">
        <v>137</v>
      </c>
      <c r="F32" s="192">
        <v>150.0</v>
      </c>
      <c r="G32" s="193">
        <f>IFERROR(__xludf.DUMMYFUNCTION("IF(F32="""","""",IF(REGEXMATCH(UPPER(TRIM(C32)),""RENDIMIENTO|INVERSI[ÓO]N""),0,IF(OR(UPPER(TRIM(E32))=""TERMINAL"",UPPER(TRIM(E32))=""TRANSFERENCIA""),F32-F32/1.16,0)))"),0.0)</f>
        <v>0</v>
      </c>
      <c r="H32" s="193">
        <f t="shared" si="2"/>
        <v>150</v>
      </c>
      <c r="I32" s="194" t="b">
        <v>0</v>
      </c>
      <c r="J32" s="191" t="s">
        <v>415</v>
      </c>
    </row>
    <row r="33" ht="22.5" hidden="1" customHeight="1">
      <c r="A33" s="188">
        <v>46283.0</v>
      </c>
      <c r="B33" s="189" t="str">
        <f t="shared" si="1"/>
        <v>SEPTIEMBRE</v>
      </c>
      <c r="C33" s="190" t="s">
        <v>405</v>
      </c>
      <c r="D33" s="191" t="s">
        <v>416</v>
      </c>
      <c r="E33" s="191" t="s">
        <v>128</v>
      </c>
      <c r="F33" s="192">
        <v>180.0</v>
      </c>
      <c r="G33" s="193">
        <f>IFERROR(__xludf.DUMMYFUNCTION("IF(F33="""","""",IF(REGEXMATCH(UPPER(TRIM(C33)),""RENDIMIENTO|INVERSI[ÓO]N""),0,IF(OR(UPPER(TRIM(E33))=""TERMINAL"",UPPER(TRIM(E33))=""TRANSFERENCIA""),F33-F33/1.16,0)))"),24.82758620689654)</f>
        <v>24.82758621</v>
      </c>
      <c r="H33" s="193">
        <f t="shared" si="2"/>
        <v>155.1724138</v>
      </c>
      <c r="I33" s="194" t="b">
        <v>0</v>
      </c>
    </row>
    <row r="34" ht="22.5" hidden="1" customHeight="1">
      <c r="A34" s="188">
        <v>46286.0</v>
      </c>
      <c r="B34" s="189" t="str">
        <f t="shared" si="1"/>
        <v>SEPTIEMBRE</v>
      </c>
      <c r="C34" s="190" t="s">
        <v>386</v>
      </c>
      <c r="D34" s="191" t="s">
        <v>366</v>
      </c>
      <c r="E34" s="191" t="s">
        <v>292</v>
      </c>
      <c r="F34" s="192">
        <v>550.0</v>
      </c>
      <c r="G34" s="193">
        <f>IFERROR(__xludf.DUMMYFUNCTION("IF(F34="""","""",IF(REGEXMATCH(UPPER(TRIM(C34)),""RENDIMIENTO|INVERSI[ÓO]N""),0,IF(OR(UPPER(TRIM(E34))=""TERMINAL"",UPPER(TRIM(E34))=""TRANSFERENCIA""),F34-F34/1.16,0)))"),75.86206896551721)</f>
        <v>75.86206897</v>
      </c>
      <c r="H34" s="193">
        <f t="shared" si="2"/>
        <v>474.137931</v>
      </c>
      <c r="I34" s="194" t="b">
        <v>0</v>
      </c>
    </row>
    <row r="35" ht="22.5" hidden="1" customHeight="1">
      <c r="A35" s="188">
        <v>46288.0</v>
      </c>
      <c r="B35" s="189" t="str">
        <f t="shared" si="1"/>
        <v>SEPTIEMBRE</v>
      </c>
      <c r="C35" s="190" t="s">
        <v>386</v>
      </c>
      <c r="D35" s="191" t="s">
        <v>417</v>
      </c>
      <c r="E35" s="191" t="s">
        <v>292</v>
      </c>
      <c r="F35" s="192">
        <v>550.0</v>
      </c>
      <c r="G35" s="193">
        <f>IFERROR(__xludf.DUMMYFUNCTION("IF(F35="""","""",IF(REGEXMATCH(UPPER(TRIM(C35)),""RENDIMIENTO|INVERSI[ÓO]N""),0,IF(OR(UPPER(TRIM(E35))=""TERMINAL"",UPPER(TRIM(E35))=""TRANSFERENCIA""),F35-F35/1.16,0)))"),75.86206896551721)</f>
        <v>75.86206897</v>
      </c>
      <c r="H35" s="193">
        <f t="shared" si="2"/>
        <v>474.137931</v>
      </c>
      <c r="I35" s="194" t="b">
        <v>0</v>
      </c>
    </row>
    <row r="36" ht="22.5" hidden="1" customHeight="1">
      <c r="A36" s="188">
        <v>46291.0</v>
      </c>
      <c r="B36" s="189" t="str">
        <f t="shared" si="1"/>
        <v>SEPTIEMBRE</v>
      </c>
      <c r="C36" s="190" t="s">
        <v>405</v>
      </c>
      <c r="D36" s="191" t="s">
        <v>418</v>
      </c>
      <c r="E36" s="191" t="s">
        <v>128</v>
      </c>
      <c r="F36" s="192">
        <v>180.0</v>
      </c>
      <c r="G36" s="193">
        <f>IFERROR(__xludf.DUMMYFUNCTION("IF(F36="""","""",IF(REGEXMATCH(UPPER(TRIM(C36)),""RENDIMIENTO|INVERSI[ÓO]N""),0,IF(OR(UPPER(TRIM(E36))=""TERMINAL"",UPPER(TRIM(E36))=""TRANSFERENCIA""),F36-F36/1.16,0)))"),24.82758620689654)</f>
        <v>24.82758621</v>
      </c>
      <c r="H36" s="193">
        <f t="shared" si="2"/>
        <v>155.1724138</v>
      </c>
      <c r="I36" s="194" t="b">
        <v>0</v>
      </c>
    </row>
    <row r="37" ht="22.5" hidden="1" customHeight="1">
      <c r="A37" s="188">
        <v>46291.0</v>
      </c>
      <c r="B37" s="189" t="str">
        <f t="shared" si="1"/>
        <v>SEPTIEMBRE</v>
      </c>
      <c r="C37" s="190" t="s">
        <v>385</v>
      </c>
      <c r="D37" s="191" t="s">
        <v>419</v>
      </c>
      <c r="E37" s="191" t="s">
        <v>137</v>
      </c>
      <c r="F37" s="192">
        <v>175.0</v>
      </c>
      <c r="G37" s="193">
        <f>IFERROR(__xludf.DUMMYFUNCTION("IF(F37="""","""",IF(REGEXMATCH(UPPER(TRIM(C37)),""RENDIMIENTO|INVERSI[ÓO]N""),0,IF(OR(UPPER(TRIM(E37))=""TERMINAL"",UPPER(TRIM(E37))=""TRANSFERENCIA""),F37-F37/1.16,0)))"),0.0)</f>
        <v>0</v>
      </c>
      <c r="H37" s="193">
        <f t="shared" si="2"/>
        <v>175</v>
      </c>
      <c r="I37" s="194" t="b">
        <v>0</v>
      </c>
    </row>
    <row r="38" ht="22.5" customHeight="1">
      <c r="A38" s="188">
        <v>46298.0</v>
      </c>
      <c r="B38" s="189" t="str">
        <f t="shared" si="1"/>
        <v>OCTUBRE</v>
      </c>
      <c r="C38" s="190" t="s">
        <v>420</v>
      </c>
      <c r="D38" s="191" t="s">
        <v>165</v>
      </c>
      <c r="E38" s="191" t="s">
        <v>137</v>
      </c>
      <c r="F38" s="192">
        <v>875.0</v>
      </c>
      <c r="G38" s="193">
        <f>IFERROR(__xludf.DUMMYFUNCTION("IF(F38="""","""",IF(REGEXMATCH(UPPER(TRIM(C38)),""RENDIMIENTO|INVERSI[ÓO]N""),0,IF(OR(UPPER(TRIM(E38))=""TERMINAL"",UPPER(TRIM(E38))=""TRANSFERENCIA""),F38-F38/1.16,0)))"),0.0)</f>
        <v>0</v>
      </c>
      <c r="H38" s="193">
        <f t="shared" si="2"/>
        <v>875</v>
      </c>
      <c r="I38" s="194" t="b">
        <v>0</v>
      </c>
    </row>
    <row r="39" ht="22.5" customHeight="1">
      <c r="A39" s="188">
        <v>46298.0</v>
      </c>
      <c r="B39" s="189" t="str">
        <f t="shared" si="1"/>
        <v>OCTUBRE</v>
      </c>
      <c r="C39" s="190" t="s">
        <v>397</v>
      </c>
      <c r="D39" s="191" t="s">
        <v>421</v>
      </c>
      <c r="E39" s="191" t="s">
        <v>128</v>
      </c>
      <c r="F39" s="192">
        <v>118.0</v>
      </c>
      <c r="G39" s="193">
        <f>IFERROR(__xludf.DUMMYFUNCTION("IF(F39="""","""",IF(REGEXMATCH(UPPER(TRIM(C39)),""RENDIMIENTO|INVERSI[ÓO]N""),0,IF(OR(UPPER(TRIM(E39))=""TERMINAL"",UPPER(TRIM(E39))=""TRANSFERENCIA""),F39-F39/1.16,0)))"),0.0)</f>
        <v>0</v>
      </c>
      <c r="H39" s="193">
        <f t="shared" si="2"/>
        <v>118</v>
      </c>
      <c r="I39" s="194" t="b">
        <v>0</v>
      </c>
    </row>
    <row r="40" ht="22.5" customHeight="1">
      <c r="A40" s="188">
        <v>46298.0</v>
      </c>
      <c r="B40" s="189" t="str">
        <f t="shared" si="1"/>
        <v>OCTUBRE</v>
      </c>
      <c r="C40" s="190" t="s">
        <v>386</v>
      </c>
      <c r="D40" s="191" t="s">
        <v>422</v>
      </c>
      <c r="E40" s="191" t="s">
        <v>137</v>
      </c>
      <c r="F40" s="192">
        <v>100.0</v>
      </c>
      <c r="G40" s="193">
        <f>IFERROR(__xludf.DUMMYFUNCTION("IF(F40="""","""",IF(REGEXMATCH(UPPER(TRIM(C40)),""RENDIMIENTO|INVERSI[ÓO]N""),0,IF(OR(UPPER(TRIM(E40))=""TERMINAL"",UPPER(TRIM(E40))=""TRANSFERENCIA""),F40-F40/1.16,0)))"),0.0)</f>
        <v>0</v>
      </c>
      <c r="H40" s="193">
        <f t="shared" si="2"/>
        <v>100</v>
      </c>
      <c r="I40" s="194" t="b">
        <v>0</v>
      </c>
    </row>
    <row r="41" ht="22.5" customHeight="1">
      <c r="A41" s="188">
        <v>46300.0</v>
      </c>
      <c r="B41" s="189" t="str">
        <f t="shared" si="1"/>
        <v>OCTUBRE</v>
      </c>
      <c r="C41" s="190" t="s">
        <v>424</v>
      </c>
      <c r="D41" s="191" t="s">
        <v>425</v>
      </c>
      <c r="E41" s="191" t="s">
        <v>137</v>
      </c>
      <c r="F41" s="192">
        <v>170.0</v>
      </c>
      <c r="G41" s="193">
        <f>IFERROR(__xludf.DUMMYFUNCTION("IF(F41="""","""",IF(REGEXMATCH(UPPER(TRIM(C41)),""RENDIMIENTO|INVERSI[ÓO]N""),0,IF(OR(UPPER(TRIM(E41))=""TERMINAL"",UPPER(TRIM(E41))=""TRANSFERENCIA""),F41-F41/1.16,0)))"),0.0)</f>
        <v>0</v>
      </c>
      <c r="H41" s="193">
        <f t="shared" si="2"/>
        <v>170</v>
      </c>
      <c r="I41" s="194" t="b">
        <v>0</v>
      </c>
    </row>
    <row r="42" ht="22.5" customHeight="1">
      <c r="A42" s="188">
        <v>46300.0</v>
      </c>
      <c r="B42" s="189" t="str">
        <f t="shared" si="1"/>
        <v>OCTUBRE</v>
      </c>
      <c r="C42" s="190" t="s">
        <v>385</v>
      </c>
      <c r="D42" s="191" t="s">
        <v>165</v>
      </c>
      <c r="E42" s="191" t="s">
        <v>137</v>
      </c>
      <c r="F42" s="192">
        <v>15.0</v>
      </c>
      <c r="G42" s="193">
        <f>IFERROR(__xludf.DUMMYFUNCTION("IF(F42="""","""",IF(REGEXMATCH(UPPER(TRIM(C42)),""RENDIMIENTO|INVERSI[ÓO]N""),0,IF(OR(UPPER(TRIM(E42))=""TERMINAL"",UPPER(TRIM(E42))=""TRANSFERENCIA""),F42-F42/1.16,0)))"),0.0)</f>
        <v>0</v>
      </c>
      <c r="H42" s="193">
        <f t="shared" si="2"/>
        <v>15</v>
      </c>
      <c r="I42" s="194" t="b">
        <v>0</v>
      </c>
    </row>
    <row r="43" ht="22.5" customHeight="1">
      <c r="A43" s="188">
        <v>46301.0</v>
      </c>
      <c r="B43" s="189" t="str">
        <f t="shared" si="1"/>
        <v>OCTUBRE</v>
      </c>
      <c r="C43" s="190" t="s">
        <v>386</v>
      </c>
      <c r="D43" s="191" t="s">
        <v>426</v>
      </c>
      <c r="E43" s="191" t="s">
        <v>137</v>
      </c>
      <c r="F43" s="192">
        <v>350.0</v>
      </c>
      <c r="G43" s="193">
        <f>IFERROR(__xludf.DUMMYFUNCTION("IF(F43="""","""",IF(REGEXMATCH(UPPER(TRIM(C43)),""RENDIMIENTO|INVERSI[ÓO]N""),0,IF(OR(UPPER(TRIM(E43))=""TERMINAL"",UPPER(TRIM(E43))=""TRANSFERENCIA""),F43-F43/1.16,0)))"),0.0)</f>
        <v>0</v>
      </c>
      <c r="H43" s="193">
        <f t="shared" si="2"/>
        <v>350</v>
      </c>
      <c r="I43" s="194" t="b">
        <v>0</v>
      </c>
    </row>
    <row r="44" ht="22.5" customHeight="1">
      <c r="A44" s="188">
        <v>46306.0</v>
      </c>
      <c r="B44" s="189" t="str">
        <f t="shared" si="1"/>
        <v>OCTUBRE</v>
      </c>
      <c r="C44" s="190" t="s">
        <v>420</v>
      </c>
      <c r="D44" s="191" t="s">
        <v>427</v>
      </c>
      <c r="E44" s="191" t="s">
        <v>137</v>
      </c>
      <c r="F44" s="192">
        <v>740.0</v>
      </c>
      <c r="G44" s="193">
        <f>IFERROR(__xludf.DUMMYFUNCTION("IF(F44="""","""",IF(REGEXMATCH(UPPER(TRIM(C44)),""RENDIMIENTO|INVERSI[ÓO]N""),0,IF(OR(UPPER(TRIM(E44))=""TERMINAL"",UPPER(TRIM(E44))=""TRANSFERENCIA""),F44-F44/1.16,0)))"),0.0)</f>
        <v>0</v>
      </c>
      <c r="H44" s="193">
        <f t="shared" si="2"/>
        <v>740</v>
      </c>
      <c r="I44" s="194" t="b">
        <v>0</v>
      </c>
    </row>
    <row r="45" ht="22.5" customHeight="1">
      <c r="A45" s="188">
        <v>46307.0</v>
      </c>
      <c r="B45" s="189" t="str">
        <f t="shared" si="1"/>
        <v>OCTUBRE</v>
      </c>
      <c r="C45" s="190" t="s">
        <v>385</v>
      </c>
      <c r="D45" s="191" t="s">
        <v>428</v>
      </c>
      <c r="E45" s="191" t="s">
        <v>137</v>
      </c>
      <c r="F45" s="192">
        <v>60.0</v>
      </c>
      <c r="G45" s="193">
        <f>IFERROR(__xludf.DUMMYFUNCTION("IF(F45="""","""",IF(REGEXMATCH(UPPER(TRIM(C45)),""RENDIMIENTO|INVERSI[ÓO]N""),0,IF(OR(UPPER(TRIM(E45))=""TERMINAL"",UPPER(TRIM(E45))=""TRANSFERENCIA""),F45-F45/1.16,0)))"),0.0)</f>
        <v>0</v>
      </c>
      <c r="H45" s="193">
        <f t="shared" si="2"/>
        <v>60</v>
      </c>
      <c r="I45" s="194" t="b">
        <v>0</v>
      </c>
    </row>
    <row r="46" ht="22.5" customHeight="1">
      <c r="A46" s="188">
        <v>46309.0</v>
      </c>
      <c r="B46" s="189" t="str">
        <f t="shared" si="1"/>
        <v>OCTUBRE</v>
      </c>
      <c r="C46" s="199" t="s">
        <v>386</v>
      </c>
      <c r="D46" s="191" t="s">
        <v>429</v>
      </c>
      <c r="E46" s="191" t="s">
        <v>292</v>
      </c>
      <c r="F46" s="192">
        <v>400.0</v>
      </c>
      <c r="G46" s="193">
        <f>IFERROR(__xludf.DUMMYFUNCTION("IF(F46="""","""",IF(REGEXMATCH(UPPER(TRIM(C46)),""RENDIMIENTO|INVERSI[ÓO]N""),0,IF(OR(UPPER(TRIM(E46))=""TERMINAL"",UPPER(TRIM(E46))=""TRANSFERENCIA""),F46-F46/1.16,0)))"),55.17241379310343)</f>
        <v>55.17241379</v>
      </c>
      <c r="H46" s="193">
        <f t="shared" si="2"/>
        <v>344.8275862</v>
      </c>
      <c r="I46" s="194" t="b">
        <v>0</v>
      </c>
      <c r="J46" s="194" t="s">
        <v>430</v>
      </c>
    </row>
    <row r="47" ht="22.5" customHeight="1">
      <c r="A47" s="188">
        <v>46311.0</v>
      </c>
      <c r="B47" s="189" t="str">
        <f t="shared" si="1"/>
        <v>OCTUBRE</v>
      </c>
      <c r="C47" s="190" t="s">
        <v>383</v>
      </c>
      <c r="D47" s="191" t="s">
        <v>431</v>
      </c>
      <c r="E47" s="191" t="s">
        <v>137</v>
      </c>
      <c r="F47" s="192">
        <v>200.0</v>
      </c>
      <c r="G47" s="193">
        <f>IFERROR(__xludf.DUMMYFUNCTION("IF(F47="""","""",IF(REGEXMATCH(UPPER(TRIM(C47)),""RENDIMIENTO|INVERSI[ÓO]N""),0,IF(OR(UPPER(TRIM(E47))=""TERMINAL"",UPPER(TRIM(E47))=""TRANSFERENCIA""),F47-F47/1.16,0)))"),0.0)</f>
        <v>0</v>
      </c>
      <c r="H47" s="193">
        <f t="shared" si="2"/>
        <v>200</v>
      </c>
      <c r="I47" s="194" t="b">
        <v>0</v>
      </c>
    </row>
    <row r="48" ht="22.5" customHeight="1">
      <c r="A48" s="188">
        <v>46311.0</v>
      </c>
      <c r="B48" s="189" t="str">
        <f t="shared" si="1"/>
        <v>OCTUBRE</v>
      </c>
      <c r="C48" s="190" t="s">
        <v>397</v>
      </c>
      <c r="D48" s="191"/>
      <c r="E48" s="191" t="s">
        <v>128</v>
      </c>
      <c r="F48" s="192">
        <v>418.0</v>
      </c>
      <c r="G48" s="193">
        <f>IFERROR(__xludf.DUMMYFUNCTION("IF(F48="""","""",IF(REGEXMATCH(UPPER(TRIM(C48)),""RENDIMIENTO|INVERSI[ÓO]N""),0,IF(OR(UPPER(TRIM(E48))=""TERMINAL"",UPPER(TRIM(E48))=""TRANSFERENCIA""),F48-F48/1.16,0)))"),0.0)</f>
        <v>0</v>
      </c>
      <c r="H48" s="193">
        <f t="shared" si="2"/>
        <v>418</v>
      </c>
      <c r="I48" s="194" t="b">
        <v>0</v>
      </c>
    </row>
    <row r="49" ht="22.5" customHeight="1">
      <c r="A49" s="188">
        <v>46311.0</v>
      </c>
      <c r="B49" s="189" t="str">
        <f t="shared" si="1"/>
        <v>OCTUBRE</v>
      </c>
      <c r="C49" s="199"/>
      <c r="D49" s="191"/>
      <c r="E49" s="191"/>
      <c r="F49" s="192"/>
      <c r="G49" s="193" t="str">
        <f>IFERROR(__xludf.DUMMYFUNCTION("IF(F49="""","""",IF(REGEXMATCH(UPPER(TRIM(C49)),""RENDIMIENTO|INVERSI[ÓO]N""),0,IF(OR(UPPER(TRIM(E49))=""TERMINAL"",UPPER(TRIM(E49))=""TRANSFERENCIA""),F49-F49/1.16,0)))"),"")</f>
        <v/>
      </c>
      <c r="H49" s="193" t="str">
        <f t="shared" si="2"/>
        <v/>
      </c>
      <c r="I49" s="194" t="b">
        <v>0</v>
      </c>
    </row>
    <row r="50" ht="22.5" customHeight="1">
      <c r="A50" s="188">
        <v>46317.0</v>
      </c>
      <c r="B50" s="189" t="str">
        <f t="shared" si="1"/>
        <v>OCTUBRE</v>
      </c>
      <c r="C50" s="199" t="s">
        <v>383</v>
      </c>
      <c r="D50" s="191" t="s">
        <v>432</v>
      </c>
      <c r="E50" s="191" t="s">
        <v>137</v>
      </c>
      <c r="F50" s="192">
        <v>200.0</v>
      </c>
      <c r="G50" s="193">
        <f>IFERROR(__xludf.DUMMYFUNCTION("IF(F50="""","""",IF(REGEXMATCH(UPPER(TRIM(C50)),""RENDIMIENTO|INVERSI[ÓO]N""),0,IF(OR(UPPER(TRIM(E50))=""TERMINAL"",UPPER(TRIM(E50))=""TRANSFERENCIA""),F50-F50/1.16,0)))"),0.0)</f>
        <v>0</v>
      </c>
      <c r="H50" s="193">
        <f t="shared" si="2"/>
        <v>200</v>
      </c>
      <c r="I50" s="194" t="b">
        <v>0</v>
      </c>
      <c r="J50" s="194" t="s">
        <v>433</v>
      </c>
    </row>
    <row r="51" ht="22.5" customHeight="1">
      <c r="A51" s="188">
        <v>46317.0</v>
      </c>
      <c r="B51" s="189" t="str">
        <f t="shared" si="1"/>
        <v>OCTUBRE</v>
      </c>
      <c r="C51" s="199" t="s">
        <v>385</v>
      </c>
      <c r="D51" s="191" t="s">
        <v>402</v>
      </c>
      <c r="E51" s="191" t="s">
        <v>137</v>
      </c>
      <c r="F51" s="192">
        <v>160.0</v>
      </c>
      <c r="G51" s="193">
        <f>IFERROR(__xludf.DUMMYFUNCTION("IF(F51="""","""",IF(REGEXMATCH(UPPER(TRIM(C51)),""RENDIMIENTO|INVERSI[ÓO]N""),0,IF(OR(UPPER(TRIM(E51))=""TERMINAL"",UPPER(TRIM(E51))=""TRANSFERENCIA""),F51-F51/1.16,0)))"),0.0)</f>
        <v>0</v>
      </c>
      <c r="H51" s="193">
        <f t="shared" si="2"/>
        <v>160</v>
      </c>
      <c r="I51" s="194" t="b">
        <v>0</v>
      </c>
    </row>
    <row r="52" ht="22.5" customHeight="1">
      <c r="A52" s="188"/>
      <c r="B52" s="189" t="str">
        <f t="shared" si="1"/>
        <v/>
      </c>
      <c r="C52" s="199"/>
      <c r="D52" s="191"/>
      <c r="E52" s="191"/>
      <c r="F52" s="192"/>
      <c r="G52" s="193" t="str">
        <f>IFERROR(__xludf.DUMMYFUNCTION("IF(F52="""","""",IF(REGEXMATCH(UPPER(TRIM(C52)),""RENDIMIENTO|INVERSI[ÓO]N""),0,IF(OR(UPPER(TRIM(E52))=""TERMINAL"",UPPER(TRIM(E52))=""TRANSFERENCIA""),F52-F52/1.16,0)))"),"")</f>
        <v/>
      </c>
      <c r="H52" s="193" t="str">
        <f t="shared" si="2"/>
        <v/>
      </c>
      <c r="I52" s="194" t="b">
        <v>0</v>
      </c>
    </row>
    <row r="53" ht="22.5" customHeight="1">
      <c r="A53" s="188"/>
      <c r="B53" s="189" t="str">
        <f t="shared" si="1"/>
        <v/>
      </c>
      <c r="C53" s="199"/>
      <c r="D53" s="191"/>
      <c r="E53" s="191"/>
      <c r="F53" s="192"/>
      <c r="G53" s="193" t="str">
        <f>IFERROR(__xludf.DUMMYFUNCTION("IF(F53="""","""",IF(REGEXMATCH(UPPER(TRIM(C53)),""RENDIMIENTO|INVERSI[ÓO]N""),0,IF(OR(UPPER(TRIM(E53))=""TERMINAL"",UPPER(TRIM(E53))=""TRANSFERENCIA""),F53-F53/1.16,0)))"),"")</f>
        <v/>
      </c>
      <c r="H53" s="193" t="str">
        <f t="shared" si="2"/>
        <v/>
      </c>
      <c r="I53" s="194" t="b">
        <v>0</v>
      </c>
    </row>
    <row r="54" ht="22.5" customHeight="1">
      <c r="A54" s="188"/>
      <c r="B54" s="189" t="str">
        <f t="shared" si="1"/>
        <v/>
      </c>
      <c r="C54" s="199"/>
      <c r="D54" s="191"/>
      <c r="E54" s="191"/>
      <c r="F54" s="192"/>
      <c r="G54" s="193" t="str">
        <f>IFERROR(__xludf.DUMMYFUNCTION("IF(F54="""","""",IF(REGEXMATCH(UPPER(TRIM(C54)),""RENDIMIENTO|INVERSI[ÓO]N""),0,IF(OR(UPPER(TRIM(E54))=""TERMINAL"",UPPER(TRIM(E54))=""TRANSFERENCIA""),F54-F54/1.16,0)))"),"")</f>
        <v/>
      </c>
      <c r="H54" s="193" t="str">
        <f t="shared" si="2"/>
        <v/>
      </c>
      <c r="I54" s="194" t="b">
        <v>0</v>
      </c>
    </row>
    <row r="55" ht="22.5" customHeight="1">
      <c r="A55" s="188"/>
      <c r="B55" s="189" t="str">
        <f t="shared" si="1"/>
        <v/>
      </c>
      <c r="C55" s="199"/>
      <c r="D55" s="191"/>
      <c r="E55" s="191"/>
      <c r="F55" s="192"/>
      <c r="G55" s="193" t="str">
        <f>IFERROR(__xludf.DUMMYFUNCTION("IF(F55="""","""",IF(REGEXMATCH(UPPER(TRIM(C55)),""RENDIMIENTO|INVERSI[ÓO]N""),0,IF(OR(UPPER(TRIM(E55))=""TERMINAL"",UPPER(TRIM(E55))=""TRANSFERENCIA""),F55-F55/1.16,0)))"),"")</f>
        <v/>
      </c>
      <c r="H55" s="193" t="str">
        <f t="shared" si="2"/>
        <v/>
      </c>
      <c r="I55" s="194" t="b">
        <v>0</v>
      </c>
    </row>
    <row r="56" ht="22.5" customHeight="1">
      <c r="A56" s="188"/>
      <c r="B56" s="189" t="str">
        <f t="shared" si="1"/>
        <v/>
      </c>
      <c r="C56" s="199"/>
      <c r="D56" s="191"/>
      <c r="E56" s="191"/>
      <c r="F56" s="192"/>
      <c r="G56" s="193" t="str">
        <f>IFERROR(__xludf.DUMMYFUNCTION("IF(F56="""","""",IF(REGEXMATCH(UPPER(TRIM(C56)),""RENDIMIENTO|INVERSI[ÓO]N""),0,IF(OR(UPPER(TRIM(E56))=""TERMINAL"",UPPER(TRIM(E56))=""TRANSFERENCIA""),F56-F56/1.16,0)))"),"")</f>
        <v/>
      </c>
      <c r="H56" s="193" t="str">
        <f t="shared" si="2"/>
        <v/>
      </c>
      <c r="I56" s="194" t="b">
        <v>0</v>
      </c>
    </row>
    <row r="57" ht="22.5" customHeight="1">
      <c r="A57" s="188"/>
      <c r="B57" s="189" t="str">
        <f t="shared" si="1"/>
        <v/>
      </c>
      <c r="C57" s="199"/>
      <c r="D57" s="191"/>
      <c r="E57" s="191"/>
      <c r="F57" s="192"/>
      <c r="G57" s="193" t="str">
        <f>IFERROR(__xludf.DUMMYFUNCTION("IF(F57="""","""",IF(REGEXMATCH(UPPER(TRIM(C57)),""RENDIMIENTO|INVERSI[ÓO]N""),0,IF(OR(UPPER(TRIM(E57))=""TERMINAL"",UPPER(TRIM(E57))=""TRANSFERENCIA""),F57-F57/1.16,0)))"),"")</f>
        <v/>
      </c>
      <c r="H57" s="193" t="str">
        <f t="shared" si="2"/>
        <v/>
      </c>
      <c r="I57" s="194" t="b">
        <v>0</v>
      </c>
    </row>
    <row r="58" ht="22.5" customHeight="1">
      <c r="A58" s="188"/>
      <c r="B58" s="189" t="str">
        <f t="shared" si="1"/>
        <v/>
      </c>
      <c r="C58" s="199"/>
      <c r="D58" s="191"/>
      <c r="E58" s="191"/>
      <c r="F58" s="192"/>
      <c r="G58" s="193" t="str">
        <f>IFERROR(__xludf.DUMMYFUNCTION("IF(F58="""","""",IF(REGEXMATCH(UPPER(TRIM(C58)),""RENDIMIENTO|INVERSI[ÓO]N""),0,IF(OR(UPPER(TRIM(E58))=""TERMINAL"",UPPER(TRIM(E58))=""TRANSFERENCIA""),F58-F58/1.16,0)))"),"")</f>
        <v/>
      </c>
      <c r="H58" s="193" t="str">
        <f t="shared" si="2"/>
        <v/>
      </c>
      <c r="I58" s="194" t="b">
        <v>0</v>
      </c>
    </row>
    <row r="59" ht="22.5" customHeight="1">
      <c r="A59" s="188"/>
      <c r="B59" s="189" t="str">
        <f t="shared" si="1"/>
        <v/>
      </c>
      <c r="C59" s="199"/>
      <c r="D59" s="191"/>
      <c r="E59" s="191"/>
      <c r="F59" s="192"/>
      <c r="G59" s="193" t="str">
        <f>IFERROR(__xludf.DUMMYFUNCTION("IF(F59="""","""",IF(REGEXMATCH(UPPER(TRIM(C59)),""RENDIMIENTO|INVERSI[ÓO]N""),0,IF(OR(UPPER(TRIM(E59))=""TERMINAL"",UPPER(TRIM(E59))=""TRANSFERENCIA""),F59-F59/1.16,0)))"),"")</f>
        <v/>
      </c>
      <c r="H59" s="193" t="str">
        <f t="shared" si="2"/>
        <v/>
      </c>
      <c r="I59" s="194" t="b">
        <v>0</v>
      </c>
    </row>
    <row r="60" ht="22.5" customHeight="1">
      <c r="A60" s="188"/>
      <c r="B60" s="189" t="str">
        <f t="shared" si="1"/>
        <v/>
      </c>
      <c r="C60" s="199"/>
      <c r="D60" s="191"/>
      <c r="E60" s="191"/>
      <c r="F60" s="192"/>
      <c r="G60" s="193" t="str">
        <f>IFERROR(__xludf.DUMMYFUNCTION("IF(F60="""","""",IF(REGEXMATCH(UPPER(TRIM(C60)),""RENDIMIENTO|INVERSI[ÓO]N""),0,IF(OR(UPPER(TRIM(E60))=""TERMINAL"",UPPER(TRIM(E60))=""TRANSFERENCIA""),F60-F60/1.16,0)))"),"")</f>
        <v/>
      </c>
      <c r="H60" s="193" t="str">
        <f t="shared" si="2"/>
        <v/>
      </c>
      <c r="I60" s="194" t="b">
        <v>0</v>
      </c>
    </row>
    <row r="61" ht="22.5" customHeight="1">
      <c r="A61" s="188"/>
      <c r="B61" s="189" t="str">
        <f t="shared" si="1"/>
        <v/>
      </c>
      <c r="C61" s="199"/>
      <c r="D61" s="191"/>
      <c r="E61" s="191"/>
      <c r="F61" s="192"/>
      <c r="G61" s="193" t="str">
        <f>IFERROR(__xludf.DUMMYFUNCTION("IF(F61="""","""",IF(REGEXMATCH(UPPER(TRIM(C61)),""RENDIMIENTO|INVERSI[ÓO]N""),0,IF(OR(UPPER(TRIM(E61))=""TERMINAL"",UPPER(TRIM(E61))=""TRANSFERENCIA""),F61-F61/1.16,0)))"),"")</f>
        <v/>
      </c>
      <c r="H61" s="193" t="str">
        <f t="shared" si="2"/>
        <v/>
      </c>
      <c r="I61" s="194" t="b">
        <v>0</v>
      </c>
    </row>
    <row r="62" ht="22.5" customHeight="1">
      <c r="A62" s="188"/>
      <c r="B62" s="189" t="str">
        <f t="shared" si="1"/>
        <v/>
      </c>
      <c r="C62" s="199"/>
      <c r="D62" s="191"/>
      <c r="E62" s="191"/>
      <c r="F62" s="192"/>
      <c r="G62" s="193" t="str">
        <f>IFERROR(__xludf.DUMMYFUNCTION("IF(F62="""","""",IF(REGEXMATCH(UPPER(TRIM(C62)),""RENDIMIENTO|INVERSI[ÓO]N""),0,IF(OR(UPPER(TRIM(E62))=""TERMINAL"",UPPER(TRIM(E62))=""TRANSFERENCIA""),F62-F62/1.16,0)))"),"")</f>
        <v/>
      </c>
      <c r="H62" s="193" t="str">
        <f t="shared" si="2"/>
        <v/>
      </c>
      <c r="I62" s="194" t="b">
        <v>0</v>
      </c>
    </row>
    <row r="63" ht="22.5" customHeight="1">
      <c r="A63" s="188"/>
      <c r="B63" s="189" t="str">
        <f t="shared" si="1"/>
        <v/>
      </c>
      <c r="C63" s="199"/>
      <c r="D63" s="191"/>
      <c r="E63" s="191"/>
      <c r="F63" s="192"/>
      <c r="G63" s="193" t="str">
        <f>IFERROR(__xludf.DUMMYFUNCTION("IF(F63="""","""",IF(REGEXMATCH(UPPER(TRIM(C63)),""RENDIMIENTO|INVERSI[ÓO]N""),0,IF(OR(UPPER(TRIM(E63))=""TERMINAL"",UPPER(TRIM(E63))=""TRANSFERENCIA""),F63-F63/1.16,0)))"),"")</f>
        <v/>
      </c>
      <c r="H63" s="193" t="str">
        <f t="shared" si="2"/>
        <v/>
      </c>
      <c r="I63" s="194" t="b">
        <v>0</v>
      </c>
    </row>
    <row r="64" ht="22.5" customHeight="1">
      <c r="A64" s="188"/>
      <c r="B64" s="189" t="str">
        <f t="shared" si="1"/>
        <v/>
      </c>
      <c r="C64" s="199"/>
      <c r="D64" s="191"/>
      <c r="E64" s="191"/>
      <c r="F64" s="192"/>
      <c r="G64" s="193" t="str">
        <f>IFERROR(__xludf.DUMMYFUNCTION("IF(F64="""","""",IF(REGEXMATCH(UPPER(TRIM(C64)),""RENDIMIENTO|INVERSI[ÓO]N""),0,IF(OR(UPPER(TRIM(E64))=""TERMINAL"",UPPER(TRIM(E64))=""TRANSFERENCIA""),F64-F64/1.16,0)))"),"")</f>
        <v/>
      </c>
      <c r="H64" s="193" t="str">
        <f t="shared" si="2"/>
        <v/>
      </c>
      <c r="I64" s="194" t="b">
        <v>0</v>
      </c>
    </row>
    <row r="65" ht="22.5" customHeight="1">
      <c r="A65" s="188"/>
      <c r="B65" s="189" t="str">
        <f t="shared" si="1"/>
        <v/>
      </c>
      <c r="C65" s="199"/>
      <c r="D65" s="191"/>
      <c r="E65" s="191"/>
      <c r="F65" s="192"/>
      <c r="G65" s="193" t="str">
        <f>IFERROR(__xludf.DUMMYFUNCTION("IF(F65="""","""",IF(REGEXMATCH(UPPER(TRIM(C65)),""RENDIMIENTO|INVERSI[ÓO]N""),0,IF(OR(UPPER(TRIM(E65))=""TERMINAL"",UPPER(TRIM(E65))=""TRANSFERENCIA""),F65-F65/1.16,0)))"),"")</f>
        <v/>
      </c>
      <c r="H65" s="193" t="str">
        <f t="shared" si="2"/>
        <v/>
      </c>
      <c r="I65" s="194" t="b">
        <v>0</v>
      </c>
    </row>
    <row r="66" ht="22.5" customHeight="1">
      <c r="A66" s="188"/>
      <c r="B66" s="189" t="str">
        <f t="shared" si="1"/>
        <v/>
      </c>
      <c r="C66" s="199"/>
      <c r="D66" s="191"/>
      <c r="E66" s="191"/>
      <c r="F66" s="192"/>
      <c r="G66" s="193" t="str">
        <f>IFERROR(__xludf.DUMMYFUNCTION("IF(F66="""","""",IF(REGEXMATCH(UPPER(TRIM(C66)),""RENDIMIENTO|INVERSI[ÓO]N""),0,IF(OR(UPPER(TRIM(E66))=""TERMINAL"",UPPER(TRIM(E66))=""TRANSFERENCIA""),F66-F66/1.16,0)))"),"")</f>
        <v/>
      </c>
      <c r="H66" s="193" t="str">
        <f t="shared" si="2"/>
        <v/>
      </c>
      <c r="I66" s="194" t="b">
        <v>0</v>
      </c>
    </row>
    <row r="67" ht="22.5" customHeight="1">
      <c r="A67" s="188"/>
      <c r="B67" s="189" t="str">
        <f t="shared" si="1"/>
        <v/>
      </c>
      <c r="C67" s="199"/>
      <c r="D67" s="191"/>
      <c r="E67" s="191"/>
      <c r="F67" s="192"/>
      <c r="G67" s="193" t="str">
        <f>IFERROR(__xludf.DUMMYFUNCTION("IF(F67="""","""",IF(REGEXMATCH(UPPER(TRIM(C67)),""RENDIMIENTO|INVERSI[ÓO]N""),0,IF(OR(UPPER(TRIM(E67))=""TERMINAL"",UPPER(TRIM(E67))=""TRANSFERENCIA""),F67-F67/1.16,0)))"),"")</f>
        <v/>
      </c>
      <c r="H67" s="193" t="str">
        <f t="shared" si="2"/>
        <v/>
      </c>
      <c r="I67" s="194" t="b">
        <v>0</v>
      </c>
    </row>
    <row r="68" ht="22.5" customHeight="1">
      <c r="A68" s="188"/>
      <c r="B68" s="189" t="str">
        <f t="shared" si="1"/>
        <v/>
      </c>
      <c r="C68" s="199"/>
      <c r="D68" s="191"/>
      <c r="E68" s="191"/>
      <c r="F68" s="192"/>
      <c r="G68" s="193" t="str">
        <f>IFERROR(__xludf.DUMMYFUNCTION("IF(F68="""","""",IF(REGEXMATCH(UPPER(TRIM(C68)),""RENDIMIENTO|INVERSI[ÓO]N""),0,IF(OR(UPPER(TRIM(E68))=""TERMINAL"",UPPER(TRIM(E68))=""TRANSFERENCIA""),F68-F68/1.16,0)))"),"")</f>
        <v/>
      </c>
      <c r="H68" s="193" t="str">
        <f t="shared" si="2"/>
        <v/>
      </c>
      <c r="I68" s="194" t="b">
        <v>0</v>
      </c>
    </row>
    <row r="69" ht="22.5" customHeight="1">
      <c r="A69" s="188"/>
      <c r="B69" s="189" t="str">
        <f t="shared" si="1"/>
        <v/>
      </c>
      <c r="C69" s="199"/>
      <c r="D69" s="191"/>
      <c r="E69" s="191"/>
      <c r="F69" s="192"/>
      <c r="G69" s="193" t="str">
        <f>IFERROR(__xludf.DUMMYFUNCTION("IF(F69="""","""",IF(REGEXMATCH(UPPER(TRIM(C69)),""RENDIMIENTO|INVERSI[ÓO]N""),0,IF(OR(UPPER(TRIM(E69))=""TERMINAL"",UPPER(TRIM(E69))=""TRANSFERENCIA""),F69-F69/1.16,0)))"),"")</f>
        <v/>
      </c>
      <c r="H69" s="193" t="str">
        <f t="shared" si="2"/>
        <v/>
      </c>
      <c r="I69" s="194" t="b">
        <v>0</v>
      </c>
    </row>
    <row r="70" ht="22.5" customHeight="1">
      <c r="A70" s="188"/>
      <c r="B70" s="189" t="str">
        <f t="shared" si="1"/>
        <v/>
      </c>
      <c r="C70" s="199"/>
      <c r="D70" s="191"/>
      <c r="E70" s="191"/>
      <c r="F70" s="192"/>
      <c r="G70" s="193" t="str">
        <f>IFERROR(__xludf.DUMMYFUNCTION("IF(F70="""","""",IF(REGEXMATCH(UPPER(TRIM(C70)),""RENDIMIENTO|INVERSI[ÓO]N""),0,IF(OR(UPPER(TRIM(E70))=""TERMINAL"",UPPER(TRIM(E70))=""TRANSFERENCIA""),F70-F70/1.16,0)))"),"")</f>
        <v/>
      </c>
      <c r="H70" s="193" t="str">
        <f t="shared" si="2"/>
        <v/>
      </c>
      <c r="I70" s="194" t="b">
        <v>0</v>
      </c>
    </row>
    <row r="71" ht="22.5" customHeight="1">
      <c r="A71" s="188"/>
      <c r="B71" s="189" t="str">
        <f t="shared" si="1"/>
        <v/>
      </c>
      <c r="C71" s="199"/>
      <c r="D71" s="191"/>
      <c r="E71" s="191"/>
      <c r="F71" s="192"/>
      <c r="G71" s="193" t="str">
        <f>IFERROR(__xludf.DUMMYFUNCTION("IF(F71="""","""",IF(REGEXMATCH(UPPER(TRIM(C71)),""RENDIMIENTO|INVERSI[ÓO]N""),0,IF(OR(UPPER(TRIM(E71))=""TERMINAL"",UPPER(TRIM(E71))=""TRANSFERENCIA""),F71-F71/1.16,0)))"),"")</f>
        <v/>
      </c>
      <c r="H71" s="193" t="str">
        <f t="shared" si="2"/>
        <v/>
      </c>
      <c r="I71" s="194" t="b">
        <v>0</v>
      </c>
    </row>
    <row r="72" ht="22.5" customHeight="1">
      <c r="A72" s="188"/>
      <c r="B72" s="189" t="str">
        <f t="shared" si="1"/>
        <v/>
      </c>
      <c r="C72" s="199"/>
      <c r="D72" s="191"/>
      <c r="E72" s="191"/>
      <c r="F72" s="192"/>
      <c r="G72" s="193" t="str">
        <f>IFERROR(__xludf.DUMMYFUNCTION("IF(F72="""","""",IF(REGEXMATCH(UPPER(TRIM(C72)),""RENDIMIENTO|INVERSI[ÓO]N""),0,IF(OR(UPPER(TRIM(E72))=""TERMINAL"",UPPER(TRIM(E72))=""TRANSFERENCIA""),F72-F72/1.16,0)))"),"")</f>
        <v/>
      </c>
      <c r="H72" s="193" t="str">
        <f t="shared" si="2"/>
        <v/>
      </c>
      <c r="I72" s="194" t="b">
        <v>0</v>
      </c>
    </row>
    <row r="73" ht="22.5" customHeight="1">
      <c r="A73" s="188"/>
      <c r="B73" s="189" t="str">
        <f t="shared" si="1"/>
        <v/>
      </c>
      <c r="C73" s="199"/>
      <c r="D73" s="191"/>
      <c r="E73" s="191"/>
      <c r="F73" s="192"/>
      <c r="G73" s="193" t="str">
        <f>IFERROR(__xludf.DUMMYFUNCTION("IF(F73="""","""",IF(REGEXMATCH(UPPER(TRIM(C73)),""RENDIMIENTO|INVERSI[ÓO]N""),0,IF(OR(UPPER(TRIM(E73))=""TERMINAL"",UPPER(TRIM(E73))=""TRANSFERENCIA""),F73-F73/1.16,0)))"),"")</f>
        <v/>
      </c>
      <c r="H73" s="193" t="str">
        <f t="shared" si="2"/>
        <v/>
      </c>
      <c r="I73" s="194" t="b">
        <v>0</v>
      </c>
    </row>
    <row r="74" ht="22.5" customHeight="1">
      <c r="A74" s="188"/>
      <c r="B74" s="189" t="str">
        <f t="shared" si="1"/>
        <v/>
      </c>
      <c r="C74" s="199"/>
      <c r="D74" s="191"/>
      <c r="E74" s="191"/>
      <c r="F74" s="192"/>
      <c r="G74" s="193" t="str">
        <f>IFERROR(__xludf.DUMMYFUNCTION("IF(F74="""","""",IF(REGEXMATCH(UPPER(TRIM(C74)),""RENDIMIENTO|INVERSI[ÓO]N""),0,IF(OR(UPPER(TRIM(E74))=""TERMINAL"",UPPER(TRIM(E74))=""TRANSFERENCIA""),F74-F74/1.16,0)))"),"")</f>
        <v/>
      </c>
      <c r="H74" s="193" t="str">
        <f t="shared" si="2"/>
        <v/>
      </c>
      <c r="I74" s="194" t="b">
        <v>0</v>
      </c>
    </row>
    <row r="75" ht="22.5" customHeight="1">
      <c r="A75" s="188"/>
      <c r="B75" s="189" t="str">
        <f t="shared" si="1"/>
        <v/>
      </c>
      <c r="C75" s="199"/>
      <c r="D75" s="191"/>
      <c r="E75" s="191"/>
      <c r="F75" s="192"/>
      <c r="G75" s="193" t="str">
        <f>IFERROR(__xludf.DUMMYFUNCTION("IF(F75="""","""",IF(REGEXMATCH(UPPER(TRIM(C75)),""RENDIMIENTO|INVERSI[ÓO]N""),0,IF(OR(UPPER(TRIM(E75))=""TERMINAL"",UPPER(TRIM(E75))=""TRANSFERENCIA""),F75-F75/1.16,0)))"),"")</f>
        <v/>
      </c>
      <c r="H75" s="193" t="str">
        <f t="shared" si="2"/>
        <v/>
      </c>
      <c r="I75" s="194" t="b">
        <v>0</v>
      </c>
    </row>
    <row r="76" ht="22.5" customHeight="1">
      <c r="A76" s="188"/>
      <c r="B76" s="189" t="str">
        <f t="shared" si="1"/>
        <v/>
      </c>
      <c r="C76" s="199"/>
      <c r="D76" s="191"/>
      <c r="E76" s="191"/>
      <c r="F76" s="192"/>
      <c r="G76" s="193" t="str">
        <f>IFERROR(__xludf.DUMMYFUNCTION("IF(F76="""","""",IF(REGEXMATCH(UPPER(TRIM(C76)),""RENDIMIENTO|INVERSI[ÓO]N""),0,IF(OR(UPPER(TRIM(E76))=""TERMINAL"",UPPER(TRIM(E76))=""TRANSFERENCIA""),F76-F76/1.16,0)))"),"")</f>
        <v/>
      </c>
      <c r="H76" s="193" t="str">
        <f t="shared" si="2"/>
        <v/>
      </c>
      <c r="I76" s="194" t="b">
        <v>0</v>
      </c>
    </row>
    <row r="77" ht="22.5" customHeight="1">
      <c r="A77" s="188"/>
      <c r="B77" s="189" t="str">
        <f t="shared" si="1"/>
        <v/>
      </c>
      <c r="C77" s="199"/>
      <c r="D77" s="191"/>
      <c r="E77" s="191"/>
      <c r="F77" s="192"/>
      <c r="G77" s="193" t="str">
        <f>IFERROR(__xludf.DUMMYFUNCTION("IF(F77="""","""",IF(REGEXMATCH(UPPER(TRIM(C77)),""RENDIMIENTO|INVERSI[ÓO]N""),0,IF(OR(UPPER(TRIM(E77))=""TERMINAL"",UPPER(TRIM(E77))=""TRANSFERENCIA""),F77-F77/1.16,0)))"),"")</f>
        <v/>
      </c>
      <c r="H77" s="193" t="str">
        <f t="shared" si="2"/>
        <v/>
      </c>
      <c r="I77" s="194" t="b">
        <v>0</v>
      </c>
    </row>
    <row r="78" ht="22.5" customHeight="1">
      <c r="A78" s="188"/>
      <c r="B78" s="189" t="str">
        <f t="shared" si="1"/>
        <v/>
      </c>
      <c r="C78" s="199"/>
      <c r="D78" s="191"/>
      <c r="E78" s="191"/>
      <c r="F78" s="192"/>
      <c r="G78" s="193" t="str">
        <f>IFERROR(__xludf.DUMMYFUNCTION("IF(F78="""","""",IF(REGEXMATCH(UPPER(TRIM(C78)),""RENDIMIENTO|INVERSI[ÓO]N""),0,IF(OR(UPPER(TRIM(E78))=""TERMINAL"",UPPER(TRIM(E78))=""TRANSFERENCIA""),F78-F78/1.16,0)))"),"")</f>
        <v/>
      </c>
      <c r="H78" s="193" t="str">
        <f t="shared" si="2"/>
        <v/>
      </c>
      <c r="I78" s="194" t="b">
        <v>0</v>
      </c>
    </row>
    <row r="79" ht="22.5" customHeight="1">
      <c r="A79" s="188"/>
      <c r="B79" s="189" t="str">
        <f t="shared" si="1"/>
        <v/>
      </c>
      <c r="C79" s="199"/>
      <c r="D79" s="191"/>
      <c r="E79" s="191"/>
      <c r="F79" s="192"/>
      <c r="G79" s="193" t="str">
        <f>IFERROR(__xludf.DUMMYFUNCTION("IF(F79="""","""",IF(REGEXMATCH(UPPER(TRIM(C79)),""RENDIMIENTO|INVERSI[ÓO]N""),0,IF(OR(UPPER(TRIM(E79))=""TERMINAL"",UPPER(TRIM(E79))=""TRANSFERENCIA""),F79-F79/1.16,0)))"),"")</f>
        <v/>
      </c>
      <c r="H79" s="193" t="str">
        <f t="shared" si="2"/>
        <v/>
      </c>
      <c r="I79" s="194" t="b">
        <v>0</v>
      </c>
    </row>
    <row r="80" ht="22.5" customHeight="1">
      <c r="A80" s="188"/>
      <c r="B80" s="189" t="str">
        <f t="shared" si="1"/>
        <v/>
      </c>
      <c r="C80" s="199"/>
      <c r="D80" s="191"/>
      <c r="E80" s="191"/>
      <c r="F80" s="192"/>
      <c r="G80" s="193" t="str">
        <f>IFERROR(__xludf.DUMMYFUNCTION("IF(F80="""","""",IF(REGEXMATCH(UPPER(TRIM(C80)),""RENDIMIENTO|INVERSI[ÓO]N""),0,IF(OR(UPPER(TRIM(E80))=""TERMINAL"",UPPER(TRIM(E80))=""TRANSFERENCIA""),F80-F80/1.16,0)))"),"")</f>
        <v/>
      </c>
      <c r="H80" s="193" t="str">
        <f t="shared" si="2"/>
        <v/>
      </c>
      <c r="I80" s="194" t="b">
        <v>0</v>
      </c>
    </row>
    <row r="81" ht="22.5" customHeight="1">
      <c r="A81" s="188"/>
      <c r="B81" s="189" t="str">
        <f t="shared" si="1"/>
        <v/>
      </c>
      <c r="C81" s="199"/>
      <c r="D81" s="191"/>
      <c r="E81" s="191"/>
      <c r="F81" s="192"/>
      <c r="G81" s="193" t="str">
        <f>IFERROR(__xludf.DUMMYFUNCTION("IF(F81="""","""",IF(REGEXMATCH(UPPER(TRIM(C81)),""RENDIMIENTO|INVERSI[ÓO]N""),0,IF(OR(UPPER(TRIM(E81))=""TERMINAL"",UPPER(TRIM(E81))=""TRANSFERENCIA""),F81-F81/1.16,0)))"),"")</f>
        <v/>
      </c>
      <c r="H81" s="193" t="str">
        <f t="shared" si="2"/>
        <v/>
      </c>
      <c r="I81" s="194" t="b">
        <v>0</v>
      </c>
    </row>
    <row r="82" ht="22.5" customHeight="1">
      <c r="A82" s="188"/>
      <c r="B82" s="189" t="str">
        <f t="shared" si="1"/>
        <v/>
      </c>
      <c r="C82" s="199"/>
      <c r="D82" s="191"/>
      <c r="E82" s="191"/>
      <c r="F82" s="192"/>
      <c r="G82" s="193" t="str">
        <f>IFERROR(__xludf.DUMMYFUNCTION("IF(F82="""","""",IF(REGEXMATCH(UPPER(TRIM(C82)),""RENDIMIENTO|INVERSI[ÓO]N""),0,IF(OR(UPPER(TRIM(E82))=""TERMINAL"",UPPER(TRIM(E82))=""TRANSFERENCIA""),F82-F82/1.16,0)))"),"")</f>
        <v/>
      </c>
      <c r="H82" s="193" t="str">
        <f t="shared" si="2"/>
        <v/>
      </c>
      <c r="I82" s="194" t="b">
        <v>0</v>
      </c>
    </row>
    <row r="83" ht="22.5" customHeight="1">
      <c r="A83" s="188"/>
      <c r="B83" s="189" t="str">
        <f t="shared" si="1"/>
        <v/>
      </c>
      <c r="C83" s="199"/>
      <c r="D83" s="191"/>
      <c r="E83" s="191"/>
      <c r="F83" s="192"/>
      <c r="G83" s="193" t="str">
        <f>IFERROR(__xludf.DUMMYFUNCTION("IF(F83="""","""",IF(REGEXMATCH(UPPER(TRIM(C83)),""RENDIMIENTO|INVERSI[ÓO]N""),0,IF(OR(UPPER(TRIM(E83))=""TERMINAL"",UPPER(TRIM(E83))=""TRANSFERENCIA""),F83-F83/1.16,0)))"),"")</f>
        <v/>
      </c>
      <c r="H83" s="193" t="str">
        <f t="shared" si="2"/>
        <v/>
      </c>
      <c r="I83" s="194" t="b">
        <v>0</v>
      </c>
    </row>
    <row r="84" ht="22.5" customHeight="1">
      <c r="A84" s="188"/>
      <c r="B84" s="189" t="str">
        <f t="shared" si="1"/>
        <v/>
      </c>
      <c r="C84" s="199"/>
      <c r="D84" s="191"/>
      <c r="E84" s="191"/>
      <c r="F84" s="192"/>
      <c r="G84" s="193" t="str">
        <f>IFERROR(__xludf.DUMMYFUNCTION("IF(F84="""","""",IF(REGEXMATCH(UPPER(TRIM(C84)),""RENDIMIENTO|INVERSI[ÓO]N""),0,IF(OR(UPPER(TRIM(E84))=""TERMINAL"",UPPER(TRIM(E84))=""TRANSFERENCIA""),F84-F84/1.16,0)))"),"")</f>
        <v/>
      </c>
      <c r="H84" s="193" t="str">
        <f t="shared" si="2"/>
        <v/>
      </c>
      <c r="I84" s="194" t="b">
        <v>0</v>
      </c>
    </row>
    <row r="85" ht="22.5" customHeight="1">
      <c r="A85" s="188"/>
      <c r="B85" s="189" t="str">
        <f t="shared" si="1"/>
        <v/>
      </c>
      <c r="C85" s="199"/>
      <c r="D85" s="191"/>
      <c r="E85" s="191"/>
      <c r="F85" s="192"/>
      <c r="G85" s="193" t="str">
        <f>IFERROR(__xludf.DUMMYFUNCTION("IF(F85="""","""",IF(REGEXMATCH(UPPER(TRIM(C85)),""RENDIMIENTO|INVERSI[ÓO]N""),0,IF(OR(UPPER(TRIM(E85))=""TERMINAL"",UPPER(TRIM(E85))=""TRANSFERENCIA""),F85-F85/1.16,0)))"),"")</f>
        <v/>
      </c>
      <c r="H85" s="193" t="str">
        <f t="shared" si="2"/>
        <v/>
      </c>
      <c r="I85" s="194" t="b">
        <v>0</v>
      </c>
    </row>
    <row r="86" ht="22.5" customHeight="1">
      <c r="A86" s="188"/>
      <c r="B86" s="189" t="str">
        <f t="shared" si="1"/>
        <v/>
      </c>
      <c r="C86" s="199"/>
      <c r="D86" s="191"/>
      <c r="E86" s="191"/>
      <c r="F86" s="192"/>
      <c r="G86" s="193" t="str">
        <f>IFERROR(__xludf.DUMMYFUNCTION("IF(F86="""","""",IF(REGEXMATCH(UPPER(TRIM(C86)),""RENDIMIENTO|INVERSI[ÓO]N""),0,IF(OR(UPPER(TRIM(E86))=""TERMINAL"",UPPER(TRIM(E86))=""TRANSFERENCIA""),F86-F86/1.16,0)))"),"")</f>
        <v/>
      </c>
      <c r="H86" s="193" t="str">
        <f t="shared" si="2"/>
        <v/>
      </c>
      <c r="I86" s="194" t="b">
        <v>0</v>
      </c>
    </row>
    <row r="87" ht="22.5" customHeight="1">
      <c r="A87" s="188"/>
      <c r="B87" s="189" t="str">
        <f t="shared" si="1"/>
        <v/>
      </c>
      <c r="C87" s="199"/>
      <c r="D87" s="191"/>
      <c r="E87" s="191"/>
      <c r="F87" s="192"/>
      <c r="G87" s="193" t="str">
        <f>IFERROR(__xludf.DUMMYFUNCTION("IF(F87="""","""",IF(REGEXMATCH(UPPER(TRIM(C87)),""RENDIMIENTO|INVERSI[ÓO]N""),0,IF(OR(UPPER(TRIM(E87))=""TERMINAL"",UPPER(TRIM(E87))=""TRANSFERENCIA""),F87-F87/1.16,0)))"),"")</f>
        <v/>
      </c>
      <c r="H87" s="193" t="str">
        <f t="shared" si="2"/>
        <v/>
      </c>
      <c r="I87" s="194" t="b">
        <v>0</v>
      </c>
    </row>
    <row r="88" ht="22.5" customHeight="1">
      <c r="A88" s="188"/>
      <c r="B88" s="189" t="str">
        <f t="shared" si="1"/>
        <v/>
      </c>
      <c r="C88" s="199"/>
      <c r="D88" s="191"/>
      <c r="E88" s="191"/>
      <c r="F88" s="192"/>
      <c r="G88" s="193" t="str">
        <f>IFERROR(__xludf.DUMMYFUNCTION("IF(F88="""","""",IF(REGEXMATCH(UPPER(TRIM(C88)),""RENDIMIENTO|INVERSI[ÓO]N""),0,IF(OR(UPPER(TRIM(E88))=""TERMINAL"",UPPER(TRIM(E88))=""TRANSFERENCIA""),F88-F88/1.16,0)))"),"")</f>
        <v/>
      </c>
      <c r="H88" s="193" t="str">
        <f t="shared" si="2"/>
        <v/>
      </c>
      <c r="I88" s="194" t="b">
        <v>0</v>
      </c>
    </row>
    <row r="89" ht="22.5" customHeight="1">
      <c r="A89" s="188"/>
      <c r="B89" s="189" t="str">
        <f t="shared" si="1"/>
        <v/>
      </c>
      <c r="C89" s="199"/>
      <c r="D89" s="191"/>
      <c r="E89" s="191"/>
      <c r="F89" s="192"/>
      <c r="G89" s="193" t="str">
        <f>IFERROR(__xludf.DUMMYFUNCTION("IF(F89="""","""",IF(REGEXMATCH(UPPER(TRIM(C89)),""RENDIMIENTO|INVERSI[ÓO]N""),0,IF(OR(UPPER(TRIM(E89))=""TERMINAL"",UPPER(TRIM(E89))=""TRANSFERENCIA""),F89-F89/1.16,0)))"),"")</f>
        <v/>
      </c>
      <c r="H89" s="193" t="str">
        <f t="shared" si="2"/>
        <v/>
      </c>
      <c r="I89" s="194" t="b">
        <v>0</v>
      </c>
    </row>
    <row r="90" ht="22.5" customHeight="1">
      <c r="A90" s="188"/>
      <c r="B90" s="189" t="str">
        <f t="shared" si="1"/>
        <v/>
      </c>
      <c r="C90" s="199"/>
      <c r="D90" s="191"/>
      <c r="E90" s="191"/>
      <c r="F90" s="192"/>
      <c r="G90" s="193" t="str">
        <f>IFERROR(__xludf.DUMMYFUNCTION("IF(F90="""","""",IF(REGEXMATCH(UPPER(TRIM(C90)),""RENDIMIENTO|INVERSI[ÓO]N""),0,IF(OR(UPPER(TRIM(E90))=""TERMINAL"",UPPER(TRIM(E90))=""TRANSFERENCIA""),F90-F90/1.16,0)))"),"")</f>
        <v/>
      </c>
      <c r="H90" s="193" t="str">
        <f t="shared" si="2"/>
        <v/>
      </c>
      <c r="I90" s="194" t="b">
        <v>0</v>
      </c>
    </row>
    <row r="91" ht="22.5" customHeight="1">
      <c r="A91" s="188"/>
      <c r="B91" s="189" t="str">
        <f t="shared" si="1"/>
        <v/>
      </c>
      <c r="C91" s="199"/>
      <c r="D91" s="191"/>
      <c r="E91" s="191"/>
      <c r="F91" s="192"/>
      <c r="G91" s="193" t="str">
        <f>IFERROR(__xludf.DUMMYFUNCTION("IF(F91="""","""",IF(REGEXMATCH(UPPER(TRIM(C91)),""RENDIMIENTO|INVERSI[ÓO]N""),0,IF(OR(UPPER(TRIM(E91))=""TERMINAL"",UPPER(TRIM(E91))=""TRANSFERENCIA""),F91-F91/1.16,0)))"),"")</f>
        <v/>
      </c>
      <c r="H91" s="193" t="str">
        <f t="shared" si="2"/>
        <v/>
      </c>
      <c r="I91" s="194" t="b">
        <v>0</v>
      </c>
    </row>
    <row r="92" ht="22.5" customHeight="1">
      <c r="A92" s="188"/>
      <c r="B92" s="189" t="str">
        <f t="shared" si="1"/>
        <v/>
      </c>
      <c r="C92" s="199"/>
      <c r="D92" s="191"/>
      <c r="E92" s="191"/>
      <c r="F92" s="192"/>
      <c r="G92" s="193" t="str">
        <f>IFERROR(__xludf.DUMMYFUNCTION("IF(F92="""","""",IF(REGEXMATCH(UPPER(TRIM(C92)),""RENDIMIENTO|INVERSI[ÓO]N""),0,IF(OR(UPPER(TRIM(E92))=""TERMINAL"",UPPER(TRIM(E92))=""TRANSFERENCIA""),F92-F92/1.16,0)))"),"")</f>
        <v/>
      </c>
      <c r="H92" s="193" t="str">
        <f t="shared" si="2"/>
        <v/>
      </c>
      <c r="I92" s="194" t="b">
        <v>0</v>
      </c>
    </row>
    <row r="93" ht="22.5" customHeight="1">
      <c r="A93" s="188"/>
      <c r="B93" s="189" t="str">
        <f t="shared" si="1"/>
        <v/>
      </c>
      <c r="C93" s="199"/>
      <c r="D93" s="191"/>
      <c r="E93" s="191"/>
      <c r="F93" s="192"/>
      <c r="G93" s="193" t="str">
        <f>IFERROR(__xludf.DUMMYFUNCTION("IF(F93="""","""",IF(REGEXMATCH(UPPER(TRIM(C93)),""RENDIMIENTO|INVERSI[ÓO]N""),0,IF(OR(UPPER(TRIM(E93))=""TERMINAL"",UPPER(TRIM(E93))=""TRANSFERENCIA""),F93-F93/1.16,0)))"),"")</f>
        <v/>
      </c>
      <c r="H93" s="193" t="str">
        <f t="shared" si="2"/>
        <v/>
      </c>
      <c r="I93" s="194" t="b">
        <v>0</v>
      </c>
    </row>
    <row r="94" ht="22.5" customHeight="1">
      <c r="A94" s="188"/>
      <c r="B94" s="189" t="str">
        <f t="shared" si="1"/>
        <v/>
      </c>
      <c r="C94" s="199"/>
      <c r="D94" s="191"/>
      <c r="E94" s="191"/>
      <c r="F94" s="192"/>
      <c r="G94" s="193" t="str">
        <f>IFERROR(__xludf.DUMMYFUNCTION("IF(F94="""","""",IF(REGEXMATCH(UPPER(TRIM(C94)),""RENDIMIENTO|INVERSI[ÓO]N""),0,IF(OR(UPPER(TRIM(E94))=""TERMINAL"",UPPER(TRIM(E94))=""TRANSFERENCIA""),F94-F94/1.16,0)))"),"")</f>
        <v/>
      </c>
      <c r="H94" s="193" t="str">
        <f t="shared" si="2"/>
        <v/>
      </c>
      <c r="I94" s="194" t="b">
        <v>0</v>
      </c>
    </row>
    <row r="95" ht="22.5" customHeight="1">
      <c r="A95" s="188"/>
      <c r="B95" s="189" t="str">
        <f t="shared" si="1"/>
        <v/>
      </c>
      <c r="C95" s="199"/>
      <c r="D95" s="191"/>
      <c r="E95" s="191"/>
      <c r="F95" s="192"/>
      <c r="G95" s="193" t="str">
        <f>IFERROR(__xludf.DUMMYFUNCTION("IF(F95="""","""",IF(REGEXMATCH(UPPER(TRIM(C95)),""RENDIMIENTO|INVERSI[ÓO]N""),0,IF(OR(UPPER(TRIM(E95))=""TERMINAL"",UPPER(TRIM(E95))=""TRANSFERENCIA""),F95-F95/1.16,0)))"),"")</f>
        <v/>
      </c>
      <c r="H95" s="193" t="str">
        <f t="shared" si="2"/>
        <v/>
      </c>
      <c r="I95" s="194" t="b">
        <v>0</v>
      </c>
    </row>
    <row r="96" ht="22.5" customHeight="1">
      <c r="A96" s="188"/>
      <c r="B96" s="189" t="str">
        <f t="shared" si="1"/>
        <v/>
      </c>
      <c r="C96" s="199"/>
      <c r="D96" s="191"/>
      <c r="E96" s="191"/>
      <c r="F96" s="192"/>
      <c r="G96" s="193" t="str">
        <f>IFERROR(__xludf.DUMMYFUNCTION("IF(F96="""","""",IF(REGEXMATCH(UPPER(TRIM(C96)),""RENDIMIENTO|INVERSI[ÓO]N""),0,IF(OR(UPPER(TRIM(E96))=""TERMINAL"",UPPER(TRIM(E96))=""TRANSFERENCIA""),F96-F96/1.16,0)))"),"")</f>
        <v/>
      </c>
      <c r="H96" s="193" t="str">
        <f t="shared" si="2"/>
        <v/>
      </c>
      <c r="I96" s="194" t="b">
        <v>0</v>
      </c>
    </row>
    <row r="97" ht="22.5" customHeight="1">
      <c r="A97" s="188"/>
      <c r="B97" s="189" t="str">
        <f t="shared" si="1"/>
        <v/>
      </c>
      <c r="C97" s="199"/>
      <c r="D97" s="191"/>
      <c r="E97" s="191"/>
      <c r="F97" s="192"/>
      <c r="G97" s="193" t="str">
        <f>IFERROR(__xludf.DUMMYFUNCTION("IF(F97="""","""",IF(REGEXMATCH(UPPER(TRIM(C97)),""RENDIMIENTO|INVERSI[ÓO]N""),0,IF(OR(UPPER(TRIM(E97))=""TERMINAL"",UPPER(TRIM(E97))=""TRANSFERENCIA""),F97-F97/1.16,0)))"),"")</f>
        <v/>
      </c>
      <c r="H97" s="193" t="str">
        <f t="shared" si="2"/>
        <v/>
      </c>
      <c r="I97" s="194" t="b">
        <v>0</v>
      </c>
    </row>
    <row r="98" ht="22.5" customHeight="1">
      <c r="A98" s="188"/>
      <c r="B98" s="189" t="str">
        <f t="shared" si="1"/>
        <v/>
      </c>
      <c r="C98" s="199"/>
      <c r="D98" s="191"/>
      <c r="E98" s="191"/>
      <c r="F98" s="192"/>
      <c r="G98" s="193" t="str">
        <f>IFERROR(__xludf.DUMMYFUNCTION("IF(F98="""","""",IF(REGEXMATCH(UPPER(TRIM(C98)),""RENDIMIENTO|INVERSI[ÓO]N""),0,IF(OR(UPPER(TRIM(E98))=""TERMINAL"",UPPER(TRIM(E98))=""TRANSFERENCIA""),F98-F98/1.16,0)))"),"")</f>
        <v/>
      </c>
      <c r="H98" s="193" t="str">
        <f t="shared" si="2"/>
        <v/>
      </c>
      <c r="I98" s="194" t="b">
        <v>0</v>
      </c>
    </row>
    <row r="99" ht="22.5" customHeight="1">
      <c r="A99" s="188"/>
      <c r="B99" s="189" t="str">
        <f t="shared" si="1"/>
        <v/>
      </c>
      <c r="C99" s="199"/>
      <c r="D99" s="191"/>
      <c r="E99" s="191"/>
      <c r="F99" s="192"/>
      <c r="G99" s="193" t="str">
        <f>IFERROR(__xludf.DUMMYFUNCTION("IF(F99="""","""",IF(REGEXMATCH(UPPER(TRIM(C99)),""RENDIMIENTO|INVERSI[ÓO]N""),0,IF(OR(UPPER(TRIM(E99))=""TERMINAL"",UPPER(TRIM(E99))=""TRANSFERENCIA""),F99-F99/1.16,0)))"),"")</f>
        <v/>
      </c>
      <c r="H99" s="193" t="str">
        <f t="shared" si="2"/>
        <v/>
      </c>
      <c r="I99" s="194" t="b">
        <v>0</v>
      </c>
    </row>
    <row r="100" ht="22.5" customHeight="1">
      <c r="A100" s="188"/>
      <c r="B100" s="189" t="str">
        <f t="shared" si="1"/>
        <v/>
      </c>
      <c r="C100" s="199"/>
      <c r="D100" s="191"/>
      <c r="E100" s="191"/>
      <c r="F100" s="192"/>
      <c r="G100" s="193" t="str">
        <f>IFERROR(__xludf.DUMMYFUNCTION("IF(F100="""","""",IF(REGEXMATCH(UPPER(TRIM(C100)),""RENDIMIENTO|INVERSI[ÓO]N""),0,IF(OR(UPPER(TRIM(E100))=""TERMINAL"",UPPER(TRIM(E100))=""TRANSFERENCIA""),F100-F100/1.16,0)))"),"")</f>
        <v/>
      </c>
      <c r="H100" s="193" t="str">
        <f t="shared" si="2"/>
        <v/>
      </c>
      <c r="I100" s="194" t="b">
        <v>0</v>
      </c>
    </row>
    <row r="101" ht="22.5" customHeight="1">
      <c r="A101" s="188"/>
      <c r="B101" s="189" t="str">
        <f t="shared" si="1"/>
        <v/>
      </c>
      <c r="C101" s="199"/>
      <c r="D101" s="191"/>
      <c r="E101" s="191"/>
      <c r="F101" s="192"/>
      <c r="G101" s="193" t="str">
        <f>IFERROR(__xludf.DUMMYFUNCTION("IF(F101="""","""",IF(REGEXMATCH(UPPER(TRIM(C101)),""RENDIMIENTO|INVERSI[ÓO]N""),0,IF(OR(UPPER(TRIM(E101))=""TERMINAL"",UPPER(TRIM(E101))=""TRANSFERENCIA""),F101-F101/1.16,0)))"),"")</f>
        <v/>
      </c>
      <c r="H101" s="193" t="str">
        <f t="shared" si="2"/>
        <v/>
      </c>
      <c r="I101" s="194" t="b">
        <v>0</v>
      </c>
    </row>
    <row r="102" ht="22.5" customHeight="1">
      <c r="A102" s="188"/>
      <c r="B102" s="189" t="str">
        <f t="shared" si="1"/>
        <v/>
      </c>
      <c r="C102" s="199"/>
      <c r="D102" s="191"/>
      <c r="E102" s="191"/>
      <c r="F102" s="192"/>
      <c r="G102" s="193" t="str">
        <f>IFERROR(__xludf.DUMMYFUNCTION("IF(F102="""","""",IF(REGEXMATCH(UPPER(TRIM(C102)),""RENDIMIENTO|INVERSI[ÓO]N""),0,IF(OR(UPPER(TRIM(E102))=""TERMINAL"",UPPER(TRIM(E102))=""TRANSFERENCIA""),F102-F102/1.16,0)))"),"")</f>
        <v/>
      </c>
      <c r="H102" s="193" t="str">
        <f t="shared" si="2"/>
        <v/>
      </c>
      <c r="I102" s="194" t="b">
        <v>0</v>
      </c>
    </row>
    <row r="103" ht="22.5" customHeight="1">
      <c r="A103" s="188"/>
      <c r="B103" s="189" t="str">
        <f t="shared" si="1"/>
        <v/>
      </c>
      <c r="C103" s="199"/>
      <c r="D103" s="191"/>
      <c r="E103" s="191"/>
      <c r="F103" s="192"/>
      <c r="G103" s="193" t="str">
        <f>IFERROR(__xludf.DUMMYFUNCTION("IF(F103="""","""",IF(REGEXMATCH(UPPER(TRIM(C103)),""RENDIMIENTO|INVERSI[ÓO]N""),0,IF(OR(UPPER(TRIM(E103))=""TERMINAL"",UPPER(TRIM(E103))=""TRANSFERENCIA""),F103-F103/1.16,0)))"),"")</f>
        <v/>
      </c>
      <c r="H103" s="193" t="str">
        <f t="shared" si="2"/>
        <v/>
      </c>
      <c r="I103" s="194" t="b">
        <v>0</v>
      </c>
    </row>
    <row r="104" ht="22.5" customHeight="1">
      <c r="A104" s="188"/>
      <c r="B104" s="189" t="str">
        <f t="shared" si="1"/>
        <v/>
      </c>
      <c r="C104" s="199"/>
      <c r="D104" s="191"/>
      <c r="E104" s="191"/>
      <c r="F104" s="192"/>
      <c r="G104" s="193" t="str">
        <f>IFERROR(__xludf.DUMMYFUNCTION("IF(F104="""","""",IF(REGEXMATCH(UPPER(TRIM(C104)),""RENDIMIENTO|INVERSI[ÓO]N""),0,IF(OR(UPPER(TRIM(E104))=""TERMINAL"",UPPER(TRIM(E104))=""TRANSFERENCIA""),F104-F104/1.16,0)))"),"")</f>
        <v/>
      </c>
      <c r="H104" s="193" t="str">
        <f t="shared" si="2"/>
        <v/>
      </c>
      <c r="I104" s="194" t="b">
        <v>0</v>
      </c>
    </row>
    <row r="105" ht="22.5" customHeight="1">
      <c r="A105" s="188"/>
      <c r="B105" s="189" t="str">
        <f t="shared" si="1"/>
        <v/>
      </c>
      <c r="C105" s="199"/>
      <c r="D105" s="191"/>
      <c r="E105" s="191"/>
      <c r="F105" s="192"/>
      <c r="G105" s="193" t="str">
        <f>IFERROR(__xludf.DUMMYFUNCTION("IF(F105="""","""",IF(REGEXMATCH(UPPER(TRIM(C105)),""RENDIMIENTO|INVERSI[ÓO]N""),0,IF(OR(UPPER(TRIM(E105))=""TERMINAL"",UPPER(TRIM(E105))=""TRANSFERENCIA""),F105-F105/1.16,0)))"),"")</f>
        <v/>
      </c>
      <c r="H105" s="193" t="str">
        <f t="shared" si="2"/>
        <v/>
      </c>
      <c r="I105" s="194" t="b">
        <v>0</v>
      </c>
    </row>
    <row r="106" ht="22.5" customHeight="1">
      <c r="A106" s="188"/>
      <c r="B106" s="189" t="str">
        <f t="shared" si="1"/>
        <v/>
      </c>
      <c r="C106" s="199"/>
      <c r="D106" s="191"/>
      <c r="E106" s="191"/>
      <c r="F106" s="192"/>
      <c r="G106" s="193" t="str">
        <f>IFERROR(__xludf.DUMMYFUNCTION("IF(F106="""","""",IF(REGEXMATCH(UPPER(TRIM(C106)),""RENDIMIENTO|INVERSI[ÓO]N""),0,IF(OR(UPPER(TRIM(E106))=""TERMINAL"",UPPER(TRIM(E106))=""TRANSFERENCIA""),F106-F106/1.16,0)))"),"")</f>
        <v/>
      </c>
      <c r="H106" s="193" t="str">
        <f t="shared" si="2"/>
        <v/>
      </c>
      <c r="I106" s="194" t="b">
        <v>0</v>
      </c>
    </row>
    <row r="107" ht="22.5" customHeight="1">
      <c r="A107" s="188"/>
      <c r="B107" s="189" t="str">
        <f t="shared" si="1"/>
        <v/>
      </c>
      <c r="C107" s="199"/>
      <c r="D107" s="191"/>
      <c r="E107" s="191"/>
      <c r="F107" s="192"/>
      <c r="G107" s="193" t="str">
        <f>IFERROR(__xludf.DUMMYFUNCTION("IF(F107="""","""",IF(REGEXMATCH(UPPER(TRIM(C107)),""RENDIMIENTO|INVERSI[ÓO]N""),0,IF(OR(UPPER(TRIM(E107))=""TERMINAL"",UPPER(TRIM(E107))=""TRANSFERENCIA""),F107-F107/1.16,0)))"),"")</f>
        <v/>
      </c>
      <c r="H107" s="193" t="str">
        <f t="shared" si="2"/>
        <v/>
      </c>
      <c r="I107" s="194" t="b">
        <v>0</v>
      </c>
    </row>
    <row r="108" ht="22.5" customHeight="1">
      <c r="A108" s="188"/>
      <c r="B108" s="189" t="str">
        <f t="shared" si="1"/>
        <v/>
      </c>
      <c r="C108" s="199"/>
      <c r="D108" s="191"/>
      <c r="E108" s="191"/>
      <c r="F108" s="192"/>
      <c r="G108" s="193" t="str">
        <f>IFERROR(__xludf.DUMMYFUNCTION("IF(F108="""","""",IF(REGEXMATCH(UPPER(TRIM(C108)),""RENDIMIENTO|INVERSI[ÓO]N""),0,IF(OR(UPPER(TRIM(E108))=""TERMINAL"",UPPER(TRIM(E108))=""TRANSFERENCIA""),F108-F108/1.16,0)))"),"")</f>
        <v/>
      </c>
      <c r="H108" s="193" t="str">
        <f t="shared" si="2"/>
        <v/>
      </c>
      <c r="I108" s="194" t="b">
        <v>0</v>
      </c>
    </row>
    <row r="109" ht="22.5" customHeight="1">
      <c r="A109" s="188"/>
      <c r="B109" s="189" t="str">
        <f t="shared" si="1"/>
        <v/>
      </c>
      <c r="C109" s="199"/>
      <c r="D109" s="191"/>
      <c r="E109" s="191"/>
      <c r="F109" s="192"/>
      <c r="G109" s="193" t="str">
        <f>IFERROR(__xludf.DUMMYFUNCTION("IF(F109="""","""",IF(REGEXMATCH(UPPER(TRIM(C109)),""RENDIMIENTO|INVERSI[ÓO]N""),0,IF(OR(UPPER(TRIM(E109))=""TERMINAL"",UPPER(TRIM(E109))=""TRANSFERENCIA""),F109-F109/1.16,0)))"),"")</f>
        <v/>
      </c>
      <c r="H109" s="193" t="str">
        <f t="shared" si="2"/>
        <v/>
      </c>
      <c r="I109" s="194" t="b">
        <v>0</v>
      </c>
    </row>
    <row r="110" ht="22.5" customHeight="1">
      <c r="A110" s="188"/>
      <c r="B110" s="189" t="str">
        <f t="shared" si="1"/>
        <v/>
      </c>
      <c r="C110" s="199"/>
      <c r="D110" s="191"/>
      <c r="E110" s="191"/>
      <c r="F110" s="192"/>
      <c r="G110" s="193" t="str">
        <f>IFERROR(__xludf.DUMMYFUNCTION("IF(F110="""","""",IF(REGEXMATCH(UPPER(TRIM(C110)),""RENDIMIENTO|INVERSI[ÓO]N""),0,IF(OR(UPPER(TRIM(E110))=""TERMINAL"",UPPER(TRIM(E110))=""TRANSFERENCIA""),F110-F110/1.16,0)))"),"")</f>
        <v/>
      </c>
      <c r="H110" s="193" t="str">
        <f t="shared" si="2"/>
        <v/>
      </c>
      <c r="I110" s="194" t="b">
        <v>0</v>
      </c>
    </row>
    <row r="111" ht="22.5" customHeight="1">
      <c r="A111" s="188"/>
      <c r="B111" s="189" t="str">
        <f t="shared" si="1"/>
        <v/>
      </c>
      <c r="C111" s="199"/>
      <c r="D111" s="191"/>
      <c r="E111" s="191"/>
      <c r="F111" s="192"/>
      <c r="G111" s="193" t="str">
        <f>IFERROR(__xludf.DUMMYFUNCTION("IF(F111="""","""",IF(REGEXMATCH(UPPER(TRIM(C111)),""RENDIMIENTO|INVERSI[ÓO]N""),0,IF(OR(UPPER(TRIM(E111))=""TERMINAL"",UPPER(TRIM(E111))=""TRANSFERENCIA""),F111-F111/1.16,0)))"),"")</f>
        <v/>
      </c>
      <c r="H111" s="193" t="str">
        <f t="shared" si="2"/>
        <v/>
      </c>
      <c r="I111" s="194" t="b">
        <v>0</v>
      </c>
    </row>
    <row r="112" ht="22.5" customHeight="1">
      <c r="A112" s="188"/>
      <c r="B112" s="189" t="str">
        <f t="shared" si="1"/>
        <v/>
      </c>
      <c r="C112" s="199"/>
      <c r="D112" s="191"/>
      <c r="E112" s="191"/>
      <c r="F112" s="192"/>
      <c r="G112" s="193" t="str">
        <f>IFERROR(__xludf.DUMMYFUNCTION("IF(F112="""","""",IF(REGEXMATCH(UPPER(TRIM(C112)),""RENDIMIENTO|INVERSI[ÓO]N""),0,IF(OR(UPPER(TRIM(E112))=""TERMINAL"",UPPER(TRIM(E112))=""TRANSFERENCIA""),F112-F112/1.16,0)))"),"")</f>
        <v/>
      </c>
      <c r="H112" s="193" t="str">
        <f t="shared" si="2"/>
        <v/>
      </c>
      <c r="I112" s="194" t="b">
        <v>0</v>
      </c>
    </row>
    <row r="113" ht="22.5" customHeight="1">
      <c r="A113" s="188"/>
      <c r="B113" s="189" t="str">
        <f t="shared" si="1"/>
        <v/>
      </c>
      <c r="C113" s="199"/>
      <c r="D113" s="191"/>
      <c r="E113" s="191"/>
      <c r="F113" s="192"/>
      <c r="G113" s="193" t="str">
        <f>IFERROR(__xludf.DUMMYFUNCTION("IF(F113="""","""",IF(REGEXMATCH(UPPER(TRIM(C113)),""RENDIMIENTO|INVERSI[ÓO]N""),0,IF(OR(UPPER(TRIM(E113))=""TERMINAL"",UPPER(TRIM(E113))=""TRANSFERENCIA""),F113-F113/1.16,0)))"),"")</f>
        <v/>
      </c>
      <c r="H113" s="193" t="str">
        <f t="shared" si="2"/>
        <v/>
      </c>
      <c r="I113" s="194" t="b">
        <v>0</v>
      </c>
    </row>
    <row r="114" ht="22.5" customHeight="1">
      <c r="A114" s="188"/>
      <c r="B114" s="189" t="str">
        <f t="shared" si="1"/>
        <v/>
      </c>
      <c r="C114" s="199"/>
      <c r="D114" s="191"/>
      <c r="E114" s="191"/>
      <c r="F114" s="192"/>
      <c r="G114" s="193" t="str">
        <f>IFERROR(__xludf.DUMMYFUNCTION("IF(F114="""","""",IF(REGEXMATCH(UPPER(TRIM(C114)),""RENDIMIENTO|INVERSI[ÓO]N""),0,IF(OR(UPPER(TRIM(E114))=""TERMINAL"",UPPER(TRIM(E114))=""TRANSFERENCIA""),F114-F114/1.16,0)))"),"")</f>
        <v/>
      </c>
      <c r="H114" s="193" t="str">
        <f t="shared" si="2"/>
        <v/>
      </c>
      <c r="I114" s="194" t="b">
        <v>0</v>
      </c>
    </row>
    <row r="115" ht="22.5" customHeight="1">
      <c r="A115" s="188"/>
      <c r="B115" s="189" t="str">
        <f t="shared" si="1"/>
        <v/>
      </c>
      <c r="C115" s="199"/>
      <c r="D115" s="191"/>
      <c r="E115" s="191"/>
      <c r="F115" s="192"/>
      <c r="G115" s="193" t="str">
        <f>IFERROR(__xludf.DUMMYFUNCTION("IF(F115="""","""",IF(REGEXMATCH(UPPER(TRIM(C115)),""RENDIMIENTO|INVERSI[ÓO]N""),0,IF(OR(UPPER(TRIM(E115))=""TERMINAL"",UPPER(TRIM(E115))=""TRANSFERENCIA""),F115-F115/1.16,0)))"),"")</f>
        <v/>
      </c>
      <c r="H115" s="193" t="str">
        <f t="shared" si="2"/>
        <v/>
      </c>
      <c r="I115" s="194" t="b">
        <v>0</v>
      </c>
    </row>
    <row r="116" ht="22.5" customHeight="1">
      <c r="A116" s="188"/>
      <c r="B116" s="189" t="str">
        <f t="shared" si="1"/>
        <v/>
      </c>
      <c r="C116" s="199"/>
      <c r="D116" s="191"/>
      <c r="E116" s="191"/>
      <c r="F116" s="192"/>
      <c r="G116" s="193" t="str">
        <f>IFERROR(__xludf.DUMMYFUNCTION("IF(F116="""","""",IF(REGEXMATCH(UPPER(TRIM(C116)),""RENDIMIENTO|INVERSI[ÓO]N""),0,IF(OR(UPPER(TRIM(E116))=""TERMINAL"",UPPER(TRIM(E116))=""TRANSFERENCIA""),F116-F116/1.16,0)))"),"")</f>
        <v/>
      </c>
      <c r="H116" s="193" t="str">
        <f t="shared" si="2"/>
        <v/>
      </c>
      <c r="I116" s="194" t="b">
        <v>0</v>
      </c>
    </row>
    <row r="117" ht="22.5" customHeight="1">
      <c r="A117" s="188"/>
      <c r="B117" s="189" t="str">
        <f t="shared" si="1"/>
        <v/>
      </c>
      <c r="C117" s="199"/>
      <c r="D117" s="191"/>
      <c r="E117" s="191"/>
      <c r="F117" s="192"/>
      <c r="G117" s="193" t="str">
        <f>IFERROR(__xludf.DUMMYFUNCTION("IF(F117="""","""",IF(REGEXMATCH(UPPER(TRIM(C117)),""RENDIMIENTO|INVERSI[ÓO]N""),0,IF(OR(UPPER(TRIM(E117))=""TERMINAL"",UPPER(TRIM(E117))=""TRANSFERENCIA""),F117-F117/1.16,0)))"),"")</f>
        <v/>
      </c>
      <c r="H117" s="193" t="str">
        <f t="shared" si="2"/>
        <v/>
      </c>
      <c r="I117" s="194" t="b">
        <v>0</v>
      </c>
    </row>
    <row r="118" ht="22.5" customHeight="1">
      <c r="A118" s="188"/>
      <c r="B118" s="189" t="str">
        <f t="shared" si="1"/>
        <v/>
      </c>
      <c r="C118" s="199"/>
      <c r="D118" s="191"/>
      <c r="E118" s="191"/>
      <c r="F118" s="192"/>
      <c r="G118" s="193" t="str">
        <f>IFERROR(__xludf.DUMMYFUNCTION("IF(F118="""","""",IF(REGEXMATCH(UPPER(TRIM(C118)),""RENDIMIENTO|INVERSI[ÓO]N""),0,IF(OR(UPPER(TRIM(E118))=""TERMINAL"",UPPER(TRIM(E118))=""TRANSFERENCIA""),F118-F118/1.16,0)))"),"")</f>
        <v/>
      </c>
      <c r="H118" s="193" t="str">
        <f t="shared" si="2"/>
        <v/>
      </c>
      <c r="I118" s="194" t="b">
        <v>0</v>
      </c>
    </row>
    <row r="119" ht="22.5" customHeight="1">
      <c r="A119" s="188"/>
      <c r="B119" s="189" t="str">
        <f t="shared" si="1"/>
        <v/>
      </c>
      <c r="C119" s="199"/>
      <c r="D119" s="191"/>
      <c r="E119" s="191"/>
      <c r="F119" s="192"/>
      <c r="G119" s="193" t="str">
        <f>IFERROR(__xludf.DUMMYFUNCTION("IF(F119="""","""",IF(REGEXMATCH(UPPER(TRIM(C119)),""RENDIMIENTO|INVERSI[ÓO]N""),0,IF(OR(UPPER(TRIM(E119))=""TERMINAL"",UPPER(TRIM(E119))=""TRANSFERENCIA""),F119-F119/1.16,0)))"),"")</f>
        <v/>
      </c>
      <c r="H119" s="193" t="str">
        <f t="shared" si="2"/>
        <v/>
      </c>
      <c r="I119" s="194" t="b">
        <v>0</v>
      </c>
    </row>
    <row r="120" ht="22.5" customHeight="1">
      <c r="A120" s="188"/>
      <c r="B120" s="189" t="str">
        <f t="shared" si="1"/>
        <v/>
      </c>
      <c r="C120" s="199"/>
      <c r="D120" s="191"/>
      <c r="E120" s="191"/>
      <c r="F120" s="192"/>
      <c r="G120" s="193" t="str">
        <f>IFERROR(__xludf.DUMMYFUNCTION("IF(F120="""","""",IF(REGEXMATCH(UPPER(TRIM(C120)),""RENDIMIENTO|INVERSI[ÓO]N""),0,IF(OR(UPPER(TRIM(E120))=""TERMINAL"",UPPER(TRIM(E120))=""TRANSFERENCIA""),F120-F120/1.16,0)))"),"")</f>
        <v/>
      </c>
      <c r="H120" s="193" t="str">
        <f t="shared" si="2"/>
        <v/>
      </c>
      <c r="I120" s="194" t="b">
        <v>0</v>
      </c>
    </row>
    <row r="121" ht="22.5" customHeight="1">
      <c r="A121" s="188"/>
      <c r="B121" s="189" t="str">
        <f t="shared" si="1"/>
        <v/>
      </c>
      <c r="C121" s="199"/>
      <c r="D121" s="191"/>
      <c r="E121" s="191"/>
      <c r="F121" s="192"/>
      <c r="G121" s="193" t="str">
        <f>IFERROR(__xludf.DUMMYFUNCTION("IF(F121="""","""",IF(REGEXMATCH(UPPER(TRIM(C121)),""RENDIMIENTO|INVERSI[ÓO]N""),0,IF(OR(UPPER(TRIM(E121))=""TERMINAL"",UPPER(TRIM(E121))=""TRANSFERENCIA""),F121-F121/1.16,0)))"),"")</f>
        <v/>
      </c>
      <c r="H121" s="193" t="str">
        <f t="shared" si="2"/>
        <v/>
      </c>
      <c r="I121" s="194" t="b">
        <v>0</v>
      </c>
    </row>
    <row r="122" ht="22.5" customHeight="1">
      <c r="A122" s="188"/>
      <c r="B122" s="189" t="str">
        <f t="shared" si="1"/>
        <v/>
      </c>
      <c r="C122" s="199"/>
      <c r="D122" s="191"/>
      <c r="E122" s="191"/>
      <c r="F122" s="192"/>
      <c r="G122" s="193" t="str">
        <f>IFERROR(__xludf.DUMMYFUNCTION("IF(F122="""","""",IF(REGEXMATCH(UPPER(TRIM(C122)),""RENDIMIENTO|INVERSI[ÓO]N""),0,IF(OR(UPPER(TRIM(E122))=""TERMINAL"",UPPER(TRIM(E122))=""TRANSFERENCIA""),F122-F122/1.16,0)))"),"")</f>
        <v/>
      </c>
      <c r="H122" s="193" t="str">
        <f t="shared" si="2"/>
        <v/>
      </c>
      <c r="I122" s="194" t="b">
        <v>0</v>
      </c>
    </row>
    <row r="123" ht="22.5" customHeight="1">
      <c r="A123" s="188"/>
      <c r="B123" s="189" t="str">
        <f t="shared" si="1"/>
        <v/>
      </c>
      <c r="C123" s="199"/>
      <c r="D123" s="191"/>
      <c r="E123" s="191"/>
      <c r="F123" s="192"/>
      <c r="G123" s="193" t="str">
        <f>IFERROR(__xludf.DUMMYFUNCTION("IF(F123="""","""",IF(REGEXMATCH(UPPER(TRIM(C123)),""RENDIMIENTO|INVERSI[ÓO]N""),0,IF(OR(UPPER(TRIM(E123))=""TERMINAL"",UPPER(TRIM(E123))=""TRANSFERENCIA""),F123-F123/1.16,0)))"),"")</f>
        <v/>
      </c>
      <c r="H123" s="193" t="str">
        <f t="shared" si="2"/>
        <v/>
      </c>
      <c r="I123" s="194" t="b">
        <v>0</v>
      </c>
    </row>
    <row r="124" ht="22.5" customHeight="1">
      <c r="A124" s="188"/>
      <c r="B124" s="189" t="str">
        <f t="shared" si="1"/>
        <v/>
      </c>
      <c r="C124" s="199"/>
      <c r="D124" s="191"/>
      <c r="E124" s="191"/>
      <c r="F124" s="192"/>
      <c r="G124" s="193" t="str">
        <f>IFERROR(__xludf.DUMMYFUNCTION("IF(F124="""","""",IF(REGEXMATCH(UPPER(TRIM(C124)),""RENDIMIENTO|INVERSI[ÓO]N""),0,IF(OR(UPPER(TRIM(E124))=""TERMINAL"",UPPER(TRIM(E124))=""TRANSFERENCIA""),F124-F124/1.16,0)))"),"")</f>
        <v/>
      </c>
      <c r="H124" s="193" t="str">
        <f t="shared" si="2"/>
        <v/>
      </c>
      <c r="I124" s="194" t="b">
        <v>0</v>
      </c>
    </row>
    <row r="125" ht="22.5" customHeight="1">
      <c r="A125" s="188"/>
      <c r="B125" s="189" t="str">
        <f t="shared" si="1"/>
        <v/>
      </c>
      <c r="C125" s="199"/>
      <c r="D125" s="191"/>
      <c r="E125" s="191"/>
      <c r="F125" s="192"/>
      <c r="G125" s="193" t="str">
        <f>IFERROR(__xludf.DUMMYFUNCTION("IF(F125="""","""",IF(REGEXMATCH(UPPER(TRIM(C125)),""RENDIMIENTO|INVERSI[ÓO]N""),0,IF(OR(UPPER(TRIM(E125))=""TERMINAL"",UPPER(TRIM(E125))=""TRANSFERENCIA""),F125-F125/1.16,0)))"),"")</f>
        <v/>
      </c>
      <c r="H125" s="193" t="str">
        <f t="shared" si="2"/>
        <v/>
      </c>
      <c r="I125" s="194" t="b">
        <v>0</v>
      </c>
    </row>
    <row r="126" ht="22.5" customHeight="1">
      <c r="A126" s="188"/>
      <c r="B126" s="189" t="str">
        <f t="shared" si="1"/>
        <v/>
      </c>
      <c r="C126" s="199"/>
      <c r="D126" s="191"/>
      <c r="E126" s="191"/>
      <c r="F126" s="192"/>
      <c r="G126" s="193" t="str">
        <f>IFERROR(__xludf.DUMMYFUNCTION("IF(F126="""","""",IF(REGEXMATCH(UPPER(TRIM(C126)),""RENDIMIENTO|INVERSI[ÓO]N""),0,IF(OR(UPPER(TRIM(E126))=""TERMINAL"",UPPER(TRIM(E126))=""TRANSFERENCIA""),F126-F126/1.16,0)))"),"")</f>
        <v/>
      </c>
      <c r="H126" s="193" t="str">
        <f t="shared" si="2"/>
        <v/>
      </c>
      <c r="I126" s="194" t="b">
        <v>0</v>
      </c>
    </row>
    <row r="127" ht="22.5" customHeight="1">
      <c r="A127" s="188"/>
      <c r="B127" s="189" t="str">
        <f t="shared" si="1"/>
        <v/>
      </c>
      <c r="C127" s="199"/>
      <c r="D127" s="191"/>
      <c r="E127" s="191"/>
      <c r="F127" s="192"/>
      <c r="G127" s="193" t="str">
        <f>IFERROR(__xludf.DUMMYFUNCTION("IF(F127="""","""",IF(REGEXMATCH(UPPER(TRIM(C127)),""RENDIMIENTO|INVERSI[ÓO]N""),0,IF(OR(UPPER(TRIM(E127))=""TERMINAL"",UPPER(TRIM(E127))=""TRANSFERENCIA""),F127-F127/1.16,0)))"),"")</f>
        <v/>
      </c>
      <c r="H127" s="193" t="str">
        <f t="shared" si="2"/>
        <v/>
      </c>
      <c r="I127" s="194" t="b">
        <v>0</v>
      </c>
    </row>
    <row r="128" ht="22.5" customHeight="1">
      <c r="A128" s="188"/>
      <c r="B128" s="189" t="str">
        <f t="shared" si="1"/>
        <v/>
      </c>
      <c r="C128" s="199"/>
      <c r="D128" s="191"/>
      <c r="E128" s="191"/>
      <c r="F128" s="192"/>
      <c r="G128" s="193" t="str">
        <f>IFERROR(__xludf.DUMMYFUNCTION("IF(F128="""","""",IF(REGEXMATCH(UPPER(TRIM(C128)),""RENDIMIENTO|INVERSI[ÓO]N""),0,IF(OR(UPPER(TRIM(E128))=""TERMINAL"",UPPER(TRIM(E128))=""TRANSFERENCIA""),F128-F128/1.16,0)))"),"")</f>
        <v/>
      </c>
      <c r="H128" s="193" t="str">
        <f t="shared" si="2"/>
        <v/>
      </c>
      <c r="I128" s="194" t="b">
        <v>0</v>
      </c>
    </row>
    <row r="129" ht="22.5" customHeight="1">
      <c r="A129" s="188"/>
      <c r="B129" s="189" t="str">
        <f t="shared" si="1"/>
        <v/>
      </c>
      <c r="C129" s="199"/>
      <c r="D129" s="191"/>
      <c r="E129" s="191"/>
      <c r="F129" s="192"/>
      <c r="G129" s="193" t="str">
        <f>IFERROR(__xludf.DUMMYFUNCTION("IF(F129="""","""",IF(REGEXMATCH(UPPER(TRIM(C129)),""RENDIMIENTO|INVERSI[ÓO]N""),0,IF(OR(UPPER(TRIM(E129))=""TERMINAL"",UPPER(TRIM(E129))=""TRANSFERENCIA""),F129-F129/1.16,0)))"),"")</f>
        <v/>
      </c>
      <c r="H129" s="193" t="str">
        <f t="shared" si="2"/>
        <v/>
      </c>
      <c r="I129" s="194" t="b">
        <v>0</v>
      </c>
    </row>
    <row r="130" ht="22.5" customHeight="1">
      <c r="A130" s="188"/>
      <c r="B130" s="189" t="str">
        <f t="shared" si="1"/>
        <v/>
      </c>
      <c r="C130" s="199"/>
      <c r="D130" s="191"/>
      <c r="E130" s="191"/>
      <c r="F130" s="192"/>
      <c r="G130" s="193" t="str">
        <f>IFERROR(__xludf.DUMMYFUNCTION("IF(F130="""","""",IF(REGEXMATCH(UPPER(TRIM(C130)),""RENDIMIENTO|INVERSI[ÓO]N""),0,IF(OR(UPPER(TRIM(E130))=""TERMINAL"",UPPER(TRIM(E130))=""TRANSFERENCIA""),F130-F130/1.16,0)))"),"")</f>
        <v/>
      </c>
      <c r="H130" s="193" t="str">
        <f t="shared" si="2"/>
        <v/>
      </c>
      <c r="I130" s="194" t="b">
        <v>0</v>
      </c>
    </row>
    <row r="131" ht="22.5" customHeight="1">
      <c r="A131" s="188"/>
      <c r="B131" s="189" t="str">
        <f t="shared" si="1"/>
        <v/>
      </c>
      <c r="C131" s="199"/>
      <c r="D131" s="191"/>
      <c r="E131" s="191"/>
      <c r="F131" s="192"/>
      <c r="G131" s="193" t="str">
        <f>IFERROR(__xludf.DUMMYFUNCTION("IF(F131="""","""",IF(REGEXMATCH(UPPER(TRIM(C131)),""RENDIMIENTO|INVERSI[ÓO]N""),0,IF(OR(UPPER(TRIM(E131))=""TERMINAL"",UPPER(TRIM(E131))=""TRANSFERENCIA""),F131-F131/1.16,0)))"),"")</f>
        <v/>
      </c>
      <c r="H131" s="193" t="str">
        <f t="shared" si="2"/>
        <v/>
      </c>
      <c r="I131" s="194" t="b">
        <v>0</v>
      </c>
    </row>
    <row r="132" ht="22.5" customHeight="1">
      <c r="A132" s="188"/>
      <c r="B132" s="189" t="str">
        <f t="shared" si="1"/>
        <v/>
      </c>
      <c r="C132" s="199"/>
      <c r="D132" s="191"/>
      <c r="E132" s="191"/>
      <c r="F132" s="192"/>
      <c r="G132" s="193" t="str">
        <f>IFERROR(__xludf.DUMMYFUNCTION("IF(F132="""","""",IF(REGEXMATCH(UPPER(TRIM(C132)),""RENDIMIENTO|INVERSI[ÓO]N""),0,IF(OR(UPPER(TRIM(E132))=""TERMINAL"",UPPER(TRIM(E132))=""TRANSFERENCIA""),F132-F132/1.16,0)))"),"")</f>
        <v/>
      </c>
      <c r="H132" s="193" t="str">
        <f t="shared" si="2"/>
        <v/>
      </c>
      <c r="I132" s="194" t="b">
        <v>0</v>
      </c>
    </row>
    <row r="133" ht="22.5" customHeight="1">
      <c r="A133" s="188"/>
      <c r="B133" s="189" t="str">
        <f t="shared" si="1"/>
        <v/>
      </c>
      <c r="C133" s="199"/>
      <c r="D133" s="191"/>
      <c r="E133" s="191"/>
      <c r="F133" s="192"/>
      <c r="G133" s="193" t="str">
        <f>IFERROR(__xludf.DUMMYFUNCTION("IF(F133="""","""",IF(REGEXMATCH(UPPER(TRIM(C133)),""RENDIMIENTO|INVERSI[ÓO]N""),0,IF(OR(UPPER(TRIM(E133))=""TERMINAL"",UPPER(TRIM(E133))=""TRANSFERENCIA""),F133-F133/1.16,0)))"),"")</f>
        <v/>
      </c>
      <c r="H133" s="193" t="str">
        <f t="shared" si="2"/>
        <v/>
      </c>
      <c r="I133" s="194" t="b">
        <v>0</v>
      </c>
    </row>
    <row r="134" ht="22.5" customHeight="1">
      <c r="A134" s="188"/>
      <c r="B134" s="189" t="str">
        <f t="shared" si="1"/>
        <v/>
      </c>
      <c r="C134" s="199"/>
      <c r="D134" s="191"/>
      <c r="E134" s="191"/>
      <c r="F134" s="192"/>
      <c r="G134" s="193" t="str">
        <f>IFERROR(__xludf.DUMMYFUNCTION("IF(F134="""","""",IF(REGEXMATCH(UPPER(TRIM(C134)),""RENDIMIENTO|INVERSI[ÓO]N""),0,IF(OR(UPPER(TRIM(E134))=""TERMINAL"",UPPER(TRIM(E134))=""TRANSFERENCIA""),F134-F134/1.16,0)))"),"")</f>
        <v/>
      </c>
      <c r="H134" s="193" t="str">
        <f t="shared" si="2"/>
        <v/>
      </c>
      <c r="I134" s="194" t="b">
        <v>0</v>
      </c>
    </row>
    <row r="135" ht="22.5" customHeight="1">
      <c r="A135" s="188"/>
      <c r="B135" s="189" t="str">
        <f t="shared" si="1"/>
        <v/>
      </c>
      <c r="C135" s="199"/>
      <c r="D135" s="191"/>
      <c r="E135" s="191"/>
      <c r="F135" s="192"/>
      <c r="G135" s="193" t="str">
        <f>IFERROR(__xludf.DUMMYFUNCTION("IF(F135="""","""",IF(REGEXMATCH(UPPER(TRIM(C135)),""RENDIMIENTO|INVERSI[ÓO]N""),0,IF(OR(UPPER(TRIM(E135))=""TERMINAL"",UPPER(TRIM(E135))=""TRANSFERENCIA""),F135-F135/1.16,0)))"),"")</f>
        <v/>
      </c>
      <c r="H135" s="193" t="str">
        <f t="shared" si="2"/>
        <v/>
      </c>
      <c r="I135" s="194" t="b">
        <v>0</v>
      </c>
    </row>
    <row r="136" ht="22.5" customHeight="1">
      <c r="A136" s="188"/>
      <c r="B136" s="189" t="str">
        <f t="shared" si="1"/>
        <v/>
      </c>
      <c r="C136" s="199"/>
      <c r="D136" s="191"/>
      <c r="E136" s="191"/>
      <c r="F136" s="192"/>
      <c r="G136" s="193" t="str">
        <f>IFERROR(__xludf.DUMMYFUNCTION("IF(F136="""","""",IF(REGEXMATCH(UPPER(TRIM(C136)),""RENDIMIENTO|INVERSI[ÓO]N""),0,IF(OR(UPPER(TRIM(E136))=""TERMINAL"",UPPER(TRIM(E136))=""TRANSFERENCIA""),F136-F136/1.16,0)))"),"")</f>
        <v/>
      </c>
      <c r="H136" s="193" t="str">
        <f t="shared" si="2"/>
        <v/>
      </c>
      <c r="I136" s="194" t="b">
        <v>0</v>
      </c>
    </row>
    <row r="137" ht="22.5" customHeight="1">
      <c r="A137" s="188"/>
      <c r="B137" s="189" t="str">
        <f t="shared" si="1"/>
        <v/>
      </c>
      <c r="C137" s="199"/>
      <c r="D137" s="191"/>
      <c r="E137" s="191"/>
      <c r="F137" s="192"/>
      <c r="G137" s="193" t="str">
        <f>IFERROR(__xludf.DUMMYFUNCTION("IF(F137="""","""",IF(REGEXMATCH(UPPER(TRIM(C137)),""RENDIMIENTO|INVERSI[ÓO]N""),0,IF(OR(UPPER(TRIM(E137))=""TERMINAL"",UPPER(TRIM(E137))=""TRANSFERENCIA""),F137-F137/1.16,0)))"),"")</f>
        <v/>
      </c>
      <c r="H137" s="193" t="str">
        <f t="shared" si="2"/>
        <v/>
      </c>
      <c r="I137" s="194" t="b">
        <v>0</v>
      </c>
    </row>
    <row r="138" ht="22.5" customHeight="1">
      <c r="A138" s="188"/>
      <c r="B138" s="189" t="str">
        <f t="shared" si="1"/>
        <v/>
      </c>
      <c r="C138" s="199"/>
      <c r="D138" s="191"/>
      <c r="E138" s="191"/>
      <c r="F138" s="192"/>
      <c r="G138" s="193" t="str">
        <f>IFERROR(__xludf.DUMMYFUNCTION("IF(F138="""","""",IF(REGEXMATCH(UPPER(TRIM(C138)),""RENDIMIENTO|INVERSI[ÓO]N""),0,IF(OR(UPPER(TRIM(E138))=""TERMINAL"",UPPER(TRIM(E138))=""TRANSFERENCIA""),F138-F138/1.16,0)))"),"")</f>
        <v/>
      </c>
      <c r="H138" s="193" t="str">
        <f t="shared" si="2"/>
        <v/>
      </c>
      <c r="I138" s="194" t="b">
        <v>0</v>
      </c>
    </row>
    <row r="139" ht="22.5" customHeight="1">
      <c r="A139" s="188"/>
      <c r="B139" s="189" t="str">
        <f t="shared" si="1"/>
        <v/>
      </c>
      <c r="C139" s="199"/>
      <c r="D139" s="191"/>
      <c r="E139" s="191"/>
      <c r="F139" s="192"/>
      <c r="G139" s="193" t="str">
        <f>IFERROR(__xludf.DUMMYFUNCTION("IF(F139="""","""",IF(REGEXMATCH(UPPER(TRIM(C139)),""RENDIMIENTO|INVERSI[ÓO]N""),0,IF(OR(UPPER(TRIM(E139))=""TERMINAL"",UPPER(TRIM(E139))=""TRANSFERENCIA""),F139-F139/1.16,0)))"),"")</f>
        <v/>
      </c>
      <c r="H139" s="193" t="str">
        <f t="shared" si="2"/>
        <v/>
      </c>
      <c r="I139" s="194" t="b">
        <v>0</v>
      </c>
    </row>
    <row r="140" ht="22.5" customHeight="1">
      <c r="A140" s="188"/>
      <c r="B140" s="189" t="str">
        <f t="shared" si="1"/>
        <v/>
      </c>
      <c r="C140" s="199"/>
      <c r="D140" s="191"/>
      <c r="E140" s="191"/>
      <c r="F140" s="192"/>
      <c r="G140" s="193" t="str">
        <f>IFERROR(__xludf.DUMMYFUNCTION("IF(F140="""","""",IF(REGEXMATCH(UPPER(TRIM(C140)),""RENDIMIENTO|INVERSI[ÓO]N""),0,IF(OR(UPPER(TRIM(E140))=""TERMINAL"",UPPER(TRIM(E140))=""TRANSFERENCIA""),F140-F140/1.16,0)))"),"")</f>
        <v/>
      </c>
      <c r="H140" s="193" t="str">
        <f t="shared" si="2"/>
        <v/>
      </c>
      <c r="I140" s="194" t="b">
        <v>0</v>
      </c>
    </row>
    <row r="141" ht="22.5" customHeight="1">
      <c r="A141" s="188"/>
      <c r="B141" s="189" t="str">
        <f t="shared" si="1"/>
        <v/>
      </c>
      <c r="C141" s="199"/>
      <c r="D141" s="191"/>
      <c r="E141" s="191"/>
      <c r="F141" s="192"/>
      <c r="G141" s="193" t="str">
        <f>IFERROR(__xludf.DUMMYFUNCTION("IF(F141="""","""",IF(REGEXMATCH(UPPER(TRIM(C141)),""RENDIMIENTO|INVERSI[ÓO]N""),0,IF(OR(UPPER(TRIM(E141))=""TERMINAL"",UPPER(TRIM(E141))=""TRANSFERENCIA""),F141-F141/1.16,0)))"),"")</f>
        <v/>
      </c>
      <c r="H141" s="193" t="str">
        <f t="shared" si="2"/>
        <v/>
      </c>
      <c r="I141" s="194" t="b">
        <v>0</v>
      </c>
    </row>
    <row r="142" ht="22.5" customHeight="1">
      <c r="A142" s="188"/>
      <c r="B142" s="189" t="str">
        <f t="shared" si="1"/>
        <v/>
      </c>
      <c r="C142" s="199"/>
      <c r="D142" s="191"/>
      <c r="E142" s="191"/>
      <c r="F142" s="192"/>
      <c r="G142" s="193" t="str">
        <f>IFERROR(__xludf.DUMMYFUNCTION("IF(F142="""","""",IF(REGEXMATCH(UPPER(TRIM(C142)),""RENDIMIENTO|INVERSI[ÓO]N""),0,IF(OR(UPPER(TRIM(E142))=""TERMINAL"",UPPER(TRIM(E142))=""TRANSFERENCIA""),F142-F142/1.16,0)))"),"")</f>
        <v/>
      </c>
      <c r="H142" s="193" t="str">
        <f t="shared" si="2"/>
        <v/>
      </c>
      <c r="I142" s="194" t="b">
        <v>0</v>
      </c>
    </row>
    <row r="143" ht="22.5" customHeight="1">
      <c r="A143" s="188"/>
      <c r="B143" s="189" t="str">
        <f t="shared" si="1"/>
        <v/>
      </c>
      <c r="C143" s="199"/>
      <c r="D143" s="191"/>
      <c r="E143" s="191"/>
      <c r="F143" s="192"/>
      <c r="G143" s="193" t="str">
        <f>IFERROR(__xludf.DUMMYFUNCTION("IF(F143="""","""",IF(REGEXMATCH(UPPER(TRIM(C143)),""RENDIMIENTO|INVERSI[ÓO]N""),0,IF(OR(UPPER(TRIM(E143))=""TERMINAL"",UPPER(TRIM(E143))=""TRANSFERENCIA""),F143-F143/1.16,0)))"),"")</f>
        <v/>
      </c>
      <c r="H143" s="193" t="str">
        <f t="shared" si="2"/>
        <v/>
      </c>
      <c r="I143" s="194" t="b">
        <v>0</v>
      </c>
    </row>
    <row r="144" ht="22.5" customHeight="1">
      <c r="A144" s="188"/>
      <c r="B144" s="189" t="str">
        <f t="shared" si="1"/>
        <v/>
      </c>
      <c r="C144" s="199"/>
      <c r="D144" s="191"/>
      <c r="E144" s="191"/>
      <c r="F144" s="192"/>
      <c r="G144" s="193" t="str">
        <f>IFERROR(__xludf.DUMMYFUNCTION("IF(F144="""","""",IF(REGEXMATCH(UPPER(TRIM(C144)),""RENDIMIENTO|INVERSI[ÓO]N""),0,IF(OR(UPPER(TRIM(E144))=""TERMINAL"",UPPER(TRIM(E144))=""TRANSFERENCIA""),F144-F144/1.16,0)))"),"")</f>
        <v/>
      </c>
      <c r="H144" s="193" t="str">
        <f t="shared" si="2"/>
        <v/>
      </c>
      <c r="I144" s="194" t="b">
        <v>0</v>
      </c>
    </row>
    <row r="145" ht="22.5" customHeight="1">
      <c r="A145" s="188"/>
      <c r="B145" s="189" t="str">
        <f t="shared" si="1"/>
        <v/>
      </c>
      <c r="C145" s="199"/>
      <c r="D145" s="191"/>
      <c r="E145" s="191"/>
      <c r="F145" s="192"/>
      <c r="G145" s="193" t="str">
        <f>IFERROR(__xludf.DUMMYFUNCTION("IF(F145="""","""",IF(REGEXMATCH(UPPER(TRIM(C145)),""RENDIMIENTO|INVERSI[ÓO]N""),0,IF(OR(UPPER(TRIM(E145))=""TERMINAL"",UPPER(TRIM(E145))=""TRANSFERENCIA""),F145-F145/1.16,0)))"),"")</f>
        <v/>
      </c>
      <c r="H145" s="193" t="str">
        <f t="shared" si="2"/>
        <v/>
      </c>
      <c r="I145" s="194" t="b">
        <v>0</v>
      </c>
    </row>
    <row r="146" ht="22.5" customHeight="1">
      <c r="A146" s="188"/>
      <c r="B146" s="189" t="str">
        <f t="shared" si="1"/>
        <v/>
      </c>
      <c r="C146" s="199"/>
      <c r="D146" s="191"/>
      <c r="E146" s="191"/>
      <c r="F146" s="192"/>
      <c r="G146" s="193" t="str">
        <f>IFERROR(__xludf.DUMMYFUNCTION("IF(F146="""","""",IF(REGEXMATCH(UPPER(TRIM(C146)),""RENDIMIENTO|INVERSI[ÓO]N""),0,IF(OR(UPPER(TRIM(E146))=""TERMINAL"",UPPER(TRIM(E146))=""TRANSFERENCIA""),F146-F146/1.16,0)))"),"")</f>
        <v/>
      </c>
      <c r="H146" s="193" t="str">
        <f t="shared" si="2"/>
        <v/>
      </c>
      <c r="I146" s="194" t="b">
        <v>0</v>
      </c>
    </row>
    <row r="147" ht="22.5" customHeight="1">
      <c r="A147" s="188"/>
      <c r="B147" s="189" t="str">
        <f t="shared" si="1"/>
        <v/>
      </c>
      <c r="C147" s="199"/>
      <c r="D147" s="191"/>
      <c r="E147" s="191"/>
      <c r="F147" s="192"/>
      <c r="G147" s="193" t="str">
        <f>IFERROR(__xludf.DUMMYFUNCTION("IF(F147="""","""",IF(REGEXMATCH(UPPER(TRIM(C147)),""RENDIMIENTO|INVERSI[ÓO]N""),0,IF(OR(UPPER(TRIM(E147))=""TERMINAL"",UPPER(TRIM(E147))=""TRANSFERENCIA""),F147-F147/1.16,0)))"),"")</f>
        <v/>
      </c>
      <c r="H147" s="193" t="str">
        <f t="shared" si="2"/>
        <v/>
      </c>
      <c r="I147" s="194" t="b">
        <v>0</v>
      </c>
    </row>
    <row r="148" ht="22.5" customHeight="1">
      <c r="A148" s="188"/>
      <c r="B148" s="189" t="str">
        <f t="shared" si="1"/>
        <v/>
      </c>
      <c r="C148" s="199"/>
      <c r="D148" s="191"/>
      <c r="E148" s="191"/>
      <c r="F148" s="192"/>
      <c r="G148" s="193" t="str">
        <f>IFERROR(__xludf.DUMMYFUNCTION("IF(F148="""","""",IF(REGEXMATCH(UPPER(TRIM(C148)),""RENDIMIENTO|INVERSI[ÓO]N""),0,IF(OR(UPPER(TRIM(E148))=""TERMINAL"",UPPER(TRIM(E148))=""TRANSFERENCIA""),F148-F148/1.16,0)))"),"")</f>
        <v/>
      </c>
      <c r="H148" s="193" t="str">
        <f t="shared" si="2"/>
        <v/>
      </c>
      <c r="I148" s="194" t="b">
        <v>0</v>
      </c>
    </row>
    <row r="149" ht="22.5" customHeight="1">
      <c r="A149" s="188"/>
      <c r="B149" s="189" t="str">
        <f t="shared" si="1"/>
        <v/>
      </c>
      <c r="C149" s="199"/>
      <c r="D149" s="191"/>
      <c r="E149" s="191"/>
      <c r="F149" s="192"/>
      <c r="G149" s="193" t="str">
        <f>IFERROR(__xludf.DUMMYFUNCTION("IF(F149="""","""",IF(REGEXMATCH(UPPER(TRIM(C149)),""RENDIMIENTO|INVERSI[ÓO]N""),0,IF(OR(UPPER(TRIM(E149))=""TERMINAL"",UPPER(TRIM(E149))=""TRANSFERENCIA""),F149-F149/1.16,0)))"),"")</f>
        <v/>
      </c>
      <c r="H149" s="193" t="str">
        <f t="shared" si="2"/>
        <v/>
      </c>
      <c r="I149" s="194" t="b">
        <v>0</v>
      </c>
    </row>
    <row r="150" ht="22.5" customHeight="1">
      <c r="A150" s="188"/>
      <c r="B150" s="189" t="str">
        <f t="shared" si="1"/>
        <v/>
      </c>
      <c r="C150" s="199"/>
      <c r="D150" s="191"/>
      <c r="E150" s="191"/>
      <c r="F150" s="192"/>
      <c r="G150" s="193" t="str">
        <f>IFERROR(__xludf.DUMMYFUNCTION("IF(F150="""","""",IF(REGEXMATCH(UPPER(TRIM(C150)),""RENDIMIENTO|INVERSI[ÓO]N""),0,IF(OR(UPPER(TRIM(E150))=""TERMINAL"",UPPER(TRIM(E150))=""TRANSFERENCIA""),F150-F150/1.16,0)))"),"")</f>
        <v/>
      </c>
      <c r="H150" s="193" t="str">
        <f t="shared" si="2"/>
        <v/>
      </c>
      <c r="I150" s="194" t="b">
        <v>0</v>
      </c>
    </row>
    <row r="151" ht="22.5" customHeight="1">
      <c r="A151" s="188"/>
      <c r="B151" s="189" t="str">
        <f t="shared" si="1"/>
        <v/>
      </c>
      <c r="C151" s="199"/>
      <c r="D151" s="191"/>
      <c r="E151" s="191"/>
      <c r="F151" s="192"/>
      <c r="G151" s="193" t="str">
        <f>IFERROR(__xludf.DUMMYFUNCTION("IF(F151="""","""",IF(REGEXMATCH(UPPER(TRIM(C151)),""RENDIMIENTO|INVERSI[ÓO]N""),0,IF(OR(UPPER(TRIM(E151))=""TERMINAL"",UPPER(TRIM(E151))=""TRANSFERENCIA""),F151-F151/1.16,0)))"),"")</f>
        <v/>
      </c>
      <c r="H151" s="193" t="str">
        <f t="shared" si="2"/>
        <v/>
      </c>
      <c r="I151" s="194" t="b">
        <v>0</v>
      </c>
    </row>
    <row r="152" ht="22.5" customHeight="1">
      <c r="A152" s="188"/>
      <c r="B152" s="189" t="str">
        <f t="shared" si="1"/>
        <v/>
      </c>
      <c r="C152" s="199"/>
      <c r="D152" s="191"/>
      <c r="E152" s="191"/>
      <c r="F152" s="192"/>
      <c r="G152" s="193" t="str">
        <f>IFERROR(__xludf.DUMMYFUNCTION("IF(F152="""","""",IF(REGEXMATCH(UPPER(TRIM(C152)),""RENDIMIENTO|INVERSI[ÓO]N""),0,IF(OR(UPPER(TRIM(E152))=""TERMINAL"",UPPER(TRIM(E152))=""TRANSFERENCIA""),F152-F152/1.16,0)))"),"")</f>
        <v/>
      </c>
      <c r="H152" s="193" t="str">
        <f t="shared" si="2"/>
        <v/>
      </c>
      <c r="I152" s="194" t="b">
        <v>0</v>
      </c>
    </row>
    <row r="153" ht="22.5" customHeight="1">
      <c r="A153" s="188"/>
      <c r="B153" s="189" t="str">
        <f t="shared" si="1"/>
        <v/>
      </c>
      <c r="C153" s="199"/>
      <c r="D153" s="191"/>
      <c r="E153" s="191"/>
      <c r="F153" s="192"/>
      <c r="G153" s="193" t="str">
        <f>IFERROR(__xludf.DUMMYFUNCTION("IF(F153="""","""",IF(REGEXMATCH(UPPER(TRIM(C153)),""RENDIMIENTO|INVERSI[ÓO]N""),0,IF(OR(UPPER(TRIM(E153))=""TERMINAL"",UPPER(TRIM(E153))=""TRANSFERENCIA""),F153-F153/1.16,0)))"),"")</f>
        <v/>
      </c>
      <c r="H153" s="193" t="str">
        <f t="shared" si="2"/>
        <v/>
      </c>
      <c r="I153" s="194" t="b">
        <v>0</v>
      </c>
    </row>
    <row r="154" ht="22.5" customHeight="1">
      <c r="A154" s="188"/>
      <c r="B154" s="189" t="str">
        <f t="shared" si="1"/>
        <v/>
      </c>
      <c r="C154" s="199"/>
      <c r="D154" s="191"/>
      <c r="E154" s="191"/>
      <c r="F154" s="192"/>
      <c r="G154" s="193" t="str">
        <f>IFERROR(__xludf.DUMMYFUNCTION("IF(F154="""","""",IF(REGEXMATCH(UPPER(TRIM(C154)),""RENDIMIENTO|INVERSI[ÓO]N""),0,IF(OR(UPPER(TRIM(E154))=""TERMINAL"",UPPER(TRIM(E154))=""TRANSFERENCIA""),F154-F154/1.16,0)))"),"")</f>
        <v/>
      </c>
      <c r="H154" s="193" t="str">
        <f t="shared" si="2"/>
        <v/>
      </c>
      <c r="I154" s="194" t="b">
        <v>0</v>
      </c>
    </row>
    <row r="155" ht="22.5" customHeight="1">
      <c r="A155" s="188"/>
      <c r="B155" s="189" t="str">
        <f t="shared" si="1"/>
        <v/>
      </c>
      <c r="C155" s="199"/>
      <c r="D155" s="191"/>
      <c r="E155" s="191"/>
      <c r="F155" s="192"/>
      <c r="G155" s="193" t="str">
        <f>IFERROR(__xludf.DUMMYFUNCTION("IF(F155="""","""",IF(REGEXMATCH(UPPER(TRIM(C155)),""RENDIMIENTO|INVERSI[ÓO]N""),0,IF(OR(UPPER(TRIM(E155))=""TERMINAL"",UPPER(TRIM(E155))=""TRANSFERENCIA""),F155-F155/1.16,0)))"),"")</f>
        <v/>
      </c>
      <c r="H155" s="193" t="str">
        <f t="shared" si="2"/>
        <v/>
      </c>
      <c r="I155" s="194" t="b">
        <v>0</v>
      </c>
    </row>
    <row r="156" ht="22.5" customHeight="1">
      <c r="A156" s="188"/>
      <c r="B156" s="189" t="str">
        <f t="shared" si="1"/>
        <v/>
      </c>
      <c r="C156" s="199"/>
      <c r="D156" s="191"/>
      <c r="E156" s="191"/>
      <c r="F156" s="192"/>
      <c r="G156" s="193" t="str">
        <f>IFERROR(__xludf.DUMMYFUNCTION("IF(F156="""","""",IF(REGEXMATCH(UPPER(TRIM(C156)),""RENDIMIENTO|INVERSI[ÓO]N""),0,IF(OR(UPPER(TRIM(E156))=""TERMINAL"",UPPER(TRIM(E156))=""TRANSFERENCIA""),F156-F156/1.16,0)))"),"")</f>
        <v/>
      </c>
      <c r="H156" s="193" t="str">
        <f t="shared" si="2"/>
        <v/>
      </c>
      <c r="I156" s="194" t="b">
        <v>0</v>
      </c>
    </row>
    <row r="157" ht="22.5" customHeight="1">
      <c r="A157" s="188"/>
      <c r="B157" s="189" t="str">
        <f t="shared" si="1"/>
        <v/>
      </c>
      <c r="C157" s="199"/>
      <c r="D157" s="191"/>
      <c r="E157" s="191"/>
      <c r="F157" s="192"/>
      <c r="G157" s="193" t="str">
        <f>IFERROR(__xludf.DUMMYFUNCTION("IF(F157="""","""",IF(REGEXMATCH(UPPER(TRIM(C157)),""RENDIMIENTO|INVERSI[ÓO]N""),0,IF(OR(UPPER(TRIM(E157))=""TERMINAL"",UPPER(TRIM(E157))=""TRANSFERENCIA""),F157-F157/1.16,0)))"),"")</f>
        <v/>
      </c>
      <c r="H157" s="193" t="str">
        <f t="shared" si="2"/>
        <v/>
      </c>
      <c r="I157" s="194" t="b">
        <v>0</v>
      </c>
    </row>
    <row r="158" ht="22.5" customHeight="1">
      <c r="A158" s="188"/>
      <c r="B158" s="189" t="str">
        <f t="shared" si="1"/>
        <v/>
      </c>
      <c r="C158" s="199"/>
      <c r="D158" s="191"/>
      <c r="E158" s="191"/>
      <c r="F158" s="192"/>
      <c r="G158" s="193" t="str">
        <f>IFERROR(__xludf.DUMMYFUNCTION("IF(F158="""","""",IF(REGEXMATCH(UPPER(TRIM(C158)),""RENDIMIENTO|INVERSI[ÓO]N""),0,IF(OR(UPPER(TRIM(E158))=""TERMINAL"",UPPER(TRIM(E158))=""TRANSFERENCIA""),F158-F158/1.16,0)))"),"")</f>
        <v/>
      </c>
      <c r="H158" s="193" t="str">
        <f t="shared" si="2"/>
        <v/>
      </c>
      <c r="I158" s="194" t="b">
        <v>0</v>
      </c>
    </row>
    <row r="159" ht="22.5" customHeight="1">
      <c r="A159" s="188"/>
      <c r="B159" s="189" t="str">
        <f t="shared" si="1"/>
        <v/>
      </c>
      <c r="C159" s="199"/>
      <c r="D159" s="191"/>
      <c r="E159" s="191"/>
      <c r="F159" s="192"/>
      <c r="G159" s="193" t="str">
        <f>IFERROR(__xludf.DUMMYFUNCTION("IF(F159="""","""",IF(REGEXMATCH(UPPER(TRIM(C159)),""RENDIMIENTO|INVERSI[ÓO]N""),0,IF(OR(UPPER(TRIM(E159))=""TERMINAL"",UPPER(TRIM(E159))=""TRANSFERENCIA""),F159-F159/1.16,0)))"),"")</f>
        <v/>
      </c>
      <c r="H159" s="193" t="str">
        <f t="shared" si="2"/>
        <v/>
      </c>
      <c r="I159" s="194" t="b">
        <v>0</v>
      </c>
    </row>
    <row r="160" ht="22.5" customHeight="1">
      <c r="A160" s="188"/>
      <c r="B160" s="189" t="str">
        <f t="shared" si="1"/>
        <v/>
      </c>
      <c r="C160" s="199"/>
      <c r="D160" s="191"/>
      <c r="E160" s="191"/>
      <c r="F160" s="192"/>
      <c r="G160" s="193" t="str">
        <f>IFERROR(__xludf.DUMMYFUNCTION("IF(F160="""","""",IF(REGEXMATCH(UPPER(TRIM(C160)),""RENDIMIENTO|INVERSI[ÓO]N""),0,IF(OR(UPPER(TRIM(E160))=""TERMINAL"",UPPER(TRIM(E160))=""TRANSFERENCIA""),F160-F160/1.16,0)))"),"")</f>
        <v/>
      </c>
      <c r="H160" s="193" t="str">
        <f t="shared" si="2"/>
        <v/>
      </c>
      <c r="I160" s="194" t="b">
        <v>0</v>
      </c>
    </row>
    <row r="161" ht="22.5" customHeight="1">
      <c r="A161" s="188"/>
      <c r="B161" s="189" t="str">
        <f t="shared" si="1"/>
        <v/>
      </c>
      <c r="C161" s="199"/>
      <c r="D161" s="191"/>
      <c r="E161" s="191"/>
      <c r="F161" s="192"/>
      <c r="G161" s="193" t="str">
        <f>IFERROR(__xludf.DUMMYFUNCTION("IF(F161="""","""",IF(REGEXMATCH(UPPER(TRIM(C161)),""RENDIMIENTO|INVERSI[ÓO]N""),0,IF(OR(UPPER(TRIM(E161))=""TERMINAL"",UPPER(TRIM(E161))=""TRANSFERENCIA""),F161-F161/1.16,0)))"),"")</f>
        <v/>
      </c>
      <c r="H161" s="193" t="str">
        <f t="shared" si="2"/>
        <v/>
      </c>
      <c r="I161" s="194" t="b">
        <v>0</v>
      </c>
    </row>
    <row r="162" ht="22.5" customHeight="1">
      <c r="A162" s="188"/>
      <c r="B162" s="189" t="str">
        <f t="shared" si="1"/>
        <v/>
      </c>
      <c r="C162" s="199"/>
      <c r="D162" s="191"/>
      <c r="E162" s="191"/>
      <c r="F162" s="192"/>
      <c r="G162" s="193" t="str">
        <f>IFERROR(__xludf.DUMMYFUNCTION("IF(F162="""","""",IF(REGEXMATCH(UPPER(TRIM(C162)),""RENDIMIENTO|INVERSI[ÓO]N""),0,IF(OR(UPPER(TRIM(E162))=""TERMINAL"",UPPER(TRIM(E162))=""TRANSFERENCIA""),F162-F162/1.16,0)))"),"")</f>
        <v/>
      </c>
      <c r="H162" s="193" t="str">
        <f t="shared" si="2"/>
        <v/>
      </c>
      <c r="I162" s="194" t="b">
        <v>0</v>
      </c>
    </row>
    <row r="163" ht="22.5" customHeight="1">
      <c r="A163" s="188"/>
      <c r="B163" s="189" t="str">
        <f t="shared" si="1"/>
        <v/>
      </c>
      <c r="C163" s="199"/>
      <c r="D163" s="191"/>
      <c r="E163" s="191"/>
      <c r="F163" s="192"/>
      <c r="G163" s="193" t="str">
        <f>IFERROR(__xludf.DUMMYFUNCTION("IF(F163="""","""",IF(REGEXMATCH(UPPER(TRIM(C163)),""RENDIMIENTO|INVERSI[ÓO]N""),0,IF(OR(UPPER(TRIM(E163))=""TERMINAL"",UPPER(TRIM(E163))=""TRANSFERENCIA""),F163-F163/1.16,0)))"),"")</f>
        <v/>
      </c>
      <c r="H163" s="193" t="str">
        <f t="shared" si="2"/>
        <v/>
      </c>
      <c r="I163" s="194" t="b">
        <v>0</v>
      </c>
    </row>
    <row r="164" ht="22.5" customHeight="1">
      <c r="A164" s="188"/>
      <c r="B164" s="189" t="str">
        <f t="shared" si="1"/>
        <v/>
      </c>
      <c r="C164" s="199"/>
      <c r="D164" s="191"/>
      <c r="E164" s="191"/>
      <c r="F164" s="192"/>
      <c r="G164" s="193" t="str">
        <f>IFERROR(__xludf.DUMMYFUNCTION("IF(F164="""","""",IF(REGEXMATCH(UPPER(TRIM(C164)),""RENDIMIENTO|INVERSI[ÓO]N""),0,IF(OR(UPPER(TRIM(E164))=""TERMINAL"",UPPER(TRIM(E164))=""TRANSFERENCIA""),F164-F164/1.16,0)))"),"")</f>
        <v/>
      </c>
      <c r="H164" s="193" t="str">
        <f t="shared" si="2"/>
        <v/>
      </c>
      <c r="I164" s="194" t="b">
        <v>0</v>
      </c>
    </row>
    <row r="165" ht="22.5" customHeight="1">
      <c r="A165" s="188"/>
      <c r="B165" s="189" t="str">
        <f t="shared" si="1"/>
        <v/>
      </c>
      <c r="C165" s="199"/>
      <c r="D165" s="191"/>
      <c r="E165" s="191"/>
      <c r="F165" s="192"/>
      <c r="G165" s="193" t="str">
        <f>IFERROR(__xludf.DUMMYFUNCTION("IF(F165="""","""",IF(REGEXMATCH(UPPER(TRIM(C165)),""RENDIMIENTO|INVERSI[ÓO]N""),0,IF(OR(UPPER(TRIM(E165))=""TERMINAL"",UPPER(TRIM(E165))=""TRANSFERENCIA""),F165-F165/1.16,0)))"),"")</f>
        <v/>
      </c>
      <c r="H165" s="193" t="str">
        <f t="shared" si="2"/>
        <v/>
      </c>
      <c r="I165" s="194" t="b">
        <v>0</v>
      </c>
    </row>
    <row r="166" ht="22.5" customHeight="1">
      <c r="A166" s="188"/>
      <c r="B166" s="189" t="str">
        <f t="shared" si="1"/>
        <v/>
      </c>
      <c r="C166" s="199"/>
      <c r="D166" s="191"/>
      <c r="E166" s="191"/>
      <c r="F166" s="192"/>
      <c r="G166" s="193" t="str">
        <f>IFERROR(__xludf.DUMMYFUNCTION("IF(F166="""","""",IF(REGEXMATCH(UPPER(TRIM(C166)),""RENDIMIENTO|INVERSI[ÓO]N""),0,IF(OR(UPPER(TRIM(E166))=""TERMINAL"",UPPER(TRIM(E166))=""TRANSFERENCIA""),F166-F166/1.16,0)))"),"")</f>
        <v/>
      </c>
      <c r="H166" s="193" t="str">
        <f t="shared" si="2"/>
        <v/>
      </c>
      <c r="I166" s="194" t="b">
        <v>0</v>
      </c>
    </row>
    <row r="167" ht="22.5" customHeight="1">
      <c r="A167" s="188"/>
      <c r="B167" s="189" t="str">
        <f t="shared" si="1"/>
        <v/>
      </c>
      <c r="C167" s="199"/>
      <c r="D167" s="191"/>
      <c r="E167" s="191"/>
      <c r="F167" s="192"/>
      <c r="G167" s="193" t="str">
        <f>IFERROR(__xludf.DUMMYFUNCTION("IF(F167="""","""",IF(REGEXMATCH(UPPER(TRIM(C167)),""RENDIMIENTO|INVERSI[ÓO]N""),0,IF(OR(UPPER(TRIM(E167))=""TERMINAL"",UPPER(TRIM(E167))=""TRANSFERENCIA""),F167-F167/1.16,0)))"),"")</f>
        <v/>
      </c>
      <c r="H167" s="193" t="str">
        <f t="shared" si="2"/>
        <v/>
      </c>
      <c r="I167" s="194" t="b">
        <v>0</v>
      </c>
    </row>
    <row r="168" ht="22.5" customHeight="1">
      <c r="A168" s="188"/>
      <c r="B168" s="189" t="str">
        <f t="shared" si="1"/>
        <v/>
      </c>
      <c r="C168" s="199"/>
      <c r="D168" s="191"/>
      <c r="E168" s="191"/>
      <c r="F168" s="192"/>
      <c r="G168" s="193" t="str">
        <f>IFERROR(__xludf.DUMMYFUNCTION("IF(F168="""","""",IF(REGEXMATCH(UPPER(TRIM(C168)),""RENDIMIENTO|INVERSI[ÓO]N""),0,IF(OR(UPPER(TRIM(E168))=""TERMINAL"",UPPER(TRIM(E168))=""TRANSFERENCIA""),F168-F168/1.16,0)))"),"")</f>
        <v/>
      </c>
      <c r="H168" s="193" t="str">
        <f t="shared" si="2"/>
        <v/>
      </c>
      <c r="I168" s="194" t="b">
        <v>0</v>
      </c>
    </row>
    <row r="169" ht="22.5" customHeight="1">
      <c r="A169" s="188"/>
      <c r="B169" s="189" t="str">
        <f t="shared" si="1"/>
        <v/>
      </c>
      <c r="C169" s="199"/>
      <c r="D169" s="191"/>
      <c r="E169" s="191"/>
      <c r="F169" s="192"/>
      <c r="G169" s="193" t="str">
        <f>IFERROR(__xludf.DUMMYFUNCTION("IF(F169="""","""",IF(REGEXMATCH(UPPER(TRIM(C169)),""RENDIMIENTO|INVERSI[ÓO]N""),0,IF(OR(UPPER(TRIM(E169))=""TERMINAL"",UPPER(TRIM(E169))=""TRANSFERENCIA""),F169-F169/1.16,0)))"),"")</f>
        <v/>
      </c>
      <c r="H169" s="193" t="str">
        <f t="shared" si="2"/>
        <v/>
      </c>
      <c r="I169" s="194" t="b">
        <v>0</v>
      </c>
    </row>
    <row r="170" ht="22.5" customHeight="1">
      <c r="A170" s="188"/>
      <c r="B170" s="189" t="str">
        <f t="shared" si="1"/>
        <v/>
      </c>
      <c r="C170" s="199"/>
      <c r="D170" s="191"/>
      <c r="E170" s="191"/>
      <c r="F170" s="192"/>
      <c r="G170" s="193" t="str">
        <f>IFERROR(__xludf.DUMMYFUNCTION("IF(F170="""","""",IF(REGEXMATCH(UPPER(TRIM(C170)),""RENDIMIENTO|INVERSI[ÓO]N""),0,IF(OR(UPPER(TRIM(E170))=""TERMINAL"",UPPER(TRIM(E170))=""TRANSFERENCIA""),F170-F170/1.16,0)))"),"")</f>
        <v/>
      </c>
      <c r="H170" s="193" t="str">
        <f t="shared" si="2"/>
        <v/>
      </c>
      <c r="I170" s="194" t="b">
        <v>0</v>
      </c>
    </row>
    <row r="171" ht="22.5" customHeight="1">
      <c r="A171" s="188"/>
      <c r="B171" s="189" t="str">
        <f t="shared" si="1"/>
        <v/>
      </c>
      <c r="C171" s="199"/>
      <c r="D171" s="191"/>
      <c r="E171" s="191"/>
      <c r="F171" s="192"/>
      <c r="G171" s="193" t="str">
        <f>IFERROR(__xludf.DUMMYFUNCTION("IF(F171="""","""",IF(REGEXMATCH(UPPER(TRIM(C171)),""RENDIMIENTO|INVERSI[ÓO]N""),0,IF(OR(UPPER(TRIM(E171))=""TERMINAL"",UPPER(TRIM(E171))=""TRANSFERENCIA""),F171-F171/1.16,0)))"),"")</f>
        <v/>
      </c>
      <c r="H171" s="193" t="str">
        <f t="shared" si="2"/>
        <v/>
      </c>
      <c r="I171" s="194" t="b">
        <v>0</v>
      </c>
    </row>
    <row r="172" ht="22.5" customHeight="1">
      <c r="A172" s="188"/>
      <c r="B172" s="189" t="str">
        <f t="shared" si="1"/>
        <v/>
      </c>
      <c r="C172" s="199"/>
      <c r="D172" s="191"/>
      <c r="E172" s="191"/>
      <c r="F172" s="192"/>
      <c r="G172" s="193" t="str">
        <f>IFERROR(__xludf.DUMMYFUNCTION("IF(F172="""","""",IF(REGEXMATCH(UPPER(TRIM(C172)),""RENDIMIENTO|INVERSI[ÓO]N""),0,IF(OR(UPPER(TRIM(E172))=""TERMINAL"",UPPER(TRIM(E172))=""TRANSFERENCIA""),F172-F172/1.16,0)))"),"")</f>
        <v/>
      </c>
      <c r="H172" s="193" t="str">
        <f t="shared" si="2"/>
        <v/>
      </c>
      <c r="I172" s="194" t="b">
        <v>0</v>
      </c>
    </row>
    <row r="173" ht="22.5" customHeight="1">
      <c r="A173" s="188"/>
      <c r="B173" s="189" t="str">
        <f t="shared" si="1"/>
        <v/>
      </c>
      <c r="C173" s="199"/>
      <c r="D173" s="191"/>
      <c r="E173" s="191"/>
      <c r="F173" s="192"/>
      <c r="G173" s="193" t="str">
        <f>IFERROR(__xludf.DUMMYFUNCTION("IF(F173="""","""",IF(REGEXMATCH(UPPER(TRIM(C173)),""RENDIMIENTO|INVERSI[ÓO]N""),0,IF(OR(UPPER(TRIM(E173))=""TERMINAL"",UPPER(TRIM(E173))=""TRANSFERENCIA""),F173-F173/1.16,0)))"),"")</f>
        <v/>
      </c>
      <c r="H173" s="193" t="str">
        <f t="shared" si="2"/>
        <v/>
      </c>
      <c r="I173" s="194" t="b">
        <v>0</v>
      </c>
    </row>
    <row r="174" ht="22.5" customHeight="1">
      <c r="A174" s="188"/>
      <c r="B174" s="189" t="str">
        <f t="shared" si="1"/>
        <v/>
      </c>
      <c r="C174" s="199"/>
      <c r="D174" s="191"/>
      <c r="E174" s="191"/>
      <c r="F174" s="192"/>
      <c r="G174" s="193" t="str">
        <f>IFERROR(__xludf.DUMMYFUNCTION("IF(F174="""","""",IF(REGEXMATCH(UPPER(TRIM(C174)),""RENDIMIENTO|INVERSI[ÓO]N""),0,IF(OR(UPPER(TRIM(E174))=""TERMINAL"",UPPER(TRIM(E174))=""TRANSFERENCIA""),F174-F174/1.16,0)))"),"")</f>
        <v/>
      </c>
      <c r="H174" s="193" t="str">
        <f t="shared" si="2"/>
        <v/>
      </c>
      <c r="I174" s="194" t="b">
        <v>0</v>
      </c>
    </row>
    <row r="175" ht="22.5" customHeight="1">
      <c r="A175" s="188"/>
      <c r="B175" s="189" t="str">
        <f t="shared" si="1"/>
        <v/>
      </c>
      <c r="C175" s="199"/>
      <c r="D175" s="191"/>
      <c r="E175" s="191"/>
      <c r="F175" s="192"/>
      <c r="G175" s="193" t="str">
        <f>IFERROR(__xludf.DUMMYFUNCTION("IF(F175="""","""",IF(REGEXMATCH(UPPER(TRIM(C175)),""RENDIMIENTO|INVERSI[ÓO]N""),0,IF(OR(UPPER(TRIM(E175))=""TERMINAL"",UPPER(TRIM(E175))=""TRANSFERENCIA""),F175-F175/1.16,0)))"),"")</f>
        <v/>
      </c>
      <c r="H175" s="193" t="str">
        <f t="shared" si="2"/>
        <v/>
      </c>
      <c r="I175" s="194" t="b">
        <v>0</v>
      </c>
    </row>
    <row r="176" ht="22.5" customHeight="1">
      <c r="A176" s="188"/>
      <c r="B176" s="189" t="str">
        <f t="shared" si="1"/>
        <v/>
      </c>
      <c r="C176" s="199"/>
      <c r="D176" s="191"/>
      <c r="E176" s="191"/>
      <c r="F176" s="192"/>
      <c r="G176" s="193" t="str">
        <f>IFERROR(__xludf.DUMMYFUNCTION("IF(F176="""","""",IF(REGEXMATCH(UPPER(TRIM(C176)),""RENDIMIENTO|INVERSI[ÓO]N""),0,IF(OR(UPPER(TRIM(E176))=""TERMINAL"",UPPER(TRIM(E176))=""TRANSFERENCIA""),F176-F176/1.16,0)))"),"")</f>
        <v/>
      </c>
      <c r="H176" s="193" t="str">
        <f t="shared" si="2"/>
        <v/>
      </c>
      <c r="I176" s="194" t="b">
        <v>0</v>
      </c>
    </row>
    <row r="177" ht="22.5" customHeight="1">
      <c r="A177" s="188"/>
      <c r="B177" s="189" t="str">
        <f t="shared" si="1"/>
        <v/>
      </c>
      <c r="C177" s="199"/>
      <c r="D177" s="191"/>
      <c r="E177" s="191"/>
      <c r="F177" s="192"/>
      <c r="G177" s="193" t="str">
        <f>IFERROR(__xludf.DUMMYFUNCTION("IF(F177="""","""",IF(REGEXMATCH(UPPER(TRIM(C177)),""RENDIMIENTO|INVERSI[ÓO]N""),0,IF(OR(UPPER(TRIM(E177))=""TERMINAL"",UPPER(TRIM(E177))=""TRANSFERENCIA""),F177-F177/1.16,0)))"),"")</f>
        <v/>
      </c>
      <c r="H177" s="193" t="str">
        <f t="shared" si="2"/>
        <v/>
      </c>
      <c r="I177" s="194" t="b">
        <v>0</v>
      </c>
    </row>
    <row r="178" ht="22.5" customHeight="1">
      <c r="A178" s="188"/>
      <c r="B178" s="189" t="str">
        <f t="shared" si="1"/>
        <v/>
      </c>
      <c r="C178" s="199"/>
      <c r="D178" s="191"/>
      <c r="E178" s="191"/>
      <c r="F178" s="192"/>
      <c r="G178" s="193" t="str">
        <f>IFERROR(__xludf.DUMMYFUNCTION("IF(F178="""","""",IF(REGEXMATCH(UPPER(TRIM(C178)),""RENDIMIENTO|INVERSI[ÓO]N""),0,IF(OR(UPPER(TRIM(E178))=""TERMINAL"",UPPER(TRIM(E178))=""TRANSFERENCIA""),F178-F178/1.16,0)))"),"")</f>
        <v/>
      </c>
      <c r="H178" s="193" t="str">
        <f t="shared" si="2"/>
        <v/>
      </c>
      <c r="I178" s="194" t="b">
        <v>0</v>
      </c>
    </row>
    <row r="179" ht="22.5" customHeight="1">
      <c r="A179" s="188"/>
      <c r="B179" s="189" t="str">
        <f t="shared" si="1"/>
        <v/>
      </c>
      <c r="C179" s="199"/>
      <c r="D179" s="191"/>
      <c r="E179" s="191"/>
      <c r="F179" s="192"/>
      <c r="G179" s="193" t="str">
        <f>IFERROR(__xludf.DUMMYFUNCTION("IF(F179="""","""",IF(REGEXMATCH(UPPER(TRIM(C179)),""RENDIMIENTO|INVERSI[ÓO]N""),0,IF(OR(UPPER(TRIM(E179))=""TERMINAL"",UPPER(TRIM(E179))=""TRANSFERENCIA""),F179-F179/1.16,0)))"),"")</f>
        <v/>
      </c>
      <c r="H179" s="193" t="str">
        <f t="shared" si="2"/>
        <v/>
      </c>
      <c r="I179" s="194" t="b">
        <v>0</v>
      </c>
    </row>
    <row r="180" ht="22.5" customHeight="1">
      <c r="A180" s="188"/>
      <c r="B180" s="189" t="str">
        <f t="shared" si="1"/>
        <v/>
      </c>
      <c r="C180" s="199"/>
      <c r="D180" s="191"/>
      <c r="E180" s="191"/>
      <c r="F180" s="192"/>
      <c r="G180" s="193" t="str">
        <f>IFERROR(__xludf.DUMMYFUNCTION("IF(F180="""","""",IF(REGEXMATCH(UPPER(TRIM(C180)),""RENDIMIENTO|INVERSI[ÓO]N""),0,IF(OR(UPPER(TRIM(E180))=""TERMINAL"",UPPER(TRIM(E180))=""TRANSFERENCIA""),F180-F180/1.16,0)))"),"")</f>
        <v/>
      </c>
      <c r="H180" s="193" t="str">
        <f t="shared" si="2"/>
        <v/>
      </c>
      <c r="I180" s="194" t="b">
        <v>0</v>
      </c>
    </row>
    <row r="181" ht="22.5" customHeight="1">
      <c r="A181" s="188"/>
      <c r="B181" s="189" t="str">
        <f t="shared" si="1"/>
        <v/>
      </c>
      <c r="C181" s="199"/>
      <c r="D181" s="191"/>
      <c r="E181" s="191"/>
      <c r="F181" s="192"/>
      <c r="G181" s="193" t="str">
        <f>IFERROR(__xludf.DUMMYFUNCTION("IF(F181="""","""",IF(REGEXMATCH(UPPER(TRIM(C181)),""RENDIMIENTO|INVERSI[ÓO]N""),0,IF(OR(UPPER(TRIM(E181))=""TERMINAL"",UPPER(TRIM(E181))=""TRANSFERENCIA""),F181-F181/1.16,0)))"),"")</f>
        <v/>
      </c>
      <c r="H181" s="193" t="str">
        <f t="shared" si="2"/>
        <v/>
      </c>
      <c r="I181" s="194" t="b">
        <v>0</v>
      </c>
    </row>
    <row r="182" ht="22.5" customHeight="1">
      <c r="A182" s="188"/>
      <c r="B182" s="189" t="str">
        <f t="shared" si="1"/>
        <v/>
      </c>
      <c r="C182" s="199"/>
      <c r="D182" s="191"/>
      <c r="E182" s="191"/>
      <c r="F182" s="192"/>
      <c r="G182" s="193" t="str">
        <f>IFERROR(__xludf.DUMMYFUNCTION("IF(F182="""","""",IF(REGEXMATCH(UPPER(TRIM(C182)),""RENDIMIENTO|INVERSI[ÓO]N""),0,IF(OR(UPPER(TRIM(E182))=""TERMINAL"",UPPER(TRIM(E182))=""TRANSFERENCIA""),F182-F182/1.16,0)))"),"")</f>
        <v/>
      </c>
      <c r="H182" s="193" t="str">
        <f t="shared" si="2"/>
        <v/>
      </c>
      <c r="I182" s="194" t="b">
        <v>0</v>
      </c>
    </row>
    <row r="183" ht="22.5" customHeight="1">
      <c r="A183" s="188"/>
      <c r="B183" s="189" t="str">
        <f t="shared" si="1"/>
        <v/>
      </c>
      <c r="C183" s="199"/>
      <c r="D183" s="191"/>
      <c r="E183" s="191"/>
      <c r="F183" s="192"/>
      <c r="G183" s="193" t="str">
        <f>IFERROR(__xludf.DUMMYFUNCTION("IF(F183="""","""",IF(REGEXMATCH(UPPER(TRIM(C183)),""RENDIMIENTO|INVERSI[ÓO]N""),0,IF(OR(UPPER(TRIM(E183))=""TERMINAL"",UPPER(TRIM(E183))=""TRANSFERENCIA""),F183-F183/1.16,0)))"),"")</f>
        <v/>
      </c>
      <c r="H183" s="193" t="str">
        <f t="shared" si="2"/>
        <v/>
      </c>
      <c r="I183" s="194" t="b">
        <v>0</v>
      </c>
    </row>
    <row r="184" ht="22.5" customHeight="1">
      <c r="A184" s="188"/>
      <c r="B184" s="189" t="str">
        <f t="shared" si="1"/>
        <v/>
      </c>
      <c r="C184" s="199"/>
      <c r="D184" s="191"/>
      <c r="E184" s="191"/>
      <c r="F184" s="192"/>
      <c r="G184" s="193" t="str">
        <f>IFERROR(__xludf.DUMMYFUNCTION("IF(F184="""","""",IF(REGEXMATCH(UPPER(TRIM(C184)),""RENDIMIENTO|INVERSI[ÓO]N""),0,IF(OR(UPPER(TRIM(E184))=""TERMINAL"",UPPER(TRIM(E184))=""TRANSFERENCIA""),F184-F184/1.16,0)))"),"")</f>
        <v/>
      </c>
      <c r="H184" s="193" t="str">
        <f t="shared" si="2"/>
        <v/>
      </c>
      <c r="I184" s="194" t="b">
        <v>0</v>
      </c>
    </row>
    <row r="185" ht="22.5" customHeight="1">
      <c r="A185" s="188"/>
      <c r="B185" s="189" t="str">
        <f t="shared" si="1"/>
        <v/>
      </c>
      <c r="C185" s="199"/>
      <c r="D185" s="191"/>
      <c r="E185" s="191"/>
      <c r="F185" s="192"/>
      <c r="G185" s="193" t="str">
        <f>IFERROR(__xludf.DUMMYFUNCTION("IF(F185="""","""",IF(REGEXMATCH(UPPER(TRIM(C185)),""RENDIMIENTO|INVERSI[ÓO]N""),0,IF(OR(UPPER(TRIM(E185))=""TERMINAL"",UPPER(TRIM(E185))=""TRANSFERENCIA""),F185-F185/1.16,0)))"),"")</f>
        <v/>
      </c>
      <c r="H185" s="193" t="str">
        <f t="shared" si="2"/>
        <v/>
      </c>
      <c r="I185" s="194" t="b">
        <v>0</v>
      </c>
    </row>
    <row r="186" ht="22.5" customHeight="1">
      <c r="A186" s="188"/>
      <c r="B186" s="189" t="str">
        <f t="shared" si="1"/>
        <v/>
      </c>
      <c r="C186" s="199"/>
      <c r="D186" s="191"/>
      <c r="E186" s="191"/>
      <c r="F186" s="192"/>
      <c r="G186" s="193" t="str">
        <f>IFERROR(__xludf.DUMMYFUNCTION("IF(F186="""","""",IF(REGEXMATCH(UPPER(TRIM(C186)),""RENDIMIENTO|INVERSI[ÓO]N""),0,IF(OR(UPPER(TRIM(E186))=""TERMINAL"",UPPER(TRIM(E186))=""TRANSFERENCIA""),F186-F186/1.16,0)))"),"")</f>
        <v/>
      </c>
      <c r="H186" s="193" t="str">
        <f t="shared" si="2"/>
        <v/>
      </c>
      <c r="I186" s="194" t="b">
        <v>0</v>
      </c>
    </row>
    <row r="187" ht="22.5" customHeight="1">
      <c r="A187" s="188"/>
      <c r="B187" s="189" t="str">
        <f t="shared" si="1"/>
        <v/>
      </c>
      <c r="C187" s="199"/>
      <c r="D187" s="191"/>
      <c r="E187" s="191"/>
      <c r="F187" s="192"/>
      <c r="G187" s="193" t="str">
        <f>IFERROR(__xludf.DUMMYFUNCTION("IF(F187="""","""",IF(REGEXMATCH(UPPER(TRIM(C187)),""RENDIMIENTO|INVERSI[ÓO]N""),0,IF(OR(UPPER(TRIM(E187))=""TERMINAL"",UPPER(TRIM(E187))=""TRANSFERENCIA""),F187-F187/1.16,0)))"),"")</f>
        <v/>
      </c>
      <c r="H187" s="193" t="str">
        <f t="shared" si="2"/>
        <v/>
      </c>
      <c r="I187" s="194" t="b">
        <v>0</v>
      </c>
    </row>
    <row r="188" ht="22.5" customHeight="1">
      <c r="A188" s="188"/>
      <c r="B188" s="189" t="str">
        <f t="shared" si="1"/>
        <v/>
      </c>
      <c r="C188" s="199"/>
      <c r="D188" s="191"/>
      <c r="E188" s="191"/>
      <c r="F188" s="192"/>
      <c r="G188" s="193" t="str">
        <f>IFERROR(__xludf.DUMMYFUNCTION("IF(F188="""","""",IF(REGEXMATCH(UPPER(TRIM(C188)),""RENDIMIENTO|INVERSI[ÓO]N""),0,IF(OR(UPPER(TRIM(E188))=""TERMINAL"",UPPER(TRIM(E188))=""TRANSFERENCIA""),F188-F188/1.16,0)))"),"")</f>
        <v/>
      </c>
      <c r="H188" s="193" t="str">
        <f t="shared" si="2"/>
        <v/>
      </c>
      <c r="I188" s="194" t="b">
        <v>0</v>
      </c>
    </row>
    <row r="189" ht="22.5" customHeight="1">
      <c r="A189" s="188"/>
      <c r="B189" s="189" t="str">
        <f t="shared" si="1"/>
        <v/>
      </c>
      <c r="C189" s="199"/>
      <c r="D189" s="191"/>
      <c r="E189" s="191"/>
      <c r="F189" s="192"/>
      <c r="G189" s="193" t="str">
        <f>IFERROR(__xludf.DUMMYFUNCTION("IF(F189="""","""",IF(REGEXMATCH(UPPER(TRIM(C189)),""RENDIMIENTO|INVERSI[ÓO]N""),0,IF(OR(UPPER(TRIM(E189))=""TERMINAL"",UPPER(TRIM(E189))=""TRANSFERENCIA""),F189-F189/1.16,0)))"),"")</f>
        <v/>
      </c>
      <c r="H189" s="193" t="str">
        <f t="shared" si="2"/>
        <v/>
      </c>
      <c r="I189" s="194" t="b">
        <v>0</v>
      </c>
    </row>
    <row r="190" ht="22.5" customHeight="1">
      <c r="A190" s="188"/>
      <c r="B190" s="189" t="str">
        <f t="shared" si="1"/>
        <v/>
      </c>
      <c r="C190" s="199"/>
      <c r="D190" s="191"/>
      <c r="E190" s="191"/>
      <c r="F190" s="192"/>
      <c r="G190" s="193" t="str">
        <f>IFERROR(__xludf.DUMMYFUNCTION("IF(F190="""","""",IF(REGEXMATCH(UPPER(TRIM(C190)),""RENDIMIENTO|INVERSI[ÓO]N""),0,IF(OR(UPPER(TRIM(E190))=""TERMINAL"",UPPER(TRIM(E190))=""TRANSFERENCIA""),F190-F190/1.16,0)))"),"")</f>
        <v/>
      </c>
      <c r="H190" s="193" t="str">
        <f t="shared" si="2"/>
        <v/>
      </c>
      <c r="I190" s="194" t="b">
        <v>0</v>
      </c>
    </row>
    <row r="191" ht="22.5" customHeight="1">
      <c r="A191" s="188"/>
      <c r="B191" s="189" t="str">
        <f t="shared" si="1"/>
        <v/>
      </c>
      <c r="C191" s="199"/>
      <c r="D191" s="191"/>
      <c r="E191" s="191"/>
      <c r="F191" s="192"/>
      <c r="G191" s="193" t="str">
        <f>IFERROR(__xludf.DUMMYFUNCTION("IF(F191="""","""",IF(REGEXMATCH(UPPER(TRIM(C191)),""RENDIMIENTO|INVERSI[ÓO]N""),0,IF(OR(UPPER(TRIM(E191))=""TERMINAL"",UPPER(TRIM(E191))=""TRANSFERENCIA""),F191-F191/1.16,0)))"),"")</f>
        <v/>
      </c>
      <c r="H191" s="193" t="str">
        <f t="shared" si="2"/>
        <v/>
      </c>
      <c r="I191" s="194" t="b">
        <v>0</v>
      </c>
    </row>
    <row r="192" ht="22.5" customHeight="1">
      <c r="A192" s="188"/>
      <c r="B192" s="189" t="str">
        <f t="shared" si="1"/>
        <v/>
      </c>
      <c r="C192" s="199"/>
      <c r="D192" s="191"/>
      <c r="E192" s="191"/>
      <c r="F192" s="192"/>
      <c r="G192" s="193" t="str">
        <f>IFERROR(__xludf.DUMMYFUNCTION("IF(F192="""","""",IF(REGEXMATCH(UPPER(TRIM(C192)),""RENDIMIENTO|INVERSI[ÓO]N""),0,IF(OR(UPPER(TRIM(E192))=""TERMINAL"",UPPER(TRIM(E192))=""TRANSFERENCIA""),F192-F192/1.16,0)))"),"")</f>
        <v/>
      </c>
      <c r="H192" s="193" t="str">
        <f t="shared" si="2"/>
        <v/>
      </c>
      <c r="I192" s="194" t="b">
        <v>0</v>
      </c>
    </row>
    <row r="193" ht="22.5" customHeight="1">
      <c r="A193" s="188"/>
      <c r="B193" s="189" t="str">
        <f t="shared" si="1"/>
        <v/>
      </c>
      <c r="C193" s="199"/>
      <c r="D193" s="191"/>
      <c r="E193" s="191"/>
      <c r="F193" s="192"/>
      <c r="G193" s="193" t="str">
        <f>IFERROR(__xludf.DUMMYFUNCTION("IF(F193="""","""",IF(REGEXMATCH(UPPER(TRIM(C193)),""RENDIMIENTO|INVERSI[ÓO]N""),0,IF(OR(UPPER(TRIM(E193))=""TERMINAL"",UPPER(TRIM(E193))=""TRANSFERENCIA""),F193-F193/1.16,0)))"),"")</f>
        <v/>
      </c>
      <c r="H193" s="193" t="str">
        <f t="shared" si="2"/>
        <v/>
      </c>
      <c r="I193" s="194" t="b">
        <v>0</v>
      </c>
    </row>
    <row r="194" ht="22.5" customHeight="1">
      <c r="A194" s="188"/>
      <c r="B194" s="189" t="str">
        <f t="shared" si="1"/>
        <v/>
      </c>
      <c r="C194" s="199"/>
      <c r="D194" s="191"/>
      <c r="E194" s="191"/>
      <c r="F194" s="192"/>
      <c r="G194" s="193" t="str">
        <f>IFERROR(__xludf.DUMMYFUNCTION("IF(F194="""","""",IF(REGEXMATCH(UPPER(TRIM(C194)),""RENDIMIENTO|INVERSI[ÓO]N""),0,IF(OR(UPPER(TRIM(E194))=""TERMINAL"",UPPER(TRIM(E194))=""TRANSFERENCIA""),F194-F194/1.16,0)))"),"")</f>
        <v/>
      </c>
      <c r="H194" s="193" t="str">
        <f t="shared" si="2"/>
        <v/>
      </c>
      <c r="I194" s="194" t="b">
        <v>0</v>
      </c>
    </row>
    <row r="195" ht="22.5" customHeight="1">
      <c r="A195" s="188"/>
      <c r="B195" s="189" t="str">
        <f t="shared" si="1"/>
        <v/>
      </c>
      <c r="C195" s="199"/>
      <c r="D195" s="191"/>
      <c r="E195" s="191"/>
      <c r="F195" s="192"/>
      <c r="G195" s="193" t="str">
        <f>IFERROR(__xludf.DUMMYFUNCTION("IF(F195="""","""",IF(REGEXMATCH(UPPER(TRIM(C195)),""RENDIMIENTO|INVERSI[ÓO]N""),0,IF(OR(UPPER(TRIM(E195))=""TERMINAL"",UPPER(TRIM(E195))=""TRANSFERENCIA""),F195-F195/1.16,0)))"),"")</f>
        <v/>
      </c>
      <c r="H195" s="193" t="str">
        <f t="shared" si="2"/>
        <v/>
      </c>
      <c r="I195" s="194" t="b">
        <v>0</v>
      </c>
    </row>
    <row r="196" ht="22.5" customHeight="1">
      <c r="A196" s="188"/>
      <c r="B196" s="189" t="str">
        <f t="shared" si="1"/>
        <v/>
      </c>
      <c r="C196" s="199"/>
      <c r="D196" s="191"/>
      <c r="E196" s="191"/>
      <c r="F196" s="192"/>
      <c r="G196" s="193" t="str">
        <f>IFERROR(__xludf.DUMMYFUNCTION("IF(F196="""","""",IF(REGEXMATCH(UPPER(TRIM(C196)),""RENDIMIENTO|INVERSI[ÓO]N""),0,IF(OR(UPPER(TRIM(E196))=""TERMINAL"",UPPER(TRIM(E196))=""TRANSFERENCIA""),F196-F196/1.16,0)))"),"")</f>
        <v/>
      </c>
      <c r="H196" s="193" t="str">
        <f t="shared" si="2"/>
        <v/>
      </c>
      <c r="I196" s="194" t="b">
        <v>0</v>
      </c>
    </row>
    <row r="197" ht="22.5" customHeight="1">
      <c r="A197" s="188"/>
      <c r="B197" s="189" t="str">
        <f t="shared" si="1"/>
        <v/>
      </c>
      <c r="C197" s="199"/>
      <c r="D197" s="191"/>
      <c r="E197" s="191"/>
      <c r="F197" s="192"/>
      <c r="G197" s="193" t="str">
        <f>IFERROR(__xludf.DUMMYFUNCTION("IF(F197="""","""",IF(REGEXMATCH(UPPER(TRIM(C197)),""RENDIMIENTO|INVERSI[ÓO]N""),0,IF(OR(UPPER(TRIM(E197))=""TERMINAL"",UPPER(TRIM(E197))=""TRANSFERENCIA""),F197-F197/1.16,0)))"),"")</f>
        <v/>
      </c>
      <c r="H197" s="193" t="str">
        <f t="shared" si="2"/>
        <v/>
      </c>
      <c r="I197" s="194" t="b">
        <v>0</v>
      </c>
    </row>
    <row r="198" ht="22.5" customHeight="1">
      <c r="A198" s="188"/>
      <c r="B198" s="189" t="str">
        <f t="shared" si="1"/>
        <v/>
      </c>
      <c r="C198" s="199"/>
      <c r="D198" s="191"/>
      <c r="E198" s="191"/>
      <c r="F198" s="192"/>
      <c r="G198" s="193" t="str">
        <f>IFERROR(__xludf.DUMMYFUNCTION("IF(F198="""","""",IF(REGEXMATCH(UPPER(TRIM(C198)),""RENDIMIENTO|INVERSI[ÓO]N""),0,IF(OR(UPPER(TRIM(E198))=""TERMINAL"",UPPER(TRIM(E198))=""TRANSFERENCIA""),F198-F198/1.16,0)))"),"")</f>
        <v/>
      </c>
      <c r="H198" s="193" t="str">
        <f t="shared" si="2"/>
        <v/>
      </c>
      <c r="I198" s="194" t="b">
        <v>0</v>
      </c>
    </row>
    <row r="199" ht="22.5" customHeight="1">
      <c r="A199" s="188"/>
      <c r="B199" s="189" t="str">
        <f t="shared" si="1"/>
        <v/>
      </c>
      <c r="C199" s="199"/>
      <c r="D199" s="191"/>
      <c r="E199" s="191"/>
      <c r="F199" s="192"/>
      <c r="G199" s="193" t="str">
        <f>IFERROR(__xludf.DUMMYFUNCTION("IF(F199="""","""",IF(REGEXMATCH(UPPER(TRIM(C199)),""RENDIMIENTO|INVERSI[ÓO]N""),0,IF(OR(UPPER(TRIM(E199))=""TERMINAL"",UPPER(TRIM(E199))=""TRANSFERENCIA""),F199-F199/1.16,0)))"),"")</f>
        <v/>
      </c>
      <c r="H199" s="193" t="str">
        <f t="shared" si="2"/>
        <v/>
      </c>
      <c r="I199" s="194" t="b">
        <v>0</v>
      </c>
    </row>
    <row r="200" ht="22.5" customHeight="1">
      <c r="A200" s="188"/>
      <c r="B200" s="189" t="str">
        <f t="shared" si="1"/>
        <v/>
      </c>
      <c r="C200" s="199"/>
      <c r="D200" s="191"/>
      <c r="E200" s="191"/>
      <c r="F200" s="192"/>
      <c r="G200" s="193" t="str">
        <f>IFERROR(__xludf.DUMMYFUNCTION("IF(F200="""","""",IF(REGEXMATCH(UPPER(TRIM(C200)),""RENDIMIENTO|INVERSI[ÓO]N""),0,IF(OR(UPPER(TRIM(E200))=""TERMINAL"",UPPER(TRIM(E200))=""TRANSFERENCIA""),F200-F200/1.16,0)))"),"")</f>
        <v/>
      </c>
      <c r="H200" s="193" t="str">
        <f t="shared" si="2"/>
        <v/>
      </c>
      <c r="I200" s="194" t="b">
        <v>0</v>
      </c>
    </row>
    <row r="201" ht="22.5" customHeight="1">
      <c r="A201" s="188"/>
      <c r="B201" s="189" t="str">
        <f t="shared" si="1"/>
        <v/>
      </c>
      <c r="C201" s="199"/>
      <c r="D201" s="191"/>
      <c r="E201" s="191"/>
      <c r="F201" s="192"/>
      <c r="G201" s="193" t="str">
        <f>IFERROR(__xludf.DUMMYFUNCTION("IF(F201="""","""",IF(REGEXMATCH(UPPER(TRIM(C201)),""RENDIMIENTO|INVERSI[ÓO]N""),0,IF(OR(UPPER(TRIM(E201))=""TERMINAL"",UPPER(TRIM(E201))=""TRANSFERENCIA""),F201-F201/1.16,0)))"),"")</f>
        <v/>
      </c>
      <c r="H201" s="193" t="str">
        <f t="shared" si="2"/>
        <v/>
      </c>
      <c r="I201" s="194" t="b">
        <v>0</v>
      </c>
    </row>
    <row r="202" ht="22.5" customHeight="1">
      <c r="A202" s="188"/>
      <c r="B202" s="189" t="str">
        <f t="shared" si="1"/>
        <v/>
      </c>
      <c r="C202" s="199"/>
      <c r="D202" s="191"/>
      <c r="E202" s="191"/>
      <c r="F202" s="192"/>
      <c r="G202" s="193" t="str">
        <f>IFERROR(__xludf.DUMMYFUNCTION("IF(F202="""","""",IF(REGEXMATCH(UPPER(TRIM(C202)),""RENDIMIENTO|INVERSI[ÓO]N""),0,IF(OR(UPPER(TRIM(E202))=""TERMINAL"",UPPER(TRIM(E202))=""TRANSFERENCIA""),F202-F202/1.16,0)))"),"")</f>
        <v/>
      </c>
      <c r="H202" s="193" t="str">
        <f t="shared" si="2"/>
        <v/>
      </c>
      <c r="I202" s="194" t="b">
        <v>0</v>
      </c>
    </row>
    <row r="203" ht="22.5" customHeight="1">
      <c r="A203" s="188"/>
      <c r="B203" s="189" t="str">
        <f t="shared" si="1"/>
        <v/>
      </c>
      <c r="C203" s="199"/>
      <c r="D203" s="191"/>
      <c r="E203" s="191"/>
      <c r="F203" s="192"/>
      <c r="G203" s="193" t="str">
        <f>IFERROR(__xludf.DUMMYFUNCTION("IF(F203="""","""",IF(REGEXMATCH(UPPER(TRIM(C203)),""RENDIMIENTO|INVERSI[ÓO]N""),0,IF(OR(UPPER(TRIM(E203))=""TERMINAL"",UPPER(TRIM(E203))=""TRANSFERENCIA""),F203-F203/1.16,0)))"),"")</f>
        <v/>
      </c>
      <c r="H203" s="193" t="str">
        <f t="shared" si="2"/>
        <v/>
      </c>
      <c r="I203" s="194" t="b">
        <v>0</v>
      </c>
    </row>
    <row r="204" ht="22.5" customHeight="1">
      <c r="A204" s="188"/>
      <c r="B204" s="189" t="str">
        <f t="shared" si="1"/>
        <v/>
      </c>
      <c r="C204" s="199"/>
      <c r="D204" s="191"/>
      <c r="E204" s="191"/>
      <c r="F204" s="192"/>
      <c r="G204" s="193" t="str">
        <f>IFERROR(__xludf.DUMMYFUNCTION("IF(F204="""","""",IF(REGEXMATCH(UPPER(TRIM(C204)),""RENDIMIENTO|INVERSI[ÓO]N""),0,IF(OR(UPPER(TRIM(E204))=""TERMINAL"",UPPER(TRIM(E204))=""TRANSFERENCIA""),F204-F204/1.16,0)))"),"")</f>
        <v/>
      </c>
      <c r="H204" s="193" t="str">
        <f t="shared" si="2"/>
        <v/>
      </c>
      <c r="I204" s="194" t="b">
        <v>0</v>
      </c>
    </row>
    <row r="205" ht="22.5" customHeight="1">
      <c r="A205" s="188"/>
      <c r="B205" s="189" t="str">
        <f t="shared" si="1"/>
        <v/>
      </c>
      <c r="C205" s="199"/>
      <c r="D205" s="191"/>
      <c r="E205" s="191"/>
      <c r="F205" s="192"/>
      <c r="G205" s="193" t="str">
        <f>IFERROR(__xludf.DUMMYFUNCTION("IF(F205="""","""",IF(REGEXMATCH(UPPER(TRIM(C205)),""RENDIMIENTO|INVERSI[ÓO]N""),0,IF(OR(UPPER(TRIM(E205))=""TERMINAL"",UPPER(TRIM(E205))=""TRANSFERENCIA""),F205-F205/1.16,0)))"),"")</f>
        <v/>
      </c>
      <c r="H205" s="193" t="str">
        <f t="shared" si="2"/>
        <v/>
      </c>
      <c r="I205" s="194" t="b">
        <v>0</v>
      </c>
    </row>
    <row r="206" ht="22.5" customHeight="1">
      <c r="A206" s="188"/>
      <c r="B206" s="189" t="str">
        <f t="shared" si="1"/>
        <v/>
      </c>
      <c r="C206" s="199"/>
      <c r="D206" s="191"/>
      <c r="E206" s="191"/>
      <c r="F206" s="192"/>
      <c r="G206" s="193" t="str">
        <f>IFERROR(__xludf.DUMMYFUNCTION("IF(F206="""","""",IF(REGEXMATCH(UPPER(TRIM(C206)),""RENDIMIENTO|INVERSI[ÓO]N""),0,IF(OR(UPPER(TRIM(E206))=""TERMINAL"",UPPER(TRIM(E206))=""TRANSFERENCIA""),F206-F206/1.16,0)))"),"")</f>
        <v/>
      </c>
      <c r="H206" s="193" t="str">
        <f t="shared" si="2"/>
        <v/>
      </c>
      <c r="I206" s="194" t="b">
        <v>0</v>
      </c>
    </row>
    <row r="207" ht="22.5" customHeight="1">
      <c r="A207" s="188"/>
      <c r="B207" s="189" t="str">
        <f t="shared" si="1"/>
        <v/>
      </c>
      <c r="C207" s="199"/>
      <c r="D207" s="191"/>
      <c r="E207" s="191"/>
      <c r="F207" s="192"/>
      <c r="G207" s="193" t="str">
        <f>IFERROR(__xludf.DUMMYFUNCTION("IF(F207="""","""",IF(REGEXMATCH(UPPER(TRIM(C207)),""RENDIMIENTO|INVERSI[ÓO]N""),0,IF(OR(UPPER(TRIM(E207))=""TERMINAL"",UPPER(TRIM(E207))=""TRANSFERENCIA""),F207-F207/1.16,0)))"),"")</f>
        <v/>
      </c>
      <c r="H207" s="193" t="str">
        <f t="shared" si="2"/>
        <v/>
      </c>
      <c r="I207" s="194" t="b">
        <v>0</v>
      </c>
    </row>
    <row r="208" ht="22.5" customHeight="1">
      <c r="A208" s="188"/>
      <c r="B208" s="189" t="str">
        <f t="shared" si="1"/>
        <v/>
      </c>
      <c r="C208" s="199"/>
      <c r="D208" s="191"/>
      <c r="E208" s="191"/>
      <c r="F208" s="192"/>
      <c r="G208" s="193" t="str">
        <f>IFERROR(__xludf.DUMMYFUNCTION("IF(F208="""","""",IF(REGEXMATCH(UPPER(TRIM(C208)),""RENDIMIENTO|INVERSI[ÓO]N""),0,IF(OR(UPPER(TRIM(E208))=""TERMINAL"",UPPER(TRIM(E208))=""TRANSFERENCIA""),F208-F208/1.16,0)))"),"")</f>
        <v/>
      </c>
      <c r="H208" s="193" t="str">
        <f t="shared" si="2"/>
        <v/>
      </c>
      <c r="I208" s="194" t="b">
        <v>0</v>
      </c>
    </row>
    <row r="209" ht="22.5" customHeight="1">
      <c r="A209" s="188"/>
      <c r="B209" s="189" t="str">
        <f t="shared" si="1"/>
        <v/>
      </c>
      <c r="C209" s="199"/>
      <c r="D209" s="191"/>
      <c r="E209" s="191"/>
      <c r="F209" s="192"/>
      <c r="G209" s="193" t="str">
        <f>IFERROR(__xludf.DUMMYFUNCTION("IF(F209="""","""",IF(REGEXMATCH(UPPER(TRIM(C209)),""RENDIMIENTO|INVERSI[ÓO]N""),0,IF(OR(UPPER(TRIM(E209))=""TERMINAL"",UPPER(TRIM(E209))=""TRANSFERENCIA""),F209-F209/1.16,0)))"),"")</f>
        <v/>
      </c>
      <c r="H209" s="193" t="str">
        <f t="shared" si="2"/>
        <v/>
      </c>
      <c r="I209" s="194" t="b">
        <v>0</v>
      </c>
    </row>
    <row r="210" ht="22.5" customHeight="1">
      <c r="A210" s="188"/>
      <c r="B210" s="189" t="str">
        <f t="shared" si="1"/>
        <v/>
      </c>
      <c r="C210" s="199"/>
      <c r="D210" s="191"/>
      <c r="E210" s="191"/>
      <c r="F210" s="192"/>
      <c r="G210" s="193" t="str">
        <f>IFERROR(__xludf.DUMMYFUNCTION("IF(F210="""","""",IF(REGEXMATCH(UPPER(TRIM(C210)),""RENDIMIENTO|INVERSI[ÓO]N""),0,IF(OR(UPPER(TRIM(E210))=""TERMINAL"",UPPER(TRIM(E210))=""TRANSFERENCIA""),F210-F210/1.16,0)))"),"")</f>
        <v/>
      </c>
      <c r="H210" s="193" t="str">
        <f t="shared" si="2"/>
        <v/>
      </c>
      <c r="I210" s="194" t="b">
        <v>0</v>
      </c>
    </row>
    <row r="211" ht="22.5" customHeight="1">
      <c r="A211" s="188"/>
      <c r="B211" s="189" t="str">
        <f t="shared" si="1"/>
        <v/>
      </c>
      <c r="C211" s="199"/>
      <c r="D211" s="191"/>
      <c r="E211" s="191"/>
      <c r="F211" s="192"/>
      <c r="G211" s="193" t="str">
        <f>IFERROR(__xludf.DUMMYFUNCTION("IF(F211="""","""",IF(REGEXMATCH(UPPER(TRIM(C211)),""RENDIMIENTO|INVERSI[ÓO]N""),0,IF(OR(UPPER(TRIM(E211))=""TERMINAL"",UPPER(TRIM(E211))=""TRANSFERENCIA""),F211-F211/1.16,0)))"),"")</f>
        <v/>
      </c>
      <c r="H211" s="193" t="str">
        <f t="shared" si="2"/>
        <v/>
      </c>
      <c r="I211" s="194" t="b">
        <v>0</v>
      </c>
    </row>
    <row r="212" ht="22.5" customHeight="1">
      <c r="A212" s="188"/>
      <c r="B212" s="189" t="str">
        <f t="shared" si="1"/>
        <v/>
      </c>
      <c r="C212" s="199"/>
      <c r="D212" s="191"/>
      <c r="E212" s="191"/>
      <c r="F212" s="192"/>
      <c r="G212" s="193" t="str">
        <f>IFERROR(__xludf.DUMMYFUNCTION("IF(F212="""","""",IF(REGEXMATCH(UPPER(TRIM(C212)),""RENDIMIENTO|INVERSI[ÓO]N""),0,IF(OR(UPPER(TRIM(E212))=""TERMINAL"",UPPER(TRIM(E212))=""TRANSFERENCIA""),F212-F212/1.16,0)))"),"")</f>
        <v/>
      </c>
      <c r="H212" s="193" t="str">
        <f t="shared" si="2"/>
        <v/>
      </c>
      <c r="I212" s="194" t="b">
        <v>0</v>
      </c>
    </row>
    <row r="213" ht="22.5" customHeight="1">
      <c r="A213" s="188"/>
      <c r="B213" s="189" t="str">
        <f t="shared" si="1"/>
        <v/>
      </c>
      <c r="C213" s="199"/>
      <c r="D213" s="191"/>
      <c r="E213" s="191"/>
      <c r="F213" s="192"/>
      <c r="G213" s="193" t="str">
        <f>IFERROR(__xludf.DUMMYFUNCTION("IF(F213="""","""",IF(REGEXMATCH(UPPER(TRIM(C213)),""RENDIMIENTO|INVERSI[ÓO]N""),0,IF(OR(UPPER(TRIM(E213))=""TERMINAL"",UPPER(TRIM(E213))=""TRANSFERENCIA""),F213-F213/1.16,0)))"),"")</f>
        <v/>
      </c>
      <c r="H213" s="193" t="str">
        <f t="shared" si="2"/>
        <v/>
      </c>
      <c r="I213" s="194" t="b">
        <v>0</v>
      </c>
    </row>
    <row r="214" ht="22.5" customHeight="1">
      <c r="A214" s="188"/>
      <c r="B214" s="189" t="str">
        <f t="shared" si="1"/>
        <v/>
      </c>
      <c r="C214" s="199"/>
      <c r="D214" s="191"/>
      <c r="E214" s="191"/>
      <c r="F214" s="192"/>
      <c r="G214" s="193" t="str">
        <f>IFERROR(__xludf.DUMMYFUNCTION("IF(F214="""","""",IF(REGEXMATCH(UPPER(TRIM(C214)),""RENDIMIENTO|INVERSI[ÓO]N""),0,IF(OR(UPPER(TRIM(E214))=""TERMINAL"",UPPER(TRIM(E214))=""TRANSFERENCIA""),F214-F214/1.16,0)))"),"")</f>
        <v/>
      </c>
      <c r="H214" s="193" t="str">
        <f t="shared" si="2"/>
        <v/>
      </c>
      <c r="I214" s="194" t="b">
        <v>0</v>
      </c>
    </row>
    <row r="215" ht="22.5" customHeight="1">
      <c r="A215" s="188"/>
      <c r="B215" s="189" t="str">
        <f t="shared" si="1"/>
        <v/>
      </c>
      <c r="C215" s="199"/>
      <c r="D215" s="191"/>
      <c r="E215" s="191"/>
      <c r="F215" s="192"/>
      <c r="G215" s="193" t="str">
        <f>IFERROR(__xludf.DUMMYFUNCTION("IF(F215="""","""",IF(REGEXMATCH(UPPER(TRIM(C215)),""RENDIMIENTO|INVERSI[ÓO]N""),0,IF(OR(UPPER(TRIM(E215))=""TERMINAL"",UPPER(TRIM(E215))=""TRANSFERENCIA""),F215-F215/1.16,0)))"),"")</f>
        <v/>
      </c>
      <c r="H215" s="193" t="str">
        <f t="shared" si="2"/>
        <v/>
      </c>
      <c r="I215" s="194" t="b">
        <v>0</v>
      </c>
    </row>
    <row r="216" ht="22.5" customHeight="1">
      <c r="A216" s="188"/>
      <c r="B216" s="189" t="str">
        <f t="shared" si="1"/>
        <v/>
      </c>
      <c r="C216" s="199"/>
      <c r="D216" s="191"/>
      <c r="E216" s="191"/>
      <c r="F216" s="192"/>
      <c r="G216" s="193" t="str">
        <f>IFERROR(__xludf.DUMMYFUNCTION("IF(F216="""","""",IF(REGEXMATCH(UPPER(TRIM(C216)),""RENDIMIENTO|INVERSI[ÓO]N""),0,IF(OR(UPPER(TRIM(E216))=""TERMINAL"",UPPER(TRIM(E216))=""TRANSFERENCIA""),F216-F216/1.16,0)))"),"")</f>
        <v/>
      </c>
      <c r="H216" s="193" t="str">
        <f t="shared" si="2"/>
        <v/>
      </c>
      <c r="I216" s="194" t="b">
        <v>0</v>
      </c>
    </row>
    <row r="217" ht="22.5" customHeight="1">
      <c r="A217" s="188"/>
      <c r="B217" s="189" t="str">
        <f t="shared" si="1"/>
        <v/>
      </c>
      <c r="C217" s="199"/>
      <c r="D217" s="191"/>
      <c r="E217" s="191"/>
      <c r="F217" s="192"/>
      <c r="G217" s="193" t="str">
        <f>IFERROR(__xludf.DUMMYFUNCTION("IF(F217="""","""",IF(REGEXMATCH(UPPER(TRIM(C217)),""RENDIMIENTO|INVERSI[ÓO]N""),0,IF(OR(UPPER(TRIM(E217))=""TERMINAL"",UPPER(TRIM(E217))=""TRANSFERENCIA""),F217-F217/1.16,0)))"),"")</f>
        <v/>
      </c>
      <c r="H217" s="193" t="str">
        <f t="shared" si="2"/>
        <v/>
      </c>
      <c r="I217" s="194" t="b">
        <v>0</v>
      </c>
    </row>
    <row r="218" ht="22.5" customHeight="1">
      <c r="A218" s="188"/>
      <c r="B218" s="189" t="str">
        <f t="shared" si="1"/>
        <v/>
      </c>
      <c r="C218" s="199"/>
      <c r="D218" s="191"/>
      <c r="E218" s="191"/>
      <c r="F218" s="192"/>
      <c r="G218" s="193" t="str">
        <f>IFERROR(__xludf.DUMMYFUNCTION("IF(F218="""","""",IF(REGEXMATCH(UPPER(TRIM(C218)),""RENDIMIENTO|INVERSI[ÓO]N""),0,IF(OR(UPPER(TRIM(E218))=""TERMINAL"",UPPER(TRIM(E218))=""TRANSFERENCIA""),F218-F218/1.16,0)))"),"")</f>
        <v/>
      </c>
      <c r="H218" s="193" t="str">
        <f t="shared" si="2"/>
        <v/>
      </c>
      <c r="I218" s="194" t="b">
        <v>0</v>
      </c>
    </row>
    <row r="219" ht="22.5" customHeight="1">
      <c r="A219" s="188"/>
      <c r="B219" s="189" t="str">
        <f t="shared" si="1"/>
        <v/>
      </c>
      <c r="C219" s="199"/>
      <c r="D219" s="191"/>
      <c r="E219" s="191"/>
      <c r="F219" s="192"/>
      <c r="G219" s="193" t="str">
        <f>IFERROR(__xludf.DUMMYFUNCTION("IF(F219="""","""",IF(REGEXMATCH(UPPER(TRIM(C219)),""RENDIMIENTO|INVERSI[ÓO]N""),0,IF(OR(UPPER(TRIM(E219))=""TERMINAL"",UPPER(TRIM(E219))=""TRANSFERENCIA""),F219-F219/1.16,0)))"),"")</f>
        <v/>
      </c>
      <c r="H219" s="193" t="str">
        <f t="shared" si="2"/>
        <v/>
      </c>
      <c r="I219" s="194" t="b">
        <v>0</v>
      </c>
    </row>
    <row r="220" ht="22.5" customHeight="1">
      <c r="A220" s="188"/>
      <c r="B220" s="189" t="str">
        <f t="shared" si="1"/>
        <v/>
      </c>
      <c r="C220" s="199"/>
      <c r="D220" s="191"/>
      <c r="E220" s="191"/>
      <c r="F220" s="192"/>
      <c r="G220" s="193" t="str">
        <f>IFERROR(__xludf.DUMMYFUNCTION("IF(F220="""","""",IF(REGEXMATCH(UPPER(TRIM(C220)),""RENDIMIENTO|INVERSI[ÓO]N""),0,IF(OR(UPPER(TRIM(E220))=""TERMINAL"",UPPER(TRIM(E220))=""TRANSFERENCIA""),F220-F220/1.16,0)))"),"")</f>
        <v/>
      </c>
      <c r="H220" s="193" t="str">
        <f t="shared" si="2"/>
        <v/>
      </c>
      <c r="I220" s="194" t="b">
        <v>0</v>
      </c>
    </row>
    <row r="221" ht="22.5" customHeight="1">
      <c r="A221" s="188"/>
      <c r="B221" s="189" t="str">
        <f t="shared" si="1"/>
        <v/>
      </c>
      <c r="C221" s="199"/>
      <c r="D221" s="191"/>
      <c r="E221" s="191"/>
      <c r="F221" s="192"/>
      <c r="G221" s="193" t="str">
        <f>IFERROR(__xludf.DUMMYFUNCTION("IF(F221="""","""",IF(REGEXMATCH(UPPER(TRIM(C221)),""RENDIMIENTO|INVERSI[ÓO]N""),0,IF(OR(UPPER(TRIM(E221))=""TERMINAL"",UPPER(TRIM(E221))=""TRANSFERENCIA""),F221-F221/1.16,0)))"),"")</f>
        <v/>
      </c>
      <c r="H221" s="193" t="str">
        <f t="shared" si="2"/>
        <v/>
      </c>
      <c r="I221" s="194" t="b">
        <v>0</v>
      </c>
    </row>
    <row r="222" ht="22.5" customHeight="1">
      <c r="A222" s="188"/>
      <c r="B222" s="189" t="str">
        <f t="shared" si="1"/>
        <v/>
      </c>
      <c r="C222" s="199"/>
      <c r="D222" s="191"/>
      <c r="E222" s="191"/>
      <c r="F222" s="192"/>
      <c r="G222" s="193" t="str">
        <f>IFERROR(__xludf.DUMMYFUNCTION("IF(F222="""","""",IF(REGEXMATCH(UPPER(TRIM(C222)),""RENDIMIENTO|INVERSI[ÓO]N""),0,IF(OR(UPPER(TRIM(E222))=""TERMINAL"",UPPER(TRIM(E222))=""TRANSFERENCIA""),F222-F222/1.16,0)))"),"")</f>
        <v/>
      </c>
      <c r="H222" s="193" t="str">
        <f t="shared" si="2"/>
        <v/>
      </c>
      <c r="I222" s="194" t="b">
        <v>0</v>
      </c>
    </row>
    <row r="223" ht="22.5" customHeight="1">
      <c r="A223" s="188"/>
      <c r="B223" s="189" t="str">
        <f t="shared" si="1"/>
        <v/>
      </c>
      <c r="C223" s="199"/>
      <c r="D223" s="191"/>
      <c r="E223" s="191"/>
      <c r="F223" s="192"/>
      <c r="G223" s="193" t="str">
        <f>IFERROR(__xludf.DUMMYFUNCTION("IF(F223="""","""",IF(REGEXMATCH(UPPER(TRIM(C223)),""RENDIMIENTO|INVERSI[ÓO]N""),0,IF(OR(UPPER(TRIM(E223))=""TERMINAL"",UPPER(TRIM(E223))=""TRANSFERENCIA""),F223-F223/1.16,0)))"),"")</f>
        <v/>
      </c>
      <c r="H223" s="193" t="str">
        <f t="shared" si="2"/>
        <v/>
      </c>
      <c r="I223" s="194" t="b">
        <v>0</v>
      </c>
    </row>
    <row r="224" ht="22.5" customHeight="1">
      <c r="A224" s="188"/>
      <c r="B224" s="189" t="str">
        <f t="shared" si="1"/>
        <v/>
      </c>
      <c r="C224" s="199"/>
      <c r="D224" s="191"/>
      <c r="E224" s="191"/>
      <c r="F224" s="192"/>
      <c r="G224" s="193" t="str">
        <f>IFERROR(__xludf.DUMMYFUNCTION("IF(F224="""","""",IF(REGEXMATCH(UPPER(TRIM(C224)),""RENDIMIENTO|INVERSI[ÓO]N""),0,IF(OR(UPPER(TRIM(E224))=""TERMINAL"",UPPER(TRIM(E224))=""TRANSFERENCIA""),F224-F224/1.16,0)))"),"")</f>
        <v/>
      </c>
      <c r="H224" s="193" t="str">
        <f t="shared" si="2"/>
        <v/>
      </c>
      <c r="I224" s="194" t="b">
        <v>0</v>
      </c>
    </row>
    <row r="225" ht="22.5" customHeight="1">
      <c r="A225" s="188"/>
      <c r="B225" s="189" t="str">
        <f t="shared" si="1"/>
        <v/>
      </c>
      <c r="C225" s="199"/>
      <c r="D225" s="191"/>
      <c r="E225" s="191"/>
      <c r="F225" s="192"/>
      <c r="G225" s="193" t="str">
        <f>IFERROR(__xludf.DUMMYFUNCTION("IF(F225="""","""",IF(REGEXMATCH(UPPER(TRIM(C225)),""RENDIMIENTO|INVERSI[ÓO]N""),0,IF(OR(UPPER(TRIM(E225))=""TERMINAL"",UPPER(TRIM(E225))=""TRANSFERENCIA""),F225-F225/1.16,0)))"),"")</f>
        <v/>
      </c>
      <c r="H225" s="193" t="str">
        <f t="shared" si="2"/>
        <v/>
      </c>
      <c r="I225" s="194" t="b">
        <v>0</v>
      </c>
    </row>
    <row r="226" ht="22.5" customHeight="1">
      <c r="A226" s="188"/>
      <c r="B226" s="189" t="str">
        <f t="shared" si="1"/>
        <v/>
      </c>
      <c r="C226" s="199"/>
      <c r="D226" s="191"/>
      <c r="E226" s="191"/>
      <c r="F226" s="192"/>
      <c r="G226" s="193" t="str">
        <f>IFERROR(__xludf.DUMMYFUNCTION("IF(F226="""","""",IF(REGEXMATCH(UPPER(TRIM(C226)),""RENDIMIENTO|INVERSI[ÓO]N""),0,IF(OR(UPPER(TRIM(E226))=""TERMINAL"",UPPER(TRIM(E226))=""TRANSFERENCIA""),F226-F226/1.16,0)))"),"")</f>
        <v/>
      </c>
      <c r="H226" s="193" t="str">
        <f t="shared" si="2"/>
        <v/>
      </c>
      <c r="I226" s="194" t="b">
        <v>0</v>
      </c>
    </row>
    <row r="227" ht="22.5" customHeight="1">
      <c r="A227" s="188"/>
      <c r="B227" s="189" t="str">
        <f t="shared" si="1"/>
        <v/>
      </c>
      <c r="C227" s="199"/>
      <c r="D227" s="191"/>
      <c r="E227" s="191"/>
      <c r="F227" s="192"/>
      <c r="G227" s="193" t="str">
        <f>IFERROR(__xludf.DUMMYFUNCTION("IF(F227="""","""",IF(REGEXMATCH(UPPER(TRIM(C227)),""RENDIMIENTO|INVERSI[ÓO]N""),0,IF(OR(UPPER(TRIM(E227))=""TERMINAL"",UPPER(TRIM(E227))=""TRANSFERENCIA""),F227-F227/1.16,0)))"),"")</f>
        <v/>
      </c>
      <c r="H227" s="193" t="str">
        <f t="shared" si="2"/>
        <v/>
      </c>
      <c r="I227" s="194" t="b">
        <v>0</v>
      </c>
    </row>
    <row r="228" ht="22.5" customHeight="1">
      <c r="A228" s="188"/>
      <c r="B228" s="189" t="str">
        <f t="shared" si="1"/>
        <v/>
      </c>
      <c r="C228" s="199"/>
      <c r="D228" s="191"/>
      <c r="E228" s="191"/>
      <c r="F228" s="192"/>
      <c r="G228" s="193" t="str">
        <f>IFERROR(__xludf.DUMMYFUNCTION("IF(F228="""","""",IF(REGEXMATCH(UPPER(TRIM(C228)),""RENDIMIENTO|INVERSI[ÓO]N""),0,IF(OR(UPPER(TRIM(E228))=""TERMINAL"",UPPER(TRIM(E228))=""TRANSFERENCIA""),F228-F228/1.16,0)))"),"")</f>
        <v/>
      </c>
      <c r="H228" s="193" t="str">
        <f t="shared" si="2"/>
        <v/>
      </c>
      <c r="I228" s="194" t="b">
        <v>0</v>
      </c>
    </row>
    <row r="229" ht="22.5" customHeight="1">
      <c r="A229" s="188"/>
      <c r="B229" s="189" t="str">
        <f t="shared" si="1"/>
        <v/>
      </c>
      <c r="C229" s="199"/>
      <c r="D229" s="191"/>
      <c r="E229" s="191"/>
      <c r="F229" s="192"/>
      <c r="G229" s="193" t="str">
        <f>IFERROR(__xludf.DUMMYFUNCTION("IF(F229="""","""",IF(REGEXMATCH(UPPER(TRIM(C229)),""RENDIMIENTO|INVERSI[ÓO]N""),0,IF(OR(UPPER(TRIM(E229))=""TERMINAL"",UPPER(TRIM(E229))=""TRANSFERENCIA""),F229-F229/1.16,0)))"),"")</f>
        <v/>
      </c>
      <c r="H229" s="193" t="str">
        <f t="shared" si="2"/>
        <v/>
      </c>
      <c r="I229" s="194" t="b">
        <v>0</v>
      </c>
    </row>
    <row r="230" ht="22.5" customHeight="1">
      <c r="A230" s="188"/>
      <c r="B230" s="189" t="str">
        <f t="shared" si="1"/>
        <v/>
      </c>
      <c r="C230" s="199"/>
      <c r="D230" s="191"/>
      <c r="E230" s="191"/>
      <c r="F230" s="192"/>
      <c r="G230" s="193" t="str">
        <f>IFERROR(__xludf.DUMMYFUNCTION("IF(F230="""","""",IF(REGEXMATCH(UPPER(TRIM(C230)),""RENDIMIENTO|INVERSI[ÓO]N""),0,IF(OR(UPPER(TRIM(E230))=""TERMINAL"",UPPER(TRIM(E230))=""TRANSFERENCIA""),F230-F230/1.16,0)))"),"")</f>
        <v/>
      </c>
      <c r="H230" s="193" t="str">
        <f t="shared" si="2"/>
        <v/>
      </c>
      <c r="I230" s="194" t="b">
        <v>0</v>
      </c>
    </row>
    <row r="231" ht="22.5" customHeight="1">
      <c r="A231" s="188"/>
      <c r="B231" s="189" t="str">
        <f t="shared" si="1"/>
        <v/>
      </c>
      <c r="C231" s="199"/>
      <c r="D231" s="191"/>
      <c r="E231" s="191"/>
      <c r="F231" s="192"/>
      <c r="G231" s="193" t="str">
        <f>IFERROR(__xludf.DUMMYFUNCTION("IF(F231="""","""",IF(REGEXMATCH(UPPER(TRIM(C231)),""RENDIMIENTO|INVERSI[ÓO]N""),0,IF(OR(UPPER(TRIM(E231))=""TERMINAL"",UPPER(TRIM(E231))=""TRANSFERENCIA""),F231-F231/1.16,0)))"),"")</f>
        <v/>
      </c>
      <c r="H231" s="193" t="str">
        <f t="shared" si="2"/>
        <v/>
      </c>
      <c r="I231" s="194" t="b">
        <v>0</v>
      </c>
    </row>
    <row r="232" ht="22.5" customHeight="1">
      <c r="A232" s="188"/>
      <c r="B232" s="189" t="str">
        <f t="shared" si="1"/>
        <v/>
      </c>
      <c r="C232" s="199"/>
      <c r="D232" s="191"/>
      <c r="E232" s="191"/>
      <c r="F232" s="192"/>
      <c r="G232" s="193" t="str">
        <f>IFERROR(__xludf.DUMMYFUNCTION("IF(F232="""","""",IF(REGEXMATCH(UPPER(TRIM(C232)),""RENDIMIENTO|INVERSI[ÓO]N""),0,IF(OR(UPPER(TRIM(E232))=""TERMINAL"",UPPER(TRIM(E232))=""TRANSFERENCIA""),F232-F232/1.16,0)))"),"")</f>
        <v/>
      </c>
      <c r="H232" s="193" t="str">
        <f t="shared" si="2"/>
        <v/>
      </c>
      <c r="I232" s="194" t="b">
        <v>0</v>
      </c>
    </row>
    <row r="233" ht="22.5" customHeight="1">
      <c r="A233" s="188"/>
      <c r="B233" s="189" t="str">
        <f t="shared" si="1"/>
        <v/>
      </c>
      <c r="C233" s="199"/>
      <c r="D233" s="191"/>
      <c r="E233" s="191"/>
      <c r="F233" s="192"/>
      <c r="G233" s="193" t="str">
        <f>IFERROR(__xludf.DUMMYFUNCTION("IF(F233="""","""",IF(REGEXMATCH(UPPER(TRIM(C233)),""RENDIMIENTO|INVERSI[ÓO]N""),0,IF(OR(UPPER(TRIM(E233))=""TERMINAL"",UPPER(TRIM(E233))=""TRANSFERENCIA""),F233-F233/1.16,0)))"),"")</f>
        <v/>
      </c>
      <c r="H233" s="193" t="str">
        <f t="shared" si="2"/>
        <v/>
      </c>
      <c r="I233" s="194" t="b">
        <v>0</v>
      </c>
    </row>
    <row r="234" ht="22.5" customHeight="1">
      <c r="A234" s="188"/>
      <c r="B234" s="189" t="str">
        <f t="shared" si="1"/>
        <v/>
      </c>
      <c r="C234" s="199"/>
      <c r="D234" s="191"/>
      <c r="E234" s="191"/>
      <c r="F234" s="192"/>
      <c r="G234" s="193" t="str">
        <f>IFERROR(__xludf.DUMMYFUNCTION("IF(F234="""","""",IF(REGEXMATCH(UPPER(TRIM(C234)),""RENDIMIENTO|INVERSI[ÓO]N""),0,IF(OR(UPPER(TRIM(E234))=""TERMINAL"",UPPER(TRIM(E234))=""TRANSFERENCIA""),F234-F234/1.16,0)))"),"")</f>
        <v/>
      </c>
      <c r="H234" s="193" t="str">
        <f t="shared" si="2"/>
        <v/>
      </c>
      <c r="I234" s="194" t="b">
        <v>0</v>
      </c>
    </row>
    <row r="235" ht="22.5" customHeight="1">
      <c r="A235" s="188"/>
      <c r="B235" s="189" t="str">
        <f t="shared" si="1"/>
        <v/>
      </c>
      <c r="C235" s="199"/>
      <c r="D235" s="191"/>
      <c r="E235" s="191"/>
      <c r="F235" s="192"/>
      <c r="G235" s="193" t="str">
        <f>IFERROR(__xludf.DUMMYFUNCTION("IF(F235="""","""",IF(REGEXMATCH(UPPER(TRIM(C235)),""RENDIMIENTO|INVERSI[ÓO]N""),0,IF(OR(UPPER(TRIM(E235))=""TERMINAL"",UPPER(TRIM(E235))=""TRANSFERENCIA""),F235-F235/1.16,0)))"),"")</f>
        <v/>
      </c>
      <c r="H235" s="193" t="str">
        <f t="shared" si="2"/>
        <v/>
      </c>
      <c r="I235" s="194" t="b">
        <v>0</v>
      </c>
    </row>
    <row r="236" ht="22.5" customHeight="1">
      <c r="A236" s="188"/>
      <c r="B236" s="189" t="str">
        <f t="shared" si="1"/>
        <v/>
      </c>
      <c r="C236" s="199"/>
      <c r="D236" s="191"/>
      <c r="E236" s="191"/>
      <c r="F236" s="192"/>
      <c r="G236" s="193" t="str">
        <f>IFERROR(__xludf.DUMMYFUNCTION("IF(F236="""","""",IF(REGEXMATCH(UPPER(TRIM(C236)),""RENDIMIENTO|INVERSI[ÓO]N""),0,IF(OR(UPPER(TRIM(E236))=""TERMINAL"",UPPER(TRIM(E236))=""TRANSFERENCIA""),F236-F236/1.16,0)))"),"")</f>
        <v/>
      </c>
      <c r="H236" s="193" t="str">
        <f t="shared" si="2"/>
        <v/>
      </c>
      <c r="I236" s="194" t="b">
        <v>0</v>
      </c>
    </row>
    <row r="237" ht="22.5" customHeight="1">
      <c r="A237" s="188"/>
      <c r="B237" s="189" t="str">
        <f t="shared" si="1"/>
        <v/>
      </c>
      <c r="C237" s="199"/>
      <c r="D237" s="191"/>
      <c r="E237" s="191"/>
      <c r="F237" s="192"/>
      <c r="G237" s="193" t="str">
        <f>IFERROR(__xludf.DUMMYFUNCTION("IF(F237="""","""",IF(REGEXMATCH(UPPER(TRIM(C237)),""RENDIMIENTO|INVERSI[ÓO]N""),0,IF(OR(UPPER(TRIM(E237))=""TERMINAL"",UPPER(TRIM(E237))=""TRANSFERENCIA""),F237-F237/1.16,0)))"),"")</f>
        <v/>
      </c>
      <c r="H237" s="193" t="str">
        <f t="shared" si="2"/>
        <v/>
      </c>
      <c r="I237" s="194" t="b">
        <v>0</v>
      </c>
    </row>
    <row r="238" ht="22.5" customHeight="1">
      <c r="A238" s="188"/>
      <c r="B238" s="189" t="str">
        <f t="shared" si="1"/>
        <v/>
      </c>
      <c r="C238" s="199"/>
      <c r="D238" s="191"/>
      <c r="E238" s="191"/>
      <c r="F238" s="192"/>
      <c r="G238" s="193" t="str">
        <f>IFERROR(__xludf.DUMMYFUNCTION("IF(F238="""","""",IF(REGEXMATCH(UPPER(TRIM(C238)),""RENDIMIENTO|INVERSI[ÓO]N""),0,IF(OR(UPPER(TRIM(E238))=""TERMINAL"",UPPER(TRIM(E238))=""TRANSFERENCIA""),F238-F238/1.16,0)))"),"")</f>
        <v/>
      </c>
      <c r="H238" s="193" t="str">
        <f t="shared" si="2"/>
        <v/>
      </c>
      <c r="I238" s="194" t="b">
        <v>0</v>
      </c>
    </row>
    <row r="239" ht="22.5" customHeight="1">
      <c r="A239" s="188"/>
      <c r="B239" s="189" t="str">
        <f t="shared" si="1"/>
        <v/>
      </c>
      <c r="C239" s="199"/>
      <c r="D239" s="191"/>
      <c r="E239" s="191"/>
      <c r="F239" s="192"/>
      <c r="G239" s="193" t="str">
        <f>IFERROR(__xludf.DUMMYFUNCTION("IF(F239="""","""",IF(REGEXMATCH(UPPER(TRIM(C239)),""RENDIMIENTO|INVERSI[ÓO]N""),0,IF(OR(UPPER(TRIM(E239))=""TERMINAL"",UPPER(TRIM(E239))=""TRANSFERENCIA""),F239-F239/1.16,0)))"),"")</f>
        <v/>
      </c>
      <c r="H239" s="193" t="str">
        <f t="shared" si="2"/>
        <v/>
      </c>
      <c r="I239" s="194" t="b">
        <v>0</v>
      </c>
    </row>
    <row r="240" ht="22.5" customHeight="1">
      <c r="A240" s="188"/>
      <c r="B240" s="189" t="str">
        <f t="shared" si="1"/>
        <v/>
      </c>
      <c r="C240" s="199"/>
      <c r="D240" s="191"/>
      <c r="E240" s="191"/>
      <c r="F240" s="192"/>
      <c r="G240" s="193" t="str">
        <f>IFERROR(__xludf.DUMMYFUNCTION("IF(F240="""","""",IF(REGEXMATCH(UPPER(TRIM(C240)),""RENDIMIENTO|INVERSI[ÓO]N""),0,IF(OR(UPPER(TRIM(E240))=""TERMINAL"",UPPER(TRIM(E240))=""TRANSFERENCIA""),F240-F240/1.16,0)))"),"")</f>
        <v/>
      </c>
      <c r="H240" s="193" t="str">
        <f t="shared" si="2"/>
        <v/>
      </c>
      <c r="I240" s="194" t="b">
        <v>0</v>
      </c>
    </row>
    <row r="241" ht="22.5" customHeight="1">
      <c r="A241" s="188"/>
      <c r="B241" s="189" t="str">
        <f t="shared" si="1"/>
        <v/>
      </c>
      <c r="C241" s="199"/>
      <c r="D241" s="191"/>
      <c r="E241" s="191"/>
      <c r="F241" s="192"/>
      <c r="G241" s="193" t="str">
        <f>IFERROR(__xludf.DUMMYFUNCTION("IF(F241="""","""",IF(REGEXMATCH(UPPER(TRIM(C241)),""RENDIMIENTO|INVERSI[ÓO]N""),0,IF(OR(UPPER(TRIM(E241))=""TERMINAL"",UPPER(TRIM(E241))=""TRANSFERENCIA""),F241-F241/1.16,0)))"),"")</f>
        <v/>
      </c>
      <c r="H241" s="193" t="str">
        <f t="shared" si="2"/>
        <v/>
      </c>
      <c r="I241" s="194" t="b">
        <v>0</v>
      </c>
    </row>
    <row r="242" ht="22.5" customHeight="1">
      <c r="A242" s="188"/>
      <c r="B242" s="189" t="str">
        <f t="shared" si="1"/>
        <v/>
      </c>
      <c r="C242" s="199"/>
      <c r="D242" s="191"/>
      <c r="E242" s="191"/>
      <c r="F242" s="192"/>
      <c r="G242" s="193" t="str">
        <f>IFERROR(__xludf.DUMMYFUNCTION("IF(F242="""","""",IF(REGEXMATCH(UPPER(TRIM(C242)),""RENDIMIENTO|INVERSI[ÓO]N""),0,IF(OR(UPPER(TRIM(E242))=""TERMINAL"",UPPER(TRIM(E242))=""TRANSFERENCIA""),F242-F242/1.16,0)))"),"")</f>
        <v/>
      </c>
      <c r="H242" s="193" t="str">
        <f t="shared" si="2"/>
        <v/>
      </c>
      <c r="I242" s="194" t="b">
        <v>0</v>
      </c>
    </row>
    <row r="243" ht="22.5" customHeight="1">
      <c r="A243" s="188"/>
      <c r="B243" s="189" t="str">
        <f t="shared" si="1"/>
        <v/>
      </c>
      <c r="C243" s="199"/>
      <c r="D243" s="191"/>
      <c r="E243" s="191"/>
      <c r="F243" s="192"/>
      <c r="G243" s="193" t="str">
        <f>IFERROR(__xludf.DUMMYFUNCTION("IF(F243="""","""",IF(REGEXMATCH(UPPER(TRIM(C243)),""RENDIMIENTO|INVERSI[ÓO]N""),0,IF(OR(UPPER(TRIM(E243))=""TERMINAL"",UPPER(TRIM(E243))=""TRANSFERENCIA""),F243-F243/1.16,0)))"),"")</f>
        <v/>
      </c>
      <c r="H243" s="193" t="str">
        <f t="shared" si="2"/>
        <v/>
      </c>
      <c r="I243" s="194" t="b">
        <v>0</v>
      </c>
    </row>
    <row r="244" ht="22.5" customHeight="1">
      <c r="A244" s="188"/>
      <c r="B244" s="189" t="str">
        <f t="shared" si="1"/>
        <v/>
      </c>
      <c r="C244" s="199"/>
      <c r="D244" s="191"/>
      <c r="E244" s="191"/>
      <c r="F244" s="192"/>
      <c r="G244" s="193" t="str">
        <f>IFERROR(__xludf.DUMMYFUNCTION("IF(F244="""","""",IF(REGEXMATCH(UPPER(TRIM(C244)),""RENDIMIENTO|INVERSI[ÓO]N""),0,IF(OR(UPPER(TRIM(E244))=""TERMINAL"",UPPER(TRIM(E244))=""TRANSFERENCIA""),F244-F244/1.16,0)))"),"")</f>
        <v/>
      </c>
      <c r="H244" s="193" t="str">
        <f t="shared" si="2"/>
        <v/>
      </c>
      <c r="I244" s="194" t="b">
        <v>0</v>
      </c>
    </row>
    <row r="245" ht="22.5" customHeight="1">
      <c r="A245" s="188"/>
      <c r="B245" s="189" t="str">
        <f t="shared" si="1"/>
        <v/>
      </c>
      <c r="C245" s="199"/>
      <c r="D245" s="191"/>
      <c r="E245" s="191"/>
      <c r="F245" s="192"/>
      <c r="G245" s="193" t="str">
        <f>IFERROR(__xludf.DUMMYFUNCTION("IF(F245="""","""",IF(REGEXMATCH(UPPER(TRIM(C245)),""RENDIMIENTO|INVERSI[ÓO]N""),0,IF(OR(UPPER(TRIM(E245))=""TERMINAL"",UPPER(TRIM(E245))=""TRANSFERENCIA""),F245-F245/1.16,0)))"),"")</f>
        <v/>
      </c>
      <c r="H245" s="193" t="str">
        <f t="shared" si="2"/>
        <v/>
      </c>
      <c r="I245" s="194" t="b">
        <v>0</v>
      </c>
    </row>
    <row r="246" ht="22.5" customHeight="1">
      <c r="A246" s="188"/>
      <c r="B246" s="189" t="str">
        <f t="shared" si="1"/>
        <v/>
      </c>
      <c r="C246" s="199"/>
      <c r="D246" s="191"/>
      <c r="E246" s="191"/>
      <c r="F246" s="192"/>
      <c r="G246" s="193" t="str">
        <f>IFERROR(__xludf.DUMMYFUNCTION("IF(F246="""","""",IF(REGEXMATCH(UPPER(TRIM(C246)),""RENDIMIENTO|INVERSI[ÓO]N""),0,IF(OR(UPPER(TRIM(E246))=""TERMINAL"",UPPER(TRIM(E246))=""TRANSFERENCIA""),F246-F246/1.16,0)))"),"")</f>
        <v/>
      </c>
      <c r="H246" s="193" t="str">
        <f t="shared" si="2"/>
        <v/>
      </c>
      <c r="I246" s="194" t="b">
        <v>0</v>
      </c>
    </row>
    <row r="247" ht="22.5" customHeight="1">
      <c r="A247" s="188"/>
      <c r="B247" s="189" t="str">
        <f t="shared" si="1"/>
        <v/>
      </c>
      <c r="C247" s="199"/>
      <c r="D247" s="191"/>
      <c r="E247" s="191"/>
      <c r="F247" s="192"/>
      <c r="G247" s="193" t="str">
        <f>IFERROR(__xludf.DUMMYFUNCTION("IF(F247="""","""",IF(REGEXMATCH(UPPER(TRIM(C247)),""RENDIMIENTO|INVERSI[ÓO]N""),0,IF(OR(UPPER(TRIM(E247))=""TERMINAL"",UPPER(TRIM(E247))=""TRANSFERENCIA""),F247-F247/1.16,0)))"),"")</f>
        <v/>
      </c>
      <c r="H247" s="193" t="str">
        <f t="shared" si="2"/>
        <v/>
      </c>
      <c r="I247" s="194" t="b">
        <v>0</v>
      </c>
    </row>
    <row r="248" ht="22.5" customHeight="1">
      <c r="A248" s="188"/>
      <c r="B248" s="189" t="str">
        <f t="shared" si="1"/>
        <v/>
      </c>
      <c r="C248" s="199"/>
      <c r="D248" s="191"/>
      <c r="E248" s="191"/>
      <c r="F248" s="192"/>
      <c r="G248" s="193" t="str">
        <f>IFERROR(__xludf.DUMMYFUNCTION("IF(F248="""","""",IF(REGEXMATCH(UPPER(TRIM(C248)),""RENDIMIENTO|INVERSI[ÓO]N""),0,IF(OR(UPPER(TRIM(E248))=""TERMINAL"",UPPER(TRIM(E248))=""TRANSFERENCIA""),F248-F248/1.16,0)))"),"")</f>
        <v/>
      </c>
      <c r="H248" s="193" t="str">
        <f t="shared" si="2"/>
        <v/>
      </c>
      <c r="I248" s="194" t="b">
        <v>0</v>
      </c>
    </row>
    <row r="249" ht="22.5" customHeight="1">
      <c r="A249" s="188"/>
      <c r="B249" s="189" t="str">
        <f t="shared" si="1"/>
        <v/>
      </c>
      <c r="C249" s="199"/>
      <c r="D249" s="191"/>
      <c r="E249" s="191"/>
      <c r="F249" s="192"/>
      <c r="G249" s="193" t="str">
        <f>IFERROR(__xludf.DUMMYFUNCTION("IF(F249="""","""",IF(REGEXMATCH(UPPER(TRIM(C249)),""RENDIMIENTO|INVERSI[ÓO]N""),0,IF(OR(UPPER(TRIM(E249))=""TERMINAL"",UPPER(TRIM(E249))=""TRANSFERENCIA""),F249-F249/1.16,0)))"),"")</f>
        <v/>
      </c>
      <c r="H249" s="193" t="str">
        <f t="shared" si="2"/>
        <v/>
      </c>
      <c r="I249" s="194" t="b">
        <v>0</v>
      </c>
    </row>
    <row r="250" ht="22.5" customHeight="1">
      <c r="A250" s="188"/>
      <c r="B250" s="189" t="str">
        <f t="shared" si="1"/>
        <v/>
      </c>
      <c r="C250" s="199"/>
      <c r="D250" s="191"/>
      <c r="E250" s="191"/>
      <c r="F250" s="192"/>
      <c r="G250" s="193" t="str">
        <f>IFERROR(__xludf.DUMMYFUNCTION("IF(F250="""","""",IF(REGEXMATCH(UPPER(TRIM(C250)),""RENDIMIENTO|INVERSI[ÓO]N""),0,IF(OR(UPPER(TRIM(E250))=""TERMINAL"",UPPER(TRIM(E250))=""TRANSFERENCIA""),F250-F250/1.16,0)))"),"")</f>
        <v/>
      </c>
      <c r="H250" s="193" t="str">
        <f t="shared" si="2"/>
        <v/>
      </c>
      <c r="I250" s="194" t="b">
        <v>0</v>
      </c>
    </row>
    <row r="251" ht="22.5" customHeight="1">
      <c r="A251" s="188"/>
      <c r="B251" s="189" t="str">
        <f t="shared" si="1"/>
        <v/>
      </c>
      <c r="C251" s="199"/>
      <c r="D251" s="191"/>
      <c r="E251" s="191"/>
      <c r="F251" s="192"/>
      <c r="G251" s="193" t="str">
        <f>IFERROR(__xludf.DUMMYFUNCTION("IF(F251="""","""",IF(REGEXMATCH(UPPER(TRIM(C251)),""RENDIMIENTO|INVERSI[ÓO]N""),0,IF(OR(UPPER(TRIM(E251))=""TERMINAL"",UPPER(TRIM(E251))=""TRANSFERENCIA""),F251-F251/1.16,0)))"),"")</f>
        <v/>
      </c>
      <c r="H251" s="193" t="str">
        <f t="shared" si="2"/>
        <v/>
      </c>
      <c r="I251" s="194" t="b">
        <v>0</v>
      </c>
    </row>
    <row r="252" ht="22.5" customHeight="1">
      <c r="A252" s="188"/>
      <c r="B252" s="189" t="str">
        <f t="shared" si="1"/>
        <v/>
      </c>
      <c r="C252" s="199"/>
      <c r="D252" s="191"/>
      <c r="E252" s="191"/>
      <c r="F252" s="192"/>
      <c r="G252" s="193" t="str">
        <f>IFERROR(__xludf.DUMMYFUNCTION("IF(F252="""","""",IF(REGEXMATCH(UPPER(TRIM(C252)),""RENDIMIENTO|INVERSI[ÓO]N""),0,IF(OR(UPPER(TRIM(E252))=""TERMINAL"",UPPER(TRIM(E252))=""TRANSFERENCIA""),F252-F252/1.16,0)))"),"")</f>
        <v/>
      </c>
      <c r="H252" s="193" t="str">
        <f t="shared" si="2"/>
        <v/>
      </c>
      <c r="I252" s="194" t="b">
        <v>0</v>
      </c>
    </row>
    <row r="253" ht="22.5" customHeight="1">
      <c r="A253" s="188"/>
      <c r="B253" s="189" t="str">
        <f t="shared" si="1"/>
        <v/>
      </c>
      <c r="C253" s="199"/>
      <c r="D253" s="191"/>
      <c r="E253" s="191"/>
      <c r="F253" s="192"/>
      <c r="G253" s="193" t="str">
        <f>IFERROR(__xludf.DUMMYFUNCTION("IF(F253="""","""",IF(REGEXMATCH(UPPER(TRIM(C253)),""RENDIMIENTO|INVERSI[ÓO]N""),0,IF(OR(UPPER(TRIM(E253))=""TERMINAL"",UPPER(TRIM(E253))=""TRANSFERENCIA""),F253-F253/1.16,0)))"),"")</f>
        <v/>
      </c>
      <c r="H253" s="193" t="str">
        <f t="shared" si="2"/>
        <v/>
      </c>
      <c r="I253" s="194" t="b">
        <v>0</v>
      </c>
    </row>
    <row r="254" ht="22.5" customHeight="1">
      <c r="A254" s="188"/>
      <c r="B254" s="189" t="str">
        <f t="shared" si="1"/>
        <v/>
      </c>
      <c r="C254" s="199"/>
      <c r="D254" s="191"/>
      <c r="E254" s="191"/>
      <c r="F254" s="192"/>
      <c r="G254" s="193" t="str">
        <f>IFERROR(__xludf.DUMMYFUNCTION("IF(F254="""","""",IF(REGEXMATCH(UPPER(TRIM(C254)),""RENDIMIENTO|INVERSI[ÓO]N""),0,IF(OR(UPPER(TRIM(E254))=""TERMINAL"",UPPER(TRIM(E254))=""TRANSFERENCIA""),F254-F254/1.16,0)))"),"")</f>
        <v/>
      </c>
      <c r="H254" s="193" t="str">
        <f t="shared" si="2"/>
        <v/>
      </c>
      <c r="I254" s="194" t="b">
        <v>0</v>
      </c>
    </row>
    <row r="255" ht="22.5" customHeight="1">
      <c r="A255" s="188"/>
      <c r="B255" s="189" t="str">
        <f t="shared" si="1"/>
        <v/>
      </c>
      <c r="C255" s="199"/>
      <c r="D255" s="191"/>
      <c r="E255" s="191"/>
      <c r="F255" s="192"/>
      <c r="G255" s="193" t="str">
        <f>IFERROR(__xludf.DUMMYFUNCTION("IF(F255="""","""",IF(REGEXMATCH(UPPER(TRIM(C255)),""RENDIMIENTO|INVERSI[ÓO]N""),0,IF(OR(UPPER(TRIM(E255))=""TERMINAL"",UPPER(TRIM(E255))=""TRANSFERENCIA""),F255-F255/1.16,0)))"),"")</f>
        <v/>
      </c>
      <c r="H255" s="193" t="str">
        <f t="shared" si="2"/>
        <v/>
      </c>
      <c r="I255" s="194" t="b">
        <v>0</v>
      </c>
    </row>
    <row r="256" ht="22.5" customHeight="1">
      <c r="A256" s="188"/>
      <c r="B256" s="189" t="str">
        <f t="shared" si="1"/>
        <v/>
      </c>
      <c r="C256" s="199"/>
      <c r="D256" s="191"/>
      <c r="E256" s="191"/>
      <c r="F256" s="192"/>
      <c r="G256" s="193" t="str">
        <f>IFERROR(__xludf.DUMMYFUNCTION("IF(F256="""","""",IF(REGEXMATCH(UPPER(TRIM(C256)),""RENDIMIENTO|INVERSI[ÓO]N""),0,IF(OR(UPPER(TRIM(E256))=""TERMINAL"",UPPER(TRIM(E256))=""TRANSFERENCIA""),F256-F256/1.16,0)))"),"")</f>
        <v/>
      </c>
      <c r="H256" s="193" t="str">
        <f t="shared" si="2"/>
        <v/>
      </c>
      <c r="I256" s="194" t="b">
        <v>0</v>
      </c>
    </row>
    <row r="257" ht="22.5" customHeight="1">
      <c r="A257" s="188"/>
      <c r="B257" s="189" t="str">
        <f t="shared" si="1"/>
        <v/>
      </c>
      <c r="C257" s="199"/>
      <c r="D257" s="191"/>
      <c r="E257" s="191"/>
      <c r="F257" s="192"/>
      <c r="G257" s="193" t="str">
        <f>IFERROR(__xludf.DUMMYFUNCTION("IF(F257="""","""",IF(REGEXMATCH(UPPER(TRIM(C257)),""RENDIMIENTO|INVERSI[ÓO]N""),0,IF(OR(UPPER(TRIM(E257))=""TERMINAL"",UPPER(TRIM(E257))=""TRANSFERENCIA""),F257-F257/1.16,0)))"),"")</f>
        <v/>
      </c>
      <c r="H257" s="193" t="str">
        <f t="shared" si="2"/>
        <v/>
      </c>
      <c r="I257" s="194" t="b">
        <v>0</v>
      </c>
    </row>
    <row r="258" ht="22.5" customHeight="1">
      <c r="A258" s="188"/>
      <c r="B258" s="189" t="str">
        <f t="shared" si="1"/>
        <v/>
      </c>
      <c r="C258" s="199"/>
      <c r="D258" s="191"/>
      <c r="E258" s="191"/>
      <c r="F258" s="192"/>
      <c r="G258" s="193" t="str">
        <f>IFERROR(__xludf.DUMMYFUNCTION("IF(F258="""","""",IF(REGEXMATCH(UPPER(TRIM(C258)),""RENDIMIENTO|INVERSI[ÓO]N""),0,IF(OR(UPPER(TRIM(E258))=""TERMINAL"",UPPER(TRIM(E258))=""TRANSFERENCIA""),F258-F258/1.16,0)))"),"")</f>
        <v/>
      </c>
      <c r="H258" s="193" t="str">
        <f t="shared" si="2"/>
        <v/>
      </c>
      <c r="I258" s="194" t="b">
        <v>0</v>
      </c>
    </row>
    <row r="259" ht="22.5" customHeight="1">
      <c r="A259" s="188"/>
      <c r="B259" s="189" t="str">
        <f t="shared" si="1"/>
        <v/>
      </c>
      <c r="C259" s="199"/>
      <c r="D259" s="191"/>
      <c r="E259" s="191"/>
      <c r="F259" s="192"/>
      <c r="G259" s="193" t="str">
        <f>IFERROR(__xludf.DUMMYFUNCTION("IF(F259="""","""",IF(REGEXMATCH(UPPER(TRIM(C259)),""RENDIMIENTO|INVERSI[ÓO]N""),0,IF(OR(UPPER(TRIM(E259))=""TERMINAL"",UPPER(TRIM(E259))=""TRANSFERENCIA""),F259-F259/1.16,0)))"),"")</f>
        <v/>
      </c>
      <c r="H259" s="193" t="str">
        <f t="shared" si="2"/>
        <v/>
      </c>
      <c r="I259" s="194" t="b">
        <v>0</v>
      </c>
    </row>
    <row r="260" ht="22.5" customHeight="1">
      <c r="A260" s="188"/>
      <c r="B260" s="189" t="str">
        <f t="shared" si="1"/>
        <v/>
      </c>
      <c r="C260" s="199"/>
      <c r="D260" s="191"/>
      <c r="E260" s="191"/>
      <c r="F260" s="192"/>
      <c r="G260" s="193" t="str">
        <f>IFERROR(__xludf.DUMMYFUNCTION("IF(F260="""","""",IF(REGEXMATCH(UPPER(TRIM(C260)),""RENDIMIENTO|INVERSI[ÓO]N""),0,IF(OR(UPPER(TRIM(E260))=""TERMINAL"",UPPER(TRIM(E260))=""TRANSFERENCIA""),F260-F260/1.16,0)))"),"")</f>
        <v/>
      </c>
      <c r="H260" s="193" t="str">
        <f t="shared" si="2"/>
        <v/>
      </c>
      <c r="I260" s="194" t="b">
        <v>0</v>
      </c>
    </row>
    <row r="261" ht="22.5" customHeight="1">
      <c r="A261" s="188"/>
      <c r="B261" s="189" t="str">
        <f t="shared" si="1"/>
        <v/>
      </c>
      <c r="C261" s="199"/>
      <c r="D261" s="191"/>
      <c r="E261" s="191"/>
      <c r="F261" s="192"/>
      <c r="G261" s="193" t="str">
        <f>IFERROR(__xludf.DUMMYFUNCTION("IF(F261="""","""",IF(REGEXMATCH(UPPER(TRIM(C261)),""RENDIMIENTO|INVERSI[ÓO]N""),0,IF(OR(UPPER(TRIM(E261))=""TERMINAL"",UPPER(TRIM(E261))=""TRANSFERENCIA""),F261-F261/1.16,0)))"),"")</f>
        <v/>
      </c>
      <c r="H261" s="193" t="str">
        <f t="shared" si="2"/>
        <v/>
      </c>
      <c r="I261" s="194" t="b">
        <v>0</v>
      </c>
    </row>
    <row r="262" ht="22.5" customHeight="1">
      <c r="A262" s="188"/>
      <c r="B262" s="189" t="str">
        <f t="shared" si="1"/>
        <v/>
      </c>
      <c r="C262" s="199"/>
      <c r="D262" s="191"/>
      <c r="E262" s="191"/>
      <c r="F262" s="192"/>
      <c r="G262" s="193" t="str">
        <f>IFERROR(__xludf.DUMMYFUNCTION("IF(F262="""","""",IF(REGEXMATCH(UPPER(TRIM(C262)),""RENDIMIENTO|INVERSI[ÓO]N""),0,IF(OR(UPPER(TRIM(E262))=""TERMINAL"",UPPER(TRIM(E262))=""TRANSFERENCIA""),F262-F262/1.16,0)))"),"")</f>
        <v/>
      </c>
      <c r="H262" s="193" t="str">
        <f t="shared" si="2"/>
        <v/>
      </c>
      <c r="I262" s="194" t="b">
        <v>0</v>
      </c>
    </row>
    <row r="263" ht="22.5" customHeight="1">
      <c r="A263" s="188"/>
      <c r="B263" s="189" t="str">
        <f t="shared" si="1"/>
        <v/>
      </c>
      <c r="C263" s="199"/>
      <c r="D263" s="191"/>
      <c r="E263" s="191"/>
      <c r="F263" s="192"/>
      <c r="G263" s="193" t="str">
        <f>IFERROR(__xludf.DUMMYFUNCTION("IF(F263="""","""",IF(REGEXMATCH(UPPER(TRIM(C263)),""RENDIMIENTO|INVERSI[ÓO]N""),0,IF(OR(UPPER(TRIM(E263))=""TERMINAL"",UPPER(TRIM(E263))=""TRANSFERENCIA""),F263-F263/1.16,0)))"),"")</f>
        <v/>
      </c>
      <c r="H263" s="193" t="str">
        <f t="shared" si="2"/>
        <v/>
      </c>
      <c r="I263" s="194" t="b">
        <v>0</v>
      </c>
    </row>
    <row r="264" ht="22.5" customHeight="1">
      <c r="A264" s="188"/>
      <c r="B264" s="189" t="str">
        <f t="shared" si="1"/>
        <v/>
      </c>
      <c r="C264" s="199"/>
      <c r="D264" s="191"/>
      <c r="E264" s="191"/>
      <c r="F264" s="192"/>
      <c r="G264" s="193" t="str">
        <f>IFERROR(__xludf.DUMMYFUNCTION("IF(F264="""","""",IF(REGEXMATCH(UPPER(TRIM(C264)),""RENDIMIENTO|INVERSI[ÓO]N""),0,IF(OR(UPPER(TRIM(E264))=""TERMINAL"",UPPER(TRIM(E264))=""TRANSFERENCIA""),F264-F264/1.16,0)))"),"")</f>
        <v/>
      </c>
      <c r="H264" s="193" t="str">
        <f t="shared" si="2"/>
        <v/>
      </c>
      <c r="I264" s="194" t="b">
        <v>0</v>
      </c>
    </row>
    <row r="265" ht="22.5" customHeight="1">
      <c r="A265" s="188"/>
      <c r="B265" s="189" t="str">
        <f t="shared" si="1"/>
        <v/>
      </c>
      <c r="C265" s="199"/>
      <c r="D265" s="191"/>
      <c r="E265" s="191"/>
      <c r="F265" s="192"/>
      <c r="G265" s="193" t="str">
        <f>IFERROR(__xludf.DUMMYFUNCTION("IF(F265="""","""",IF(REGEXMATCH(UPPER(TRIM(C265)),""RENDIMIENTO|INVERSI[ÓO]N""),0,IF(OR(UPPER(TRIM(E265))=""TERMINAL"",UPPER(TRIM(E265))=""TRANSFERENCIA""),F265-F265/1.16,0)))"),"")</f>
        <v/>
      </c>
      <c r="H265" s="193" t="str">
        <f t="shared" si="2"/>
        <v/>
      </c>
      <c r="I265" s="194" t="b">
        <v>0</v>
      </c>
    </row>
    <row r="266" ht="22.5" customHeight="1">
      <c r="A266" s="188"/>
      <c r="B266" s="189" t="str">
        <f t="shared" si="1"/>
        <v/>
      </c>
      <c r="C266" s="199"/>
      <c r="D266" s="191"/>
      <c r="E266" s="191"/>
      <c r="F266" s="192"/>
      <c r="G266" s="193" t="str">
        <f>IFERROR(__xludf.DUMMYFUNCTION("IF(F266="""","""",IF(REGEXMATCH(UPPER(TRIM(C266)),""RENDIMIENTO|INVERSI[ÓO]N""),0,IF(OR(UPPER(TRIM(E266))=""TERMINAL"",UPPER(TRIM(E266))=""TRANSFERENCIA""),F266-F266/1.16,0)))"),"")</f>
        <v/>
      </c>
      <c r="H266" s="193" t="str">
        <f t="shared" si="2"/>
        <v/>
      </c>
      <c r="I266" s="194" t="b">
        <v>0</v>
      </c>
    </row>
    <row r="267" ht="22.5" customHeight="1">
      <c r="A267" s="188"/>
      <c r="B267" s="189" t="str">
        <f t="shared" si="1"/>
        <v/>
      </c>
      <c r="C267" s="199"/>
      <c r="D267" s="191"/>
      <c r="E267" s="191"/>
      <c r="F267" s="192"/>
      <c r="G267" s="193" t="str">
        <f>IFERROR(__xludf.DUMMYFUNCTION("IF(F267="""","""",IF(REGEXMATCH(UPPER(TRIM(C267)),""RENDIMIENTO|INVERSI[ÓO]N""),0,IF(OR(UPPER(TRIM(E267))=""TERMINAL"",UPPER(TRIM(E267))=""TRANSFERENCIA""),F267-F267/1.16,0)))"),"")</f>
        <v/>
      </c>
      <c r="H267" s="193" t="str">
        <f t="shared" si="2"/>
        <v/>
      </c>
      <c r="I267" s="194" t="b">
        <v>0</v>
      </c>
    </row>
    <row r="268" ht="22.5" customHeight="1">
      <c r="A268" s="188"/>
      <c r="B268" s="189" t="str">
        <f t="shared" si="1"/>
        <v/>
      </c>
      <c r="C268" s="199"/>
      <c r="D268" s="191"/>
      <c r="E268" s="191"/>
      <c r="F268" s="192"/>
      <c r="G268" s="193" t="str">
        <f>IFERROR(__xludf.DUMMYFUNCTION("IF(F268="""","""",IF(REGEXMATCH(UPPER(TRIM(C268)),""RENDIMIENTO|INVERSI[ÓO]N""),0,IF(OR(UPPER(TRIM(E268))=""TERMINAL"",UPPER(TRIM(E268))=""TRANSFERENCIA""),F268-F268/1.16,0)))"),"")</f>
        <v/>
      </c>
      <c r="H268" s="193" t="str">
        <f t="shared" si="2"/>
        <v/>
      </c>
      <c r="I268" s="194" t="b">
        <v>0</v>
      </c>
    </row>
    <row r="269" ht="22.5" customHeight="1">
      <c r="A269" s="188"/>
      <c r="B269" s="189" t="str">
        <f t="shared" si="1"/>
        <v/>
      </c>
      <c r="C269" s="199"/>
      <c r="D269" s="191"/>
      <c r="E269" s="191"/>
      <c r="F269" s="192"/>
      <c r="G269" s="193" t="str">
        <f>IFERROR(__xludf.DUMMYFUNCTION("IF(F269="""","""",IF(REGEXMATCH(UPPER(TRIM(C269)),""RENDIMIENTO|INVERSI[ÓO]N""),0,IF(OR(UPPER(TRIM(E269))=""TERMINAL"",UPPER(TRIM(E269))=""TRANSFERENCIA""),F269-F269/1.16,0)))"),"")</f>
        <v/>
      </c>
      <c r="H269" s="193" t="str">
        <f t="shared" si="2"/>
        <v/>
      </c>
      <c r="I269" s="194" t="b">
        <v>0</v>
      </c>
    </row>
    <row r="270" ht="22.5" customHeight="1">
      <c r="A270" s="188"/>
      <c r="B270" s="189" t="str">
        <f t="shared" si="1"/>
        <v/>
      </c>
      <c r="C270" s="199"/>
      <c r="D270" s="191"/>
      <c r="E270" s="191"/>
      <c r="F270" s="192"/>
      <c r="G270" s="193" t="str">
        <f>IFERROR(__xludf.DUMMYFUNCTION("IF(F270="""","""",IF(REGEXMATCH(UPPER(TRIM(C270)),""RENDIMIENTO|INVERSI[ÓO]N""),0,IF(OR(UPPER(TRIM(E270))=""TERMINAL"",UPPER(TRIM(E270))=""TRANSFERENCIA""),F270-F270/1.16,0)))"),"")</f>
        <v/>
      </c>
      <c r="H270" s="193" t="str">
        <f t="shared" si="2"/>
        <v/>
      </c>
      <c r="I270" s="194" t="b">
        <v>0</v>
      </c>
    </row>
    <row r="271" ht="22.5" customHeight="1">
      <c r="A271" s="188"/>
      <c r="B271" s="189" t="str">
        <f t="shared" si="1"/>
        <v/>
      </c>
      <c r="C271" s="199"/>
      <c r="D271" s="191"/>
      <c r="E271" s="191"/>
      <c r="F271" s="192"/>
      <c r="G271" s="193" t="str">
        <f>IFERROR(__xludf.DUMMYFUNCTION("IF(F271="""","""",IF(REGEXMATCH(UPPER(TRIM(C271)),""RENDIMIENTO|INVERSI[ÓO]N""),0,IF(OR(UPPER(TRIM(E271))=""TERMINAL"",UPPER(TRIM(E271))=""TRANSFERENCIA""),F271-F271/1.16,0)))"),"")</f>
        <v/>
      </c>
      <c r="H271" s="193" t="str">
        <f t="shared" si="2"/>
        <v/>
      </c>
      <c r="I271" s="194" t="b">
        <v>0</v>
      </c>
    </row>
    <row r="272" ht="22.5" customHeight="1">
      <c r="A272" s="188"/>
      <c r="B272" s="189" t="str">
        <f t="shared" si="1"/>
        <v/>
      </c>
      <c r="C272" s="199"/>
      <c r="D272" s="191"/>
      <c r="E272" s="191"/>
      <c r="F272" s="192"/>
      <c r="G272" s="193" t="str">
        <f>IFERROR(__xludf.DUMMYFUNCTION("IF(F272="""","""",IF(REGEXMATCH(UPPER(TRIM(C272)),""RENDIMIENTO|INVERSI[ÓO]N""),0,IF(OR(UPPER(TRIM(E272))=""TERMINAL"",UPPER(TRIM(E272))=""TRANSFERENCIA""),F272-F272/1.16,0)))"),"")</f>
        <v/>
      </c>
      <c r="H272" s="193" t="str">
        <f t="shared" si="2"/>
        <v/>
      </c>
      <c r="I272" s="194" t="b">
        <v>0</v>
      </c>
    </row>
    <row r="273" ht="22.5" customHeight="1">
      <c r="A273" s="188"/>
      <c r="B273" s="189" t="str">
        <f t="shared" si="1"/>
        <v/>
      </c>
      <c r="C273" s="199"/>
      <c r="D273" s="191"/>
      <c r="E273" s="191"/>
      <c r="F273" s="192"/>
      <c r="G273" s="193" t="str">
        <f>IFERROR(__xludf.DUMMYFUNCTION("IF(F273="""","""",IF(REGEXMATCH(UPPER(TRIM(C273)),""RENDIMIENTO|INVERSI[ÓO]N""),0,IF(OR(UPPER(TRIM(E273))=""TERMINAL"",UPPER(TRIM(E273))=""TRANSFERENCIA""),F273-F273/1.16,0)))"),"")</f>
        <v/>
      </c>
      <c r="H273" s="193" t="str">
        <f t="shared" si="2"/>
        <v/>
      </c>
      <c r="I273" s="194" t="b">
        <v>0</v>
      </c>
    </row>
    <row r="274" ht="22.5" customHeight="1">
      <c r="A274" s="188"/>
      <c r="B274" s="189" t="str">
        <f t="shared" si="1"/>
        <v/>
      </c>
      <c r="C274" s="199"/>
      <c r="D274" s="191"/>
      <c r="E274" s="191"/>
      <c r="F274" s="192"/>
      <c r="G274" s="193" t="str">
        <f>IFERROR(__xludf.DUMMYFUNCTION("IF(F274="""","""",IF(REGEXMATCH(UPPER(TRIM(C274)),""RENDIMIENTO|INVERSI[ÓO]N""),0,IF(OR(UPPER(TRIM(E274))=""TERMINAL"",UPPER(TRIM(E274))=""TRANSFERENCIA""),F274-F274/1.16,0)))"),"")</f>
        <v/>
      </c>
      <c r="H274" s="193" t="str">
        <f t="shared" si="2"/>
        <v/>
      </c>
      <c r="I274" s="194" t="b">
        <v>0</v>
      </c>
    </row>
    <row r="275" ht="22.5" customHeight="1">
      <c r="A275" s="188"/>
      <c r="B275" s="189" t="str">
        <f t="shared" si="1"/>
        <v/>
      </c>
      <c r="C275" s="199"/>
      <c r="D275" s="191"/>
      <c r="E275" s="191"/>
      <c r="F275" s="192"/>
      <c r="G275" s="193" t="str">
        <f>IFERROR(__xludf.DUMMYFUNCTION("IF(F275="""","""",IF(REGEXMATCH(UPPER(TRIM(C275)),""RENDIMIENTO|INVERSI[ÓO]N""),0,IF(OR(UPPER(TRIM(E275))=""TERMINAL"",UPPER(TRIM(E275))=""TRANSFERENCIA""),F275-F275/1.16,0)))"),"")</f>
        <v/>
      </c>
      <c r="H275" s="193" t="str">
        <f t="shared" si="2"/>
        <v/>
      </c>
      <c r="I275" s="194" t="b">
        <v>0</v>
      </c>
    </row>
    <row r="276" ht="22.5" customHeight="1">
      <c r="A276" s="188"/>
      <c r="B276" s="189" t="str">
        <f t="shared" si="1"/>
        <v/>
      </c>
      <c r="C276" s="199"/>
      <c r="D276" s="191"/>
      <c r="E276" s="191"/>
      <c r="F276" s="192"/>
      <c r="G276" s="193" t="str">
        <f>IFERROR(__xludf.DUMMYFUNCTION("IF(F276="""","""",IF(REGEXMATCH(UPPER(TRIM(C276)),""RENDIMIENTO|INVERSI[ÓO]N""),0,IF(OR(UPPER(TRIM(E276))=""TERMINAL"",UPPER(TRIM(E276))=""TRANSFERENCIA""),F276-F276/1.16,0)))"),"")</f>
        <v/>
      </c>
      <c r="H276" s="193" t="str">
        <f t="shared" si="2"/>
        <v/>
      </c>
      <c r="I276" s="194" t="b">
        <v>0</v>
      </c>
    </row>
    <row r="277" ht="22.5" customHeight="1">
      <c r="A277" s="188"/>
      <c r="B277" s="189" t="str">
        <f t="shared" si="1"/>
        <v/>
      </c>
      <c r="C277" s="199"/>
      <c r="D277" s="191"/>
      <c r="E277" s="191"/>
      <c r="F277" s="192"/>
      <c r="G277" s="193" t="str">
        <f>IFERROR(__xludf.DUMMYFUNCTION("IF(F277="""","""",IF(REGEXMATCH(UPPER(TRIM(C277)),""RENDIMIENTO|INVERSI[ÓO]N""),0,IF(OR(UPPER(TRIM(E277))=""TERMINAL"",UPPER(TRIM(E277))=""TRANSFERENCIA""),F277-F277/1.16,0)))"),"")</f>
        <v/>
      </c>
      <c r="H277" s="193" t="str">
        <f t="shared" si="2"/>
        <v/>
      </c>
      <c r="I277" s="194" t="b">
        <v>0</v>
      </c>
    </row>
    <row r="278" ht="22.5" customHeight="1">
      <c r="A278" s="188"/>
      <c r="B278" s="189" t="str">
        <f t="shared" si="1"/>
        <v/>
      </c>
      <c r="C278" s="199"/>
      <c r="D278" s="191"/>
      <c r="E278" s="191"/>
      <c r="F278" s="192"/>
      <c r="G278" s="193" t="str">
        <f>IFERROR(__xludf.DUMMYFUNCTION("IF(F278="""","""",IF(REGEXMATCH(UPPER(TRIM(C278)),""RENDIMIENTO|INVERSI[ÓO]N""),0,IF(OR(UPPER(TRIM(E278))=""TERMINAL"",UPPER(TRIM(E278))=""TRANSFERENCIA""),F278-F278/1.16,0)))"),"")</f>
        <v/>
      </c>
      <c r="H278" s="193" t="str">
        <f t="shared" si="2"/>
        <v/>
      </c>
      <c r="I278" s="194" t="b">
        <v>0</v>
      </c>
    </row>
    <row r="279" ht="22.5" customHeight="1">
      <c r="A279" s="188"/>
      <c r="B279" s="189" t="str">
        <f t="shared" si="1"/>
        <v/>
      </c>
      <c r="C279" s="199"/>
      <c r="D279" s="191"/>
      <c r="E279" s="191"/>
      <c r="F279" s="192"/>
      <c r="G279" s="193" t="str">
        <f>IFERROR(__xludf.DUMMYFUNCTION("IF(F279="""","""",IF(REGEXMATCH(UPPER(TRIM(C279)),""RENDIMIENTO|INVERSI[ÓO]N""),0,IF(OR(UPPER(TRIM(E279))=""TERMINAL"",UPPER(TRIM(E279))=""TRANSFERENCIA""),F279-F279/1.16,0)))"),"")</f>
        <v/>
      </c>
      <c r="H279" s="193" t="str">
        <f t="shared" si="2"/>
        <v/>
      </c>
      <c r="I279" s="194" t="b">
        <v>0</v>
      </c>
    </row>
    <row r="280" ht="22.5" customHeight="1">
      <c r="A280" s="188"/>
      <c r="B280" s="189" t="str">
        <f t="shared" si="1"/>
        <v/>
      </c>
      <c r="C280" s="199"/>
      <c r="D280" s="191"/>
      <c r="E280" s="191"/>
      <c r="F280" s="192"/>
      <c r="G280" s="193" t="str">
        <f>IFERROR(__xludf.DUMMYFUNCTION("IF(F280="""","""",IF(REGEXMATCH(UPPER(TRIM(C280)),""RENDIMIENTO|INVERSI[ÓO]N""),0,IF(OR(UPPER(TRIM(E280))=""TERMINAL"",UPPER(TRIM(E280))=""TRANSFERENCIA""),F280-F280/1.16,0)))"),"")</f>
        <v/>
      </c>
      <c r="H280" s="193" t="str">
        <f t="shared" si="2"/>
        <v/>
      </c>
      <c r="I280" s="194" t="b">
        <v>0</v>
      </c>
    </row>
    <row r="281" ht="22.5" customHeight="1">
      <c r="A281" s="188"/>
      <c r="B281" s="189" t="str">
        <f t="shared" si="1"/>
        <v/>
      </c>
      <c r="C281" s="199"/>
      <c r="D281" s="191"/>
      <c r="E281" s="191"/>
      <c r="F281" s="192"/>
      <c r="G281" s="193" t="str">
        <f>IFERROR(__xludf.DUMMYFUNCTION("IF(F281="""","""",IF(REGEXMATCH(UPPER(TRIM(C281)),""RENDIMIENTO|INVERSI[ÓO]N""),0,IF(OR(UPPER(TRIM(E281))=""TERMINAL"",UPPER(TRIM(E281))=""TRANSFERENCIA""),F281-F281/1.16,0)))"),"")</f>
        <v/>
      </c>
      <c r="H281" s="193" t="str">
        <f t="shared" si="2"/>
        <v/>
      </c>
      <c r="I281" s="194" t="b">
        <v>0</v>
      </c>
    </row>
    <row r="282" ht="22.5" customHeight="1">
      <c r="A282" s="188"/>
      <c r="B282" s="189" t="str">
        <f t="shared" si="1"/>
        <v/>
      </c>
      <c r="C282" s="199"/>
      <c r="D282" s="191"/>
      <c r="E282" s="191"/>
      <c r="F282" s="192"/>
      <c r="G282" s="193" t="str">
        <f>IFERROR(__xludf.DUMMYFUNCTION("IF(F282="""","""",IF(REGEXMATCH(UPPER(TRIM(C282)),""RENDIMIENTO|INVERSI[ÓO]N""),0,IF(OR(UPPER(TRIM(E282))=""TERMINAL"",UPPER(TRIM(E282))=""TRANSFERENCIA""),F282-F282/1.16,0)))"),"")</f>
        <v/>
      </c>
      <c r="H282" s="193" t="str">
        <f t="shared" si="2"/>
        <v/>
      </c>
      <c r="I282" s="194" t="b">
        <v>0</v>
      </c>
    </row>
    <row r="283" ht="22.5" customHeight="1">
      <c r="A283" s="188"/>
      <c r="B283" s="189" t="str">
        <f t="shared" si="1"/>
        <v/>
      </c>
      <c r="C283" s="199"/>
      <c r="D283" s="191"/>
      <c r="E283" s="191"/>
      <c r="F283" s="192"/>
      <c r="G283" s="193" t="str">
        <f>IFERROR(__xludf.DUMMYFUNCTION("IF(F283="""","""",IF(REGEXMATCH(UPPER(TRIM(C283)),""RENDIMIENTO|INVERSI[ÓO]N""),0,IF(OR(UPPER(TRIM(E283))=""TERMINAL"",UPPER(TRIM(E283))=""TRANSFERENCIA""),F283-F283/1.16,0)))"),"")</f>
        <v/>
      </c>
      <c r="H283" s="193" t="str">
        <f t="shared" si="2"/>
        <v/>
      </c>
      <c r="I283" s="194" t="b">
        <v>0</v>
      </c>
    </row>
    <row r="284" ht="22.5" customHeight="1">
      <c r="A284" s="188"/>
      <c r="B284" s="189" t="str">
        <f t="shared" si="1"/>
        <v/>
      </c>
      <c r="C284" s="199"/>
      <c r="D284" s="191"/>
      <c r="E284" s="191"/>
      <c r="F284" s="192"/>
      <c r="G284" s="193" t="str">
        <f>IFERROR(__xludf.DUMMYFUNCTION("IF(F284="""","""",IF(REGEXMATCH(UPPER(TRIM(C284)),""RENDIMIENTO|INVERSI[ÓO]N""),0,IF(OR(UPPER(TRIM(E284))=""TERMINAL"",UPPER(TRIM(E284))=""TRANSFERENCIA""),F284-F284/1.16,0)))"),"")</f>
        <v/>
      </c>
      <c r="H284" s="193" t="str">
        <f t="shared" si="2"/>
        <v/>
      </c>
      <c r="I284" s="194" t="b">
        <v>0</v>
      </c>
    </row>
    <row r="285" ht="22.5" customHeight="1">
      <c r="A285" s="188"/>
      <c r="B285" s="189" t="str">
        <f t="shared" si="1"/>
        <v/>
      </c>
      <c r="C285" s="199"/>
      <c r="D285" s="191"/>
      <c r="E285" s="191"/>
      <c r="F285" s="192"/>
      <c r="G285" s="193" t="str">
        <f>IFERROR(__xludf.DUMMYFUNCTION("IF(F285="""","""",IF(REGEXMATCH(UPPER(TRIM(C285)),""RENDIMIENTO|INVERSI[ÓO]N""),0,IF(OR(UPPER(TRIM(E285))=""TERMINAL"",UPPER(TRIM(E285))=""TRANSFERENCIA""),F285-F285/1.16,0)))"),"")</f>
        <v/>
      </c>
      <c r="H285" s="193" t="str">
        <f t="shared" si="2"/>
        <v/>
      </c>
      <c r="I285" s="194" t="b">
        <v>0</v>
      </c>
    </row>
    <row r="286" ht="22.5" customHeight="1">
      <c r="A286" s="188"/>
      <c r="B286" s="189" t="str">
        <f t="shared" si="1"/>
        <v/>
      </c>
      <c r="C286" s="199"/>
      <c r="D286" s="191"/>
      <c r="E286" s="191"/>
      <c r="F286" s="192"/>
      <c r="G286" s="193" t="str">
        <f>IFERROR(__xludf.DUMMYFUNCTION("IF(F286="""","""",IF(REGEXMATCH(UPPER(TRIM(C286)),""RENDIMIENTO|INVERSI[ÓO]N""),0,IF(OR(UPPER(TRIM(E286))=""TERMINAL"",UPPER(TRIM(E286))=""TRANSFERENCIA""),F286-F286/1.16,0)))"),"")</f>
        <v/>
      </c>
      <c r="H286" s="193" t="str">
        <f t="shared" si="2"/>
        <v/>
      </c>
      <c r="I286" s="194" t="b">
        <v>0</v>
      </c>
    </row>
    <row r="287" ht="22.5" customHeight="1">
      <c r="A287" s="188"/>
      <c r="B287" s="189" t="str">
        <f t="shared" si="1"/>
        <v/>
      </c>
      <c r="C287" s="199"/>
      <c r="D287" s="191"/>
      <c r="E287" s="191"/>
      <c r="F287" s="192"/>
      <c r="G287" s="193" t="str">
        <f>IFERROR(__xludf.DUMMYFUNCTION("IF(F287="""","""",IF(REGEXMATCH(UPPER(TRIM(C287)),""RENDIMIENTO|INVERSI[ÓO]N""),0,IF(OR(UPPER(TRIM(E287))=""TERMINAL"",UPPER(TRIM(E287))=""TRANSFERENCIA""),F287-F287/1.16,0)))"),"")</f>
        <v/>
      </c>
      <c r="H287" s="193" t="str">
        <f t="shared" si="2"/>
        <v/>
      </c>
      <c r="I287" s="194" t="b">
        <v>0</v>
      </c>
    </row>
    <row r="288" ht="22.5" customHeight="1">
      <c r="A288" s="188"/>
      <c r="B288" s="189" t="str">
        <f t="shared" si="1"/>
        <v/>
      </c>
      <c r="C288" s="199"/>
      <c r="D288" s="191"/>
      <c r="E288" s="191"/>
      <c r="F288" s="192"/>
      <c r="G288" s="193" t="str">
        <f>IFERROR(__xludf.DUMMYFUNCTION("IF(F288="""","""",IF(REGEXMATCH(UPPER(TRIM(C288)),""RENDIMIENTO|INVERSI[ÓO]N""),0,IF(OR(UPPER(TRIM(E288))=""TERMINAL"",UPPER(TRIM(E288))=""TRANSFERENCIA""),F288-F288/1.16,0)))"),"")</f>
        <v/>
      </c>
      <c r="H288" s="193" t="str">
        <f t="shared" si="2"/>
        <v/>
      </c>
      <c r="I288" s="194" t="b">
        <v>0</v>
      </c>
    </row>
    <row r="289" ht="22.5" customHeight="1">
      <c r="A289" s="188"/>
      <c r="B289" s="189" t="str">
        <f t="shared" si="1"/>
        <v/>
      </c>
      <c r="C289" s="199"/>
      <c r="D289" s="191"/>
      <c r="E289" s="191"/>
      <c r="F289" s="192"/>
      <c r="G289" s="193" t="str">
        <f>IFERROR(__xludf.DUMMYFUNCTION("IF(F289="""","""",IF(REGEXMATCH(UPPER(TRIM(C289)),""RENDIMIENTO|INVERSI[ÓO]N""),0,IF(OR(UPPER(TRIM(E289))=""TERMINAL"",UPPER(TRIM(E289))=""TRANSFERENCIA""),F289-F289/1.16,0)))"),"")</f>
        <v/>
      </c>
      <c r="H289" s="193" t="str">
        <f t="shared" si="2"/>
        <v/>
      </c>
      <c r="I289" s="194" t="b">
        <v>0</v>
      </c>
    </row>
    <row r="290" ht="22.5" customHeight="1">
      <c r="A290" s="188"/>
      <c r="B290" s="189" t="str">
        <f t="shared" si="1"/>
        <v/>
      </c>
      <c r="C290" s="199"/>
      <c r="D290" s="191"/>
      <c r="E290" s="191"/>
      <c r="F290" s="192"/>
      <c r="G290" s="193" t="str">
        <f>IFERROR(__xludf.DUMMYFUNCTION("IF(F290="""","""",IF(REGEXMATCH(UPPER(TRIM(C290)),""RENDIMIENTO|INVERSI[ÓO]N""),0,IF(OR(UPPER(TRIM(E290))=""TERMINAL"",UPPER(TRIM(E290))=""TRANSFERENCIA""),F290-F290/1.16,0)))"),"")</f>
        <v/>
      </c>
      <c r="H290" s="193" t="str">
        <f t="shared" si="2"/>
        <v/>
      </c>
      <c r="I290" s="194" t="b">
        <v>0</v>
      </c>
    </row>
    <row r="291" ht="22.5" customHeight="1">
      <c r="A291" s="188"/>
      <c r="B291" s="189" t="str">
        <f t="shared" si="1"/>
        <v/>
      </c>
      <c r="C291" s="199"/>
      <c r="D291" s="191"/>
      <c r="E291" s="191"/>
      <c r="F291" s="192"/>
      <c r="G291" s="193" t="str">
        <f>IFERROR(__xludf.DUMMYFUNCTION("IF(F291="""","""",IF(REGEXMATCH(UPPER(TRIM(C291)),""RENDIMIENTO|INVERSI[ÓO]N""),0,IF(OR(UPPER(TRIM(E291))=""TERMINAL"",UPPER(TRIM(E291))=""TRANSFERENCIA""),F291-F291/1.16,0)))"),"")</f>
        <v/>
      </c>
      <c r="H291" s="193" t="str">
        <f t="shared" si="2"/>
        <v/>
      </c>
      <c r="I291" s="194" t="b">
        <v>0</v>
      </c>
    </row>
    <row r="292" ht="22.5" customHeight="1">
      <c r="A292" s="188"/>
      <c r="B292" s="189" t="str">
        <f t="shared" si="1"/>
        <v/>
      </c>
      <c r="C292" s="199"/>
      <c r="D292" s="191"/>
      <c r="E292" s="191"/>
      <c r="F292" s="192"/>
      <c r="G292" s="193" t="str">
        <f>IFERROR(__xludf.DUMMYFUNCTION("IF(F292="""","""",IF(REGEXMATCH(UPPER(TRIM(C292)),""RENDIMIENTO|INVERSI[ÓO]N""),0,IF(OR(UPPER(TRIM(E292))=""TERMINAL"",UPPER(TRIM(E292))=""TRANSFERENCIA""),F292-F292/1.16,0)))"),"")</f>
        <v/>
      </c>
      <c r="H292" s="193" t="str">
        <f t="shared" si="2"/>
        <v/>
      </c>
      <c r="I292" s="194" t="b">
        <v>0</v>
      </c>
    </row>
    <row r="293" ht="22.5" customHeight="1">
      <c r="A293" s="188"/>
      <c r="B293" s="189" t="str">
        <f t="shared" si="1"/>
        <v/>
      </c>
      <c r="C293" s="199"/>
      <c r="D293" s="191"/>
      <c r="E293" s="191"/>
      <c r="F293" s="192"/>
      <c r="G293" s="193" t="str">
        <f>IFERROR(__xludf.DUMMYFUNCTION("IF(F293="""","""",IF(REGEXMATCH(UPPER(TRIM(C293)),""RENDIMIENTO|INVERSI[ÓO]N""),0,IF(OR(UPPER(TRIM(E293))=""TERMINAL"",UPPER(TRIM(E293))=""TRANSFERENCIA""),F293-F293/1.16,0)))"),"")</f>
        <v/>
      </c>
      <c r="H293" s="193" t="str">
        <f t="shared" si="2"/>
        <v/>
      </c>
      <c r="I293" s="194" t="b">
        <v>0</v>
      </c>
    </row>
    <row r="294" ht="22.5" customHeight="1">
      <c r="A294" s="188"/>
      <c r="B294" s="189" t="str">
        <f t="shared" si="1"/>
        <v/>
      </c>
      <c r="C294" s="199"/>
      <c r="D294" s="191"/>
      <c r="E294" s="191"/>
      <c r="F294" s="192"/>
      <c r="G294" s="193" t="str">
        <f>IFERROR(__xludf.DUMMYFUNCTION("IF(F294="""","""",IF(REGEXMATCH(UPPER(TRIM(C294)),""RENDIMIENTO|INVERSI[ÓO]N""),0,IF(OR(UPPER(TRIM(E294))=""TERMINAL"",UPPER(TRIM(E294))=""TRANSFERENCIA""),F294-F294/1.16,0)))"),"")</f>
        <v/>
      </c>
      <c r="H294" s="193" t="str">
        <f t="shared" si="2"/>
        <v/>
      </c>
      <c r="I294" s="194" t="b">
        <v>0</v>
      </c>
    </row>
    <row r="295" ht="22.5" customHeight="1">
      <c r="A295" s="188"/>
      <c r="B295" s="189" t="str">
        <f t="shared" si="1"/>
        <v/>
      </c>
      <c r="C295" s="199"/>
      <c r="D295" s="191"/>
      <c r="E295" s="191"/>
      <c r="F295" s="192"/>
      <c r="G295" s="193" t="str">
        <f>IFERROR(__xludf.DUMMYFUNCTION("IF(F295="""","""",IF(REGEXMATCH(UPPER(TRIM(C295)),""RENDIMIENTO|INVERSI[ÓO]N""),0,IF(OR(UPPER(TRIM(E295))=""TERMINAL"",UPPER(TRIM(E295))=""TRANSFERENCIA""),F295-F295/1.16,0)))"),"")</f>
        <v/>
      </c>
      <c r="H295" s="193" t="str">
        <f t="shared" si="2"/>
        <v/>
      </c>
      <c r="I295" s="194" t="b">
        <v>0</v>
      </c>
    </row>
    <row r="296" ht="22.5" customHeight="1">
      <c r="A296" s="188"/>
      <c r="B296" s="189" t="str">
        <f t="shared" si="1"/>
        <v/>
      </c>
      <c r="C296" s="199"/>
      <c r="D296" s="191"/>
      <c r="E296" s="191"/>
      <c r="F296" s="192"/>
      <c r="G296" s="193" t="str">
        <f>IFERROR(__xludf.DUMMYFUNCTION("IF(F296="""","""",IF(REGEXMATCH(UPPER(TRIM(C296)),""RENDIMIENTO|INVERSI[ÓO]N""),0,IF(OR(UPPER(TRIM(E296))=""TERMINAL"",UPPER(TRIM(E296))=""TRANSFERENCIA""),F296-F296/1.16,0)))"),"")</f>
        <v/>
      </c>
      <c r="H296" s="193" t="str">
        <f t="shared" si="2"/>
        <v/>
      </c>
      <c r="I296" s="194" t="b">
        <v>0</v>
      </c>
    </row>
    <row r="297" ht="22.5" customHeight="1">
      <c r="A297" s="188"/>
      <c r="B297" s="189" t="str">
        <f t="shared" si="1"/>
        <v/>
      </c>
      <c r="C297" s="199"/>
      <c r="D297" s="191"/>
      <c r="E297" s="191"/>
      <c r="F297" s="192"/>
      <c r="G297" s="193" t="str">
        <f>IFERROR(__xludf.DUMMYFUNCTION("IF(F297="""","""",IF(REGEXMATCH(UPPER(TRIM(C297)),""RENDIMIENTO|INVERSI[ÓO]N""),0,IF(OR(UPPER(TRIM(E297))=""TERMINAL"",UPPER(TRIM(E297))=""TRANSFERENCIA""),F297-F297/1.16,0)))"),"")</f>
        <v/>
      </c>
      <c r="H297" s="193" t="str">
        <f t="shared" si="2"/>
        <v/>
      </c>
      <c r="I297" s="194" t="b">
        <v>0</v>
      </c>
    </row>
    <row r="298" ht="22.5" customHeight="1">
      <c r="A298" s="188"/>
      <c r="B298" s="189" t="str">
        <f t="shared" si="1"/>
        <v/>
      </c>
      <c r="C298" s="199"/>
      <c r="D298" s="191"/>
      <c r="E298" s="191"/>
      <c r="F298" s="192"/>
      <c r="G298" s="193" t="str">
        <f>IFERROR(__xludf.DUMMYFUNCTION("IF(F298="""","""",IF(REGEXMATCH(UPPER(TRIM(C298)),""RENDIMIENTO|INVERSI[ÓO]N""),0,IF(OR(UPPER(TRIM(E298))=""TERMINAL"",UPPER(TRIM(E298))=""TRANSFERENCIA""),F298-F298/1.16,0)))"),"")</f>
        <v/>
      </c>
      <c r="H298" s="193" t="str">
        <f t="shared" si="2"/>
        <v/>
      </c>
      <c r="I298" s="194" t="b">
        <v>0</v>
      </c>
    </row>
    <row r="299" ht="22.5" customHeight="1">
      <c r="A299" s="188"/>
      <c r="B299" s="189" t="str">
        <f t="shared" si="1"/>
        <v/>
      </c>
      <c r="C299" s="199"/>
      <c r="D299" s="191"/>
      <c r="E299" s="191"/>
      <c r="F299" s="192"/>
      <c r="G299" s="193" t="str">
        <f>IFERROR(__xludf.DUMMYFUNCTION("IF(F299="""","""",IF(REGEXMATCH(UPPER(TRIM(C299)),""RENDIMIENTO|INVERSI[ÓO]N""),0,IF(OR(UPPER(TRIM(E299))=""TERMINAL"",UPPER(TRIM(E299))=""TRANSFERENCIA""),F299-F299/1.16,0)))"),"")</f>
        <v/>
      </c>
      <c r="H299" s="193" t="str">
        <f t="shared" si="2"/>
        <v/>
      </c>
      <c r="I299" s="194" t="b">
        <v>0</v>
      </c>
    </row>
    <row r="300" ht="22.5" customHeight="1">
      <c r="A300" s="188"/>
      <c r="B300" s="189" t="str">
        <f t="shared" si="1"/>
        <v/>
      </c>
      <c r="C300" s="199"/>
      <c r="D300" s="191"/>
      <c r="E300" s="191"/>
      <c r="F300" s="192"/>
      <c r="G300" s="193" t="str">
        <f>IFERROR(__xludf.DUMMYFUNCTION("IF(F300="""","""",IF(REGEXMATCH(UPPER(TRIM(C300)),""RENDIMIENTO|INVERSI[ÓO]N""),0,IF(OR(UPPER(TRIM(E300))=""TERMINAL"",UPPER(TRIM(E300))=""TRANSFERENCIA""),F300-F300/1.16,0)))"),"")</f>
        <v/>
      </c>
      <c r="H300" s="193" t="str">
        <f t="shared" si="2"/>
        <v/>
      </c>
      <c r="I300" s="194" t="b">
        <v>0</v>
      </c>
    </row>
    <row r="301" ht="22.5" customHeight="1">
      <c r="A301" s="188"/>
      <c r="B301" s="189" t="str">
        <f t="shared" si="1"/>
        <v/>
      </c>
      <c r="C301" s="199"/>
      <c r="D301" s="191"/>
      <c r="E301" s="191"/>
      <c r="F301" s="192"/>
      <c r="G301" s="193" t="str">
        <f>IFERROR(__xludf.DUMMYFUNCTION("IF(F301="""","""",IF(REGEXMATCH(UPPER(TRIM(C301)),""RENDIMIENTO|INVERSI[ÓO]N""),0,IF(OR(UPPER(TRIM(E301))=""TERMINAL"",UPPER(TRIM(E301))=""TRANSFERENCIA""),F301-F301/1.16,0)))"),"")</f>
        <v/>
      </c>
      <c r="H301" s="193" t="str">
        <f t="shared" si="2"/>
        <v/>
      </c>
      <c r="I301" s="194" t="b">
        <v>0</v>
      </c>
    </row>
    <row r="302" ht="22.5" customHeight="1">
      <c r="A302" s="188"/>
      <c r="B302" s="189" t="str">
        <f t="shared" si="1"/>
        <v/>
      </c>
      <c r="C302" s="199"/>
      <c r="D302" s="191"/>
      <c r="E302" s="191"/>
      <c r="F302" s="192"/>
      <c r="G302" s="193" t="str">
        <f>IFERROR(__xludf.DUMMYFUNCTION("IF(F302="""","""",IF(REGEXMATCH(UPPER(TRIM(C302)),""RENDIMIENTO|INVERSI[ÓO]N""),0,IF(OR(UPPER(TRIM(E302))=""TERMINAL"",UPPER(TRIM(E302))=""TRANSFERENCIA""),F302-F302/1.16,0)))"),"")</f>
        <v/>
      </c>
      <c r="H302" s="193" t="str">
        <f t="shared" si="2"/>
        <v/>
      </c>
      <c r="I302" s="194" t="b">
        <v>0</v>
      </c>
    </row>
    <row r="303" ht="22.5" customHeight="1">
      <c r="A303" s="188"/>
      <c r="B303" s="189" t="str">
        <f t="shared" si="1"/>
        <v/>
      </c>
      <c r="C303" s="199"/>
      <c r="D303" s="191"/>
      <c r="E303" s="191"/>
      <c r="F303" s="192"/>
      <c r="G303" s="193" t="str">
        <f>IFERROR(__xludf.DUMMYFUNCTION("IF(F303="""","""",IF(REGEXMATCH(UPPER(TRIM(C303)),""RENDIMIENTO|INVERSI[ÓO]N""),0,IF(OR(UPPER(TRIM(E303))=""TERMINAL"",UPPER(TRIM(E303))=""TRANSFERENCIA""),F303-F303/1.16,0)))"),"")</f>
        <v/>
      </c>
      <c r="H303" s="193" t="str">
        <f t="shared" si="2"/>
        <v/>
      </c>
      <c r="I303" s="194" t="b">
        <v>0</v>
      </c>
    </row>
    <row r="304" ht="22.5" customHeight="1">
      <c r="A304" s="188"/>
      <c r="B304" s="189" t="str">
        <f t="shared" si="1"/>
        <v/>
      </c>
      <c r="C304" s="199"/>
      <c r="D304" s="191"/>
      <c r="E304" s="191"/>
      <c r="F304" s="192"/>
      <c r="G304" s="193" t="str">
        <f>IFERROR(__xludf.DUMMYFUNCTION("IF(F304="""","""",IF(REGEXMATCH(UPPER(TRIM(C304)),""RENDIMIENTO|INVERSI[ÓO]N""),0,IF(OR(UPPER(TRIM(E304))=""TERMINAL"",UPPER(TRIM(E304))=""TRANSFERENCIA""),F304-F304/1.16,0)))"),"")</f>
        <v/>
      </c>
      <c r="H304" s="193" t="str">
        <f t="shared" si="2"/>
        <v/>
      </c>
      <c r="I304" s="194" t="b">
        <v>0</v>
      </c>
    </row>
    <row r="305" ht="22.5" customHeight="1">
      <c r="A305" s="188"/>
      <c r="B305" s="189" t="str">
        <f t="shared" si="1"/>
        <v/>
      </c>
      <c r="C305" s="199"/>
      <c r="D305" s="191"/>
      <c r="E305" s="191"/>
      <c r="F305" s="192"/>
      <c r="G305" s="193" t="str">
        <f>IFERROR(__xludf.DUMMYFUNCTION("IF(F305="""","""",IF(REGEXMATCH(UPPER(TRIM(C305)),""RENDIMIENTO|INVERSI[ÓO]N""),0,IF(OR(UPPER(TRIM(E305))=""TERMINAL"",UPPER(TRIM(E305))=""TRANSFERENCIA""),F305-F305/1.16,0)))"),"")</f>
        <v/>
      </c>
      <c r="H305" s="193" t="str">
        <f t="shared" si="2"/>
        <v/>
      </c>
      <c r="I305" s="194" t="b">
        <v>0</v>
      </c>
    </row>
    <row r="306" ht="22.5" customHeight="1">
      <c r="A306" s="188"/>
      <c r="B306" s="189" t="str">
        <f t="shared" si="1"/>
        <v/>
      </c>
      <c r="C306" s="199"/>
      <c r="D306" s="191"/>
      <c r="E306" s="191"/>
      <c r="F306" s="192"/>
      <c r="G306" s="193" t="str">
        <f>IFERROR(__xludf.DUMMYFUNCTION("IF(F306="""","""",IF(REGEXMATCH(UPPER(TRIM(C306)),""RENDIMIENTO|INVERSI[ÓO]N""),0,IF(OR(UPPER(TRIM(E306))=""TERMINAL"",UPPER(TRIM(E306))=""TRANSFERENCIA""),F306-F306/1.16,0)))"),"")</f>
        <v/>
      </c>
      <c r="H306" s="193" t="str">
        <f t="shared" si="2"/>
        <v/>
      </c>
      <c r="I306" s="194" t="b">
        <v>0</v>
      </c>
    </row>
    <row r="307" ht="22.5" customHeight="1">
      <c r="A307" s="188"/>
      <c r="B307" s="189" t="str">
        <f t="shared" si="1"/>
        <v/>
      </c>
      <c r="C307" s="199"/>
      <c r="D307" s="191"/>
      <c r="E307" s="191"/>
      <c r="F307" s="192"/>
      <c r="G307" s="193" t="str">
        <f>IFERROR(__xludf.DUMMYFUNCTION("IF(F307="""","""",IF(REGEXMATCH(UPPER(TRIM(C307)),""RENDIMIENTO|INVERSI[ÓO]N""),0,IF(OR(UPPER(TRIM(E307))=""TERMINAL"",UPPER(TRIM(E307))=""TRANSFERENCIA""),F307-F307/1.16,0)))"),"")</f>
        <v/>
      </c>
      <c r="H307" s="193" t="str">
        <f t="shared" si="2"/>
        <v/>
      </c>
      <c r="I307" s="194" t="b">
        <v>0</v>
      </c>
    </row>
    <row r="308" ht="22.5" customHeight="1">
      <c r="A308" s="188"/>
      <c r="B308" s="189" t="str">
        <f t="shared" si="1"/>
        <v/>
      </c>
      <c r="C308" s="199"/>
      <c r="D308" s="191"/>
      <c r="E308" s="191"/>
      <c r="F308" s="192"/>
      <c r="G308" s="193" t="str">
        <f>IFERROR(__xludf.DUMMYFUNCTION("IF(F308="""","""",IF(REGEXMATCH(UPPER(TRIM(C308)),""RENDIMIENTO|INVERSI[ÓO]N""),0,IF(OR(UPPER(TRIM(E308))=""TERMINAL"",UPPER(TRIM(E308))=""TRANSFERENCIA""),F308-F308/1.16,0)))"),"")</f>
        <v/>
      </c>
      <c r="H308" s="193" t="str">
        <f t="shared" si="2"/>
        <v/>
      </c>
      <c r="I308" s="194" t="b">
        <v>0</v>
      </c>
    </row>
    <row r="309" ht="22.5" customHeight="1">
      <c r="A309" s="188"/>
      <c r="B309" s="189" t="str">
        <f t="shared" si="1"/>
        <v/>
      </c>
      <c r="C309" s="199"/>
      <c r="D309" s="191"/>
      <c r="E309" s="191"/>
      <c r="F309" s="192"/>
      <c r="G309" s="193" t="str">
        <f>IFERROR(__xludf.DUMMYFUNCTION("IF(F309="""","""",IF(REGEXMATCH(UPPER(TRIM(C309)),""RENDIMIENTO|INVERSI[ÓO]N""),0,IF(OR(UPPER(TRIM(E309))=""TERMINAL"",UPPER(TRIM(E309))=""TRANSFERENCIA""),F309-F309/1.16,0)))"),"")</f>
        <v/>
      </c>
      <c r="H309" s="193" t="str">
        <f t="shared" si="2"/>
        <v/>
      </c>
      <c r="I309" s="194" t="b">
        <v>0</v>
      </c>
    </row>
    <row r="310" ht="22.5" customHeight="1">
      <c r="A310" s="188"/>
      <c r="B310" s="189" t="str">
        <f t="shared" si="1"/>
        <v/>
      </c>
      <c r="C310" s="199"/>
      <c r="D310" s="191"/>
      <c r="E310" s="191"/>
      <c r="F310" s="192"/>
      <c r="G310" s="193" t="str">
        <f>IFERROR(__xludf.DUMMYFUNCTION("IF(F310="""","""",IF(REGEXMATCH(UPPER(TRIM(C310)),""RENDIMIENTO|INVERSI[ÓO]N""),0,IF(OR(UPPER(TRIM(E310))=""TERMINAL"",UPPER(TRIM(E310))=""TRANSFERENCIA""),F310-F310/1.16,0)))"),"")</f>
        <v/>
      </c>
      <c r="H310" s="193" t="str">
        <f t="shared" si="2"/>
        <v/>
      </c>
      <c r="I310" s="194" t="b">
        <v>0</v>
      </c>
    </row>
    <row r="311" ht="22.5" customHeight="1">
      <c r="A311" s="188"/>
      <c r="B311" s="189" t="str">
        <f t="shared" si="1"/>
        <v/>
      </c>
      <c r="C311" s="199"/>
      <c r="D311" s="191"/>
      <c r="E311" s="191"/>
      <c r="F311" s="192"/>
      <c r="G311" s="193" t="str">
        <f>IFERROR(__xludf.DUMMYFUNCTION("IF(F311="""","""",IF(REGEXMATCH(UPPER(TRIM(C311)),""RENDIMIENTO|INVERSI[ÓO]N""),0,IF(OR(UPPER(TRIM(E311))=""TERMINAL"",UPPER(TRIM(E311))=""TRANSFERENCIA""),F311-F311/1.16,0)))"),"")</f>
        <v/>
      </c>
      <c r="H311" s="193" t="str">
        <f t="shared" si="2"/>
        <v/>
      </c>
      <c r="I311" s="194" t="b">
        <v>0</v>
      </c>
    </row>
    <row r="312" ht="22.5" customHeight="1">
      <c r="A312" s="188"/>
      <c r="B312" s="189" t="str">
        <f t="shared" si="1"/>
        <v/>
      </c>
      <c r="C312" s="199"/>
      <c r="D312" s="191"/>
      <c r="E312" s="191"/>
      <c r="F312" s="192"/>
      <c r="G312" s="193" t="str">
        <f>IFERROR(__xludf.DUMMYFUNCTION("IF(F312="""","""",IF(REGEXMATCH(UPPER(TRIM(C312)),""RENDIMIENTO|INVERSI[ÓO]N""),0,IF(OR(UPPER(TRIM(E312))=""TERMINAL"",UPPER(TRIM(E312))=""TRANSFERENCIA""),F312-F312/1.16,0)))"),"")</f>
        <v/>
      </c>
      <c r="H312" s="193" t="str">
        <f t="shared" si="2"/>
        <v/>
      </c>
      <c r="I312" s="194" t="b">
        <v>0</v>
      </c>
    </row>
    <row r="313" ht="22.5" customHeight="1">
      <c r="A313" s="188"/>
      <c r="B313" s="189" t="str">
        <f t="shared" si="1"/>
        <v/>
      </c>
      <c r="C313" s="199"/>
      <c r="D313" s="191"/>
      <c r="E313" s="191"/>
      <c r="F313" s="192"/>
      <c r="G313" s="193" t="str">
        <f>IFERROR(__xludf.DUMMYFUNCTION("IF(F313="""","""",IF(REGEXMATCH(UPPER(TRIM(C313)),""RENDIMIENTO|INVERSI[ÓO]N""),0,IF(OR(UPPER(TRIM(E313))=""TERMINAL"",UPPER(TRIM(E313))=""TRANSFERENCIA""),F313-F313/1.16,0)))"),"")</f>
        <v/>
      </c>
      <c r="H313" s="193" t="str">
        <f t="shared" si="2"/>
        <v/>
      </c>
      <c r="I313" s="194" t="b">
        <v>0</v>
      </c>
    </row>
    <row r="314" ht="22.5" customHeight="1">
      <c r="A314" s="188"/>
      <c r="B314" s="189" t="str">
        <f t="shared" si="1"/>
        <v/>
      </c>
      <c r="C314" s="199"/>
      <c r="D314" s="191"/>
      <c r="E314" s="191"/>
      <c r="F314" s="192"/>
      <c r="G314" s="193" t="str">
        <f>IFERROR(__xludf.DUMMYFUNCTION("IF(F314="""","""",IF(REGEXMATCH(UPPER(TRIM(C314)),""RENDIMIENTO|INVERSI[ÓO]N""),0,IF(OR(UPPER(TRIM(E314))=""TERMINAL"",UPPER(TRIM(E314))=""TRANSFERENCIA""),F314-F314/1.16,0)))"),"")</f>
        <v/>
      </c>
      <c r="H314" s="193" t="str">
        <f t="shared" si="2"/>
        <v/>
      </c>
      <c r="I314" s="194" t="b">
        <v>0</v>
      </c>
    </row>
    <row r="315" ht="22.5" customHeight="1">
      <c r="A315" s="188"/>
      <c r="B315" s="189" t="str">
        <f t="shared" si="1"/>
        <v/>
      </c>
      <c r="C315" s="199"/>
      <c r="D315" s="191"/>
      <c r="E315" s="191"/>
      <c r="F315" s="192"/>
      <c r="G315" s="193" t="str">
        <f>IFERROR(__xludf.DUMMYFUNCTION("IF(F315="""","""",IF(REGEXMATCH(UPPER(TRIM(C315)),""RENDIMIENTO|INVERSI[ÓO]N""),0,IF(OR(UPPER(TRIM(E315))=""TERMINAL"",UPPER(TRIM(E315))=""TRANSFERENCIA""),F315-F315/1.16,0)))"),"")</f>
        <v/>
      </c>
      <c r="H315" s="193" t="str">
        <f t="shared" si="2"/>
        <v/>
      </c>
      <c r="I315" s="194" t="b">
        <v>0</v>
      </c>
    </row>
    <row r="316" ht="22.5" customHeight="1">
      <c r="A316" s="188"/>
      <c r="B316" s="189" t="str">
        <f t="shared" si="1"/>
        <v/>
      </c>
      <c r="C316" s="199"/>
      <c r="D316" s="191"/>
      <c r="E316" s="191"/>
      <c r="F316" s="192"/>
      <c r="G316" s="193" t="str">
        <f>IFERROR(__xludf.DUMMYFUNCTION("IF(F316="""","""",IF(REGEXMATCH(UPPER(TRIM(C316)),""RENDIMIENTO|INVERSI[ÓO]N""),0,IF(OR(UPPER(TRIM(E316))=""TERMINAL"",UPPER(TRIM(E316))=""TRANSFERENCIA""),F316-F316/1.16,0)))"),"")</f>
        <v/>
      </c>
      <c r="H316" s="193" t="str">
        <f t="shared" si="2"/>
        <v/>
      </c>
      <c r="I316" s="194" t="b">
        <v>0</v>
      </c>
    </row>
    <row r="317" ht="22.5" customHeight="1">
      <c r="A317" s="188"/>
      <c r="B317" s="189" t="str">
        <f t="shared" si="1"/>
        <v/>
      </c>
      <c r="C317" s="199"/>
      <c r="D317" s="191"/>
      <c r="E317" s="191"/>
      <c r="F317" s="192"/>
      <c r="G317" s="193" t="str">
        <f>IFERROR(__xludf.DUMMYFUNCTION("IF(F317="""","""",IF(REGEXMATCH(UPPER(TRIM(C317)),""RENDIMIENTO|INVERSI[ÓO]N""),0,IF(OR(UPPER(TRIM(E317))=""TERMINAL"",UPPER(TRIM(E317))=""TRANSFERENCIA""),F317-F317/1.16,0)))"),"")</f>
        <v/>
      </c>
      <c r="H317" s="193" t="str">
        <f t="shared" si="2"/>
        <v/>
      </c>
      <c r="I317" s="194" t="b">
        <v>0</v>
      </c>
    </row>
    <row r="318" ht="22.5" customHeight="1">
      <c r="A318" s="188"/>
      <c r="B318" s="189" t="str">
        <f t="shared" si="1"/>
        <v/>
      </c>
      <c r="C318" s="199"/>
      <c r="D318" s="191"/>
      <c r="E318" s="191"/>
      <c r="F318" s="192"/>
      <c r="G318" s="193" t="str">
        <f>IFERROR(__xludf.DUMMYFUNCTION("IF(F318="""","""",IF(REGEXMATCH(UPPER(TRIM(C318)),""RENDIMIENTO|INVERSI[ÓO]N""),0,IF(OR(UPPER(TRIM(E318))=""TERMINAL"",UPPER(TRIM(E318))=""TRANSFERENCIA""),F318-F318/1.16,0)))"),"")</f>
        <v/>
      </c>
      <c r="H318" s="193" t="str">
        <f t="shared" si="2"/>
        <v/>
      </c>
      <c r="I318" s="194" t="b">
        <v>0</v>
      </c>
    </row>
    <row r="319" ht="22.5" customHeight="1">
      <c r="A319" s="188"/>
      <c r="B319" s="189" t="str">
        <f t="shared" si="1"/>
        <v/>
      </c>
      <c r="C319" s="199"/>
      <c r="D319" s="191"/>
      <c r="E319" s="191"/>
      <c r="F319" s="192"/>
      <c r="G319" s="193" t="str">
        <f>IFERROR(__xludf.DUMMYFUNCTION("IF(F319="""","""",IF(REGEXMATCH(UPPER(TRIM(C319)),""RENDIMIENTO|INVERSI[ÓO]N""),0,IF(OR(UPPER(TRIM(E319))=""TERMINAL"",UPPER(TRIM(E319))=""TRANSFERENCIA""),F319-F319/1.16,0)))"),"")</f>
        <v/>
      </c>
      <c r="H319" s="193" t="str">
        <f t="shared" si="2"/>
        <v/>
      </c>
      <c r="I319" s="194" t="b">
        <v>0</v>
      </c>
    </row>
    <row r="320" ht="22.5" customHeight="1">
      <c r="A320" s="188"/>
      <c r="B320" s="189" t="str">
        <f t="shared" si="1"/>
        <v/>
      </c>
      <c r="C320" s="199"/>
      <c r="D320" s="191"/>
      <c r="E320" s="191"/>
      <c r="F320" s="192"/>
      <c r="G320" s="193" t="str">
        <f>IFERROR(__xludf.DUMMYFUNCTION("IF(F320="""","""",IF(REGEXMATCH(UPPER(TRIM(C320)),""RENDIMIENTO|INVERSI[ÓO]N""),0,IF(OR(UPPER(TRIM(E320))=""TERMINAL"",UPPER(TRIM(E320))=""TRANSFERENCIA""),F320-F320/1.16,0)))"),"")</f>
        <v/>
      </c>
      <c r="H320" s="193" t="str">
        <f t="shared" si="2"/>
        <v/>
      </c>
      <c r="I320" s="194" t="b">
        <v>0</v>
      </c>
    </row>
    <row r="321" ht="22.5" customHeight="1">
      <c r="A321" s="188"/>
      <c r="B321" s="189" t="str">
        <f t="shared" si="1"/>
        <v/>
      </c>
      <c r="C321" s="199"/>
      <c r="D321" s="191"/>
      <c r="E321" s="191"/>
      <c r="F321" s="192"/>
      <c r="G321" s="193" t="str">
        <f>IFERROR(__xludf.DUMMYFUNCTION("IF(F321="""","""",IF(REGEXMATCH(UPPER(TRIM(C321)),""RENDIMIENTO|INVERSI[ÓO]N""),0,IF(OR(UPPER(TRIM(E321))=""TERMINAL"",UPPER(TRIM(E321))=""TRANSFERENCIA""),F321-F321/1.16,0)))"),"")</f>
        <v/>
      </c>
      <c r="H321" s="193" t="str">
        <f t="shared" si="2"/>
        <v/>
      </c>
      <c r="I321" s="194" t="b">
        <v>0</v>
      </c>
    </row>
    <row r="322" ht="22.5" customHeight="1">
      <c r="A322" s="188"/>
      <c r="B322" s="189" t="str">
        <f t="shared" si="1"/>
        <v/>
      </c>
      <c r="C322" s="199"/>
      <c r="D322" s="191"/>
      <c r="E322" s="191"/>
      <c r="F322" s="192"/>
      <c r="G322" s="193" t="str">
        <f>IFERROR(__xludf.DUMMYFUNCTION("IF(F322="""","""",IF(REGEXMATCH(UPPER(TRIM(C322)),""RENDIMIENTO|INVERSI[ÓO]N""),0,IF(OR(UPPER(TRIM(E322))=""TERMINAL"",UPPER(TRIM(E322))=""TRANSFERENCIA""),F322-F322/1.16,0)))"),"")</f>
        <v/>
      </c>
      <c r="H322" s="193" t="str">
        <f t="shared" si="2"/>
        <v/>
      </c>
      <c r="I322" s="194" t="b">
        <v>0</v>
      </c>
    </row>
    <row r="323" ht="22.5" customHeight="1">
      <c r="A323" s="188"/>
      <c r="B323" s="189" t="str">
        <f t="shared" si="1"/>
        <v/>
      </c>
      <c r="C323" s="199"/>
      <c r="D323" s="191"/>
      <c r="E323" s="191"/>
      <c r="F323" s="192"/>
      <c r="G323" s="193" t="str">
        <f>IFERROR(__xludf.DUMMYFUNCTION("IF(F323="""","""",IF(REGEXMATCH(UPPER(TRIM(C323)),""RENDIMIENTO|INVERSI[ÓO]N""),0,IF(OR(UPPER(TRIM(E323))=""TERMINAL"",UPPER(TRIM(E323))=""TRANSFERENCIA""),F323-F323/1.16,0)))"),"")</f>
        <v/>
      </c>
      <c r="H323" s="193" t="str">
        <f t="shared" si="2"/>
        <v/>
      </c>
      <c r="I323" s="194" t="b">
        <v>0</v>
      </c>
    </row>
    <row r="324" ht="22.5" customHeight="1">
      <c r="A324" s="188"/>
      <c r="B324" s="189" t="str">
        <f t="shared" si="1"/>
        <v/>
      </c>
      <c r="C324" s="199"/>
      <c r="D324" s="191"/>
      <c r="E324" s="191"/>
      <c r="F324" s="192"/>
      <c r="G324" s="193" t="str">
        <f>IFERROR(__xludf.DUMMYFUNCTION("IF(F324="""","""",IF(REGEXMATCH(UPPER(TRIM(C324)),""RENDIMIENTO|INVERSI[ÓO]N""),0,IF(OR(UPPER(TRIM(E324))=""TERMINAL"",UPPER(TRIM(E324))=""TRANSFERENCIA""),F324-F324/1.16,0)))"),"")</f>
        <v/>
      </c>
      <c r="H324" s="193" t="str">
        <f t="shared" si="2"/>
        <v/>
      </c>
      <c r="I324" s="194" t="b">
        <v>0</v>
      </c>
    </row>
    <row r="325" ht="22.5" customHeight="1">
      <c r="A325" s="188"/>
      <c r="B325" s="189" t="str">
        <f t="shared" si="1"/>
        <v/>
      </c>
      <c r="C325" s="199"/>
      <c r="D325" s="191"/>
      <c r="E325" s="191"/>
      <c r="F325" s="192"/>
      <c r="G325" s="193" t="str">
        <f>IFERROR(__xludf.DUMMYFUNCTION("IF(F325="""","""",IF(REGEXMATCH(UPPER(TRIM(C325)),""RENDIMIENTO|INVERSI[ÓO]N""),0,IF(OR(UPPER(TRIM(E325))=""TERMINAL"",UPPER(TRIM(E325))=""TRANSFERENCIA""),F325-F325/1.16,0)))"),"")</f>
        <v/>
      </c>
      <c r="H325" s="193" t="str">
        <f t="shared" si="2"/>
        <v/>
      </c>
      <c r="I325" s="194" t="b">
        <v>0</v>
      </c>
    </row>
    <row r="326" ht="22.5" customHeight="1">
      <c r="A326" s="188"/>
      <c r="B326" s="189" t="str">
        <f t="shared" si="1"/>
        <v/>
      </c>
      <c r="C326" s="199"/>
      <c r="D326" s="191"/>
      <c r="E326" s="191"/>
      <c r="F326" s="192"/>
      <c r="G326" s="193" t="str">
        <f>IFERROR(__xludf.DUMMYFUNCTION("IF(F326="""","""",IF(REGEXMATCH(UPPER(TRIM(C326)),""RENDIMIENTO|INVERSI[ÓO]N""),0,IF(OR(UPPER(TRIM(E326))=""TERMINAL"",UPPER(TRIM(E326))=""TRANSFERENCIA""),F326-F326/1.16,0)))"),"")</f>
        <v/>
      </c>
      <c r="H326" s="193" t="str">
        <f t="shared" si="2"/>
        <v/>
      </c>
      <c r="I326" s="194" t="b">
        <v>0</v>
      </c>
    </row>
    <row r="327" ht="22.5" customHeight="1">
      <c r="A327" s="188"/>
      <c r="B327" s="189" t="str">
        <f t="shared" si="1"/>
        <v/>
      </c>
      <c r="C327" s="199"/>
      <c r="D327" s="191"/>
      <c r="E327" s="191"/>
      <c r="F327" s="192"/>
      <c r="G327" s="193" t="str">
        <f>IFERROR(__xludf.DUMMYFUNCTION("IF(F327="""","""",IF(REGEXMATCH(UPPER(TRIM(C327)),""RENDIMIENTO|INVERSI[ÓO]N""),0,IF(OR(UPPER(TRIM(E327))=""TERMINAL"",UPPER(TRIM(E327))=""TRANSFERENCIA""),F327-F327/1.16,0)))"),"")</f>
        <v/>
      </c>
      <c r="H327" s="193" t="str">
        <f t="shared" si="2"/>
        <v/>
      </c>
      <c r="I327" s="194" t="b">
        <v>0</v>
      </c>
    </row>
    <row r="328" ht="22.5" customHeight="1">
      <c r="A328" s="188"/>
      <c r="B328" s="189" t="str">
        <f t="shared" si="1"/>
        <v/>
      </c>
      <c r="C328" s="199"/>
      <c r="D328" s="191"/>
      <c r="E328" s="191"/>
      <c r="F328" s="192"/>
      <c r="G328" s="193" t="str">
        <f>IFERROR(__xludf.DUMMYFUNCTION("IF(F328="""","""",IF(REGEXMATCH(UPPER(TRIM(C328)),""RENDIMIENTO|INVERSI[ÓO]N""),0,IF(OR(UPPER(TRIM(E328))=""TERMINAL"",UPPER(TRIM(E328))=""TRANSFERENCIA""),F328-F328/1.16,0)))"),"")</f>
        <v/>
      </c>
      <c r="H328" s="193" t="str">
        <f t="shared" si="2"/>
        <v/>
      </c>
      <c r="I328" s="194" t="b">
        <v>0</v>
      </c>
    </row>
    <row r="329" ht="22.5" customHeight="1">
      <c r="A329" s="188"/>
      <c r="B329" s="189" t="str">
        <f t="shared" si="1"/>
        <v/>
      </c>
      <c r="C329" s="199"/>
      <c r="D329" s="191"/>
      <c r="E329" s="191"/>
      <c r="F329" s="192"/>
      <c r="G329" s="193" t="str">
        <f>IFERROR(__xludf.DUMMYFUNCTION("IF(F329="""","""",IF(REGEXMATCH(UPPER(TRIM(C329)),""RENDIMIENTO|INVERSI[ÓO]N""),0,IF(OR(UPPER(TRIM(E329))=""TERMINAL"",UPPER(TRIM(E329))=""TRANSFERENCIA""),F329-F329/1.16,0)))"),"")</f>
        <v/>
      </c>
      <c r="H329" s="193" t="str">
        <f t="shared" si="2"/>
        <v/>
      </c>
      <c r="I329" s="194" t="b">
        <v>0</v>
      </c>
    </row>
    <row r="330" ht="22.5" customHeight="1">
      <c r="A330" s="188"/>
      <c r="B330" s="189" t="str">
        <f t="shared" si="1"/>
        <v/>
      </c>
      <c r="C330" s="199"/>
      <c r="D330" s="191"/>
      <c r="E330" s="191"/>
      <c r="F330" s="192"/>
      <c r="G330" s="193" t="str">
        <f>IFERROR(__xludf.DUMMYFUNCTION("IF(F330="""","""",IF(REGEXMATCH(UPPER(TRIM(C330)),""RENDIMIENTO|INVERSI[ÓO]N""),0,IF(OR(UPPER(TRIM(E330))=""TERMINAL"",UPPER(TRIM(E330))=""TRANSFERENCIA""),F330-F330/1.16,0)))"),"")</f>
        <v/>
      </c>
      <c r="H330" s="193" t="str">
        <f t="shared" si="2"/>
        <v/>
      </c>
      <c r="I330" s="194" t="b">
        <v>0</v>
      </c>
    </row>
    <row r="331" ht="22.5" customHeight="1">
      <c r="A331" s="188"/>
      <c r="B331" s="189" t="str">
        <f t="shared" si="1"/>
        <v/>
      </c>
      <c r="C331" s="199"/>
      <c r="D331" s="191"/>
      <c r="E331" s="191"/>
      <c r="F331" s="192"/>
      <c r="G331" s="193" t="str">
        <f>IFERROR(__xludf.DUMMYFUNCTION("IF(F331="""","""",IF(REGEXMATCH(UPPER(TRIM(C331)),""RENDIMIENTO|INVERSI[ÓO]N""),0,IF(OR(UPPER(TRIM(E331))=""TERMINAL"",UPPER(TRIM(E331))=""TRANSFERENCIA""),F331-F331/1.16,0)))"),"")</f>
        <v/>
      </c>
      <c r="H331" s="193" t="str">
        <f t="shared" si="2"/>
        <v/>
      </c>
      <c r="I331" s="194" t="b">
        <v>0</v>
      </c>
    </row>
    <row r="332" ht="22.5" customHeight="1">
      <c r="A332" s="188"/>
      <c r="B332" s="189" t="str">
        <f t="shared" si="1"/>
        <v/>
      </c>
      <c r="C332" s="199"/>
      <c r="D332" s="191"/>
      <c r="E332" s="191"/>
      <c r="F332" s="192"/>
      <c r="G332" s="193" t="str">
        <f>IFERROR(__xludf.DUMMYFUNCTION("IF(F332="""","""",IF(REGEXMATCH(UPPER(TRIM(C332)),""RENDIMIENTO|INVERSI[ÓO]N""),0,IF(OR(UPPER(TRIM(E332))=""TERMINAL"",UPPER(TRIM(E332))=""TRANSFERENCIA""),F332-F332/1.16,0)))"),"")</f>
        <v/>
      </c>
      <c r="H332" s="193" t="str">
        <f t="shared" si="2"/>
        <v/>
      </c>
      <c r="I332" s="194" t="b">
        <v>0</v>
      </c>
    </row>
    <row r="333" ht="22.5" customHeight="1">
      <c r="A333" s="188"/>
      <c r="B333" s="189" t="str">
        <f t="shared" si="1"/>
        <v/>
      </c>
      <c r="C333" s="199"/>
      <c r="D333" s="191"/>
      <c r="E333" s="191"/>
      <c r="F333" s="192"/>
      <c r="G333" s="193" t="str">
        <f>IFERROR(__xludf.DUMMYFUNCTION("IF(F333="""","""",IF(REGEXMATCH(UPPER(TRIM(C333)),""RENDIMIENTO|INVERSI[ÓO]N""),0,IF(OR(UPPER(TRIM(E333))=""TERMINAL"",UPPER(TRIM(E333))=""TRANSFERENCIA""),F333-F333/1.16,0)))"),"")</f>
        <v/>
      </c>
      <c r="H333" s="193" t="str">
        <f t="shared" si="2"/>
        <v/>
      </c>
      <c r="I333" s="194" t="b">
        <v>0</v>
      </c>
    </row>
    <row r="334" ht="22.5" customHeight="1">
      <c r="A334" s="188"/>
      <c r="B334" s="189" t="str">
        <f t="shared" si="1"/>
        <v/>
      </c>
      <c r="C334" s="199"/>
      <c r="D334" s="191"/>
      <c r="E334" s="191"/>
      <c r="F334" s="192"/>
      <c r="G334" s="193" t="str">
        <f>IFERROR(__xludf.DUMMYFUNCTION("IF(F334="""","""",IF(REGEXMATCH(UPPER(TRIM(C334)),""RENDIMIENTO|INVERSI[ÓO]N""),0,IF(OR(UPPER(TRIM(E334))=""TERMINAL"",UPPER(TRIM(E334))=""TRANSFERENCIA""),F334-F334/1.16,0)))"),"")</f>
        <v/>
      </c>
      <c r="H334" s="193" t="str">
        <f t="shared" si="2"/>
        <v/>
      </c>
      <c r="I334" s="194" t="b">
        <v>0</v>
      </c>
    </row>
    <row r="335" ht="22.5" customHeight="1">
      <c r="A335" s="188"/>
      <c r="B335" s="189" t="str">
        <f t="shared" si="1"/>
        <v/>
      </c>
      <c r="C335" s="199"/>
      <c r="D335" s="191"/>
      <c r="E335" s="191"/>
      <c r="F335" s="192"/>
      <c r="G335" s="193" t="str">
        <f>IFERROR(__xludf.DUMMYFUNCTION("IF(F335="""","""",IF(REGEXMATCH(UPPER(TRIM(C335)),""RENDIMIENTO|INVERSI[ÓO]N""),0,IF(OR(UPPER(TRIM(E335))=""TERMINAL"",UPPER(TRIM(E335))=""TRANSFERENCIA""),F335-F335/1.16,0)))"),"")</f>
        <v/>
      </c>
      <c r="H335" s="193" t="str">
        <f t="shared" si="2"/>
        <v/>
      </c>
      <c r="I335" s="194" t="b">
        <v>0</v>
      </c>
    </row>
    <row r="336" ht="22.5" customHeight="1">
      <c r="A336" s="188"/>
      <c r="B336" s="189" t="str">
        <f t="shared" si="1"/>
        <v/>
      </c>
      <c r="C336" s="199"/>
      <c r="D336" s="191"/>
      <c r="E336" s="191"/>
      <c r="F336" s="192"/>
      <c r="G336" s="193" t="str">
        <f>IFERROR(__xludf.DUMMYFUNCTION("IF(F336="""","""",IF(REGEXMATCH(UPPER(TRIM(C336)),""RENDIMIENTO|INVERSI[ÓO]N""),0,IF(OR(UPPER(TRIM(E336))=""TERMINAL"",UPPER(TRIM(E336))=""TRANSFERENCIA""),F336-F336/1.16,0)))"),"")</f>
        <v/>
      </c>
      <c r="H336" s="193" t="str">
        <f t="shared" si="2"/>
        <v/>
      </c>
      <c r="I336" s="194" t="b">
        <v>0</v>
      </c>
    </row>
    <row r="337" ht="22.5" customHeight="1">
      <c r="A337" s="188"/>
      <c r="B337" s="189" t="str">
        <f t="shared" si="1"/>
        <v/>
      </c>
      <c r="C337" s="199"/>
      <c r="D337" s="191"/>
      <c r="E337" s="191"/>
      <c r="F337" s="192"/>
      <c r="G337" s="193" t="str">
        <f>IFERROR(__xludf.DUMMYFUNCTION("IF(F337="""","""",IF(REGEXMATCH(UPPER(TRIM(C337)),""RENDIMIENTO|INVERSI[ÓO]N""),0,IF(OR(UPPER(TRIM(E337))=""TERMINAL"",UPPER(TRIM(E337))=""TRANSFERENCIA""),F337-F337/1.16,0)))"),"")</f>
        <v/>
      </c>
      <c r="H337" s="193" t="str">
        <f t="shared" si="2"/>
        <v/>
      </c>
      <c r="I337" s="194" t="b">
        <v>0</v>
      </c>
    </row>
    <row r="338" ht="22.5" customHeight="1">
      <c r="A338" s="188"/>
      <c r="B338" s="189" t="str">
        <f t="shared" si="1"/>
        <v/>
      </c>
      <c r="C338" s="199"/>
      <c r="D338" s="191"/>
      <c r="E338" s="191"/>
      <c r="F338" s="192"/>
      <c r="G338" s="193" t="str">
        <f>IFERROR(__xludf.DUMMYFUNCTION("IF(F338="""","""",IF(REGEXMATCH(UPPER(TRIM(C338)),""RENDIMIENTO|INVERSI[ÓO]N""),0,IF(OR(UPPER(TRIM(E338))=""TERMINAL"",UPPER(TRIM(E338))=""TRANSFERENCIA""),F338-F338/1.16,0)))"),"")</f>
        <v/>
      </c>
      <c r="H338" s="193" t="str">
        <f t="shared" si="2"/>
        <v/>
      </c>
      <c r="I338" s="194" t="b">
        <v>0</v>
      </c>
    </row>
    <row r="339" ht="22.5" customHeight="1">
      <c r="A339" s="188"/>
      <c r="B339" s="189" t="str">
        <f t="shared" si="1"/>
        <v/>
      </c>
      <c r="C339" s="199"/>
      <c r="D339" s="191"/>
      <c r="E339" s="191"/>
      <c r="F339" s="192"/>
      <c r="G339" s="193" t="str">
        <f>IFERROR(__xludf.DUMMYFUNCTION("IF(F339="""","""",IF(REGEXMATCH(UPPER(TRIM(C339)),""RENDIMIENTO|INVERSI[ÓO]N""),0,IF(OR(UPPER(TRIM(E339))=""TERMINAL"",UPPER(TRIM(E339))=""TRANSFERENCIA""),F339-F339/1.16,0)))"),"")</f>
        <v/>
      </c>
      <c r="H339" s="193" t="str">
        <f t="shared" si="2"/>
        <v/>
      </c>
      <c r="I339" s="194" t="b">
        <v>0</v>
      </c>
    </row>
    <row r="340" ht="22.5" customHeight="1">
      <c r="A340" s="188"/>
      <c r="B340" s="189" t="str">
        <f t="shared" si="1"/>
        <v/>
      </c>
      <c r="C340" s="199"/>
      <c r="D340" s="191"/>
      <c r="E340" s="191"/>
      <c r="F340" s="192"/>
      <c r="G340" s="193" t="str">
        <f>IFERROR(__xludf.DUMMYFUNCTION("IF(F340="""","""",IF(REGEXMATCH(UPPER(TRIM(C340)),""RENDIMIENTO|INVERSI[ÓO]N""),0,IF(OR(UPPER(TRIM(E340))=""TERMINAL"",UPPER(TRIM(E340))=""TRANSFERENCIA""),F340-F340/1.16,0)))"),"")</f>
        <v/>
      </c>
      <c r="H340" s="193" t="str">
        <f t="shared" si="2"/>
        <v/>
      </c>
      <c r="I340" s="194" t="b">
        <v>0</v>
      </c>
    </row>
    <row r="341" ht="22.5" customHeight="1">
      <c r="A341" s="188"/>
      <c r="B341" s="189" t="str">
        <f t="shared" si="1"/>
        <v/>
      </c>
      <c r="C341" s="199"/>
      <c r="D341" s="191"/>
      <c r="E341" s="191"/>
      <c r="F341" s="192"/>
      <c r="G341" s="193" t="str">
        <f>IFERROR(__xludf.DUMMYFUNCTION("IF(F341="""","""",IF(REGEXMATCH(UPPER(TRIM(C341)),""RENDIMIENTO|INVERSI[ÓO]N""),0,IF(OR(UPPER(TRIM(E341))=""TERMINAL"",UPPER(TRIM(E341))=""TRANSFERENCIA""),F341-F341/1.16,0)))"),"")</f>
        <v/>
      </c>
      <c r="H341" s="193" t="str">
        <f t="shared" si="2"/>
        <v/>
      </c>
      <c r="I341" s="194" t="b">
        <v>0</v>
      </c>
    </row>
    <row r="342" ht="22.5" customHeight="1">
      <c r="A342" s="188"/>
      <c r="B342" s="189" t="str">
        <f t="shared" si="1"/>
        <v/>
      </c>
      <c r="C342" s="199"/>
      <c r="D342" s="191"/>
      <c r="E342" s="191"/>
      <c r="F342" s="192"/>
      <c r="G342" s="193" t="str">
        <f>IFERROR(__xludf.DUMMYFUNCTION("IF(F342="""","""",IF(REGEXMATCH(UPPER(TRIM(C342)),""RENDIMIENTO|INVERSI[ÓO]N""),0,IF(OR(UPPER(TRIM(E342))=""TERMINAL"",UPPER(TRIM(E342))=""TRANSFERENCIA""),F342-F342/1.16,0)))"),"")</f>
        <v/>
      </c>
      <c r="H342" s="193" t="str">
        <f t="shared" si="2"/>
        <v/>
      </c>
      <c r="I342" s="194" t="b">
        <v>0</v>
      </c>
    </row>
    <row r="343" ht="22.5" customHeight="1">
      <c r="A343" s="188"/>
      <c r="B343" s="189" t="str">
        <f t="shared" si="1"/>
        <v/>
      </c>
      <c r="C343" s="199"/>
      <c r="D343" s="191"/>
      <c r="E343" s="191"/>
      <c r="F343" s="192"/>
      <c r="G343" s="193" t="str">
        <f>IFERROR(__xludf.DUMMYFUNCTION("IF(F343="""","""",IF(REGEXMATCH(UPPER(TRIM(C343)),""RENDIMIENTO|INVERSI[ÓO]N""),0,IF(OR(UPPER(TRIM(E343))=""TERMINAL"",UPPER(TRIM(E343))=""TRANSFERENCIA""),F343-F343/1.16,0)))"),"")</f>
        <v/>
      </c>
      <c r="H343" s="193" t="str">
        <f t="shared" si="2"/>
        <v/>
      </c>
      <c r="I343" s="194" t="b">
        <v>0</v>
      </c>
    </row>
    <row r="344" ht="22.5" customHeight="1">
      <c r="A344" s="188"/>
      <c r="B344" s="189" t="str">
        <f t="shared" si="1"/>
        <v/>
      </c>
      <c r="C344" s="199"/>
      <c r="D344" s="191"/>
      <c r="E344" s="191"/>
      <c r="F344" s="192"/>
      <c r="G344" s="193" t="str">
        <f>IFERROR(__xludf.DUMMYFUNCTION("IF(F344="""","""",IF(REGEXMATCH(UPPER(TRIM(C344)),""RENDIMIENTO|INVERSI[ÓO]N""),0,IF(OR(UPPER(TRIM(E344))=""TERMINAL"",UPPER(TRIM(E344))=""TRANSFERENCIA""),F344-F344/1.16,0)))"),"")</f>
        <v/>
      </c>
      <c r="H344" s="193" t="str">
        <f t="shared" si="2"/>
        <v/>
      </c>
      <c r="I344" s="194" t="b">
        <v>0</v>
      </c>
    </row>
    <row r="345" ht="22.5" customHeight="1">
      <c r="A345" s="188"/>
      <c r="B345" s="189" t="str">
        <f t="shared" si="1"/>
        <v/>
      </c>
      <c r="C345" s="199"/>
      <c r="D345" s="191"/>
      <c r="E345" s="191"/>
      <c r="F345" s="192"/>
      <c r="G345" s="193" t="str">
        <f>IFERROR(__xludf.DUMMYFUNCTION("IF(F345="""","""",IF(REGEXMATCH(UPPER(TRIM(C345)),""RENDIMIENTO|INVERSI[ÓO]N""),0,IF(OR(UPPER(TRIM(E345))=""TERMINAL"",UPPER(TRIM(E345))=""TRANSFERENCIA""),F345-F345/1.16,0)))"),"")</f>
        <v/>
      </c>
      <c r="H345" s="193" t="str">
        <f t="shared" si="2"/>
        <v/>
      </c>
      <c r="I345" s="194" t="b">
        <v>0</v>
      </c>
    </row>
    <row r="346" ht="22.5" customHeight="1">
      <c r="A346" s="188"/>
      <c r="B346" s="189" t="str">
        <f t="shared" si="1"/>
        <v/>
      </c>
      <c r="C346" s="199"/>
      <c r="D346" s="191"/>
      <c r="E346" s="191"/>
      <c r="F346" s="192"/>
      <c r="G346" s="193" t="str">
        <f>IFERROR(__xludf.DUMMYFUNCTION("IF(F346="""","""",IF(REGEXMATCH(UPPER(TRIM(C346)),""RENDIMIENTO|INVERSI[ÓO]N""),0,IF(OR(UPPER(TRIM(E346))=""TERMINAL"",UPPER(TRIM(E346))=""TRANSFERENCIA""),F346-F346/1.16,0)))"),"")</f>
        <v/>
      </c>
      <c r="H346" s="193" t="str">
        <f t="shared" si="2"/>
        <v/>
      </c>
      <c r="I346" s="194" t="b">
        <v>0</v>
      </c>
    </row>
    <row r="347" ht="22.5" customHeight="1">
      <c r="A347" s="188"/>
      <c r="B347" s="189" t="str">
        <f t="shared" si="1"/>
        <v/>
      </c>
      <c r="C347" s="199"/>
      <c r="D347" s="191"/>
      <c r="E347" s="191"/>
      <c r="F347" s="192"/>
      <c r="G347" s="193" t="str">
        <f>IFERROR(__xludf.DUMMYFUNCTION("IF(F347="""","""",IF(REGEXMATCH(UPPER(TRIM(C347)),""RENDIMIENTO|INVERSI[ÓO]N""),0,IF(OR(UPPER(TRIM(E347))=""TERMINAL"",UPPER(TRIM(E347))=""TRANSFERENCIA""),F347-F347/1.16,0)))"),"")</f>
        <v/>
      </c>
      <c r="H347" s="193" t="str">
        <f t="shared" si="2"/>
        <v/>
      </c>
      <c r="I347" s="194" t="b">
        <v>0</v>
      </c>
    </row>
    <row r="348" ht="22.5" customHeight="1">
      <c r="A348" s="188"/>
      <c r="B348" s="189" t="str">
        <f t="shared" si="1"/>
        <v/>
      </c>
      <c r="C348" s="199"/>
      <c r="D348" s="191"/>
      <c r="E348" s="191"/>
      <c r="F348" s="192"/>
      <c r="G348" s="193" t="str">
        <f>IFERROR(__xludf.DUMMYFUNCTION("IF(F348="""","""",IF(REGEXMATCH(UPPER(TRIM(C348)),""RENDIMIENTO|INVERSI[ÓO]N""),0,IF(OR(UPPER(TRIM(E348))=""TERMINAL"",UPPER(TRIM(E348))=""TRANSFERENCIA""),F348-F348/1.16,0)))"),"")</f>
        <v/>
      </c>
      <c r="H348" s="193" t="str">
        <f t="shared" si="2"/>
        <v/>
      </c>
      <c r="I348" s="194" t="b">
        <v>0</v>
      </c>
    </row>
    <row r="349" ht="22.5" customHeight="1">
      <c r="A349" s="188"/>
      <c r="B349" s="189" t="str">
        <f t="shared" si="1"/>
        <v/>
      </c>
      <c r="C349" s="199"/>
      <c r="D349" s="191"/>
      <c r="E349" s="191"/>
      <c r="F349" s="192"/>
      <c r="G349" s="193" t="str">
        <f>IFERROR(__xludf.DUMMYFUNCTION("IF(F349="""","""",IF(REGEXMATCH(UPPER(TRIM(C349)),""RENDIMIENTO|INVERSI[ÓO]N""),0,IF(OR(UPPER(TRIM(E349))=""TERMINAL"",UPPER(TRIM(E349))=""TRANSFERENCIA""),F349-F349/1.16,0)))"),"")</f>
        <v/>
      </c>
      <c r="H349" s="193" t="str">
        <f t="shared" si="2"/>
        <v/>
      </c>
      <c r="I349" s="194" t="b">
        <v>0</v>
      </c>
    </row>
    <row r="350" ht="22.5" customHeight="1">
      <c r="A350" s="188"/>
      <c r="B350" s="189" t="str">
        <f t="shared" si="1"/>
        <v/>
      </c>
      <c r="C350" s="199"/>
      <c r="D350" s="191"/>
      <c r="E350" s="191"/>
      <c r="F350" s="192"/>
      <c r="G350" s="193" t="str">
        <f>IFERROR(__xludf.DUMMYFUNCTION("IF(F350="""","""",IF(REGEXMATCH(UPPER(TRIM(C350)),""RENDIMIENTO|INVERSI[ÓO]N""),0,IF(OR(UPPER(TRIM(E350))=""TERMINAL"",UPPER(TRIM(E350))=""TRANSFERENCIA""),F350-F350/1.16,0)))"),"")</f>
        <v/>
      </c>
      <c r="H350" s="193" t="str">
        <f t="shared" si="2"/>
        <v/>
      </c>
      <c r="I350" s="194" t="b">
        <v>0</v>
      </c>
    </row>
    <row r="351" ht="22.5" customHeight="1">
      <c r="A351" s="188"/>
      <c r="B351" s="189" t="str">
        <f t="shared" si="1"/>
        <v/>
      </c>
      <c r="C351" s="199"/>
      <c r="D351" s="191"/>
      <c r="E351" s="191"/>
      <c r="F351" s="192"/>
      <c r="G351" s="193" t="str">
        <f>IFERROR(__xludf.DUMMYFUNCTION("IF(F351="""","""",IF(REGEXMATCH(UPPER(TRIM(C351)),""RENDIMIENTO|INVERSI[ÓO]N""),0,IF(OR(UPPER(TRIM(E351))=""TERMINAL"",UPPER(TRIM(E351))=""TRANSFERENCIA""),F351-F351/1.16,0)))"),"")</f>
        <v/>
      </c>
      <c r="H351" s="193" t="str">
        <f t="shared" si="2"/>
        <v/>
      </c>
      <c r="I351" s="194" t="b">
        <v>0</v>
      </c>
    </row>
    <row r="352" ht="22.5" customHeight="1">
      <c r="A352" s="188"/>
      <c r="B352" s="189" t="str">
        <f t="shared" si="1"/>
        <v/>
      </c>
      <c r="C352" s="199"/>
      <c r="D352" s="191"/>
      <c r="E352" s="191"/>
      <c r="F352" s="192"/>
      <c r="G352" s="193" t="str">
        <f>IFERROR(__xludf.DUMMYFUNCTION("IF(F352="""","""",IF(REGEXMATCH(UPPER(TRIM(C352)),""RENDIMIENTO|INVERSI[ÓO]N""),0,IF(OR(UPPER(TRIM(E352))=""TERMINAL"",UPPER(TRIM(E352))=""TRANSFERENCIA""),F352-F352/1.16,0)))"),"")</f>
        <v/>
      </c>
      <c r="H352" s="193" t="str">
        <f t="shared" si="2"/>
        <v/>
      </c>
      <c r="I352" s="194" t="b">
        <v>0</v>
      </c>
    </row>
    <row r="353" ht="22.5" customHeight="1">
      <c r="A353" s="188"/>
      <c r="B353" s="189" t="str">
        <f t="shared" si="1"/>
        <v/>
      </c>
      <c r="C353" s="199"/>
      <c r="D353" s="191"/>
      <c r="E353" s="191"/>
      <c r="F353" s="192"/>
      <c r="G353" s="193" t="str">
        <f>IFERROR(__xludf.DUMMYFUNCTION("IF(F353="""","""",IF(REGEXMATCH(UPPER(TRIM(C353)),""RENDIMIENTO|INVERSI[ÓO]N""),0,IF(OR(UPPER(TRIM(E353))=""TERMINAL"",UPPER(TRIM(E353))=""TRANSFERENCIA""),F353-F353/1.16,0)))"),"")</f>
        <v/>
      </c>
      <c r="H353" s="193" t="str">
        <f t="shared" si="2"/>
        <v/>
      </c>
      <c r="I353" s="194" t="b">
        <v>0</v>
      </c>
    </row>
    <row r="354" ht="22.5" customHeight="1">
      <c r="A354" s="188"/>
      <c r="B354" s="189" t="str">
        <f t="shared" si="1"/>
        <v/>
      </c>
      <c r="C354" s="199"/>
      <c r="D354" s="191"/>
      <c r="E354" s="191"/>
      <c r="F354" s="192"/>
      <c r="G354" s="193" t="str">
        <f>IFERROR(__xludf.DUMMYFUNCTION("IF(F354="""","""",IF(REGEXMATCH(UPPER(TRIM(C354)),""RENDIMIENTO|INVERSI[ÓO]N""),0,IF(OR(UPPER(TRIM(E354))=""TERMINAL"",UPPER(TRIM(E354))=""TRANSFERENCIA""),F354-F354/1.16,0)))"),"")</f>
        <v/>
      </c>
      <c r="H354" s="193" t="str">
        <f t="shared" si="2"/>
        <v/>
      </c>
      <c r="I354" s="194" t="b">
        <v>0</v>
      </c>
    </row>
    <row r="355" ht="22.5" customHeight="1">
      <c r="A355" s="188"/>
      <c r="B355" s="189" t="str">
        <f t="shared" si="1"/>
        <v/>
      </c>
      <c r="C355" s="199"/>
      <c r="D355" s="191"/>
      <c r="E355" s="191"/>
      <c r="F355" s="192"/>
      <c r="G355" s="193" t="str">
        <f>IFERROR(__xludf.DUMMYFUNCTION("IF(F355="""","""",IF(REGEXMATCH(UPPER(TRIM(C355)),""RENDIMIENTO|INVERSI[ÓO]N""),0,IF(OR(UPPER(TRIM(E355))=""TERMINAL"",UPPER(TRIM(E355))=""TRANSFERENCIA""),F355-F355/1.16,0)))"),"")</f>
        <v/>
      </c>
      <c r="H355" s="193" t="str">
        <f t="shared" si="2"/>
        <v/>
      </c>
      <c r="I355" s="194" t="b">
        <v>0</v>
      </c>
    </row>
    <row r="356" ht="22.5" customHeight="1">
      <c r="A356" s="188"/>
      <c r="B356" s="189" t="str">
        <f t="shared" si="1"/>
        <v/>
      </c>
      <c r="C356" s="199"/>
      <c r="D356" s="191"/>
      <c r="E356" s="191"/>
      <c r="F356" s="192"/>
      <c r="G356" s="193" t="str">
        <f>IFERROR(__xludf.DUMMYFUNCTION("IF(F356="""","""",IF(REGEXMATCH(UPPER(TRIM(C356)),""RENDIMIENTO|INVERSI[ÓO]N""),0,IF(OR(UPPER(TRIM(E356))=""TERMINAL"",UPPER(TRIM(E356))=""TRANSFERENCIA""),F356-F356/1.16,0)))"),"")</f>
        <v/>
      </c>
      <c r="H356" s="193" t="str">
        <f t="shared" si="2"/>
        <v/>
      </c>
      <c r="I356" s="194" t="b">
        <v>0</v>
      </c>
    </row>
    <row r="357" ht="22.5" customHeight="1">
      <c r="A357" s="188"/>
      <c r="B357" s="189" t="str">
        <f t="shared" si="1"/>
        <v/>
      </c>
      <c r="C357" s="199"/>
      <c r="D357" s="191"/>
      <c r="E357" s="191"/>
      <c r="F357" s="192"/>
      <c r="G357" s="193" t="str">
        <f>IFERROR(__xludf.DUMMYFUNCTION("IF(F357="""","""",IF(REGEXMATCH(UPPER(TRIM(C357)),""RENDIMIENTO|INVERSI[ÓO]N""),0,IF(OR(UPPER(TRIM(E357))=""TERMINAL"",UPPER(TRIM(E357))=""TRANSFERENCIA""),F357-F357/1.16,0)))"),"")</f>
        <v/>
      </c>
      <c r="H357" s="193" t="str">
        <f t="shared" si="2"/>
        <v/>
      </c>
      <c r="I357" s="194" t="b">
        <v>0</v>
      </c>
    </row>
    <row r="358" ht="22.5" customHeight="1">
      <c r="A358" s="188"/>
      <c r="B358" s="189" t="str">
        <f t="shared" si="1"/>
        <v/>
      </c>
      <c r="C358" s="199"/>
      <c r="D358" s="191"/>
      <c r="E358" s="191"/>
      <c r="F358" s="192"/>
      <c r="G358" s="193" t="str">
        <f>IFERROR(__xludf.DUMMYFUNCTION("IF(F358="""","""",IF(REGEXMATCH(UPPER(TRIM(C358)),""RENDIMIENTO|INVERSI[ÓO]N""),0,IF(OR(UPPER(TRIM(E358))=""TERMINAL"",UPPER(TRIM(E358))=""TRANSFERENCIA""),F358-F358/1.16,0)))"),"")</f>
        <v/>
      </c>
      <c r="H358" s="193" t="str">
        <f t="shared" si="2"/>
        <v/>
      </c>
      <c r="I358" s="194" t="b">
        <v>0</v>
      </c>
    </row>
    <row r="359" ht="22.5" customHeight="1">
      <c r="A359" s="188"/>
      <c r="B359" s="189" t="str">
        <f t="shared" si="1"/>
        <v/>
      </c>
      <c r="C359" s="199"/>
      <c r="D359" s="191"/>
      <c r="E359" s="191"/>
      <c r="F359" s="192"/>
      <c r="G359" s="193" t="str">
        <f>IFERROR(__xludf.DUMMYFUNCTION("IF(F359="""","""",IF(REGEXMATCH(UPPER(TRIM(C359)),""RENDIMIENTO|INVERSI[ÓO]N""),0,IF(OR(UPPER(TRIM(E359))=""TERMINAL"",UPPER(TRIM(E359))=""TRANSFERENCIA""),F359-F359/1.16,0)))"),"")</f>
        <v/>
      </c>
      <c r="H359" s="193" t="str">
        <f t="shared" si="2"/>
        <v/>
      </c>
      <c r="I359" s="194" t="b">
        <v>0</v>
      </c>
    </row>
    <row r="360" ht="22.5" customHeight="1">
      <c r="A360" s="188"/>
      <c r="B360" s="189" t="str">
        <f t="shared" si="1"/>
        <v/>
      </c>
      <c r="C360" s="199"/>
      <c r="D360" s="191"/>
      <c r="E360" s="191"/>
      <c r="F360" s="192"/>
      <c r="G360" s="193" t="str">
        <f>IFERROR(__xludf.DUMMYFUNCTION("IF(F360="""","""",IF(REGEXMATCH(UPPER(TRIM(C360)),""RENDIMIENTO|INVERSI[ÓO]N""),0,IF(OR(UPPER(TRIM(E360))=""TERMINAL"",UPPER(TRIM(E360))=""TRANSFERENCIA""),F360-F360/1.16,0)))"),"")</f>
        <v/>
      </c>
      <c r="H360" s="193" t="str">
        <f t="shared" si="2"/>
        <v/>
      </c>
      <c r="I360" s="194" t="b">
        <v>0</v>
      </c>
    </row>
    <row r="361" ht="22.5" customHeight="1">
      <c r="A361" s="188"/>
      <c r="B361" s="189" t="str">
        <f t="shared" si="1"/>
        <v/>
      </c>
      <c r="C361" s="199"/>
      <c r="D361" s="191"/>
      <c r="E361" s="191"/>
      <c r="F361" s="192"/>
      <c r="G361" s="193" t="str">
        <f>IFERROR(__xludf.DUMMYFUNCTION("IF(F361="""","""",IF(REGEXMATCH(UPPER(TRIM(C361)),""RENDIMIENTO|INVERSI[ÓO]N""),0,IF(OR(UPPER(TRIM(E361))=""TERMINAL"",UPPER(TRIM(E361))=""TRANSFERENCIA""),F361-F361/1.16,0)))"),"")</f>
        <v/>
      </c>
      <c r="H361" s="193" t="str">
        <f t="shared" si="2"/>
        <v/>
      </c>
      <c r="I361" s="194" t="b">
        <v>0</v>
      </c>
    </row>
    <row r="362" ht="22.5" customHeight="1">
      <c r="A362" s="188"/>
      <c r="B362" s="189" t="str">
        <f t="shared" si="1"/>
        <v/>
      </c>
      <c r="C362" s="199"/>
      <c r="D362" s="191"/>
      <c r="E362" s="191"/>
      <c r="F362" s="192"/>
      <c r="G362" s="193" t="str">
        <f>IFERROR(__xludf.DUMMYFUNCTION("IF(F362="""","""",IF(REGEXMATCH(UPPER(TRIM(C362)),""RENDIMIENTO|INVERSI[ÓO]N""),0,IF(OR(UPPER(TRIM(E362))=""TERMINAL"",UPPER(TRIM(E362))=""TRANSFERENCIA""),F362-F362/1.16,0)))"),"")</f>
        <v/>
      </c>
      <c r="H362" s="193" t="str">
        <f t="shared" si="2"/>
        <v/>
      </c>
      <c r="I362" s="194" t="b">
        <v>0</v>
      </c>
    </row>
    <row r="363" ht="22.5" customHeight="1">
      <c r="A363" s="188"/>
      <c r="B363" s="189" t="str">
        <f t="shared" si="1"/>
        <v/>
      </c>
      <c r="C363" s="199"/>
      <c r="D363" s="191"/>
      <c r="E363" s="191"/>
      <c r="F363" s="192"/>
      <c r="G363" s="193" t="str">
        <f>IFERROR(__xludf.DUMMYFUNCTION("IF(F363="""","""",IF(REGEXMATCH(UPPER(TRIM(C363)),""RENDIMIENTO|INVERSI[ÓO]N""),0,IF(OR(UPPER(TRIM(E363))=""TERMINAL"",UPPER(TRIM(E363))=""TRANSFERENCIA""),F363-F363/1.16,0)))"),"")</f>
        <v/>
      </c>
      <c r="H363" s="193" t="str">
        <f t="shared" si="2"/>
        <v/>
      </c>
      <c r="I363" s="194" t="b">
        <v>0</v>
      </c>
    </row>
    <row r="364" ht="22.5" customHeight="1">
      <c r="A364" s="188"/>
      <c r="B364" s="189" t="str">
        <f t="shared" si="1"/>
        <v/>
      </c>
      <c r="C364" s="199"/>
      <c r="D364" s="191"/>
      <c r="E364" s="191"/>
      <c r="F364" s="192"/>
      <c r="G364" s="193" t="str">
        <f>IFERROR(__xludf.DUMMYFUNCTION("IF(F364="""","""",IF(REGEXMATCH(UPPER(TRIM(C364)),""RENDIMIENTO|INVERSI[ÓO]N""),0,IF(OR(UPPER(TRIM(E364))=""TERMINAL"",UPPER(TRIM(E364))=""TRANSFERENCIA""),F364-F364/1.16,0)))"),"")</f>
        <v/>
      </c>
      <c r="H364" s="193" t="str">
        <f t="shared" si="2"/>
        <v/>
      </c>
      <c r="I364" s="194" t="b">
        <v>0</v>
      </c>
    </row>
    <row r="365" ht="22.5" customHeight="1">
      <c r="A365" s="188"/>
      <c r="B365" s="189" t="str">
        <f t="shared" si="1"/>
        <v/>
      </c>
      <c r="C365" s="199"/>
      <c r="D365" s="191"/>
      <c r="E365" s="191"/>
      <c r="F365" s="192"/>
      <c r="G365" s="193" t="str">
        <f>IFERROR(__xludf.DUMMYFUNCTION("IF(F365="""","""",IF(REGEXMATCH(UPPER(TRIM(C365)),""RENDIMIENTO|INVERSI[ÓO]N""),0,IF(OR(UPPER(TRIM(E365))=""TERMINAL"",UPPER(TRIM(E365))=""TRANSFERENCIA""),F365-F365/1.16,0)))"),"")</f>
        <v/>
      </c>
      <c r="H365" s="193" t="str">
        <f t="shared" si="2"/>
        <v/>
      </c>
      <c r="I365" s="194" t="b">
        <v>0</v>
      </c>
    </row>
    <row r="366" ht="22.5" customHeight="1">
      <c r="A366" s="188"/>
      <c r="B366" s="189" t="str">
        <f t="shared" si="1"/>
        <v/>
      </c>
      <c r="C366" s="199"/>
      <c r="D366" s="191"/>
      <c r="E366" s="191"/>
      <c r="F366" s="192"/>
      <c r="G366" s="193" t="str">
        <f>IFERROR(__xludf.DUMMYFUNCTION("IF(F366="""","""",IF(REGEXMATCH(UPPER(TRIM(C366)),""RENDIMIENTO|INVERSI[ÓO]N""),0,IF(OR(UPPER(TRIM(E366))=""TERMINAL"",UPPER(TRIM(E366))=""TRANSFERENCIA""),F366-F366/1.16,0)))"),"")</f>
        <v/>
      </c>
      <c r="H366" s="193" t="str">
        <f t="shared" si="2"/>
        <v/>
      </c>
      <c r="I366" s="194" t="b">
        <v>0</v>
      </c>
    </row>
    <row r="367" ht="22.5" customHeight="1">
      <c r="A367" s="188"/>
      <c r="B367" s="189" t="str">
        <f t="shared" si="1"/>
        <v/>
      </c>
      <c r="C367" s="199"/>
      <c r="D367" s="191"/>
      <c r="E367" s="191"/>
      <c r="F367" s="192"/>
      <c r="G367" s="193" t="str">
        <f>IFERROR(__xludf.DUMMYFUNCTION("IF(F367="""","""",IF(REGEXMATCH(UPPER(TRIM(C367)),""RENDIMIENTO|INVERSI[ÓO]N""),0,IF(OR(UPPER(TRIM(E367))=""TERMINAL"",UPPER(TRIM(E367))=""TRANSFERENCIA""),F367-F367/1.16,0)))"),"")</f>
        <v/>
      </c>
      <c r="H367" s="193" t="str">
        <f t="shared" si="2"/>
        <v/>
      </c>
      <c r="I367" s="194" t="b">
        <v>0</v>
      </c>
    </row>
    <row r="368" ht="22.5" customHeight="1">
      <c r="A368" s="188"/>
      <c r="B368" s="189" t="str">
        <f t="shared" si="1"/>
        <v/>
      </c>
      <c r="C368" s="199"/>
      <c r="D368" s="191"/>
      <c r="E368" s="191"/>
      <c r="F368" s="192"/>
      <c r="G368" s="193" t="str">
        <f>IFERROR(__xludf.DUMMYFUNCTION("IF(F368="""","""",IF(REGEXMATCH(UPPER(TRIM(C368)),""RENDIMIENTO|INVERSI[ÓO]N""),0,IF(OR(UPPER(TRIM(E368))=""TERMINAL"",UPPER(TRIM(E368))=""TRANSFERENCIA""),F368-F368/1.16,0)))"),"")</f>
        <v/>
      </c>
      <c r="H368" s="193" t="str">
        <f t="shared" si="2"/>
        <v/>
      </c>
      <c r="I368" s="194" t="b">
        <v>0</v>
      </c>
    </row>
    <row r="369" ht="22.5" customHeight="1">
      <c r="A369" s="188"/>
      <c r="B369" s="189" t="str">
        <f t="shared" si="1"/>
        <v/>
      </c>
      <c r="C369" s="199"/>
      <c r="D369" s="191"/>
      <c r="E369" s="191"/>
      <c r="F369" s="192"/>
      <c r="G369" s="193" t="str">
        <f>IFERROR(__xludf.DUMMYFUNCTION("IF(F369="""","""",IF(REGEXMATCH(UPPER(TRIM(C369)),""RENDIMIENTO|INVERSI[ÓO]N""),0,IF(OR(UPPER(TRIM(E369))=""TERMINAL"",UPPER(TRIM(E369))=""TRANSFERENCIA""),F369-F369/1.16,0)))"),"")</f>
        <v/>
      </c>
      <c r="H369" s="193" t="str">
        <f t="shared" si="2"/>
        <v/>
      </c>
      <c r="I369" s="194" t="b">
        <v>0</v>
      </c>
    </row>
    <row r="370" ht="22.5" customHeight="1">
      <c r="A370" s="188"/>
      <c r="B370" s="189" t="str">
        <f t="shared" si="1"/>
        <v/>
      </c>
      <c r="C370" s="199"/>
      <c r="D370" s="191"/>
      <c r="E370" s="191"/>
      <c r="F370" s="192"/>
      <c r="G370" s="193" t="str">
        <f>IFERROR(__xludf.DUMMYFUNCTION("IF(F370="""","""",IF(REGEXMATCH(UPPER(TRIM(C370)),""RENDIMIENTO|INVERSI[ÓO]N""),0,IF(OR(UPPER(TRIM(E370))=""TERMINAL"",UPPER(TRIM(E370))=""TRANSFERENCIA""),F370-F370/1.16,0)))"),"")</f>
        <v/>
      </c>
      <c r="H370" s="193" t="str">
        <f t="shared" si="2"/>
        <v/>
      </c>
      <c r="I370" s="194" t="b">
        <v>0</v>
      </c>
    </row>
    <row r="371" ht="22.5" customHeight="1">
      <c r="A371" s="188"/>
      <c r="B371" s="189" t="str">
        <f t="shared" si="1"/>
        <v/>
      </c>
      <c r="C371" s="199"/>
      <c r="D371" s="191"/>
      <c r="E371" s="191"/>
      <c r="F371" s="192"/>
      <c r="G371" s="193" t="str">
        <f>IFERROR(__xludf.DUMMYFUNCTION("IF(F371="""","""",IF(REGEXMATCH(UPPER(TRIM(C371)),""RENDIMIENTO|INVERSI[ÓO]N""),0,IF(OR(UPPER(TRIM(E371))=""TERMINAL"",UPPER(TRIM(E371))=""TRANSFERENCIA""),F371-F371/1.16,0)))"),"")</f>
        <v/>
      </c>
      <c r="H371" s="193" t="str">
        <f t="shared" si="2"/>
        <v/>
      </c>
      <c r="I371" s="194" t="b">
        <v>0</v>
      </c>
    </row>
    <row r="372" ht="22.5" customHeight="1">
      <c r="A372" s="188"/>
      <c r="B372" s="189" t="str">
        <f t="shared" si="1"/>
        <v/>
      </c>
      <c r="C372" s="199"/>
      <c r="D372" s="191"/>
      <c r="E372" s="191"/>
      <c r="F372" s="192"/>
      <c r="G372" s="193" t="str">
        <f>IFERROR(__xludf.DUMMYFUNCTION("IF(F372="""","""",IF(REGEXMATCH(UPPER(TRIM(C372)),""RENDIMIENTO|INVERSI[ÓO]N""),0,IF(OR(UPPER(TRIM(E372))=""TERMINAL"",UPPER(TRIM(E372))=""TRANSFERENCIA""),F372-F372/1.16,0)))"),"")</f>
        <v/>
      </c>
      <c r="H372" s="193" t="str">
        <f t="shared" si="2"/>
        <v/>
      </c>
      <c r="I372" s="194" t="b">
        <v>0</v>
      </c>
    </row>
    <row r="373" ht="22.5" customHeight="1">
      <c r="A373" s="188"/>
      <c r="B373" s="189" t="str">
        <f t="shared" si="1"/>
        <v/>
      </c>
      <c r="C373" s="199"/>
      <c r="D373" s="191"/>
      <c r="E373" s="191"/>
      <c r="F373" s="192"/>
      <c r="G373" s="193" t="str">
        <f>IFERROR(__xludf.DUMMYFUNCTION("IF(F373="""","""",IF(REGEXMATCH(UPPER(TRIM(C373)),""RENDIMIENTO|INVERSI[ÓO]N""),0,IF(OR(UPPER(TRIM(E373))=""TERMINAL"",UPPER(TRIM(E373))=""TRANSFERENCIA""),F373-F373/1.16,0)))"),"")</f>
        <v/>
      </c>
      <c r="H373" s="193" t="str">
        <f t="shared" si="2"/>
        <v/>
      </c>
      <c r="I373" s="194" t="b">
        <v>0</v>
      </c>
    </row>
    <row r="374" ht="22.5" customHeight="1">
      <c r="A374" s="188"/>
      <c r="B374" s="189" t="str">
        <f t="shared" si="1"/>
        <v/>
      </c>
      <c r="C374" s="199"/>
      <c r="D374" s="191"/>
      <c r="E374" s="191"/>
      <c r="F374" s="192"/>
      <c r="G374" s="193" t="str">
        <f>IFERROR(__xludf.DUMMYFUNCTION("IF(F374="""","""",IF(REGEXMATCH(UPPER(TRIM(C374)),""RENDIMIENTO|INVERSI[ÓO]N""),0,IF(OR(UPPER(TRIM(E374))=""TERMINAL"",UPPER(TRIM(E374))=""TRANSFERENCIA""),F374-F374/1.16,0)))"),"")</f>
        <v/>
      </c>
      <c r="H374" s="193" t="str">
        <f t="shared" si="2"/>
        <v/>
      </c>
      <c r="I374" s="194" t="b">
        <v>0</v>
      </c>
    </row>
    <row r="375" ht="22.5" customHeight="1">
      <c r="A375" s="188"/>
      <c r="B375" s="189" t="str">
        <f t="shared" si="1"/>
        <v/>
      </c>
      <c r="C375" s="199"/>
      <c r="D375" s="191"/>
      <c r="E375" s="191"/>
      <c r="F375" s="192"/>
      <c r="G375" s="193" t="str">
        <f>IFERROR(__xludf.DUMMYFUNCTION("IF(F375="""","""",IF(REGEXMATCH(UPPER(TRIM(C375)),""RENDIMIENTO|INVERSI[ÓO]N""),0,IF(OR(UPPER(TRIM(E375))=""TERMINAL"",UPPER(TRIM(E375))=""TRANSFERENCIA""),F375-F375/1.16,0)))"),"")</f>
        <v/>
      </c>
      <c r="H375" s="193" t="str">
        <f t="shared" si="2"/>
        <v/>
      </c>
      <c r="I375" s="194" t="b">
        <v>0</v>
      </c>
    </row>
    <row r="376" ht="22.5" customHeight="1">
      <c r="A376" s="188"/>
      <c r="B376" s="189" t="str">
        <f t="shared" si="1"/>
        <v/>
      </c>
      <c r="C376" s="199"/>
      <c r="D376" s="191"/>
      <c r="E376" s="191"/>
      <c r="F376" s="192"/>
      <c r="G376" s="193" t="str">
        <f>IFERROR(__xludf.DUMMYFUNCTION("IF(F376="""","""",IF(REGEXMATCH(UPPER(TRIM(C376)),""RENDIMIENTO|INVERSI[ÓO]N""),0,IF(OR(UPPER(TRIM(E376))=""TERMINAL"",UPPER(TRIM(E376))=""TRANSFERENCIA""),F376-F376/1.16,0)))"),"")</f>
        <v/>
      </c>
      <c r="H376" s="193" t="str">
        <f t="shared" si="2"/>
        <v/>
      </c>
      <c r="I376" s="194" t="b">
        <v>0</v>
      </c>
    </row>
    <row r="377" ht="22.5" customHeight="1">
      <c r="A377" s="188"/>
      <c r="B377" s="189" t="str">
        <f t="shared" si="1"/>
        <v/>
      </c>
      <c r="C377" s="199"/>
      <c r="D377" s="191"/>
      <c r="E377" s="191"/>
      <c r="F377" s="192"/>
      <c r="G377" s="193" t="str">
        <f>IFERROR(__xludf.DUMMYFUNCTION("IF(F377="""","""",IF(REGEXMATCH(UPPER(TRIM(C377)),""RENDIMIENTO|INVERSI[ÓO]N""),0,IF(OR(UPPER(TRIM(E377))=""TERMINAL"",UPPER(TRIM(E377))=""TRANSFERENCIA""),F377-F377/1.16,0)))"),"")</f>
        <v/>
      </c>
      <c r="H377" s="193" t="str">
        <f t="shared" si="2"/>
        <v/>
      </c>
      <c r="I377" s="194" t="b">
        <v>0</v>
      </c>
    </row>
    <row r="378" ht="22.5" customHeight="1">
      <c r="A378" s="188"/>
      <c r="B378" s="189" t="str">
        <f t="shared" si="1"/>
        <v/>
      </c>
      <c r="C378" s="199"/>
      <c r="D378" s="191"/>
      <c r="E378" s="191"/>
      <c r="F378" s="192"/>
      <c r="G378" s="193" t="str">
        <f>IFERROR(__xludf.DUMMYFUNCTION("IF(F378="""","""",IF(REGEXMATCH(UPPER(TRIM(C378)),""RENDIMIENTO|INVERSI[ÓO]N""),0,IF(OR(UPPER(TRIM(E378))=""TERMINAL"",UPPER(TRIM(E378))=""TRANSFERENCIA""),F378-F378/1.16,0)))"),"")</f>
        <v/>
      </c>
      <c r="H378" s="193" t="str">
        <f t="shared" si="2"/>
        <v/>
      </c>
      <c r="I378" s="194" t="b">
        <v>0</v>
      </c>
    </row>
    <row r="379" ht="22.5" customHeight="1">
      <c r="A379" s="188"/>
      <c r="B379" s="189" t="str">
        <f t="shared" si="1"/>
        <v/>
      </c>
      <c r="C379" s="199"/>
      <c r="D379" s="191"/>
      <c r="E379" s="191"/>
      <c r="F379" s="192"/>
      <c r="G379" s="193" t="str">
        <f>IFERROR(__xludf.DUMMYFUNCTION("IF(F379="""","""",IF(REGEXMATCH(UPPER(TRIM(C379)),""RENDIMIENTO|INVERSI[ÓO]N""),0,IF(OR(UPPER(TRIM(E379))=""TERMINAL"",UPPER(TRIM(E379))=""TRANSFERENCIA""),F379-F379/1.16,0)))"),"")</f>
        <v/>
      </c>
      <c r="H379" s="193" t="str">
        <f t="shared" si="2"/>
        <v/>
      </c>
      <c r="I379" s="194" t="b">
        <v>0</v>
      </c>
    </row>
    <row r="380" ht="22.5" customHeight="1">
      <c r="A380" s="188"/>
      <c r="B380" s="189" t="str">
        <f t="shared" si="1"/>
        <v/>
      </c>
      <c r="C380" s="199"/>
      <c r="D380" s="191"/>
      <c r="E380" s="191"/>
      <c r="F380" s="192"/>
      <c r="G380" s="193" t="str">
        <f>IFERROR(__xludf.DUMMYFUNCTION("IF(F380="""","""",IF(REGEXMATCH(UPPER(TRIM(C380)),""RENDIMIENTO|INVERSI[ÓO]N""),0,IF(OR(UPPER(TRIM(E380))=""TERMINAL"",UPPER(TRIM(E380))=""TRANSFERENCIA""),F380-F380/1.16,0)))"),"")</f>
        <v/>
      </c>
      <c r="H380" s="193" t="str">
        <f t="shared" si="2"/>
        <v/>
      </c>
      <c r="I380" s="194" t="b">
        <v>0</v>
      </c>
    </row>
    <row r="381" ht="22.5" customHeight="1">
      <c r="A381" s="188"/>
      <c r="B381" s="189" t="str">
        <f t="shared" si="1"/>
        <v/>
      </c>
      <c r="C381" s="199"/>
      <c r="D381" s="191"/>
      <c r="E381" s="191"/>
      <c r="F381" s="192"/>
      <c r="G381" s="193" t="str">
        <f>IFERROR(__xludf.DUMMYFUNCTION("IF(F381="""","""",IF(REGEXMATCH(UPPER(TRIM(C381)),""RENDIMIENTO|INVERSI[ÓO]N""),0,IF(OR(UPPER(TRIM(E381))=""TERMINAL"",UPPER(TRIM(E381))=""TRANSFERENCIA""),F381-F381/1.16,0)))"),"")</f>
        <v/>
      </c>
      <c r="H381" s="193" t="str">
        <f t="shared" si="2"/>
        <v/>
      </c>
      <c r="I381" s="194" t="b">
        <v>0</v>
      </c>
    </row>
    <row r="382" ht="22.5" customHeight="1">
      <c r="A382" s="188"/>
      <c r="B382" s="189" t="str">
        <f t="shared" si="1"/>
        <v/>
      </c>
      <c r="C382" s="199"/>
      <c r="D382" s="191"/>
      <c r="E382" s="191"/>
      <c r="F382" s="192"/>
      <c r="G382" s="193" t="str">
        <f>IFERROR(__xludf.DUMMYFUNCTION("IF(F382="""","""",IF(REGEXMATCH(UPPER(TRIM(C382)),""RENDIMIENTO|INVERSI[ÓO]N""),0,IF(OR(UPPER(TRIM(E382))=""TERMINAL"",UPPER(TRIM(E382))=""TRANSFERENCIA""),F382-F382/1.16,0)))"),"")</f>
        <v/>
      </c>
      <c r="H382" s="193" t="str">
        <f t="shared" si="2"/>
        <v/>
      </c>
      <c r="I382" s="194" t="b">
        <v>0</v>
      </c>
    </row>
    <row r="383" ht="22.5" customHeight="1">
      <c r="A383" s="188"/>
      <c r="B383" s="189" t="str">
        <f t="shared" si="1"/>
        <v/>
      </c>
      <c r="C383" s="199"/>
      <c r="D383" s="191"/>
      <c r="E383" s="191"/>
      <c r="F383" s="192"/>
      <c r="G383" s="193" t="str">
        <f>IFERROR(__xludf.DUMMYFUNCTION("IF(F383="""","""",IF(REGEXMATCH(UPPER(TRIM(C383)),""RENDIMIENTO|INVERSI[ÓO]N""),0,IF(OR(UPPER(TRIM(E383))=""TERMINAL"",UPPER(TRIM(E383))=""TRANSFERENCIA""),F383-F383/1.16,0)))"),"")</f>
        <v/>
      </c>
      <c r="H383" s="193" t="str">
        <f t="shared" si="2"/>
        <v/>
      </c>
      <c r="I383" s="194" t="b">
        <v>0</v>
      </c>
    </row>
    <row r="384" ht="22.5" customHeight="1">
      <c r="A384" s="188"/>
      <c r="B384" s="189" t="str">
        <f t="shared" si="1"/>
        <v/>
      </c>
      <c r="C384" s="199"/>
      <c r="D384" s="191"/>
      <c r="E384" s="191"/>
      <c r="F384" s="192"/>
      <c r="G384" s="193" t="str">
        <f>IFERROR(__xludf.DUMMYFUNCTION("IF(F384="""","""",IF(REGEXMATCH(UPPER(TRIM(C384)),""RENDIMIENTO|INVERSI[ÓO]N""),0,IF(OR(UPPER(TRIM(E384))=""TERMINAL"",UPPER(TRIM(E384))=""TRANSFERENCIA""),F384-F384/1.16,0)))"),"")</f>
        <v/>
      </c>
      <c r="H384" s="193" t="str">
        <f t="shared" si="2"/>
        <v/>
      </c>
      <c r="I384" s="194" t="b">
        <v>0</v>
      </c>
    </row>
    <row r="385" ht="22.5" customHeight="1">
      <c r="A385" s="188"/>
      <c r="B385" s="189" t="str">
        <f t="shared" si="1"/>
        <v/>
      </c>
      <c r="C385" s="199"/>
      <c r="D385" s="191"/>
      <c r="E385" s="191"/>
      <c r="F385" s="192"/>
      <c r="G385" s="193" t="str">
        <f>IFERROR(__xludf.DUMMYFUNCTION("IF(F385="""","""",IF(REGEXMATCH(UPPER(TRIM(C385)),""RENDIMIENTO|INVERSI[ÓO]N""),0,IF(OR(UPPER(TRIM(E385))=""TERMINAL"",UPPER(TRIM(E385))=""TRANSFERENCIA""),F385-F385/1.16,0)))"),"")</f>
        <v/>
      </c>
      <c r="H385" s="193" t="str">
        <f t="shared" si="2"/>
        <v/>
      </c>
      <c r="I385" s="194" t="b">
        <v>0</v>
      </c>
    </row>
    <row r="386" ht="22.5" customHeight="1">
      <c r="A386" s="188"/>
      <c r="B386" s="189" t="str">
        <f t="shared" si="1"/>
        <v/>
      </c>
      <c r="C386" s="199"/>
      <c r="D386" s="191"/>
      <c r="E386" s="191"/>
      <c r="F386" s="192"/>
      <c r="G386" s="193" t="str">
        <f>IFERROR(__xludf.DUMMYFUNCTION("IF(F386="""","""",IF(REGEXMATCH(UPPER(TRIM(C386)),""RENDIMIENTO|INVERSI[ÓO]N""),0,IF(OR(UPPER(TRIM(E386))=""TERMINAL"",UPPER(TRIM(E386))=""TRANSFERENCIA""),F386-F386/1.16,0)))"),"")</f>
        <v/>
      </c>
      <c r="H386" s="193" t="str">
        <f t="shared" si="2"/>
        <v/>
      </c>
      <c r="I386" s="194" t="b">
        <v>0</v>
      </c>
    </row>
    <row r="387" ht="22.5" customHeight="1">
      <c r="A387" s="188"/>
      <c r="B387" s="189" t="str">
        <f t="shared" si="1"/>
        <v/>
      </c>
      <c r="C387" s="199"/>
      <c r="D387" s="191"/>
      <c r="E387" s="191"/>
      <c r="F387" s="192"/>
      <c r="G387" s="193" t="str">
        <f>IFERROR(__xludf.DUMMYFUNCTION("IF(F387="""","""",IF(REGEXMATCH(UPPER(TRIM(C387)),""RENDIMIENTO|INVERSI[ÓO]N""),0,IF(OR(UPPER(TRIM(E387))=""TERMINAL"",UPPER(TRIM(E387))=""TRANSFERENCIA""),F387-F387/1.16,0)))"),"")</f>
        <v/>
      </c>
      <c r="H387" s="193" t="str">
        <f t="shared" si="2"/>
        <v/>
      </c>
      <c r="I387" s="194" t="b">
        <v>0</v>
      </c>
    </row>
    <row r="388" ht="22.5" customHeight="1">
      <c r="A388" s="188"/>
      <c r="B388" s="189" t="str">
        <f t="shared" si="1"/>
        <v/>
      </c>
      <c r="C388" s="199"/>
      <c r="D388" s="191"/>
      <c r="E388" s="191"/>
      <c r="F388" s="192"/>
      <c r="G388" s="193" t="str">
        <f>IFERROR(__xludf.DUMMYFUNCTION("IF(F388="""","""",IF(REGEXMATCH(UPPER(TRIM(C388)),""RENDIMIENTO|INVERSI[ÓO]N""),0,IF(OR(UPPER(TRIM(E388))=""TERMINAL"",UPPER(TRIM(E388))=""TRANSFERENCIA""),F388-F388/1.16,0)))"),"")</f>
        <v/>
      </c>
      <c r="H388" s="193" t="str">
        <f t="shared" si="2"/>
        <v/>
      </c>
      <c r="I388" s="194" t="b">
        <v>0</v>
      </c>
    </row>
    <row r="389" ht="22.5" customHeight="1">
      <c r="A389" s="188"/>
      <c r="B389" s="189" t="str">
        <f t="shared" si="1"/>
        <v/>
      </c>
      <c r="C389" s="199"/>
      <c r="D389" s="191"/>
      <c r="E389" s="191"/>
      <c r="F389" s="192"/>
      <c r="G389" s="193" t="str">
        <f>IFERROR(__xludf.DUMMYFUNCTION("IF(F389="""","""",IF(REGEXMATCH(UPPER(TRIM(C389)),""RENDIMIENTO|INVERSI[ÓO]N""),0,IF(OR(UPPER(TRIM(E389))=""TERMINAL"",UPPER(TRIM(E389))=""TRANSFERENCIA""),F389-F389/1.16,0)))"),"")</f>
        <v/>
      </c>
      <c r="H389" s="193" t="str">
        <f t="shared" si="2"/>
        <v/>
      </c>
      <c r="I389" s="194" t="b">
        <v>0</v>
      </c>
    </row>
    <row r="390" ht="22.5" customHeight="1">
      <c r="A390" s="188"/>
      <c r="B390" s="189" t="str">
        <f t="shared" si="1"/>
        <v/>
      </c>
      <c r="C390" s="199"/>
      <c r="D390" s="191"/>
      <c r="E390" s="191"/>
      <c r="F390" s="192"/>
      <c r="G390" s="193" t="str">
        <f>IFERROR(__xludf.DUMMYFUNCTION("IF(F390="""","""",IF(REGEXMATCH(UPPER(TRIM(C390)),""RENDIMIENTO|INVERSI[ÓO]N""),0,IF(OR(UPPER(TRIM(E390))=""TERMINAL"",UPPER(TRIM(E390))=""TRANSFERENCIA""),F390-F390/1.16,0)))"),"")</f>
        <v/>
      </c>
      <c r="H390" s="193" t="str">
        <f t="shared" si="2"/>
        <v/>
      </c>
      <c r="I390" s="194" t="b">
        <v>0</v>
      </c>
    </row>
    <row r="391" ht="22.5" customHeight="1">
      <c r="A391" s="188"/>
      <c r="B391" s="189" t="str">
        <f t="shared" si="1"/>
        <v/>
      </c>
      <c r="C391" s="199"/>
      <c r="D391" s="191"/>
      <c r="E391" s="191"/>
      <c r="F391" s="192"/>
      <c r="G391" s="193" t="str">
        <f>IFERROR(__xludf.DUMMYFUNCTION("IF(F391="""","""",IF(REGEXMATCH(UPPER(TRIM(C391)),""RENDIMIENTO|INVERSI[ÓO]N""),0,IF(OR(UPPER(TRIM(E391))=""TERMINAL"",UPPER(TRIM(E391))=""TRANSFERENCIA""),F391-F391/1.16,0)))"),"")</f>
        <v/>
      </c>
      <c r="H391" s="193" t="str">
        <f t="shared" si="2"/>
        <v/>
      </c>
      <c r="I391" s="194" t="b">
        <v>0</v>
      </c>
    </row>
    <row r="392" ht="22.5" customHeight="1">
      <c r="A392" s="188"/>
      <c r="B392" s="189" t="str">
        <f t="shared" si="1"/>
        <v/>
      </c>
      <c r="C392" s="199"/>
      <c r="D392" s="191"/>
      <c r="E392" s="191"/>
      <c r="F392" s="192"/>
      <c r="G392" s="193" t="str">
        <f>IFERROR(__xludf.DUMMYFUNCTION("IF(F392="""","""",IF(REGEXMATCH(UPPER(TRIM(C392)),""RENDIMIENTO|INVERSI[ÓO]N""),0,IF(OR(UPPER(TRIM(E392))=""TERMINAL"",UPPER(TRIM(E392))=""TRANSFERENCIA""),F392-F392/1.16,0)))"),"")</f>
        <v/>
      </c>
      <c r="H392" s="193" t="str">
        <f t="shared" si="2"/>
        <v/>
      </c>
      <c r="I392" s="194" t="b">
        <v>0</v>
      </c>
    </row>
    <row r="393" ht="22.5" customHeight="1">
      <c r="A393" s="188"/>
      <c r="B393" s="189" t="str">
        <f t="shared" si="1"/>
        <v/>
      </c>
      <c r="C393" s="199"/>
      <c r="D393" s="191"/>
      <c r="E393" s="191"/>
      <c r="F393" s="192"/>
      <c r="G393" s="193" t="str">
        <f>IFERROR(__xludf.DUMMYFUNCTION("IF(F393="""","""",IF(REGEXMATCH(UPPER(TRIM(C393)),""RENDIMIENTO|INVERSI[ÓO]N""),0,IF(OR(UPPER(TRIM(E393))=""TERMINAL"",UPPER(TRIM(E393))=""TRANSFERENCIA""),F393-F393/1.16,0)))"),"")</f>
        <v/>
      </c>
      <c r="H393" s="193" t="str">
        <f t="shared" si="2"/>
        <v/>
      </c>
      <c r="I393" s="194" t="b">
        <v>0</v>
      </c>
    </row>
    <row r="394" ht="22.5" customHeight="1">
      <c r="A394" s="188"/>
      <c r="B394" s="189" t="str">
        <f t="shared" si="1"/>
        <v/>
      </c>
      <c r="C394" s="199"/>
      <c r="D394" s="191"/>
      <c r="E394" s="191"/>
      <c r="F394" s="192"/>
      <c r="G394" s="193" t="str">
        <f>IFERROR(__xludf.DUMMYFUNCTION("IF(F394="""","""",IF(REGEXMATCH(UPPER(TRIM(C394)),""RENDIMIENTO|INVERSI[ÓO]N""),0,IF(OR(UPPER(TRIM(E394))=""TERMINAL"",UPPER(TRIM(E394))=""TRANSFERENCIA""),F394-F394/1.16,0)))"),"")</f>
        <v/>
      </c>
      <c r="H394" s="193" t="str">
        <f t="shared" si="2"/>
        <v/>
      </c>
      <c r="I394" s="194" t="b">
        <v>0</v>
      </c>
    </row>
    <row r="395" ht="22.5" customHeight="1">
      <c r="A395" s="188"/>
      <c r="B395" s="189" t="str">
        <f t="shared" si="1"/>
        <v/>
      </c>
      <c r="C395" s="199"/>
      <c r="D395" s="191"/>
      <c r="E395" s="191"/>
      <c r="F395" s="192"/>
      <c r="G395" s="193" t="str">
        <f>IFERROR(__xludf.DUMMYFUNCTION("IF(F395="""","""",IF(REGEXMATCH(UPPER(TRIM(C395)),""RENDIMIENTO|INVERSI[ÓO]N""),0,IF(OR(UPPER(TRIM(E395))=""TERMINAL"",UPPER(TRIM(E395))=""TRANSFERENCIA""),F395-F395/1.16,0)))"),"")</f>
        <v/>
      </c>
      <c r="H395" s="193" t="str">
        <f t="shared" si="2"/>
        <v/>
      </c>
      <c r="I395" s="194" t="b">
        <v>0</v>
      </c>
    </row>
    <row r="396" ht="22.5" customHeight="1">
      <c r="A396" s="188"/>
      <c r="B396" s="189" t="str">
        <f t="shared" si="1"/>
        <v/>
      </c>
      <c r="C396" s="199"/>
      <c r="D396" s="191"/>
      <c r="E396" s="191"/>
      <c r="F396" s="192"/>
      <c r="G396" s="193" t="str">
        <f>IFERROR(__xludf.DUMMYFUNCTION("IF(F396="""","""",IF(REGEXMATCH(UPPER(TRIM(C396)),""RENDIMIENTO|INVERSI[ÓO]N""),0,IF(OR(UPPER(TRIM(E396))=""TERMINAL"",UPPER(TRIM(E396))=""TRANSFERENCIA""),F396-F396/1.16,0)))"),"")</f>
        <v/>
      </c>
      <c r="H396" s="193" t="str">
        <f t="shared" si="2"/>
        <v/>
      </c>
      <c r="I396" s="194" t="b">
        <v>0</v>
      </c>
    </row>
    <row r="397" ht="22.5" customHeight="1">
      <c r="A397" s="188"/>
      <c r="B397" s="189" t="str">
        <f t="shared" si="1"/>
        <v/>
      </c>
      <c r="C397" s="199"/>
      <c r="D397" s="191"/>
      <c r="E397" s="191"/>
      <c r="F397" s="192"/>
      <c r="G397" s="193" t="str">
        <f>IFERROR(__xludf.DUMMYFUNCTION("IF(F397="""","""",IF(REGEXMATCH(UPPER(TRIM(C397)),""RENDIMIENTO|INVERSI[ÓO]N""),0,IF(OR(UPPER(TRIM(E397))=""TERMINAL"",UPPER(TRIM(E397))=""TRANSFERENCIA""),F397-F397/1.16,0)))"),"")</f>
        <v/>
      </c>
      <c r="H397" s="193" t="str">
        <f t="shared" si="2"/>
        <v/>
      </c>
      <c r="I397" s="194" t="b">
        <v>0</v>
      </c>
    </row>
    <row r="398" ht="22.5" customHeight="1">
      <c r="A398" s="188"/>
      <c r="B398" s="189" t="str">
        <f t="shared" si="1"/>
        <v/>
      </c>
      <c r="C398" s="199"/>
      <c r="D398" s="191"/>
      <c r="E398" s="191"/>
      <c r="F398" s="192"/>
      <c r="G398" s="193" t="str">
        <f>IFERROR(__xludf.DUMMYFUNCTION("IF(F398="""","""",IF(REGEXMATCH(UPPER(TRIM(C398)),""RENDIMIENTO|INVERSI[ÓO]N""),0,IF(OR(UPPER(TRIM(E398))=""TERMINAL"",UPPER(TRIM(E398))=""TRANSFERENCIA""),F398-F398/1.16,0)))"),"")</f>
        <v/>
      </c>
      <c r="H398" s="193" t="str">
        <f t="shared" si="2"/>
        <v/>
      </c>
      <c r="I398" s="194" t="b">
        <v>0</v>
      </c>
    </row>
    <row r="399" ht="22.5" customHeight="1">
      <c r="A399" s="188"/>
      <c r="B399" s="189" t="str">
        <f t="shared" si="1"/>
        <v/>
      </c>
      <c r="C399" s="199"/>
      <c r="D399" s="191"/>
      <c r="E399" s="191"/>
      <c r="F399" s="192"/>
      <c r="G399" s="193" t="str">
        <f>IFERROR(__xludf.DUMMYFUNCTION("IF(F399="""","""",IF(REGEXMATCH(UPPER(TRIM(C399)),""RENDIMIENTO|INVERSI[ÓO]N""),0,IF(OR(UPPER(TRIM(E399))=""TERMINAL"",UPPER(TRIM(E399))=""TRANSFERENCIA""),F399-F399/1.16,0)))"),"")</f>
        <v/>
      </c>
      <c r="H399" s="193" t="str">
        <f t="shared" si="2"/>
        <v/>
      </c>
      <c r="I399" s="194" t="b">
        <v>0</v>
      </c>
    </row>
    <row r="400" ht="22.5" customHeight="1">
      <c r="A400" s="188"/>
      <c r="B400" s="189" t="str">
        <f t="shared" si="1"/>
        <v/>
      </c>
      <c r="C400" s="199"/>
      <c r="D400" s="191"/>
      <c r="E400" s="191"/>
      <c r="F400" s="192"/>
      <c r="G400" s="193" t="str">
        <f>IFERROR(__xludf.DUMMYFUNCTION("IF(F400="""","""",IF(REGEXMATCH(UPPER(TRIM(C400)),""RENDIMIENTO|INVERSI[ÓO]N""),0,IF(OR(UPPER(TRIM(E400))=""TERMINAL"",UPPER(TRIM(E400))=""TRANSFERENCIA""),F400-F400/1.16,0)))"),"")</f>
        <v/>
      </c>
      <c r="H400" s="193" t="str">
        <f t="shared" si="2"/>
        <v/>
      </c>
      <c r="I400" s="194" t="b">
        <v>0</v>
      </c>
    </row>
    <row r="401" ht="22.5" customHeight="1">
      <c r="A401" s="188"/>
      <c r="B401" s="189" t="str">
        <f t="shared" si="1"/>
        <v/>
      </c>
      <c r="C401" s="199"/>
      <c r="D401" s="191"/>
      <c r="E401" s="191"/>
      <c r="F401" s="192"/>
      <c r="G401" s="193" t="str">
        <f>IFERROR(__xludf.DUMMYFUNCTION("IF(F401="""","""",IF(REGEXMATCH(UPPER(TRIM(C401)),""RENDIMIENTO|INVERSI[ÓO]N""),0,IF(OR(UPPER(TRIM(E401))=""TERMINAL"",UPPER(TRIM(E401))=""TRANSFERENCIA""),F401-F401/1.16,0)))"),"")</f>
        <v/>
      </c>
      <c r="H401" s="193" t="str">
        <f t="shared" si="2"/>
        <v/>
      </c>
      <c r="I401" s="194" t="b">
        <v>0</v>
      </c>
    </row>
    <row r="402" ht="22.5" customHeight="1">
      <c r="A402" s="188"/>
      <c r="B402" s="189" t="str">
        <f t="shared" si="1"/>
        <v/>
      </c>
      <c r="C402" s="199"/>
      <c r="D402" s="191"/>
      <c r="E402" s="191"/>
      <c r="F402" s="192"/>
      <c r="G402" s="193" t="str">
        <f>IFERROR(__xludf.DUMMYFUNCTION("IF(F402="""","""",IF(REGEXMATCH(UPPER(TRIM(C402)),""RENDIMIENTO|INVERSI[ÓO]N""),0,IF(OR(UPPER(TRIM(E402))=""TERMINAL"",UPPER(TRIM(E402))=""TRANSFERENCIA""),F402-F402/1.16,0)))"),"")</f>
        <v/>
      </c>
      <c r="H402" s="193" t="str">
        <f t="shared" si="2"/>
        <v/>
      </c>
      <c r="I402" s="194" t="b">
        <v>0</v>
      </c>
    </row>
    <row r="403" ht="22.5" customHeight="1">
      <c r="A403" s="188"/>
      <c r="B403" s="189" t="str">
        <f t="shared" si="1"/>
        <v/>
      </c>
      <c r="C403" s="199"/>
      <c r="D403" s="191"/>
      <c r="E403" s="191"/>
      <c r="F403" s="192"/>
      <c r="G403" s="193" t="str">
        <f>IFERROR(__xludf.DUMMYFUNCTION("IF(F403="""","""",IF(REGEXMATCH(UPPER(TRIM(C403)),""RENDIMIENTO|INVERSI[ÓO]N""),0,IF(OR(UPPER(TRIM(E403))=""TERMINAL"",UPPER(TRIM(E403))=""TRANSFERENCIA""),F403-F403/1.16,0)))"),"")</f>
        <v/>
      </c>
      <c r="H403" s="193" t="str">
        <f t="shared" si="2"/>
        <v/>
      </c>
      <c r="I403" s="194" t="b">
        <v>0</v>
      </c>
    </row>
    <row r="404" ht="22.5" customHeight="1">
      <c r="A404" s="188"/>
      <c r="B404" s="189" t="str">
        <f t="shared" si="1"/>
        <v/>
      </c>
      <c r="C404" s="199"/>
      <c r="D404" s="191"/>
      <c r="E404" s="191"/>
      <c r="F404" s="192"/>
      <c r="G404" s="193" t="str">
        <f>IFERROR(__xludf.DUMMYFUNCTION("IF(F404="""","""",IF(REGEXMATCH(UPPER(TRIM(C404)),""RENDIMIENTO|INVERSI[ÓO]N""),0,IF(OR(UPPER(TRIM(E404))=""TERMINAL"",UPPER(TRIM(E404))=""TRANSFERENCIA""),F404-F404/1.16,0)))"),"")</f>
        <v/>
      </c>
      <c r="H404" s="193" t="str">
        <f t="shared" si="2"/>
        <v/>
      </c>
      <c r="I404" s="194" t="b">
        <v>0</v>
      </c>
    </row>
    <row r="405" ht="22.5" customHeight="1">
      <c r="A405" s="188"/>
      <c r="B405" s="189" t="str">
        <f t="shared" si="1"/>
        <v/>
      </c>
      <c r="C405" s="199"/>
      <c r="D405" s="191"/>
      <c r="E405" s="191"/>
      <c r="F405" s="192"/>
      <c r="G405" s="193" t="str">
        <f>IFERROR(__xludf.DUMMYFUNCTION("IF(F405="""","""",IF(REGEXMATCH(UPPER(TRIM(C405)),""RENDIMIENTO|INVERSI[ÓO]N""),0,IF(OR(UPPER(TRIM(E405))=""TERMINAL"",UPPER(TRIM(E405))=""TRANSFERENCIA""),F405-F405/1.16,0)))"),"")</f>
        <v/>
      </c>
      <c r="H405" s="193" t="str">
        <f t="shared" si="2"/>
        <v/>
      </c>
      <c r="I405" s="194" t="b">
        <v>0</v>
      </c>
    </row>
    <row r="406" ht="22.5" customHeight="1">
      <c r="A406" s="188"/>
      <c r="B406" s="189" t="str">
        <f t="shared" si="1"/>
        <v/>
      </c>
      <c r="C406" s="199"/>
      <c r="D406" s="191"/>
      <c r="E406" s="191"/>
      <c r="F406" s="192"/>
      <c r="G406" s="193" t="str">
        <f>IFERROR(__xludf.DUMMYFUNCTION("IF(F406="""","""",IF(REGEXMATCH(UPPER(TRIM(C406)),""RENDIMIENTO|INVERSI[ÓO]N""),0,IF(OR(UPPER(TRIM(E406))=""TERMINAL"",UPPER(TRIM(E406))=""TRANSFERENCIA""),F406-F406/1.16,0)))"),"")</f>
        <v/>
      </c>
      <c r="H406" s="193" t="str">
        <f t="shared" si="2"/>
        <v/>
      </c>
      <c r="I406" s="194" t="b">
        <v>0</v>
      </c>
    </row>
    <row r="407" ht="22.5" customHeight="1">
      <c r="A407" s="188"/>
      <c r="B407" s="189" t="str">
        <f t="shared" si="1"/>
        <v/>
      </c>
      <c r="C407" s="199"/>
      <c r="D407" s="191"/>
      <c r="E407" s="191"/>
      <c r="F407" s="192"/>
      <c r="G407" s="193" t="str">
        <f>IFERROR(__xludf.DUMMYFUNCTION("IF(F407="""","""",IF(REGEXMATCH(UPPER(TRIM(C407)),""RENDIMIENTO|INVERSI[ÓO]N""),0,IF(OR(UPPER(TRIM(E407))=""TERMINAL"",UPPER(TRIM(E407))=""TRANSFERENCIA""),F407-F407/1.16,0)))"),"")</f>
        <v/>
      </c>
      <c r="H407" s="193" t="str">
        <f t="shared" si="2"/>
        <v/>
      </c>
      <c r="I407" s="194" t="b">
        <v>0</v>
      </c>
    </row>
    <row r="408" ht="22.5" customHeight="1">
      <c r="A408" s="188"/>
      <c r="B408" s="189" t="str">
        <f t="shared" si="1"/>
        <v/>
      </c>
      <c r="C408" s="199"/>
      <c r="D408" s="191"/>
      <c r="E408" s="191"/>
      <c r="F408" s="192"/>
      <c r="G408" s="193" t="str">
        <f>IFERROR(__xludf.DUMMYFUNCTION("IF(F408="""","""",IF(REGEXMATCH(UPPER(TRIM(C408)),""RENDIMIENTO|INVERSI[ÓO]N""),0,IF(OR(UPPER(TRIM(E408))=""TERMINAL"",UPPER(TRIM(E408))=""TRANSFERENCIA""),F408-F408/1.16,0)))"),"")</f>
        <v/>
      </c>
      <c r="H408" s="193" t="str">
        <f t="shared" si="2"/>
        <v/>
      </c>
      <c r="I408" s="194" t="b">
        <v>0</v>
      </c>
    </row>
    <row r="409" ht="22.5" customHeight="1">
      <c r="A409" s="188"/>
      <c r="B409" s="189" t="str">
        <f t="shared" si="1"/>
        <v/>
      </c>
      <c r="C409" s="199"/>
      <c r="D409" s="191"/>
      <c r="E409" s="191"/>
      <c r="F409" s="192"/>
      <c r="G409" s="193" t="str">
        <f>IFERROR(__xludf.DUMMYFUNCTION("IF(F409="""","""",IF(REGEXMATCH(UPPER(TRIM(C409)),""RENDIMIENTO|INVERSI[ÓO]N""),0,IF(OR(UPPER(TRIM(E409))=""TERMINAL"",UPPER(TRIM(E409))=""TRANSFERENCIA""),F409-F409/1.16,0)))"),"")</f>
        <v/>
      </c>
      <c r="H409" s="193" t="str">
        <f t="shared" si="2"/>
        <v/>
      </c>
      <c r="I409" s="194" t="b">
        <v>0</v>
      </c>
    </row>
    <row r="410" ht="22.5" customHeight="1">
      <c r="A410" s="188"/>
      <c r="B410" s="189" t="str">
        <f t="shared" si="1"/>
        <v/>
      </c>
      <c r="C410" s="199"/>
      <c r="D410" s="191"/>
      <c r="E410" s="191"/>
      <c r="F410" s="192"/>
      <c r="G410" s="193" t="str">
        <f>IFERROR(__xludf.DUMMYFUNCTION("IF(F410="""","""",IF(REGEXMATCH(UPPER(TRIM(C410)),""RENDIMIENTO|INVERSI[ÓO]N""),0,IF(OR(UPPER(TRIM(E410))=""TERMINAL"",UPPER(TRIM(E410))=""TRANSFERENCIA""),F410-F410/1.16,0)))"),"")</f>
        <v/>
      </c>
      <c r="H410" s="193" t="str">
        <f t="shared" si="2"/>
        <v/>
      </c>
      <c r="I410" s="194" t="b">
        <v>0</v>
      </c>
    </row>
    <row r="411" ht="22.5" customHeight="1">
      <c r="A411" s="188"/>
      <c r="B411" s="189" t="str">
        <f t="shared" si="1"/>
        <v/>
      </c>
      <c r="C411" s="199"/>
      <c r="D411" s="191"/>
      <c r="E411" s="191"/>
      <c r="F411" s="192"/>
      <c r="G411" s="193" t="str">
        <f>IFERROR(__xludf.DUMMYFUNCTION("IF(F411="""","""",IF(REGEXMATCH(UPPER(TRIM(C411)),""RENDIMIENTO|INVERSI[ÓO]N""),0,IF(OR(UPPER(TRIM(E411))=""TERMINAL"",UPPER(TRIM(E411))=""TRANSFERENCIA""),F411-F411/1.16,0)))"),"")</f>
        <v/>
      </c>
      <c r="H411" s="193" t="str">
        <f t="shared" si="2"/>
        <v/>
      </c>
      <c r="I411" s="194" t="b">
        <v>0</v>
      </c>
    </row>
    <row r="412" ht="22.5" customHeight="1">
      <c r="A412" s="188"/>
      <c r="B412" s="189" t="str">
        <f t="shared" si="1"/>
        <v/>
      </c>
      <c r="C412" s="199"/>
      <c r="D412" s="191"/>
      <c r="E412" s="191"/>
      <c r="F412" s="192"/>
      <c r="G412" s="193" t="str">
        <f>IFERROR(__xludf.DUMMYFUNCTION("IF(F412="""","""",IF(REGEXMATCH(UPPER(TRIM(C412)),""RENDIMIENTO|INVERSI[ÓO]N""),0,IF(OR(UPPER(TRIM(E412))=""TERMINAL"",UPPER(TRIM(E412))=""TRANSFERENCIA""),F412-F412/1.16,0)))"),"")</f>
        <v/>
      </c>
      <c r="H412" s="193" t="str">
        <f t="shared" si="2"/>
        <v/>
      </c>
      <c r="I412" s="194" t="b">
        <v>0</v>
      </c>
    </row>
    <row r="413" ht="22.5" customHeight="1">
      <c r="A413" s="188"/>
      <c r="B413" s="189" t="str">
        <f t="shared" si="1"/>
        <v/>
      </c>
      <c r="C413" s="199"/>
      <c r="D413" s="191"/>
      <c r="E413" s="191"/>
      <c r="F413" s="192"/>
      <c r="G413" s="193" t="str">
        <f>IFERROR(__xludf.DUMMYFUNCTION("IF(F413="""","""",IF(REGEXMATCH(UPPER(TRIM(C413)),""RENDIMIENTO|INVERSI[ÓO]N""),0,IF(OR(UPPER(TRIM(E413))=""TERMINAL"",UPPER(TRIM(E413))=""TRANSFERENCIA""),F413-F413/1.16,0)))"),"")</f>
        <v/>
      </c>
      <c r="H413" s="193" t="str">
        <f t="shared" si="2"/>
        <v/>
      </c>
      <c r="I413" s="194" t="b">
        <v>0</v>
      </c>
    </row>
    <row r="414" ht="22.5" customHeight="1">
      <c r="A414" s="188"/>
      <c r="B414" s="189" t="str">
        <f t="shared" si="1"/>
        <v/>
      </c>
      <c r="C414" s="199"/>
      <c r="D414" s="191"/>
      <c r="E414" s="191"/>
      <c r="F414" s="192"/>
      <c r="G414" s="193" t="str">
        <f>IFERROR(__xludf.DUMMYFUNCTION("IF(F414="""","""",IF(REGEXMATCH(UPPER(TRIM(C414)),""RENDIMIENTO|INVERSI[ÓO]N""),0,IF(OR(UPPER(TRIM(E414))=""TERMINAL"",UPPER(TRIM(E414))=""TRANSFERENCIA""),F414-F414/1.16,0)))"),"")</f>
        <v/>
      </c>
      <c r="H414" s="193" t="str">
        <f t="shared" si="2"/>
        <v/>
      </c>
      <c r="I414" s="194" t="b">
        <v>0</v>
      </c>
    </row>
    <row r="415" ht="22.5" customHeight="1">
      <c r="A415" s="188"/>
      <c r="B415" s="189" t="str">
        <f t="shared" si="1"/>
        <v/>
      </c>
      <c r="C415" s="199"/>
      <c r="D415" s="191"/>
      <c r="E415" s="191"/>
      <c r="F415" s="192"/>
      <c r="G415" s="193" t="str">
        <f>IFERROR(__xludf.DUMMYFUNCTION("IF(F415="""","""",IF(REGEXMATCH(UPPER(TRIM(C415)),""RENDIMIENTO|INVERSI[ÓO]N""),0,IF(OR(UPPER(TRIM(E415))=""TERMINAL"",UPPER(TRIM(E415))=""TRANSFERENCIA""),F415-F415/1.16,0)))"),"")</f>
        <v/>
      </c>
      <c r="H415" s="193" t="str">
        <f t="shared" si="2"/>
        <v/>
      </c>
      <c r="I415" s="194" t="b">
        <v>0</v>
      </c>
    </row>
    <row r="416" ht="22.5" customHeight="1">
      <c r="A416" s="188"/>
      <c r="B416" s="189" t="str">
        <f t="shared" si="1"/>
        <v/>
      </c>
      <c r="C416" s="199"/>
      <c r="D416" s="191"/>
      <c r="E416" s="191"/>
      <c r="F416" s="192"/>
      <c r="G416" s="193" t="str">
        <f>IFERROR(__xludf.DUMMYFUNCTION("IF(F416="""","""",IF(REGEXMATCH(UPPER(TRIM(C416)),""RENDIMIENTO|INVERSI[ÓO]N""),0,IF(OR(UPPER(TRIM(E416))=""TERMINAL"",UPPER(TRIM(E416))=""TRANSFERENCIA""),F416-F416/1.16,0)))"),"")</f>
        <v/>
      </c>
      <c r="H416" s="193" t="str">
        <f t="shared" si="2"/>
        <v/>
      </c>
      <c r="I416" s="194" t="b">
        <v>0</v>
      </c>
    </row>
    <row r="417" ht="22.5" customHeight="1">
      <c r="A417" s="188"/>
      <c r="B417" s="189" t="str">
        <f t="shared" si="1"/>
        <v/>
      </c>
      <c r="C417" s="199"/>
      <c r="D417" s="191"/>
      <c r="E417" s="191"/>
      <c r="F417" s="192"/>
      <c r="G417" s="193" t="str">
        <f>IFERROR(__xludf.DUMMYFUNCTION("IF(F417="""","""",IF(REGEXMATCH(UPPER(TRIM(C417)),""RENDIMIENTO|INVERSI[ÓO]N""),0,IF(OR(UPPER(TRIM(E417))=""TERMINAL"",UPPER(TRIM(E417))=""TRANSFERENCIA""),F417-F417/1.16,0)))"),"")</f>
        <v/>
      </c>
      <c r="H417" s="193" t="str">
        <f t="shared" si="2"/>
        <v/>
      </c>
      <c r="I417" s="194" t="b">
        <v>0</v>
      </c>
    </row>
    <row r="418" ht="22.5" customHeight="1">
      <c r="A418" s="188"/>
      <c r="B418" s="189" t="str">
        <f t="shared" si="1"/>
        <v/>
      </c>
      <c r="C418" s="199"/>
      <c r="D418" s="191"/>
      <c r="E418" s="191"/>
      <c r="F418" s="192"/>
      <c r="G418" s="193" t="str">
        <f>IFERROR(__xludf.DUMMYFUNCTION("IF(F418="""","""",IF(REGEXMATCH(UPPER(TRIM(C418)),""RENDIMIENTO|INVERSI[ÓO]N""),0,IF(OR(UPPER(TRIM(E418))=""TERMINAL"",UPPER(TRIM(E418))=""TRANSFERENCIA""),F418-F418/1.16,0)))"),"")</f>
        <v/>
      </c>
      <c r="H418" s="193" t="str">
        <f t="shared" si="2"/>
        <v/>
      </c>
      <c r="I418" s="194" t="b">
        <v>0</v>
      </c>
    </row>
    <row r="419" ht="22.5" customHeight="1">
      <c r="A419" s="188"/>
      <c r="B419" s="189" t="str">
        <f t="shared" si="1"/>
        <v/>
      </c>
      <c r="C419" s="199"/>
      <c r="D419" s="191"/>
      <c r="E419" s="191"/>
      <c r="F419" s="192"/>
      <c r="G419" s="193" t="str">
        <f>IFERROR(__xludf.DUMMYFUNCTION("IF(F419="""","""",IF(REGEXMATCH(UPPER(TRIM(C419)),""RENDIMIENTO|INVERSI[ÓO]N""),0,IF(OR(UPPER(TRIM(E419))=""TERMINAL"",UPPER(TRIM(E419))=""TRANSFERENCIA""),F419-F419/1.16,0)))"),"")</f>
        <v/>
      </c>
      <c r="H419" s="193" t="str">
        <f t="shared" si="2"/>
        <v/>
      </c>
      <c r="I419" s="194" t="b">
        <v>0</v>
      </c>
    </row>
    <row r="420" ht="22.5" customHeight="1">
      <c r="A420" s="188"/>
      <c r="B420" s="189" t="str">
        <f t="shared" si="1"/>
        <v/>
      </c>
      <c r="C420" s="199"/>
      <c r="D420" s="191"/>
      <c r="E420" s="191"/>
      <c r="F420" s="192"/>
      <c r="G420" s="193" t="str">
        <f>IFERROR(__xludf.DUMMYFUNCTION("IF(F420="""","""",IF(REGEXMATCH(UPPER(TRIM(C420)),""RENDIMIENTO|INVERSI[ÓO]N""),0,IF(OR(UPPER(TRIM(E420))=""TERMINAL"",UPPER(TRIM(E420))=""TRANSFERENCIA""),F420-F420/1.16,0)))"),"")</f>
        <v/>
      </c>
      <c r="H420" s="193" t="str">
        <f t="shared" si="2"/>
        <v/>
      </c>
      <c r="I420" s="194" t="b">
        <v>0</v>
      </c>
    </row>
    <row r="421" ht="22.5" customHeight="1">
      <c r="A421" s="188"/>
      <c r="B421" s="189" t="str">
        <f t="shared" si="1"/>
        <v/>
      </c>
      <c r="C421" s="199"/>
      <c r="D421" s="191"/>
      <c r="E421" s="191"/>
      <c r="F421" s="192"/>
      <c r="G421" s="193" t="str">
        <f>IFERROR(__xludf.DUMMYFUNCTION("IF(F421="""","""",IF(REGEXMATCH(UPPER(TRIM(C421)),""RENDIMIENTO|INVERSI[ÓO]N""),0,IF(OR(UPPER(TRIM(E421))=""TERMINAL"",UPPER(TRIM(E421))=""TRANSFERENCIA""),F421-F421/1.16,0)))"),"")</f>
        <v/>
      </c>
      <c r="H421" s="193" t="str">
        <f t="shared" si="2"/>
        <v/>
      </c>
      <c r="I421" s="194" t="b">
        <v>0</v>
      </c>
    </row>
    <row r="422" ht="22.5" customHeight="1">
      <c r="A422" s="188"/>
      <c r="B422" s="189" t="str">
        <f t="shared" si="1"/>
        <v/>
      </c>
      <c r="C422" s="199"/>
      <c r="D422" s="191"/>
      <c r="E422" s="191"/>
      <c r="F422" s="192"/>
      <c r="G422" s="193" t="str">
        <f>IFERROR(__xludf.DUMMYFUNCTION("IF(F422="""","""",IF(REGEXMATCH(UPPER(TRIM(C422)),""RENDIMIENTO|INVERSI[ÓO]N""),0,IF(OR(UPPER(TRIM(E422))=""TERMINAL"",UPPER(TRIM(E422))=""TRANSFERENCIA""),F422-F422/1.16,0)))"),"")</f>
        <v/>
      </c>
      <c r="H422" s="193" t="str">
        <f t="shared" si="2"/>
        <v/>
      </c>
      <c r="I422" s="194" t="b">
        <v>0</v>
      </c>
    </row>
    <row r="423" ht="22.5" customHeight="1">
      <c r="A423" s="188"/>
      <c r="B423" s="189" t="str">
        <f t="shared" si="1"/>
        <v/>
      </c>
      <c r="C423" s="199"/>
      <c r="D423" s="191"/>
      <c r="E423" s="191"/>
      <c r="F423" s="192"/>
      <c r="G423" s="193" t="str">
        <f>IFERROR(__xludf.DUMMYFUNCTION("IF(F423="""","""",IF(REGEXMATCH(UPPER(TRIM(C423)),""RENDIMIENTO|INVERSI[ÓO]N""),0,IF(OR(UPPER(TRIM(E423))=""TERMINAL"",UPPER(TRIM(E423))=""TRANSFERENCIA""),F423-F423/1.16,0)))"),"")</f>
        <v/>
      </c>
      <c r="H423" s="193" t="str">
        <f t="shared" si="2"/>
        <v/>
      </c>
      <c r="I423" s="194" t="b">
        <v>0</v>
      </c>
    </row>
    <row r="424" ht="22.5" customHeight="1">
      <c r="A424" s="188"/>
      <c r="B424" s="189" t="str">
        <f t="shared" si="1"/>
        <v/>
      </c>
      <c r="C424" s="199"/>
      <c r="D424" s="191"/>
      <c r="E424" s="191"/>
      <c r="F424" s="192"/>
      <c r="G424" s="193" t="str">
        <f>IFERROR(__xludf.DUMMYFUNCTION("IF(F424="""","""",IF(REGEXMATCH(UPPER(TRIM(C424)),""RENDIMIENTO|INVERSI[ÓO]N""),0,IF(OR(UPPER(TRIM(E424))=""TERMINAL"",UPPER(TRIM(E424))=""TRANSFERENCIA""),F424-F424/1.16,0)))"),"")</f>
        <v/>
      </c>
      <c r="H424" s="193" t="str">
        <f t="shared" si="2"/>
        <v/>
      </c>
      <c r="I424" s="194" t="b">
        <v>0</v>
      </c>
    </row>
    <row r="425" ht="22.5" customHeight="1">
      <c r="A425" s="188"/>
      <c r="B425" s="189" t="str">
        <f t="shared" si="1"/>
        <v/>
      </c>
      <c r="C425" s="199"/>
      <c r="D425" s="191"/>
      <c r="E425" s="191"/>
      <c r="F425" s="192"/>
      <c r="G425" s="193" t="str">
        <f>IFERROR(__xludf.DUMMYFUNCTION("IF(F425="""","""",IF(REGEXMATCH(UPPER(TRIM(C425)),""RENDIMIENTO|INVERSI[ÓO]N""),0,IF(OR(UPPER(TRIM(E425))=""TERMINAL"",UPPER(TRIM(E425))=""TRANSFERENCIA""),F425-F425/1.16,0)))"),"")</f>
        <v/>
      </c>
      <c r="H425" s="193" t="str">
        <f t="shared" si="2"/>
        <v/>
      </c>
      <c r="I425" s="194" t="b">
        <v>0</v>
      </c>
    </row>
    <row r="426" ht="22.5" customHeight="1">
      <c r="A426" s="188"/>
      <c r="B426" s="189" t="str">
        <f t="shared" si="1"/>
        <v/>
      </c>
      <c r="C426" s="199"/>
      <c r="D426" s="191"/>
      <c r="E426" s="191"/>
      <c r="F426" s="192"/>
      <c r="G426" s="193" t="str">
        <f>IFERROR(__xludf.DUMMYFUNCTION("IF(F426="""","""",IF(REGEXMATCH(UPPER(TRIM(C426)),""RENDIMIENTO|INVERSI[ÓO]N""),0,IF(OR(UPPER(TRIM(E426))=""TERMINAL"",UPPER(TRIM(E426))=""TRANSFERENCIA""),F426-F426/1.16,0)))"),"")</f>
        <v/>
      </c>
      <c r="H426" s="193" t="str">
        <f t="shared" si="2"/>
        <v/>
      </c>
      <c r="I426" s="194" t="b">
        <v>0</v>
      </c>
    </row>
    <row r="427" ht="22.5" customHeight="1">
      <c r="A427" s="188"/>
      <c r="B427" s="189" t="str">
        <f t="shared" si="1"/>
        <v/>
      </c>
      <c r="C427" s="199"/>
      <c r="D427" s="191"/>
      <c r="E427" s="191"/>
      <c r="F427" s="192"/>
      <c r="G427" s="193" t="str">
        <f>IFERROR(__xludf.DUMMYFUNCTION("IF(F427="""","""",IF(REGEXMATCH(UPPER(TRIM(C427)),""RENDIMIENTO|INVERSI[ÓO]N""),0,IF(OR(UPPER(TRIM(E427))=""TERMINAL"",UPPER(TRIM(E427))=""TRANSFERENCIA""),F427-F427/1.16,0)))"),"")</f>
        <v/>
      </c>
      <c r="H427" s="193" t="str">
        <f t="shared" si="2"/>
        <v/>
      </c>
      <c r="I427" s="194" t="b">
        <v>0</v>
      </c>
    </row>
    <row r="428" ht="22.5" customHeight="1">
      <c r="A428" s="188"/>
      <c r="B428" s="189" t="str">
        <f t="shared" si="1"/>
        <v/>
      </c>
      <c r="C428" s="199"/>
      <c r="D428" s="191"/>
      <c r="E428" s="191"/>
      <c r="F428" s="192"/>
      <c r="G428" s="193" t="str">
        <f>IFERROR(__xludf.DUMMYFUNCTION("IF(F428="""","""",IF(REGEXMATCH(UPPER(TRIM(C428)),""RENDIMIENTO|INVERSI[ÓO]N""),0,IF(OR(UPPER(TRIM(E428))=""TERMINAL"",UPPER(TRIM(E428))=""TRANSFERENCIA""),F428-F428/1.16,0)))"),"")</f>
        <v/>
      </c>
      <c r="H428" s="193" t="str">
        <f t="shared" si="2"/>
        <v/>
      </c>
      <c r="I428" s="194" t="b">
        <v>0</v>
      </c>
    </row>
    <row r="429" ht="22.5" customHeight="1">
      <c r="A429" s="188"/>
      <c r="B429" s="189" t="str">
        <f t="shared" si="1"/>
        <v/>
      </c>
      <c r="C429" s="199"/>
      <c r="D429" s="191"/>
      <c r="E429" s="191"/>
      <c r="F429" s="192"/>
      <c r="G429" s="193" t="str">
        <f>IFERROR(__xludf.DUMMYFUNCTION("IF(F429="""","""",IF(REGEXMATCH(UPPER(TRIM(C429)),""RENDIMIENTO|INVERSI[ÓO]N""),0,IF(OR(UPPER(TRIM(E429))=""TERMINAL"",UPPER(TRIM(E429))=""TRANSFERENCIA""),F429-F429/1.16,0)))"),"")</f>
        <v/>
      </c>
      <c r="H429" s="193" t="str">
        <f t="shared" si="2"/>
        <v/>
      </c>
      <c r="I429" s="194" t="b">
        <v>0</v>
      </c>
    </row>
    <row r="430" ht="22.5" customHeight="1">
      <c r="A430" s="188"/>
      <c r="B430" s="189" t="str">
        <f t="shared" si="1"/>
        <v/>
      </c>
      <c r="C430" s="199"/>
      <c r="D430" s="191"/>
      <c r="E430" s="191"/>
      <c r="F430" s="192"/>
      <c r="G430" s="193" t="str">
        <f>IFERROR(__xludf.DUMMYFUNCTION("IF(F430="""","""",IF(REGEXMATCH(UPPER(TRIM(C430)),""RENDIMIENTO|INVERSI[ÓO]N""),0,IF(OR(UPPER(TRIM(E430))=""TERMINAL"",UPPER(TRIM(E430))=""TRANSFERENCIA""),F430-F430/1.16,0)))"),"")</f>
        <v/>
      </c>
      <c r="H430" s="193" t="str">
        <f t="shared" si="2"/>
        <v/>
      </c>
      <c r="I430" s="194" t="b">
        <v>0</v>
      </c>
    </row>
    <row r="431" ht="22.5" customHeight="1">
      <c r="A431" s="188"/>
      <c r="B431" s="189" t="str">
        <f t="shared" si="1"/>
        <v/>
      </c>
      <c r="C431" s="199"/>
      <c r="D431" s="191"/>
      <c r="E431" s="191"/>
      <c r="F431" s="192"/>
      <c r="G431" s="193" t="str">
        <f>IFERROR(__xludf.DUMMYFUNCTION("IF(F431="""","""",IF(REGEXMATCH(UPPER(TRIM(C431)),""RENDIMIENTO|INVERSI[ÓO]N""),0,IF(OR(UPPER(TRIM(E431))=""TERMINAL"",UPPER(TRIM(E431))=""TRANSFERENCIA""),F431-F431/1.16,0)))"),"")</f>
        <v/>
      </c>
      <c r="H431" s="193" t="str">
        <f t="shared" si="2"/>
        <v/>
      </c>
      <c r="I431" s="194" t="b">
        <v>0</v>
      </c>
    </row>
    <row r="432" ht="22.5" customHeight="1">
      <c r="A432" s="188"/>
      <c r="B432" s="189" t="str">
        <f t="shared" si="1"/>
        <v/>
      </c>
      <c r="C432" s="199"/>
      <c r="D432" s="191"/>
      <c r="E432" s="191"/>
      <c r="F432" s="192"/>
      <c r="G432" s="193" t="str">
        <f>IFERROR(__xludf.DUMMYFUNCTION("IF(F432="""","""",IF(REGEXMATCH(UPPER(TRIM(C432)),""RENDIMIENTO|INVERSI[ÓO]N""),0,IF(OR(UPPER(TRIM(E432))=""TERMINAL"",UPPER(TRIM(E432))=""TRANSFERENCIA""),F432-F432/1.16,0)))"),"")</f>
        <v/>
      </c>
      <c r="H432" s="193" t="str">
        <f t="shared" si="2"/>
        <v/>
      </c>
      <c r="I432" s="194" t="b">
        <v>0</v>
      </c>
    </row>
    <row r="433" ht="22.5" customHeight="1">
      <c r="A433" s="188"/>
      <c r="B433" s="189" t="str">
        <f t="shared" si="1"/>
        <v/>
      </c>
      <c r="C433" s="199"/>
      <c r="D433" s="191"/>
      <c r="E433" s="191"/>
      <c r="F433" s="192"/>
      <c r="G433" s="193" t="str">
        <f>IFERROR(__xludf.DUMMYFUNCTION("IF(F433="""","""",IF(REGEXMATCH(UPPER(TRIM(C433)),""RENDIMIENTO|INVERSI[ÓO]N""),0,IF(OR(UPPER(TRIM(E433))=""TERMINAL"",UPPER(TRIM(E433))=""TRANSFERENCIA""),F433-F433/1.16,0)))"),"")</f>
        <v/>
      </c>
      <c r="H433" s="193" t="str">
        <f t="shared" si="2"/>
        <v/>
      </c>
      <c r="I433" s="194" t="b">
        <v>0</v>
      </c>
    </row>
    <row r="434" ht="22.5" customHeight="1">
      <c r="A434" s="188"/>
      <c r="B434" s="189" t="str">
        <f t="shared" si="1"/>
        <v/>
      </c>
      <c r="C434" s="199"/>
      <c r="D434" s="191"/>
      <c r="E434" s="191"/>
      <c r="F434" s="192"/>
      <c r="G434" s="193" t="str">
        <f>IFERROR(__xludf.DUMMYFUNCTION("IF(F434="""","""",IF(REGEXMATCH(UPPER(TRIM(C434)),""RENDIMIENTO|INVERSI[ÓO]N""),0,IF(OR(UPPER(TRIM(E434))=""TERMINAL"",UPPER(TRIM(E434))=""TRANSFERENCIA""),F434-F434/1.16,0)))"),"")</f>
        <v/>
      </c>
      <c r="H434" s="193" t="str">
        <f t="shared" si="2"/>
        <v/>
      </c>
      <c r="I434" s="194" t="b">
        <v>0</v>
      </c>
    </row>
    <row r="435" ht="22.5" customHeight="1">
      <c r="A435" s="188"/>
      <c r="B435" s="189" t="str">
        <f t="shared" si="1"/>
        <v/>
      </c>
      <c r="C435" s="199"/>
      <c r="D435" s="191"/>
      <c r="E435" s="191"/>
      <c r="F435" s="192"/>
      <c r="G435" s="193" t="str">
        <f>IFERROR(__xludf.DUMMYFUNCTION("IF(F435="""","""",IF(REGEXMATCH(UPPER(TRIM(C435)),""RENDIMIENTO|INVERSI[ÓO]N""),0,IF(OR(UPPER(TRIM(E435))=""TERMINAL"",UPPER(TRIM(E435))=""TRANSFERENCIA""),F435-F435/1.16,0)))"),"")</f>
        <v/>
      </c>
      <c r="H435" s="193" t="str">
        <f t="shared" si="2"/>
        <v/>
      </c>
      <c r="I435" s="194" t="b">
        <v>0</v>
      </c>
    </row>
    <row r="436" ht="22.5" customHeight="1">
      <c r="A436" s="188"/>
      <c r="B436" s="189" t="str">
        <f t="shared" si="1"/>
        <v/>
      </c>
      <c r="C436" s="199"/>
      <c r="D436" s="191"/>
      <c r="E436" s="191"/>
      <c r="F436" s="192"/>
      <c r="G436" s="193" t="str">
        <f>IFERROR(__xludf.DUMMYFUNCTION("IF(F436="""","""",IF(REGEXMATCH(UPPER(TRIM(C436)),""RENDIMIENTO|INVERSI[ÓO]N""),0,IF(OR(UPPER(TRIM(E436))=""TERMINAL"",UPPER(TRIM(E436))=""TRANSFERENCIA""),F436-F436/1.16,0)))"),"")</f>
        <v/>
      </c>
      <c r="H436" s="193" t="str">
        <f t="shared" si="2"/>
        <v/>
      </c>
      <c r="I436" s="194" t="b">
        <v>0</v>
      </c>
    </row>
    <row r="437" ht="22.5" customHeight="1">
      <c r="A437" s="188"/>
      <c r="B437" s="189" t="str">
        <f t="shared" si="1"/>
        <v/>
      </c>
      <c r="C437" s="199"/>
      <c r="D437" s="191"/>
      <c r="E437" s="191"/>
      <c r="F437" s="192"/>
      <c r="G437" s="193" t="str">
        <f>IFERROR(__xludf.DUMMYFUNCTION("IF(F437="""","""",IF(REGEXMATCH(UPPER(TRIM(C437)),""RENDIMIENTO|INVERSI[ÓO]N""),0,IF(OR(UPPER(TRIM(E437))=""TERMINAL"",UPPER(TRIM(E437))=""TRANSFERENCIA""),F437-F437/1.16,0)))"),"")</f>
        <v/>
      </c>
      <c r="H437" s="193" t="str">
        <f t="shared" si="2"/>
        <v/>
      </c>
      <c r="I437" s="194" t="b">
        <v>0</v>
      </c>
    </row>
    <row r="438" ht="22.5" customHeight="1">
      <c r="A438" s="188"/>
      <c r="B438" s="189" t="str">
        <f t="shared" si="1"/>
        <v/>
      </c>
      <c r="C438" s="199"/>
      <c r="D438" s="191"/>
      <c r="E438" s="191"/>
      <c r="F438" s="192"/>
      <c r="G438" s="193" t="str">
        <f>IFERROR(__xludf.DUMMYFUNCTION("IF(F438="""","""",IF(REGEXMATCH(UPPER(TRIM(C438)),""RENDIMIENTO|INVERSI[ÓO]N""),0,IF(OR(UPPER(TRIM(E438))=""TERMINAL"",UPPER(TRIM(E438))=""TRANSFERENCIA""),F438-F438/1.16,0)))"),"")</f>
        <v/>
      </c>
      <c r="H438" s="193" t="str">
        <f t="shared" si="2"/>
        <v/>
      </c>
      <c r="I438" s="194" t="b">
        <v>0</v>
      </c>
    </row>
    <row r="439" ht="22.5" customHeight="1">
      <c r="A439" s="188"/>
      <c r="B439" s="189" t="str">
        <f t="shared" si="1"/>
        <v/>
      </c>
      <c r="C439" s="199"/>
      <c r="D439" s="191"/>
      <c r="E439" s="191"/>
      <c r="F439" s="192"/>
      <c r="G439" s="193" t="str">
        <f>IFERROR(__xludf.DUMMYFUNCTION("IF(F439="""","""",IF(REGEXMATCH(UPPER(TRIM(C439)),""RENDIMIENTO|INVERSI[ÓO]N""),0,IF(OR(UPPER(TRIM(E439))=""TERMINAL"",UPPER(TRIM(E439))=""TRANSFERENCIA""),F439-F439/1.16,0)))"),"")</f>
        <v/>
      </c>
      <c r="H439" s="193" t="str">
        <f t="shared" si="2"/>
        <v/>
      </c>
      <c r="I439" s="194" t="b">
        <v>0</v>
      </c>
    </row>
    <row r="440" ht="22.5" customHeight="1">
      <c r="A440" s="188"/>
      <c r="B440" s="189" t="str">
        <f t="shared" si="1"/>
        <v/>
      </c>
      <c r="C440" s="199"/>
      <c r="D440" s="191"/>
      <c r="E440" s="191"/>
      <c r="F440" s="192"/>
      <c r="G440" s="193" t="str">
        <f>IFERROR(__xludf.DUMMYFUNCTION("IF(F440="""","""",IF(REGEXMATCH(UPPER(TRIM(C440)),""RENDIMIENTO|INVERSI[ÓO]N""),0,IF(OR(UPPER(TRIM(E440))=""TERMINAL"",UPPER(TRIM(E440))=""TRANSFERENCIA""),F440-F440/1.16,0)))"),"")</f>
        <v/>
      </c>
      <c r="H440" s="193" t="str">
        <f t="shared" si="2"/>
        <v/>
      </c>
      <c r="I440" s="194" t="b">
        <v>0</v>
      </c>
    </row>
    <row r="441" ht="22.5" customHeight="1">
      <c r="A441" s="188"/>
      <c r="B441" s="189" t="str">
        <f t="shared" si="1"/>
        <v/>
      </c>
      <c r="C441" s="199"/>
      <c r="D441" s="191"/>
      <c r="E441" s="191"/>
      <c r="F441" s="192"/>
      <c r="G441" s="193" t="str">
        <f>IFERROR(__xludf.DUMMYFUNCTION("IF(F441="""","""",IF(REGEXMATCH(UPPER(TRIM(C441)),""RENDIMIENTO|INVERSI[ÓO]N""),0,IF(OR(UPPER(TRIM(E441))=""TERMINAL"",UPPER(TRIM(E441))=""TRANSFERENCIA""),F441-F441/1.16,0)))"),"")</f>
        <v/>
      </c>
      <c r="H441" s="193" t="str">
        <f t="shared" si="2"/>
        <v/>
      </c>
      <c r="I441" s="194" t="b">
        <v>0</v>
      </c>
    </row>
    <row r="442" ht="22.5" customHeight="1">
      <c r="A442" s="188"/>
      <c r="B442" s="189" t="str">
        <f t="shared" si="1"/>
        <v/>
      </c>
      <c r="C442" s="199"/>
      <c r="D442" s="191"/>
      <c r="E442" s="191"/>
      <c r="F442" s="192"/>
      <c r="G442" s="193" t="str">
        <f>IFERROR(__xludf.DUMMYFUNCTION("IF(F442="""","""",IF(REGEXMATCH(UPPER(TRIM(C442)),""RENDIMIENTO|INVERSI[ÓO]N""),0,IF(OR(UPPER(TRIM(E442))=""TERMINAL"",UPPER(TRIM(E442))=""TRANSFERENCIA""),F442-F442/1.16,0)))"),"")</f>
        <v/>
      </c>
      <c r="H442" s="193" t="str">
        <f t="shared" si="2"/>
        <v/>
      </c>
      <c r="I442" s="194" t="b">
        <v>0</v>
      </c>
    </row>
    <row r="443" ht="22.5" customHeight="1">
      <c r="A443" s="188"/>
      <c r="B443" s="189" t="str">
        <f t="shared" si="1"/>
        <v/>
      </c>
      <c r="C443" s="199"/>
      <c r="D443" s="191"/>
      <c r="E443" s="191"/>
      <c r="F443" s="192"/>
      <c r="G443" s="193" t="str">
        <f>IFERROR(__xludf.DUMMYFUNCTION("IF(F443="""","""",IF(REGEXMATCH(UPPER(TRIM(C443)),""RENDIMIENTO|INVERSI[ÓO]N""),0,IF(OR(UPPER(TRIM(E443))=""TERMINAL"",UPPER(TRIM(E443))=""TRANSFERENCIA""),F443-F443/1.16,0)))"),"")</f>
        <v/>
      </c>
      <c r="H443" s="193" t="str">
        <f t="shared" si="2"/>
        <v/>
      </c>
      <c r="I443" s="194" t="b">
        <v>0</v>
      </c>
    </row>
    <row r="444" ht="22.5" customHeight="1">
      <c r="A444" s="188"/>
      <c r="B444" s="189" t="str">
        <f t="shared" si="1"/>
        <v/>
      </c>
      <c r="C444" s="199"/>
      <c r="D444" s="191"/>
      <c r="E444" s="191"/>
      <c r="F444" s="192"/>
      <c r="G444" s="193" t="str">
        <f>IFERROR(__xludf.DUMMYFUNCTION("IF(F444="""","""",IF(REGEXMATCH(UPPER(TRIM(C444)),""RENDIMIENTO|INVERSI[ÓO]N""),0,IF(OR(UPPER(TRIM(E444))=""TERMINAL"",UPPER(TRIM(E444))=""TRANSFERENCIA""),F444-F444/1.16,0)))"),"")</f>
        <v/>
      </c>
      <c r="H444" s="193" t="str">
        <f t="shared" si="2"/>
        <v/>
      </c>
      <c r="I444" s="194" t="b">
        <v>0</v>
      </c>
    </row>
    <row r="445" ht="22.5" customHeight="1">
      <c r="A445" s="188"/>
      <c r="B445" s="189" t="str">
        <f t="shared" si="1"/>
        <v/>
      </c>
      <c r="C445" s="199"/>
      <c r="D445" s="191"/>
      <c r="E445" s="191"/>
      <c r="F445" s="192"/>
      <c r="G445" s="193" t="str">
        <f>IFERROR(__xludf.DUMMYFUNCTION("IF(F445="""","""",IF(REGEXMATCH(UPPER(TRIM(C445)),""RENDIMIENTO|INVERSI[ÓO]N""),0,IF(OR(UPPER(TRIM(E445))=""TERMINAL"",UPPER(TRIM(E445))=""TRANSFERENCIA""),F445-F445/1.16,0)))"),"")</f>
        <v/>
      </c>
      <c r="H445" s="193" t="str">
        <f t="shared" si="2"/>
        <v/>
      </c>
      <c r="I445" s="194" t="b">
        <v>0</v>
      </c>
    </row>
    <row r="446" ht="22.5" customHeight="1">
      <c r="A446" s="188"/>
      <c r="B446" s="189" t="str">
        <f t="shared" si="1"/>
        <v/>
      </c>
      <c r="C446" s="199"/>
      <c r="D446" s="191"/>
      <c r="E446" s="191"/>
      <c r="F446" s="192"/>
      <c r="G446" s="193" t="str">
        <f>IFERROR(__xludf.DUMMYFUNCTION("IF(F446="""","""",IF(REGEXMATCH(UPPER(TRIM(C446)),""RENDIMIENTO|INVERSI[ÓO]N""),0,IF(OR(UPPER(TRIM(E446))=""TERMINAL"",UPPER(TRIM(E446))=""TRANSFERENCIA""),F446-F446/1.16,0)))"),"")</f>
        <v/>
      </c>
      <c r="H446" s="193" t="str">
        <f t="shared" si="2"/>
        <v/>
      </c>
      <c r="I446" s="194" t="b">
        <v>0</v>
      </c>
    </row>
    <row r="447" ht="22.5" customHeight="1">
      <c r="A447" s="188"/>
      <c r="B447" s="189" t="str">
        <f t="shared" si="1"/>
        <v/>
      </c>
      <c r="C447" s="199"/>
      <c r="D447" s="191"/>
      <c r="E447" s="191"/>
      <c r="F447" s="192"/>
      <c r="G447" s="193" t="str">
        <f>IFERROR(__xludf.DUMMYFUNCTION("IF(F447="""","""",IF(REGEXMATCH(UPPER(TRIM(C447)),""RENDIMIENTO|INVERSI[ÓO]N""),0,IF(OR(UPPER(TRIM(E447))=""TERMINAL"",UPPER(TRIM(E447))=""TRANSFERENCIA""),F447-F447/1.16,0)))"),"")</f>
        <v/>
      </c>
      <c r="H447" s="193" t="str">
        <f t="shared" si="2"/>
        <v/>
      </c>
      <c r="I447" s="194" t="b">
        <v>0</v>
      </c>
    </row>
    <row r="448" ht="22.5" customHeight="1">
      <c r="A448" s="188"/>
      <c r="B448" s="189" t="str">
        <f t="shared" si="1"/>
        <v/>
      </c>
      <c r="C448" s="199"/>
      <c r="D448" s="191"/>
      <c r="E448" s="191"/>
      <c r="F448" s="192"/>
      <c r="G448" s="193" t="str">
        <f>IFERROR(__xludf.DUMMYFUNCTION("IF(F448="""","""",IF(REGEXMATCH(UPPER(TRIM(C448)),""RENDIMIENTO|INVERSI[ÓO]N""),0,IF(OR(UPPER(TRIM(E448))=""TERMINAL"",UPPER(TRIM(E448))=""TRANSFERENCIA""),F448-F448/1.16,0)))"),"")</f>
        <v/>
      </c>
      <c r="H448" s="193" t="str">
        <f t="shared" si="2"/>
        <v/>
      </c>
      <c r="I448" s="194" t="b">
        <v>0</v>
      </c>
    </row>
    <row r="449" ht="22.5" customHeight="1">
      <c r="A449" s="188"/>
      <c r="B449" s="189" t="str">
        <f t="shared" si="1"/>
        <v/>
      </c>
      <c r="C449" s="199"/>
      <c r="D449" s="191"/>
      <c r="E449" s="191"/>
      <c r="F449" s="192"/>
      <c r="G449" s="193" t="str">
        <f>IFERROR(__xludf.DUMMYFUNCTION("IF(F449="""","""",IF(REGEXMATCH(UPPER(TRIM(C449)),""RENDIMIENTO|INVERSI[ÓO]N""),0,IF(OR(UPPER(TRIM(E449))=""TERMINAL"",UPPER(TRIM(E449))=""TRANSFERENCIA""),F449-F449/1.16,0)))"),"")</f>
        <v/>
      </c>
      <c r="H449" s="193" t="str">
        <f t="shared" si="2"/>
        <v/>
      </c>
      <c r="I449" s="194" t="b">
        <v>0</v>
      </c>
    </row>
    <row r="450" ht="22.5" customHeight="1">
      <c r="A450" s="188"/>
      <c r="B450" s="189" t="str">
        <f t="shared" si="1"/>
        <v/>
      </c>
      <c r="C450" s="199"/>
      <c r="D450" s="191"/>
      <c r="E450" s="191"/>
      <c r="F450" s="192"/>
      <c r="G450" s="193" t="str">
        <f>IFERROR(__xludf.DUMMYFUNCTION("IF(F450="""","""",IF(REGEXMATCH(UPPER(TRIM(C450)),""RENDIMIENTO|INVERSI[ÓO]N""),0,IF(OR(UPPER(TRIM(E450))=""TERMINAL"",UPPER(TRIM(E450))=""TRANSFERENCIA""),F450-F450/1.16,0)))"),"")</f>
        <v/>
      </c>
      <c r="H450" s="193" t="str">
        <f t="shared" si="2"/>
        <v/>
      </c>
      <c r="I450" s="194" t="b">
        <v>0</v>
      </c>
    </row>
    <row r="451" ht="22.5" customHeight="1">
      <c r="A451" s="188"/>
      <c r="B451" s="189" t="str">
        <f t="shared" si="1"/>
        <v/>
      </c>
      <c r="C451" s="199"/>
      <c r="D451" s="191"/>
      <c r="E451" s="191"/>
      <c r="F451" s="192"/>
      <c r="G451" s="193" t="str">
        <f>IFERROR(__xludf.DUMMYFUNCTION("IF(F451="""","""",IF(REGEXMATCH(UPPER(TRIM(C451)),""RENDIMIENTO|INVERSI[ÓO]N""),0,IF(OR(UPPER(TRIM(E451))=""TERMINAL"",UPPER(TRIM(E451))=""TRANSFERENCIA""),F451-F451/1.16,0)))"),"")</f>
        <v/>
      </c>
      <c r="H451" s="193" t="str">
        <f t="shared" si="2"/>
        <v/>
      </c>
      <c r="I451" s="194" t="b">
        <v>0</v>
      </c>
    </row>
    <row r="452" ht="22.5" customHeight="1">
      <c r="A452" s="188"/>
      <c r="B452" s="189" t="str">
        <f t="shared" si="1"/>
        <v/>
      </c>
      <c r="C452" s="199"/>
      <c r="D452" s="191"/>
      <c r="E452" s="191"/>
      <c r="F452" s="192"/>
      <c r="G452" s="193" t="str">
        <f>IFERROR(__xludf.DUMMYFUNCTION("IF(F452="""","""",IF(REGEXMATCH(UPPER(TRIM(C452)),""RENDIMIENTO|INVERSI[ÓO]N""),0,IF(OR(UPPER(TRIM(E452))=""TERMINAL"",UPPER(TRIM(E452))=""TRANSFERENCIA""),F452-F452/1.16,0)))"),"")</f>
        <v/>
      </c>
      <c r="H452" s="193" t="str">
        <f t="shared" si="2"/>
        <v/>
      </c>
      <c r="I452" s="194" t="b">
        <v>0</v>
      </c>
    </row>
    <row r="453" ht="22.5" customHeight="1">
      <c r="A453" s="188"/>
      <c r="B453" s="189" t="str">
        <f t="shared" si="1"/>
        <v/>
      </c>
      <c r="C453" s="199"/>
      <c r="D453" s="191"/>
      <c r="E453" s="191"/>
      <c r="F453" s="192"/>
      <c r="G453" s="193" t="str">
        <f>IFERROR(__xludf.DUMMYFUNCTION("IF(F453="""","""",IF(REGEXMATCH(UPPER(TRIM(C453)),""RENDIMIENTO|INVERSI[ÓO]N""),0,IF(OR(UPPER(TRIM(E453))=""TERMINAL"",UPPER(TRIM(E453))=""TRANSFERENCIA""),F453-F453/1.16,0)))"),"")</f>
        <v/>
      </c>
      <c r="H453" s="193" t="str">
        <f t="shared" si="2"/>
        <v/>
      </c>
      <c r="I453" s="194" t="b">
        <v>0</v>
      </c>
    </row>
    <row r="454" ht="22.5" customHeight="1">
      <c r="A454" s="188"/>
      <c r="B454" s="189" t="str">
        <f t="shared" si="1"/>
        <v/>
      </c>
      <c r="C454" s="199"/>
      <c r="D454" s="191"/>
      <c r="E454" s="191"/>
      <c r="F454" s="192"/>
      <c r="G454" s="193" t="str">
        <f>IFERROR(__xludf.DUMMYFUNCTION("IF(F454="""","""",IF(REGEXMATCH(UPPER(TRIM(C454)),""RENDIMIENTO|INVERSI[ÓO]N""),0,IF(OR(UPPER(TRIM(E454))=""TERMINAL"",UPPER(TRIM(E454))=""TRANSFERENCIA""),F454-F454/1.16,0)))"),"")</f>
        <v/>
      </c>
      <c r="H454" s="193" t="str">
        <f t="shared" si="2"/>
        <v/>
      </c>
      <c r="I454" s="194" t="b">
        <v>0</v>
      </c>
    </row>
    <row r="455" ht="22.5" customHeight="1">
      <c r="A455" s="188"/>
      <c r="B455" s="189" t="str">
        <f t="shared" si="1"/>
        <v/>
      </c>
      <c r="C455" s="199"/>
      <c r="D455" s="191"/>
      <c r="E455" s="191"/>
      <c r="F455" s="192"/>
      <c r="G455" s="193" t="str">
        <f>IFERROR(__xludf.DUMMYFUNCTION("IF(F455="""","""",IF(REGEXMATCH(UPPER(TRIM(C455)),""RENDIMIENTO|INVERSI[ÓO]N""),0,IF(OR(UPPER(TRIM(E455))=""TERMINAL"",UPPER(TRIM(E455))=""TRANSFERENCIA""),F455-F455/1.16,0)))"),"")</f>
        <v/>
      </c>
      <c r="H455" s="193" t="str">
        <f t="shared" si="2"/>
        <v/>
      </c>
      <c r="I455" s="194" t="b">
        <v>0</v>
      </c>
    </row>
    <row r="456" ht="22.5" customHeight="1">
      <c r="A456" s="188"/>
      <c r="B456" s="189" t="str">
        <f t="shared" si="1"/>
        <v/>
      </c>
      <c r="C456" s="199"/>
      <c r="D456" s="191"/>
      <c r="E456" s="191"/>
      <c r="F456" s="192"/>
      <c r="G456" s="193" t="str">
        <f>IFERROR(__xludf.DUMMYFUNCTION("IF(F456="""","""",IF(REGEXMATCH(UPPER(TRIM(C456)),""RENDIMIENTO|INVERSI[ÓO]N""),0,IF(OR(UPPER(TRIM(E456))=""TERMINAL"",UPPER(TRIM(E456))=""TRANSFERENCIA""),F456-F456/1.16,0)))"),"")</f>
        <v/>
      </c>
      <c r="H456" s="193" t="str">
        <f t="shared" si="2"/>
        <v/>
      </c>
      <c r="I456" s="194" t="b">
        <v>0</v>
      </c>
    </row>
    <row r="457" ht="22.5" customHeight="1">
      <c r="A457" s="188"/>
      <c r="B457" s="189" t="str">
        <f t="shared" si="1"/>
        <v/>
      </c>
      <c r="C457" s="199"/>
      <c r="D457" s="191"/>
      <c r="E457" s="191"/>
      <c r="F457" s="192"/>
      <c r="G457" s="193" t="str">
        <f>IFERROR(__xludf.DUMMYFUNCTION("IF(F457="""","""",IF(REGEXMATCH(UPPER(TRIM(C457)),""RENDIMIENTO|INVERSI[ÓO]N""),0,IF(OR(UPPER(TRIM(E457))=""TERMINAL"",UPPER(TRIM(E457))=""TRANSFERENCIA""),F457-F457/1.16,0)))"),"")</f>
        <v/>
      </c>
      <c r="H457" s="193" t="str">
        <f t="shared" si="2"/>
        <v/>
      </c>
      <c r="I457" s="194" t="b">
        <v>0</v>
      </c>
    </row>
    <row r="458" ht="22.5" customHeight="1">
      <c r="A458" s="188"/>
      <c r="B458" s="189" t="str">
        <f t="shared" si="1"/>
        <v/>
      </c>
      <c r="C458" s="199"/>
      <c r="D458" s="191"/>
      <c r="E458" s="191"/>
      <c r="F458" s="192"/>
      <c r="G458" s="193" t="str">
        <f>IFERROR(__xludf.DUMMYFUNCTION("IF(F458="""","""",IF(REGEXMATCH(UPPER(TRIM(C458)),""RENDIMIENTO|INVERSI[ÓO]N""),0,IF(OR(UPPER(TRIM(E458))=""TERMINAL"",UPPER(TRIM(E458))=""TRANSFERENCIA""),F458-F458/1.16,0)))"),"")</f>
        <v/>
      </c>
      <c r="H458" s="193" t="str">
        <f t="shared" si="2"/>
        <v/>
      </c>
      <c r="I458" s="194" t="b">
        <v>0</v>
      </c>
    </row>
    <row r="459" ht="22.5" customHeight="1">
      <c r="A459" s="188"/>
      <c r="B459" s="189" t="str">
        <f t="shared" si="1"/>
        <v/>
      </c>
      <c r="C459" s="199"/>
      <c r="D459" s="191"/>
      <c r="E459" s="191"/>
      <c r="F459" s="192"/>
      <c r="G459" s="193" t="str">
        <f>IFERROR(__xludf.DUMMYFUNCTION("IF(F459="""","""",IF(REGEXMATCH(UPPER(TRIM(C459)),""RENDIMIENTO|INVERSI[ÓO]N""),0,IF(OR(UPPER(TRIM(E459))=""TERMINAL"",UPPER(TRIM(E459))=""TRANSFERENCIA""),F459-F459/1.16,0)))"),"")</f>
        <v/>
      </c>
      <c r="H459" s="193" t="str">
        <f t="shared" si="2"/>
        <v/>
      </c>
      <c r="I459" s="194" t="b">
        <v>0</v>
      </c>
    </row>
    <row r="460" ht="22.5" customHeight="1">
      <c r="A460" s="188"/>
      <c r="B460" s="189" t="str">
        <f t="shared" si="1"/>
        <v/>
      </c>
      <c r="C460" s="199"/>
      <c r="D460" s="191"/>
      <c r="E460" s="191"/>
      <c r="F460" s="192"/>
      <c r="G460" s="193" t="str">
        <f>IFERROR(__xludf.DUMMYFUNCTION("IF(F460="""","""",IF(REGEXMATCH(UPPER(TRIM(C460)),""RENDIMIENTO|INVERSI[ÓO]N""),0,IF(OR(UPPER(TRIM(E460))=""TERMINAL"",UPPER(TRIM(E460))=""TRANSFERENCIA""),F460-F460/1.16,0)))"),"")</f>
        <v/>
      </c>
      <c r="H460" s="193" t="str">
        <f t="shared" si="2"/>
        <v/>
      </c>
      <c r="I460" s="194" t="b">
        <v>0</v>
      </c>
    </row>
    <row r="461" ht="22.5" customHeight="1">
      <c r="A461" s="188"/>
      <c r="B461" s="189" t="str">
        <f t="shared" si="1"/>
        <v/>
      </c>
      <c r="C461" s="199"/>
      <c r="D461" s="191"/>
      <c r="E461" s="191"/>
      <c r="F461" s="192"/>
      <c r="G461" s="193" t="str">
        <f>IFERROR(__xludf.DUMMYFUNCTION("IF(F461="""","""",IF(REGEXMATCH(UPPER(TRIM(C461)),""RENDIMIENTO|INVERSI[ÓO]N""),0,IF(OR(UPPER(TRIM(E461))=""TERMINAL"",UPPER(TRIM(E461))=""TRANSFERENCIA""),F461-F461/1.16,0)))"),"")</f>
        <v/>
      </c>
      <c r="H461" s="193" t="str">
        <f t="shared" si="2"/>
        <v/>
      </c>
      <c r="I461" s="194" t="b">
        <v>0</v>
      </c>
    </row>
    <row r="462" ht="22.5" customHeight="1">
      <c r="A462" s="188"/>
      <c r="B462" s="189" t="str">
        <f t="shared" si="1"/>
        <v/>
      </c>
      <c r="C462" s="199"/>
      <c r="D462" s="191"/>
      <c r="E462" s="191"/>
      <c r="F462" s="192"/>
      <c r="G462" s="193" t="str">
        <f>IFERROR(__xludf.DUMMYFUNCTION("IF(F462="""","""",IF(REGEXMATCH(UPPER(TRIM(C462)),""RENDIMIENTO|INVERSI[ÓO]N""),0,IF(OR(UPPER(TRIM(E462))=""TERMINAL"",UPPER(TRIM(E462))=""TRANSFERENCIA""),F462-F462/1.16,0)))"),"")</f>
        <v/>
      </c>
      <c r="H462" s="193" t="str">
        <f t="shared" si="2"/>
        <v/>
      </c>
      <c r="I462" s="194" t="b">
        <v>0</v>
      </c>
    </row>
    <row r="463" ht="22.5" customHeight="1">
      <c r="A463" s="188"/>
      <c r="B463" s="189" t="str">
        <f t="shared" si="1"/>
        <v/>
      </c>
      <c r="C463" s="199"/>
      <c r="D463" s="191"/>
      <c r="E463" s="191"/>
      <c r="F463" s="192"/>
      <c r="G463" s="193" t="str">
        <f>IFERROR(__xludf.DUMMYFUNCTION("IF(F463="""","""",IF(REGEXMATCH(UPPER(TRIM(C463)),""RENDIMIENTO|INVERSI[ÓO]N""),0,IF(OR(UPPER(TRIM(E463))=""TERMINAL"",UPPER(TRIM(E463))=""TRANSFERENCIA""),F463-F463/1.16,0)))"),"")</f>
        <v/>
      </c>
      <c r="H463" s="193" t="str">
        <f t="shared" si="2"/>
        <v/>
      </c>
      <c r="I463" s="194" t="b">
        <v>0</v>
      </c>
    </row>
    <row r="464" ht="22.5" customHeight="1">
      <c r="A464" s="188"/>
      <c r="B464" s="189" t="str">
        <f t="shared" si="1"/>
        <v/>
      </c>
      <c r="C464" s="199"/>
      <c r="D464" s="191"/>
      <c r="E464" s="191"/>
      <c r="F464" s="192"/>
      <c r="G464" s="193" t="str">
        <f>IFERROR(__xludf.DUMMYFUNCTION("IF(F464="""","""",IF(REGEXMATCH(UPPER(TRIM(C464)),""RENDIMIENTO|INVERSI[ÓO]N""),0,IF(OR(UPPER(TRIM(E464))=""TERMINAL"",UPPER(TRIM(E464))=""TRANSFERENCIA""),F464-F464/1.16,0)))"),"")</f>
        <v/>
      </c>
      <c r="H464" s="193" t="str">
        <f t="shared" si="2"/>
        <v/>
      </c>
      <c r="I464" s="194" t="b">
        <v>0</v>
      </c>
    </row>
    <row r="465" ht="22.5" customHeight="1">
      <c r="A465" s="188"/>
      <c r="B465" s="189" t="str">
        <f t="shared" si="1"/>
        <v/>
      </c>
      <c r="C465" s="199"/>
      <c r="D465" s="191"/>
      <c r="E465" s="191"/>
      <c r="F465" s="192"/>
      <c r="G465" s="193" t="str">
        <f>IFERROR(__xludf.DUMMYFUNCTION("IF(F465="""","""",IF(REGEXMATCH(UPPER(TRIM(C465)),""RENDIMIENTO|INVERSI[ÓO]N""),0,IF(OR(UPPER(TRIM(E465))=""TERMINAL"",UPPER(TRIM(E465))=""TRANSFERENCIA""),F465-F465/1.16,0)))"),"")</f>
        <v/>
      </c>
      <c r="H465" s="193" t="str">
        <f t="shared" si="2"/>
        <v/>
      </c>
      <c r="I465" s="194" t="b">
        <v>0</v>
      </c>
    </row>
    <row r="466" ht="22.5" customHeight="1">
      <c r="A466" s="188"/>
      <c r="B466" s="189" t="str">
        <f t="shared" si="1"/>
        <v/>
      </c>
      <c r="C466" s="199"/>
      <c r="D466" s="191"/>
      <c r="E466" s="191"/>
      <c r="F466" s="192"/>
      <c r="G466" s="193" t="str">
        <f>IFERROR(__xludf.DUMMYFUNCTION("IF(F466="""","""",IF(REGEXMATCH(UPPER(TRIM(C466)),""RENDIMIENTO|INVERSI[ÓO]N""),0,IF(OR(UPPER(TRIM(E466))=""TERMINAL"",UPPER(TRIM(E466))=""TRANSFERENCIA""),F466-F466/1.16,0)))"),"")</f>
        <v/>
      </c>
      <c r="H466" s="193" t="str">
        <f t="shared" si="2"/>
        <v/>
      </c>
      <c r="I466" s="194" t="b">
        <v>0</v>
      </c>
    </row>
    <row r="467" ht="22.5" customHeight="1">
      <c r="A467" s="188"/>
      <c r="B467" s="189" t="str">
        <f t="shared" si="1"/>
        <v/>
      </c>
      <c r="C467" s="199"/>
      <c r="D467" s="191"/>
      <c r="E467" s="191"/>
      <c r="F467" s="192"/>
      <c r="G467" s="193" t="str">
        <f>IFERROR(__xludf.DUMMYFUNCTION("IF(F467="""","""",IF(REGEXMATCH(UPPER(TRIM(C467)),""RENDIMIENTO|INVERSI[ÓO]N""),0,IF(OR(UPPER(TRIM(E467))=""TERMINAL"",UPPER(TRIM(E467))=""TRANSFERENCIA""),F467-F467/1.16,0)))"),"")</f>
        <v/>
      </c>
      <c r="H467" s="193" t="str">
        <f t="shared" si="2"/>
        <v/>
      </c>
      <c r="I467" s="194" t="b">
        <v>0</v>
      </c>
    </row>
    <row r="468" ht="22.5" customHeight="1">
      <c r="A468" s="188"/>
      <c r="B468" s="189" t="str">
        <f t="shared" si="1"/>
        <v/>
      </c>
      <c r="C468" s="199"/>
      <c r="D468" s="191"/>
      <c r="E468" s="191"/>
      <c r="F468" s="192"/>
      <c r="G468" s="193" t="str">
        <f>IFERROR(__xludf.DUMMYFUNCTION("IF(F468="""","""",IF(REGEXMATCH(UPPER(TRIM(C468)),""RENDIMIENTO|INVERSI[ÓO]N""),0,IF(OR(UPPER(TRIM(E468))=""TERMINAL"",UPPER(TRIM(E468))=""TRANSFERENCIA""),F468-F468/1.16,0)))"),"")</f>
        <v/>
      </c>
      <c r="H468" s="193" t="str">
        <f t="shared" si="2"/>
        <v/>
      </c>
      <c r="I468" s="194" t="b">
        <v>0</v>
      </c>
    </row>
    <row r="469" ht="22.5" customHeight="1">
      <c r="A469" s="188"/>
      <c r="B469" s="189" t="str">
        <f t="shared" si="1"/>
        <v/>
      </c>
      <c r="C469" s="199"/>
      <c r="D469" s="191"/>
      <c r="E469" s="191"/>
      <c r="F469" s="192"/>
      <c r="G469" s="193" t="str">
        <f>IFERROR(__xludf.DUMMYFUNCTION("IF(F469="""","""",IF(REGEXMATCH(UPPER(TRIM(C469)),""RENDIMIENTO|INVERSI[ÓO]N""),0,IF(OR(UPPER(TRIM(E469))=""TERMINAL"",UPPER(TRIM(E469))=""TRANSFERENCIA""),F469-F469/1.16,0)))"),"")</f>
        <v/>
      </c>
      <c r="H469" s="193" t="str">
        <f t="shared" si="2"/>
        <v/>
      </c>
      <c r="I469" s="194" t="b">
        <v>0</v>
      </c>
    </row>
    <row r="470" ht="22.5" customHeight="1">
      <c r="A470" s="188"/>
      <c r="B470" s="189" t="str">
        <f t="shared" si="1"/>
        <v/>
      </c>
      <c r="C470" s="199"/>
      <c r="D470" s="191"/>
      <c r="E470" s="191"/>
      <c r="F470" s="192"/>
      <c r="G470" s="193" t="str">
        <f>IFERROR(__xludf.DUMMYFUNCTION("IF(F470="""","""",IF(REGEXMATCH(UPPER(TRIM(C470)),""RENDIMIENTO|INVERSI[ÓO]N""),0,IF(OR(UPPER(TRIM(E470))=""TERMINAL"",UPPER(TRIM(E470))=""TRANSFERENCIA""),F470-F470/1.16,0)))"),"")</f>
        <v/>
      </c>
      <c r="H470" s="193" t="str">
        <f t="shared" si="2"/>
        <v/>
      </c>
      <c r="I470" s="194" t="b">
        <v>0</v>
      </c>
    </row>
    <row r="471" ht="22.5" customHeight="1">
      <c r="A471" s="188"/>
      <c r="B471" s="189" t="str">
        <f t="shared" si="1"/>
        <v/>
      </c>
      <c r="C471" s="199"/>
      <c r="D471" s="191"/>
      <c r="E471" s="191"/>
      <c r="F471" s="192"/>
      <c r="G471" s="193" t="str">
        <f>IFERROR(__xludf.DUMMYFUNCTION("IF(F471="""","""",IF(REGEXMATCH(UPPER(TRIM(C471)),""RENDIMIENTO|INVERSI[ÓO]N""),0,IF(OR(UPPER(TRIM(E471))=""TERMINAL"",UPPER(TRIM(E471))=""TRANSFERENCIA""),F471-F471/1.16,0)))"),"")</f>
        <v/>
      </c>
      <c r="H471" s="193" t="str">
        <f t="shared" si="2"/>
        <v/>
      </c>
      <c r="I471" s="194" t="b">
        <v>0</v>
      </c>
    </row>
    <row r="472" ht="22.5" customHeight="1">
      <c r="A472" s="188"/>
      <c r="B472" s="189" t="str">
        <f t="shared" si="1"/>
        <v/>
      </c>
      <c r="C472" s="199"/>
      <c r="D472" s="191"/>
      <c r="E472" s="191"/>
      <c r="F472" s="192"/>
      <c r="G472" s="193" t="str">
        <f>IFERROR(__xludf.DUMMYFUNCTION("IF(F472="""","""",IF(REGEXMATCH(UPPER(TRIM(C472)),""RENDIMIENTO|INVERSI[ÓO]N""),0,IF(OR(UPPER(TRIM(E472))=""TERMINAL"",UPPER(TRIM(E472))=""TRANSFERENCIA""),F472-F472/1.16,0)))"),"")</f>
        <v/>
      </c>
      <c r="H472" s="193" t="str">
        <f t="shared" si="2"/>
        <v/>
      </c>
      <c r="I472" s="194" t="b">
        <v>0</v>
      </c>
    </row>
    <row r="473" ht="22.5" customHeight="1">
      <c r="A473" s="188"/>
      <c r="B473" s="189" t="str">
        <f t="shared" si="1"/>
        <v/>
      </c>
      <c r="C473" s="199"/>
      <c r="D473" s="191"/>
      <c r="E473" s="191"/>
      <c r="F473" s="192"/>
      <c r="G473" s="193" t="str">
        <f>IFERROR(__xludf.DUMMYFUNCTION("IF(F473="""","""",IF(REGEXMATCH(UPPER(TRIM(C473)),""RENDIMIENTO|INVERSI[ÓO]N""),0,IF(OR(UPPER(TRIM(E473))=""TERMINAL"",UPPER(TRIM(E473))=""TRANSFERENCIA""),F473-F473/1.16,0)))"),"")</f>
        <v/>
      </c>
      <c r="H473" s="193" t="str">
        <f t="shared" si="2"/>
        <v/>
      </c>
      <c r="I473" s="194" t="b">
        <v>0</v>
      </c>
    </row>
    <row r="474" ht="22.5" customHeight="1">
      <c r="A474" s="188"/>
      <c r="B474" s="189" t="str">
        <f t="shared" si="1"/>
        <v/>
      </c>
      <c r="C474" s="199"/>
      <c r="D474" s="191"/>
      <c r="E474" s="191"/>
      <c r="F474" s="192"/>
      <c r="G474" s="193" t="str">
        <f>IFERROR(__xludf.DUMMYFUNCTION("IF(F474="""","""",IF(REGEXMATCH(UPPER(TRIM(C474)),""RENDIMIENTO|INVERSI[ÓO]N""),0,IF(OR(UPPER(TRIM(E474))=""TERMINAL"",UPPER(TRIM(E474))=""TRANSFERENCIA""),F474-F474/1.16,0)))"),"")</f>
        <v/>
      </c>
      <c r="H474" s="193" t="str">
        <f t="shared" si="2"/>
        <v/>
      </c>
      <c r="I474" s="194" t="b">
        <v>0</v>
      </c>
    </row>
    <row r="475" ht="22.5" customHeight="1">
      <c r="A475" s="188"/>
      <c r="B475" s="189" t="str">
        <f t="shared" si="1"/>
        <v/>
      </c>
      <c r="C475" s="199"/>
      <c r="D475" s="191"/>
      <c r="E475" s="191"/>
      <c r="F475" s="192"/>
      <c r="G475" s="193" t="str">
        <f>IFERROR(__xludf.DUMMYFUNCTION("IF(F475="""","""",IF(REGEXMATCH(UPPER(TRIM(C475)),""RENDIMIENTO|INVERSI[ÓO]N""),0,IF(OR(UPPER(TRIM(E475))=""TERMINAL"",UPPER(TRIM(E475))=""TRANSFERENCIA""),F475-F475/1.16,0)))"),"")</f>
        <v/>
      </c>
      <c r="H475" s="193" t="str">
        <f t="shared" si="2"/>
        <v/>
      </c>
      <c r="I475" s="194" t="b">
        <v>0</v>
      </c>
    </row>
    <row r="476" ht="22.5" customHeight="1">
      <c r="A476" s="188"/>
      <c r="B476" s="189" t="str">
        <f t="shared" si="1"/>
        <v/>
      </c>
      <c r="C476" s="199"/>
      <c r="D476" s="191"/>
      <c r="E476" s="191"/>
      <c r="F476" s="192"/>
      <c r="G476" s="193" t="str">
        <f>IFERROR(__xludf.DUMMYFUNCTION("IF(F476="""","""",IF(REGEXMATCH(UPPER(TRIM(C476)),""RENDIMIENTO|INVERSI[ÓO]N""),0,IF(OR(UPPER(TRIM(E476))=""TERMINAL"",UPPER(TRIM(E476))=""TRANSFERENCIA""),F476-F476/1.16,0)))"),"")</f>
        <v/>
      </c>
      <c r="H476" s="193" t="str">
        <f t="shared" si="2"/>
        <v/>
      </c>
      <c r="I476" s="194" t="b">
        <v>0</v>
      </c>
    </row>
    <row r="477" ht="22.5" customHeight="1">
      <c r="A477" s="188"/>
      <c r="B477" s="189" t="str">
        <f t="shared" si="1"/>
        <v/>
      </c>
      <c r="C477" s="199"/>
      <c r="D477" s="191"/>
      <c r="E477" s="191"/>
      <c r="F477" s="192"/>
      <c r="G477" s="193" t="str">
        <f>IFERROR(__xludf.DUMMYFUNCTION("IF(F477="""","""",IF(REGEXMATCH(UPPER(TRIM(C477)),""RENDIMIENTO|INVERSI[ÓO]N""),0,IF(OR(UPPER(TRIM(E477))=""TERMINAL"",UPPER(TRIM(E477))=""TRANSFERENCIA""),F477-F477/1.16,0)))"),"")</f>
        <v/>
      </c>
      <c r="H477" s="193" t="str">
        <f t="shared" si="2"/>
        <v/>
      </c>
      <c r="I477" s="194" t="b">
        <v>0</v>
      </c>
    </row>
    <row r="478" ht="22.5" customHeight="1">
      <c r="A478" s="188"/>
      <c r="B478" s="189" t="str">
        <f t="shared" si="1"/>
        <v/>
      </c>
      <c r="C478" s="199"/>
      <c r="D478" s="191"/>
      <c r="E478" s="191"/>
      <c r="F478" s="192"/>
      <c r="G478" s="193" t="str">
        <f>IFERROR(__xludf.DUMMYFUNCTION("IF(F478="""","""",IF(REGEXMATCH(UPPER(TRIM(C478)),""RENDIMIENTO|INVERSI[ÓO]N""),0,IF(OR(UPPER(TRIM(E478))=""TERMINAL"",UPPER(TRIM(E478))=""TRANSFERENCIA""),F478-F478/1.16,0)))"),"")</f>
        <v/>
      </c>
      <c r="H478" s="193" t="str">
        <f t="shared" si="2"/>
        <v/>
      </c>
      <c r="I478" s="194" t="b">
        <v>0</v>
      </c>
    </row>
    <row r="479" ht="22.5" customHeight="1">
      <c r="A479" s="188"/>
      <c r="B479" s="189" t="str">
        <f t="shared" si="1"/>
        <v/>
      </c>
      <c r="C479" s="199"/>
      <c r="D479" s="191"/>
      <c r="E479" s="191"/>
      <c r="F479" s="192"/>
      <c r="G479" s="193" t="str">
        <f>IFERROR(__xludf.DUMMYFUNCTION("IF(F479="""","""",IF(REGEXMATCH(UPPER(TRIM(C479)),""RENDIMIENTO|INVERSI[ÓO]N""),0,IF(OR(UPPER(TRIM(E479))=""TERMINAL"",UPPER(TRIM(E479))=""TRANSFERENCIA""),F479-F479/1.16,0)))"),"")</f>
        <v/>
      </c>
      <c r="H479" s="193" t="str">
        <f t="shared" si="2"/>
        <v/>
      </c>
      <c r="I479" s="194" t="b">
        <v>0</v>
      </c>
    </row>
    <row r="480" ht="22.5" customHeight="1">
      <c r="A480" s="188"/>
      <c r="B480" s="189" t="str">
        <f t="shared" si="1"/>
        <v/>
      </c>
      <c r="C480" s="199"/>
      <c r="D480" s="191"/>
      <c r="E480" s="191"/>
      <c r="F480" s="192"/>
      <c r="G480" s="193" t="str">
        <f>IFERROR(__xludf.DUMMYFUNCTION("IF(F480="""","""",IF(REGEXMATCH(UPPER(TRIM(C480)),""RENDIMIENTO|INVERSI[ÓO]N""),0,IF(OR(UPPER(TRIM(E480))=""TERMINAL"",UPPER(TRIM(E480))=""TRANSFERENCIA""),F480-F480/1.16,0)))"),"")</f>
        <v/>
      </c>
      <c r="H480" s="193" t="str">
        <f t="shared" si="2"/>
        <v/>
      </c>
      <c r="I480" s="194" t="b">
        <v>0</v>
      </c>
    </row>
    <row r="481" ht="22.5" customHeight="1">
      <c r="A481" s="188"/>
      <c r="B481" s="189" t="str">
        <f t="shared" si="1"/>
        <v/>
      </c>
      <c r="C481" s="199"/>
      <c r="D481" s="191"/>
      <c r="E481" s="191"/>
      <c r="F481" s="192"/>
      <c r="G481" s="193" t="str">
        <f>IFERROR(__xludf.DUMMYFUNCTION("IF(F481="""","""",IF(REGEXMATCH(UPPER(TRIM(C481)),""RENDIMIENTO|INVERSI[ÓO]N""),0,IF(OR(UPPER(TRIM(E481))=""TERMINAL"",UPPER(TRIM(E481))=""TRANSFERENCIA""),F481-F481/1.16,0)))"),"")</f>
        <v/>
      </c>
      <c r="H481" s="193" t="str">
        <f t="shared" si="2"/>
        <v/>
      </c>
      <c r="I481" s="194" t="b">
        <v>0</v>
      </c>
    </row>
    <row r="482" ht="22.5" customHeight="1">
      <c r="A482" s="188"/>
      <c r="B482" s="189" t="str">
        <f t="shared" si="1"/>
        <v/>
      </c>
      <c r="C482" s="199"/>
      <c r="D482" s="191"/>
      <c r="E482" s="191"/>
      <c r="F482" s="192"/>
      <c r="G482" s="193" t="str">
        <f>IFERROR(__xludf.DUMMYFUNCTION("IF(F482="""","""",IF(REGEXMATCH(UPPER(TRIM(C482)),""RENDIMIENTO|INVERSI[ÓO]N""),0,IF(OR(UPPER(TRIM(E482))=""TERMINAL"",UPPER(TRIM(E482))=""TRANSFERENCIA""),F482-F482/1.16,0)))"),"")</f>
        <v/>
      </c>
      <c r="H482" s="193" t="str">
        <f t="shared" si="2"/>
        <v/>
      </c>
      <c r="I482" s="194" t="b">
        <v>0</v>
      </c>
    </row>
    <row r="483" ht="22.5" customHeight="1">
      <c r="A483" s="188"/>
      <c r="B483" s="189" t="str">
        <f t="shared" si="1"/>
        <v/>
      </c>
      <c r="C483" s="199"/>
      <c r="D483" s="191"/>
      <c r="E483" s="191"/>
      <c r="F483" s="192"/>
      <c r="G483" s="193" t="str">
        <f>IFERROR(__xludf.DUMMYFUNCTION("IF(F483="""","""",IF(REGEXMATCH(UPPER(TRIM(C483)),""RENDIMIENTO|INVERSI[ÓO]N""),0,IF(OR(UPPER(TRIM(E483))=""TERMINAL"",UPPER(TRIM(E483))=""TRANSFERENCIA""),F483-F483/1.16,0)))"),"")</f>
        <v/>
      </c>
      <c r="H483" s="193" t="str">
        <f t="shared" si="2"/>
        <v/>
      </c>
      <c r="I483" s="194" t="b">
        <v>0</v>
      </c>
    </row>
    <row r="484" ht="22.5" customHeight="1">
      <c r="A484" s="188"/>
      <c r="B484" s="189" t="str">
        <f t="shared" si="1"/>
        <v/>
      </c>
      <c r="C484" s="199"/>
      <c r="D484" s="191"/>
      <c r="E484" s="191"/>
      <c r="F484" s="192"/>
      <c r="G484" s="193" t="str">
        <f>IFERROR(__xludf.DUMMYFUNCTION("IF(F484="""","""",IF(REGEXMATCH(UPPER(TRIM(C484)),""RENDIMIENTO|INVERSI[ÓO]N""),0,IF(OR(UPPER(TRIM(E484))=""TERMINAL"",UPPER(TRIM(E484))=""TRANSFERENCIA""),F484-F484/1.16,0)))"),"")</f>
        <v/>
      </c>
      <c r="H484" s="193" t="str">
        <f t="shared" si="2"/>
        <v/>
      </c>
      <c r="I484" s="194" t="b">
        <v>0</v>
      </c>
    </row>
    <row r="485" ht="22.5" customHeight="1">
      <c r="A485" s="188"/>
      <c r="B485" s="189" t="str">
        <f t="shared" si="1"/>
        <v/>
      </c>
      <c r="C485" s="199"/>
      <c r="D485" s="191"/>
      <c r="E485" s="191"/>
      <c r="F485" s="192"/>
      <c r="G485" s="193" t="str">
        <f>IFERROR(__xludf.DUMMYFUNCTION("IF(F485="""","""",IF(REGEXMATCH(UPPER(TRIM(C485)),""RENDIMIENTO|INVERSI[ÓO]N""),0,IF(OR(UPPER(TRIM(E485))=""TERMINAL"",UPPER(TRIM(E485))=""TRANSFERENCIA""),F485-F485/1.16,0)))"),"")</f>
        <v/>
      </c>
      <c r="H485" s="193" t="str">
        <f t="shared" si="2"/>
        <v/>
      </c>
      <c r="I485" s="194" t="b">
        <v>0</v>
      </c>
    </row>
    <row r="486" ht="22.5" customHeight="1">
      <c r="A486" s="188"/>
      <c r="B486" s="189" t="str">
        <f t="shared" si="1"/>
        <v/>
      </c>
      <c r="C486" s="199"/>
      <c r="D486" s="191"/>
      <c r="E486" s="191"/>
      <c r="F486" s="192"/>
      <c r="G486" s="193" t="str">
        <f>IFERROR(__xludf.DUMMYFUNCTION("IF(F486="""","""",IF(REGEXMATCH(UPPER(TRIM(C486)),""RENDIMIENTO|INVERSI[ÓO]N""),0,IF(OR(UPPER(TRIM(E486))=""TERMINAL"",UPPER(TRIM(E486))=""TRANSFERENCIA""),F486-F486/1.16,0)))"),"")</f>
        <v/>
      </c>
      <c r="H486" s="193" t="str">
        <f t="shared" si="2"/>
        <v/>
      </c>
      <c r="I486" s="194" t="b">
        <v>0</v>
      </c>
    </row>
    <row r="487" ht="22.5" customHeight="1">
      <c r="A487" s="188"/>
      <c r="B487" s="189" t="str">
        <f t="shared" si="1"/>
        <v/>
      </c>
      <c r="C487" s="199"/>
      <c r="D487" s="191"/>
      <c r="E487" s="191"/>
      <c r="F487" s="192"/>
      <c r="G487" s="193" t="str">
        <f>IFERROR(__xludf.DUMMYFUNCTION("IF(F487="""","""",IF(REGEXMATCH(UPPER(TRIM(C487)),""RENDIMIENTO|INVERSI[ÓO]N""),0,IF(OR(UPPER(TRIM(E487))=""TERMINAL"",UPPER(TRIM(E487))=""TRANSFERENCIA""),F487-F487/1.16,0)))"),"")</f>
        <v/>
      </c>
      <c r="H487" s="193" t="str">
        <f t="shared" si="2"/>
        <v/>
      </c>
      <c r="I487" s="194" t="b">
        <v>0</v>
      </c>
    </row>
    <row r="488" ht="22.5" customHeight="1">
      <c r="A488" s="188"/>
      <c r="B488" s="189" t="str">
        <f t="shared" si="1"/>
        <v/>
      </c>
      <c r="C488" s="199"/>
      <c r="D488" s="191"/>
      <c r="E488" s="191"/>
      <c r="F488" s="192"/>
      <c r="G488" s="193" t="str">
        <f>IFERROR(__xludf.DUMMYFUNCTION("IF(F488="""","""",IF(REGEXMATCH(UPPER(TRIM(C488)),""RENDIMIENTO|INVERSI[ÓO]N""),0,IF(OR(UPPER(TRIM(E488))=""TERMINAL"",UPPER(TRIM(E488))=""TRANSFERENCIA""),F488-F488/1.16,0)))"),"")</f>
        <v/>
      </c>
      <c r="H488" s="193" t="str">
        <f t="shared" si="2"/>
        <v/>
      </c>
      <c r="I488" s="194" t="b">
        <v>0</v>
      </c>
    </row>
    <row r="489" ht="22.5" customHeight="1">
      <c r="A489" s="188"/>
      <c r="B489" s="189" t="str">
        <f t="shared" si="1"/>
        <v/>
      </c>
      <c r="C489" s="199"/>
      <c r="D489" s="191"/>
      <c r="E489" s="191"/>
      <c r="F489" s="192"/>
      <c r="G489" s="193" t="str">
        <f>IFERROR(__xludf.DUMMYFUNCTION("IF(F489="""","""",IF(REGEXMATCH(UPPER(TRIM(C489)),""RENDIMIENTO|INVERSI[ÓO]N""),0,IF(OR(UPPER(TRIM(E489))=""TERMINAL"",UPPER(TRIM(E489))=""TRANSFERENCIA""),F489-F489/1.16,0)))"),"")</f>
        <v/>
      </c>
      <c r="H489" s="193" t="str">
        <f t="shared" si="2"/>
        <v/>
      </c>
      <c r="I489" s="194" t="b">
        <v>0</v>
      </c>
    </row>
    <row r="490" ht="22.5" customHeight="1">
      <c r="A490" s="188"/>
      <c r="B490" s="189" t="str">
        <f t="shared" si="1"/>
        <v/>
      </c>
      <c r="C490" s="199"/>
      <c r="D490" s="191"/>
      <c r="E490" s="191"/>
      <c r="F490" s="192"/>
      <c r="G490" s="193" t="str">
        <f>IFERROR(__xludf.DUMMYFUNCTION("IF(F490="""","""",IF(REGEXMATCH(UPPER(TRIM(C490)),""RENDIMIENTO|INVERSI[ÓO]N""),0,IF(OR(UPPER(TRIM(E490))=""TERMINAL"",UPPER(TRIM(E490))=""TRANSFERENCIA""),F490-F490/1.16,0)))"),"")</f>
        <v/>
      </c>
      <c r="H490" s="193" t="str">
        <f t="shared" si="2"/>
        <v/>
      </c>
      <c r="I490" s="194" t="b">
        <v>0</v>
      </c>
    </row>
    <row r="491" ht="22.5" customHeight="1">
      <c r="A491" s="188"/>
      <c r="B491" s="189" t="str">
        <f t="shared" si="1"/>
        <v/>
      </c>
      <c r="C491" s="199"/>
      <c r="D491" s="191"/>
      <c r="E491" s="191"/>
      <c r="F491" s="192"/>
      <c r="G491" s="193" t="str">
        <f>IFERROR(__xludf.DUMMYFUNCTION("IF(F491="""","""",IF(REGEXMATCH(UPPER(TRIM(C491)),""RENDIMIENTO|INVERSI[ÓO]N""),0,IF(OR(UPPER(TRIM(E491))=""TERMINAL"",UPPER(TRIM(E491))=""TRANSFERENCIA""),F491-F491/1.16,0)))"),"")</f>
        <v/>
      </c>
      <c r="H491" s="193" t="str">
        <f t="shared" si="2"/>
        <v/>
      </c>
      <c r="I491" s="194" t="b">
        <v>0</v>
      </c>
    </row>
    <row r="492" ht="22.5" customHeight="1">
      <c r="A492" s="188"/>
      <c r="B492" s="189" t="str">
        <f t="shared" si="1"/>
        <v/>
      </c>
      <c r="C492" s="199"/>
      <c r="D492" s="191"/>
      <c r="E492" s="191"/>
      <c r="F492" s="192"/>
      <c r="G492" s="193" t="str">
        <f>IFERROR(__xludf.DUMMYFUNCTION("IF(F492="""","""",IF(REGEXMATCH(UPPER(TRIM(C492)),""RENDIMIENTO|INVERSI[ÓO]N""),0,IF(OR(UPPER(TRIM(E492))=""TERMINAL"",UPPER(TRIM(E492))=""TRANSFERENCIA""),F492-F492/1.16,0)))"),"")</f>
        <v/>
      </c>
      <c r="H492" s="193" t="str">
        <f t="shared" si="2"/>
        <v/>
      </c>
      <c r="I492" s="194" t="b">
        <v>0</v>
      </c>
    </row>
    <row r="493" ht="22.5" customHeight="1">
      <c r="A493" s="188"/>
      <c r="B493" s="189" t="str">
        <f t="shared" si="1"/>
        <v/>
      </c>
      <c r="C493" s="199"/>
      <c r="D493" s="191"/>
      <c r="E493" s="191"/>
      <c r="F493" s="192"/>
      <c r="G493" s="193" t="str">
        <f>IFERROR(__xludf.DUMMYFUNCTION("IF(F493="""","""",IF(REGEXMATCH(UPPER(TRIM(C493)),""RENDIMIENTO|INVERSI[ÓO]N""),0,IF(OR(UPPER(TRIM(E493))=""TERMINAL"",UPPER(TRIM(E493))=""TRANSFERENCIA""),F493-F493/1.16,0)))"),"")</f>
        <v/>
      </c>
      <c r="H493" s="193" t="str">
        <f t="shared" si="2"/>
        <v/>
      </c>
      <c r="I493" s="194" t="b">
        <v>0</v>
      </c>
    </row>
    <row r="494" ht="22.5" customHeight="1">
      <c r="A494" s="188"/>
      <c r="B494" s="189" t="str">
        <f t="shared" si="1"/>
        <v/>
      </c>
      <c r="C494" s="199"/>
      <c r="D494" s="191"/>
      <c r="E494" s="191"/>
      <c r="F494" s="192"/>
      <c r="G494" s="193" t="str">
        <f>IFERROR(__xludf.DUMMYFUNCTION("IF(F494="""","""",IF(REGEXMATCH(UPPER(TRIM(C494)),""RENDIMIENTO|INVERSI[ÓO]N""),0,IF(OR(UPPER(TRIM(E494))=""TERMINAL"",UPPER(TRIM(E494))=""TRANSFERENCIA""),F494-F494/1.16,0)))"),"")</f>
        <v/>
      </c>
      <c r="H494" s="193" t="str">
        <f t="shared" si="2"/>
        <v/>
      </c>
      <c r="I494" s="194" t="b">
        <v>0</v>
      </c>
    </row>
    <row r="495" ht="22.5" customHeight="1">
      <c r="A495" s="188"/>
      <c r="B495" s="189" t="str">
        <f t="shared" si="1"/>
        <v/>
      </c>
      <c r="C495" s="199"/>
      <c r="D495" s="191"/>
      <c r="E495" s="191"/>
      <c r="F495" s="192"/>
      <c r="G495" s="193" t="str">
        <f>IFERROR(__xludf.DUMMYFUNCTION("IF(F495="""","""",IF(REGEXMATCH(UPPER(TRIM(C495)),""RENDIMIENTO|INVERSI[ÓO]N""),0,IF(OR(UPPER(TRIM(E495))=""TERMINAL"",UPPER(TRIM(E495))=""TRANSFERENCIA""),F495-F495/1.16,0)))"),"")</f>
        <v/>
      </c>
      <c r="H495" s="193" t="str">
        <f t="shared" si="2"/>
        <v/>
      </c>
      <c r="I495" s="194" t="b">
        <v>0</v>
      </c>
    </row>
    <row r="496" ht="22.5" customHeight="1">
      <c r="A496" s="188"/>
      <c r="B496" s="189" t="str">
        <f t="shared" si="1"/>
        <v/>
      </c>
      <c r="C496" s="199"/>
      <c r="D496" s="191"/>
      <c r="E496" s="191"/>
      <c r="F496" s="192"/>
      <c r="G496" s="193" t="str">
        <f>IFERROR(__xludf.DUMMYFUNCTION("IF(F496="""","""",IF(REGEXMATCH(UPPER(TRIM(C496)),""RENDIMIENTO|INVERSI[ÓO]N""),0,IF(OR(UPPER(TRIM(E496))=""TERMINAL"",UPPER(TRIM(E496))=""TRANSFERENCIA""),F496-F496/1.16,0)))"),"")</f>
        <v/>
      </c>
      <c r="H496" s="193" t="str">
        <f t="shared" si="2"/>
        <v/>
      </c>
      <c r="I496" s="194" t="b">
        <v>0</v>
      </c>
    </row>
    <row r="497" ht="22.5" customHeight="1">
      <c r="A497" s="188"/>
      <c r="B497" s="189" t="str">
        <f t="shared" si="1"/>
        <v/>
      </c>
      <c r="C497" s="199"/>
      <c r="D497" s="191"/>
      <c r="E497" s="191"/>
      <c r="F497" s="192"/>
      <c r="G497" s="193" t="str">
        <f>IFERROR(__xludf.DUMMYFUNCTION("IF(F497="""","""",IF(REGEXMATCH(UPPER(TRIM(C497)),""RENDIMIENTO|INVERSI[ÓO]N""),0,IF(OR(UPPER(TRIM(E497))=""TERMINAL"",UPPER(TRIM(E497))=""TRANSFERENCIA""),F497-F497/1.16,0)))"),"")</f>
        <v/>
      </c>
      <c r="H497" s="193" t="str">
        <f t="shared" si="2"/>
        <v/>
      </c>
      <c r="I497" s="194" t="b">
        <v>0</v>
      </c>
    </row>
    <row r="498" ht="22.5" customHeight="1">
      <c r="A498" s="188"/>
      <c r="B498" s="189" t="str">
        <f t="shared" si="1"/>
        <v/>
      </c>
      <c r="C498" s="199"/>
      <c r="D498" s="191"/>
      <c r="E498" s="191"/>
      <c r="F498" s="192"/>
      <c r="G498" s="193" t="str">
        <f>IFERROR(__xludf.DUMMYFUNCTION("IF(F498="""","""",IF(REGEXMATCH(UPPER(TRIM(C498)),""RENDIMIENTO|INVERSI[ÓO]N""),0,IF(OR(UPPER(TRIM(E498))=""TERMINAL"",UPPER(TRIM(E498))=""TRANSFERENCIA""),F498-F498/1.16,0)))"),"")</f>
        <v/>
      </c>
      <c r="H498" s="193" t="str">
        <f t="shared" si="2"/>
        <v/>
      </c>
      <c r="I498" s="194" t="b">
        <v>0</v>
      </c>
    </row>
    <row r="499" ht="22.5" customHeight="1">
      <c r="A499" s="188"/>
      <c r="B499" s="189" t="str">
        <f t="shared" si="1"/>
        <v/>
      </c>
      <c r="C499" s="199"/>
      <c r="D499" s="191"/>
      <c r="E499" s="191"/>
      <c r="F499" s="192"/>
      <c r="G499" s="193" t="str">
        <f>IFERROR(__xludf.DUMMYFUNCTION("IF(F499="""","""",IF(REGEXMATCH(UPPER(TRIM(C499)),""RENDIMIENTO|INVERSI[ÓO]N""),0,IF(OR(UPPER(TRIM(E499))=""TERMINAL"",UPPER(TRIM(E499))=""TRANSFERENCIA""),F499-F499/1.16,0)))"),"")</f>
        <v/>
      </c>
      <c r="H499" s="193" t="str">
        <f t="shared" si="2"/>
        <v/>
      </c>
      <c r="I499" s="194" t="b">
        <v>0</v>
      </c>
    </row>
  </sheetData>
  <mergeCells count="2">
    <mergeCell ref="A1:J1"/>
    <mergeCell ref="A2:J2"/>
  </mergeCells>
  <dataValidations>
    <dataValidation type="list" allowBlank="1" sqref="C5:C499">
      <formula1>"PLAYERAS,AGUAS,INSCRIPCIONES,CLASE SUELTA,BREA,RENDIMIENTOS DE INVERSIÓN,SOBRANTE"</formula1>
    </dataValidation>
    <dataValidation type="list" allowBlank="1" showErrorMessage="1" sqref="E5:E499">
      <formula1>"EFECTIVO,TRANSFERENCIA,TERMINAL"</formula1>
    </dataValidation>
    <dataValidation type="custom" allowBlank="1" showDropDown="1" sqref="A5:A499">
      <formula1>OR(NOT(ISERROR(DATEVALUE(A5))), AND(ISNUMBER(A5), LEFT(CELL("format", A5))="D"))</formula1>
    </dataValidation>
    <dataValidation type="custom" allowBlank="1" showDropDown="1" sqref="F5:H499">
      <formula1>AND(ISNUMBER(F5),(NOT(OR(NOT(ISERROR(DATEVALUE(F5))), AND(ISNUMBER(F5), LEFT(CELL("format", F5))="D")))))</formula1>
    </dataValidation>
  </dataValidations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63F5B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75"/>
  <cols>
    <col customWidth="1" min="1" max="16" width="9.22"/>
  </cols>
  <sheetData>
    <row r="1" ht="28.5" customHeight="1">
      <c r="A1" s="214" t="s">
        <v>470</v>
      </c>
    </row>
    <row r="2" ht="31.5" customHeight="1">
      <c r="A2" s="215" t="s">
        <v>471</v>
      </c>
    </row>
    <row r="3">
      <c r="A3" s="216" t="s">
        <v>472</v>
      </c>
      <c r="B3" s="216" t="s">
        <v>472</v>
      </c>
      <c r="C3" s="216" t="s">
        <v>472</v>
      </c>
      <c r="D3" s="216" t="s">
        <v>472</v>
      </c>
      <c r="E3" s="216" t="s">
        <v>472</v>
      </c>
      <c r="F3" s="216" t="s">
        <v>472</v>
      </c>
      <c r="G3" s="216" t="s">
        <v>472</v>
      </c>
      <c r="H3" s="216" t="s">
        <v>472</v>
      </c>
      <c r="I3" s="216" t="s">
        <v>472</v>
      </c>
      <c r="J3" s="216" t="s">
        <v>472</v>
      </c>
      <c r="K3" s="216" t="s">
        <v>472</v>
      </c>
      <c r="L3" s="216" t="s">
        <v>472</v>
      </c>
      <c r="M3" s="216" t="s">
        <v>472</v>
      </c>
      <c r="N3" s="216" t="s">
        <v>472</v>
      </c>
      <c r="O3" s="216" t="s">
        <v>472</v>
      </c>
      <c r="P3" s="216" t="s">
        <v>472</v>
      </c>
    </row>
    <row r="4" ht="18.0" customHeight="1">
      <c r="A4" s="217" t="s">
        <v>473</v>
      </c>
      <c r="B4" s="218"/>
      <c r="C4" s="218"/>
      <c r="D4" s="218"/>
      <c r="E4" s="219" t="s">
        <v>474</v>
      </c>
      <c r="F4" s="218"/>
      <c r="G4" s="218"/>
      <c r="H4" s="218"/>
      <c r="I4" s="220" t="s">
        <v>475</v>
      </c>
      <c r="J4" s="218"/>
      <c r="K4" s="218"/>
      <c r="L4" s="218"/>
      <c r="M4" s="221" t="s">
        <v>476</v>
      </c>
      <c r="N4" s="218"/>
      <c r="O4" s="218"/>
      <c r="P4" s="218"/>
    </row>
    <row r="5" ht="18.0" customHeight="1">
      <c r="A5" s="222">
        <f>SUM('CONTROL DE CUENTAS'!F6:F8)</f>
        <v>101067.0207</v>
      </c>
      <c r="E5" s="223">
        <f>'CONTROL DE CUENTAS'!F6</f>
        <v>81166.02069</v>
      </c>
      <c r="I5" s="224">
        <f>SUM('CONTROL DE CUENTAS'!F7:F8)</f>
        <v>19901</v>
      </c>
      <c r="M5" s="225">
        <f>COUNTIF('BASE DE DATOSS'!A2:A60,"&lt;&gt;")</f>
        <v>79</v>
      </c>
    </row>
    <row r="6" ht="18.0" customHeight="1"/>
    <row r="7" ht="18.0" customHeight="1"/>
    <row r="8" ht="18.0" customHeight="1"/>
    <row r="9" ht="18.0" customHeight="1">
      <c r="A9" s="226" t="s">
        <v>450</v>
      </c>
      <c r="B9" s="218"/>
      <c r="C9" s="218"/>
      <c r="D9" s="218"/>
      <c r="E9" s="227" t="s">
        <v>222</v>
      </c>
      <c r="F9" s="218"/>
      <c r="G9" s="218"/>
      <c r="H9" s="218"/>
      <c r="I9" s="228" t="s">
        <v>477</v>
      </c>
      <c r="J9" s="218"/>
      <c r="K9" s="218"/>
      <c r="L9" s="218"/>
      <c r="M9" s="229" t="s">
        <v>478</v>
      </c>
      <c r="N9" s="218"/>
      <c r="O9" s="218"/>
      <c r="P9" s="218"/>
    </row>
    <row r="10" ht="18.0" customHeight="1">
      <c r="A10" s="230">
        <f>'CONTROL DE CUENTAS'!F7</f>
        <v>3303</v>
      </c>
      <c r="E10" s="224">
        <f>'CONTROL DE CUENTAS'!F8</f>
        <v>16598</v>
      </c>
      <c r="I10" s="231">
        <f t="array" ref="I10">IFERROR(INDEX('ESTADO CONTABLE'!$B$5:$B$16,MATCH(UPPER(TEXT(TODAY(),"MMMM")),'ESTADO CONTABLE'!$A$5:$A$16,0)),0)</f>
        <v>66356</v>
      </c>
      <c r="M10" s="232">
        <f t="array" ref="M10">IFERROR(INDEX('ESTADO CONTABLE'!$K$5:$K$16,MATCH(UPPER(TEXT(TODAY(),"MMMM")),'ESTADO CONTABLE'!$A$5:$A$16,0)),0)</f>
        <v>35596.97</v>
      </c>
    </row>
    <row r="11" ht="18.0" customHeight="1"/>
    <row r="12" ht="18.0" customHeight="1"/>
    <row r="13" ht="18.0" customHeight="1"/>
    <row r="14" ht="18.0" customHeight="1">
      <c r="A14" s="233" t="s">
        <v>479</v>
      </c>
      <c r="B14" s="218"/>
      <c r="C14" s="218"/>
      <c r="D14" s="218"/>
      <c r="E14" s="234" t="s">
        <v>480</v>
      </c>
      <c r="F14" s="218"/>
      <c r="G14" s="218"/>
      <c r="H14" s="218"/>
      <c r="I14" s="235" t="s">
        <v>481</v>
      </c>
      <c r="J14" s="218"/>
      <c r="K14" s="218"/>
      <c r="L14" s="218"/>
      <c r="M14" s="236" t="s">
        <v>482</v>
      </c>
      <c r="N14" s="218"/>
      <c r="O14" s="218"/>
      <c r="P14" s="218"/>
    </row>
    <row r="15" ht="18.0" customHeight="1">
      <c r="A15" s="237">
        <f t="array" ref="A15">IFERROR(INDEX('ESTADO CONTABLE'!$L$5:$L$16,MATCH(UPPER(TEXT(TODAY(),"MMMM")),'ESTADO CONTABLE'!$A$5:$A$16,0)),0)</f>
        <v>25448.68517</v>
      </c>
      <c r="E15" s="238">
        <f t="array" ref="E15">IFERROR(INDEX('ESTADO CONTABLE'!$M$5:$M$16,MATCH(UPPER(TEXT(TODAY(),"MMMM")),'ESTADO CONTABLE'!$A$5:$A$16,0)),0)</f>
        <v>43926</v>
      </c>
      <c r="I15" s="239">
        <f t="array" ref="I15">IFERROR(INDEX('ESTADO CONTABLE'!$N$5:$N$16,MATCH(UPPER(TEXT(TODAY(),"MMMM")),'ESTADO CONTABLE'!$A$5:$A$16,0)),0)</f>
        <v>17119.65517</v>
      </c>
      <c r="M15" s="240" t="str">
        <f>UPPER(TEXT(TODAY(),"MMMM YYYY"))</f>
        <v>OCTUBRE 2026</v>
      </c>
    </row>
    <row r="16" ht="18.0" customHeight="1"/>
    <row r="17" ht="18.0" customHeight="1"/>
    <row r="18" ht="18.0" customHeight="1"/>
  </sheetData>
  <mergeCells count="26">
    <mergeCell ref="A5:D8"/>
    <mergeCell ref="A9:D9"/>
    <mergeCell ref="A10:D13"/>
    <mergeCell ref="A14:D14"/>
    <mergeCell ref="A15:D18"/>
    <mergeCell ref="A1:P1"/>
    <mergeCell ref="A2:P2"/>
    <mergeCell ref="A4:D4"/>
    <mergeCell ref="E4:H4"/>
    <mergeCell ref="I4:L4"/>
    <mergeCell ref="M4:P4"/>
    <mergeCell ref="M5:P8"/>
    <mergeCell ref="M9:P9"/>
    <mergeCell ref="E14:H14"/>
    <mergeCell ref="I14:L14"/>
    <mergeCell ref="M14:P14"/>
    <mergeCell ref="E15:H18"/>
    <mergeCell ref="I15:L18"/>
    <mergeCell ref="M15:P18"/>
    <mergeCell ref="E5:H8"/>
    <mergeCell ref="I5:L8"/>
    <mergeCell ref="E9:H9"/>
    <mergeCell ref="I9:L9"/>
    <mergeCell ref="E10:H13"/>
    <mergeCell ref="I10:L13"/>
    <mergeCell ref="M10:P13"/>
  </mergeCells>
  <conditionalFormatting sqref="I15:L18">
    <cfRule type="cellIs" dxfId="9" priority="1" stopIfTrue="1" operator="lessThan">
      <formula>0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5.56"/>
    <col customWidth="1" min="2" max="2" width="13.67"/>
  </cols>
  <sheetData>
    <row r="2">
      <c r="A2" s="241" t="s">
        <v>15</v>
      </c>
      <c r="B2" s="241" t="s">
        <v>483</v>
      </c>
    </row>
    <row r="3">
      <c r="A3" s="241" t="s">
        <v>215</v>
      </c>
      <c r="B3" s="242">
        <v>1100.0</v>
      </c>
    </row>
    <row r="4">
      <c r="A4" s="241" t="s">
        <v>186</v>
      </c>
      <c r="B4" s="241">
        <v>950.0</v>
      </c>
    </row>
    <row r="5">
      <c r="A5" s="241" t="s">
        <v>31</v>
      </c>
      <c r="B5" s="241">
        <v>950.0</v>
      </c>
    </row>
    <row r="6">
      <c r="A6" s="241" t="s">
        <v>347</v>
      </c>
      <c r="B6" s="241">
        <v>550.0</v>
      </c>
    </row>
    <row r="7">
      <c r="A7" s="241" t="s">
        <v>123</v>
      </c>
      <c r="B7" s="241">
        <v>1300.0</v>
      </c>
    </row>
    <row r="8">
      <c r="A8" s="241" t="s">
        <v>69</v>
      </c>
      <c r="B8" s="241">
        <v>1100.0</v>
      </c>
    </row>
    <row r="9">
      <c r="A9" s="241" t="s">
        <v>105</v>
      </c>
      <c r="B9" s="241">
        <v>700.0</v>
      </c>
    </row>
    <row r="10">
      <c r="A10" s="241" t="s">
        <v>99</v>
      </c>
      <c r="B10" s="241">
        <v>1100.0</v>
      </c>
    </row>
    <row r="11">
      <c r="A11" s="241" t="s">
        <v>81</v>
      </c>
      <c r="B11" s="241">
        <v>1450.0</v>
      </c>
    </row>
    <row r="12">
      <c r="A12" s="241" t="s">
        <v>206</v>
      </c>
      <c r="B12" s="241">
        <v>1100.0</v>
      </c>
    </row>
    <row r="13">
      <c r="A13" s="241" t="s">
        <v>59</v>
      </c>
      <c r="B13" s="241">
        <v>950.0</v>
      </c>
    </row>
    <row r="34">
      <c r="A34" s="243"/>
    </row>
    <row r="35">
      <c r="A35" s="244"/>
    </row>
    <row r="36">
      <c r="A36" s="243"/>
    </row>
    <row r="37">
      <c r="A37" s="244"/>
    </row>
    <row r="38">
      <c r="A38" s="243"/>
    </row>
    <row r="39">
      <c r="A39" s="244"/>
    </row>
    <row r="40">
      <c r="A40" s="243"/>
    </row>
    <row r="41">
      <c r="A41" s="244"/>
    </row>
    <row r="42">
      <c r="A42" s="243"/>
    </row>
    <row r="43">
      <c r="A43" s="244"/>
    </row>
    <row r="44">
      <c r="A44" s="243"/>
    </row>
    <row r="76">
      <c r="A76" s="243"/>
    </row>
    <row r="77">
      <c r="A77" s="244"/>
    </row>
    <row r="78">
      <c r="A78" s="243"/>
    </row>
    <row r="79">
      <c r="A79" s="244"/>
    </row>
    <row r="80">
      <c r="A80" s="243"/>
    </row>
    <row r="81">
      <c r="A81" s="244"/>
    </row>
    <row r="82">
      <c r="A82" s="243"/>
    </row>
    <row r="83">
      <c r="A83" s="244"/>
    </row>
    <row r="84">
      <c r="A84" s="243"/>
    </row>
    <row r="85">
      <c r="A85" s="244"/>
    </row>
    <row r="86">
      <c r="A86" s="243"/>
    </row>
    <row r="118">
      <c r="A118" s="243"/>
    </row>
    <row r="119">
      <c r="A119" s="244"/>
    </row>
    <row r="120">
      <c r="A120" s="243"/>
    </row>
    <row r="121">
      <c r="A121" s="244"/>
    </row>
    <row r="122">
      <c r="A122" s="243"/>
    </row>
    <row r="123">
      <c r="A123" s="244"/>
    </row>
    <row r="124">
      <c r="A124" s="243"/>
    </row>
    <row r="125">
      <c r="A125" s="244"/>
    </row>
    <row r="126">
      <c r="A126" s="243"/>
    </row>
    <row r="127">
      <c r="A127" s="244"/>
    </row>
    <row r="128">
      <c r="A128" s="243"/>
    </row>
    <row r="160">
      <c r="A160" s="243"/>
    </row>
    <row r="161">
      <c r="A161" s="244"/>
    </row>
    <row r="162">
      <c r="A162" s="243"/>
    </row>
    <row r="163">
      <c r="A163" s="244"/>
    </row>
    <row r="164">
      <c r="A164" s="243"/>
    </row>
    <row r="165">
      <c r="A165" s="244"/>
    </row>
    <row r="166">
      <c r="A166" s="243"/>
    </row>
    <row r="167">
      <c r="A167" s="244"/>
    </row>
    <row r="168">
      <c r="A168" s="243"/>
    </row>
    <row r="169">
      <c r="A169" s="244"/>
    </row>
    <row r="170">
      <c r="A170" s="243"/>
    </row>
    <row r="202">
      <c r="A202" s="243"/>
    </row>
    <row r="203">
      <c r="A203" s="244"/>
    </row>
    <row r="204">
      <c r="A204" s="243"/>
    </row>
    <row r="205">
      <c r="A205" s="244"/>
    </row>
    <row r="206">
      <c r="A206" s="243"/>
    </row>
    <row r="207">
      <c r="A207" s="244"/>
    </row>
    <row r="208">
      <c r="A208" s="243"/>
    </row>
    <row r="209">
      <c r="A209" s="244"/>
    </row>
    <row r="210">
      <c r="A210" s="243"/>
    </row>
    <row r="211">
      <c r="A211" s="244"/>
    </row>
    <row r="212">
      <c r="A212" s="243"/>
    </row>
    <row r="244">
      <c r="A244" s="243"/>
    </row>
    <row r="245">
      <c r="A245" s="244"/>
    </row>
    <row r="246">
      <c r="A246" s="243"/>
    </row>
    <row r="247">
      <c r="A247" s="244"/>
    </row>
    <row r="248">
      <c r="A248" s="243"/>
    </row>
    <row r="249">
      <c r="A249" s="244"/>
    </row>
    <row r="250">
      <c r="A250" s="243"/>
    </row>
    <row r="251">
      <c r="A251" s="244"/>
    </row>
    <row r="252">
      <c r="A252" s="243"/>
    </row>
    <row r="253">
      <c r="A253" s="244"/>
    </row>
    <row r="254">
      <c r="A254" s="243"/>
    </row>
    <row r="286">
      <c r="A286" s="243"/>
    </row>
    <row r="287">
      <c r="A287" s="244"/>
    </row>
    <row r="288">
      <c r="A288" s="243"/>
    </row>
    <row r="289">
      <c r="A289" s="244"/>
    </row>
    <row r="290">
      <c r="A290" s="243"/>
    </row>
    <row r="291">
      <c r="A291" s="244"/>
    </row>
    <row r="292">
      <c r="A292" s="243"/>
    </row>
    <row r="293">
      <c r="A293" s="244"/>
    </row>
    <row r="294">
      <c r="A294" s="243"/>
    </row>
    <row r="295">
      <c r="A295" s="244"/>
    </row>
    <row r="296">
      <c r="A296" s="243"/>
    </row>
    <row r="328">
      <c r="A328" s="243"/>
    </row>
    <row r="329">
      <c r="A329" s="244"/>
    </row>
    <row r="330">
      <c r="A330" s="243"/>
    </row>
    <row r="331">
      <c r="A331" s="244"/>
    </row>
    <row r="332">
      <c r="A332" s="243"/>
    </row>
    <row r="333">
      <c r="A333" s="244"/>
    </row>
    <row r="334">
      <c r="A334" s="243"/>
    </row>
    <row r="335">
      <c r="A335" s="244"/>
    </row>
    <row r="336">
      <c r="A336" s="243"/>
    </row>
    <row r="337">
      <c r="A337" s="244"/>
    </row>
    <row r="338">
      <c r="A338" s="243"/>
    </row>
    <row r="370">
      <c r="A370" s="243"/>
    </row>
    <row r="371">
      <c r="A371" s="244"/>
    </row>
    <row r="372">
      <c r="A372" s="243"/>
    </row>
    <row r="373">
      <c r="A373" s="244"/>
    </row>
    <row r="374">
      <c r="A374" s="243"/>
    </row>
    <row r="375">
      <c r="A375" s="244"/>
    </row>
    <row r="376">
      <c r="A376" s="243"/>
    </row>
    <row r="377">
      <c r="A377" s="244"/>
    </row>
    <row r="378">
      <c r="A378" s="243"/>
    </row>
    <row r="379">
      <c r="A379" s="244"/>
    </row>
    <row r="380">
      <c r="A380" s="243"/>
    </row>
    <row r="412">
      <c r="A412" s="243"/>
    </row>
    <row r="413">
      <c r="A413" s="244"/>
    </row>
    <row r="414">
      <c r="A414" s="243"/>
    </row>
    <row r="415">
      <c r="A415" s="244"/>
    </row>
    <row r="416">
      <c r="A416" s="243"/>
    </row>
    <row r="417">
      <c r="A417" s="244"/>
    </row>
    <row r="418">
      <c r="A418" s="243"/>
    </row>
    <row r="419">
      <c r="A419" s="244"/>
    </row>
    <row r="420">
      <c r="A420" s="243"/>
    </row>
    <row r="421">
      <c r="A421" s="244"/>
    </row>
    <row r="422">
      <c r="A422" s="243"/>
    </row>
    <row r="454">
      <c r="A454" s="243"/>
    </row>
    <row r="455">
      <c r="A455" s="244"/>
    </row>
    <row r="456">
      <c r="A456" s="243"/>
    </row>
    <row r="457">
      <c r="A457" s="244"/>
    </row>
    <row r="458">
      <c r="A458" s="243"/>
    </row>
    <row r="459">
      <c r="A459" s="244"/>
    </row>
    <row r="460">
      <c r="A460" s="243"/>
    </row>
    <row r="461">
      <c r="A461" s="244"/>
    </row>
    <row r="462">
      <c r="A462" s="243"/>
    </row>
    <row r="463">
      <c r="A463" s="244"/>
    </row>
    <row r="464">
      <c r="A464" s="243"/>
    </row>
    <row r="496">
      <c r="A496" s="243"/>
    </row>
    <row r="497">
      <c r="A497" s="244"/>
    </row>
    <row r="498">
      <c r="A498" s="243"/>
    </row>
    <row r="499">
      <c r="A499" s="244"/>
    </row>
    <row r="500">
      <c r="A500" s="243"/>
    </row>
    <row r="501">
      <c r="A501" s="244"/>
    </row>
    <row r="502">
      <c r="A502" s="243"/>
    </row>
    <row r="503">
      <c r="A503" s="244"/>
    </row>
    <row r="504">
      <c r="A504" s="243"/>
    </row>
    <row r="505">
      <c r="A505" s="244"/>
    </row>
    <row r="506">
      <c r="A506" s="243"/>
    </row>
    <row r="538">
      <c r="A538" s="243"/>
    </row>
    <row r="539">
      <c r="A539" s="244"/>
    </row>
    <row r="540">
      <c r="A540" s="243"/>
    </row>
    <row r="541">
      <c r="A541" s="244"/>
    </row>
    <row r="542">
      <c r="A542" s="243"/>
    </row>
    <row r="543">
      <c r="A543" s="244"/>
    </row>
    <row r="544">
      <c r="A544" s="243"/>
    </row>
    <row r="545">
      <c r="A545" s="244"/>
    </row>
    <row r="546">
      <c r="A546" s="243"/>
    </row>
    <row r="547">
      <c r="A547" s="244"/>
    </row>
    <row r="548">
      <c r="A548" s="243"/>
    </row>
    <row r="580">
      <c r="A580" s="243"/>
    </row>
    <row r="581">
      <c r="A581" s="244"/>
    </row>
    <row r="582">
      <c r="A582" s="243"/>
    </row>
    <row r="583">
      <c r="A583" s="244"/>
    </row>
    <row r="584">
      <c r="A584" s="243"/>
    </row>
    <row r="585">
      <c r="A585" s="244"/>
    </row>
    <row r="586">
      <c r="A586" s="243"/>
    </row>
    <row r="587">
      <c r="A587" s="244"/>
    </row>
    <row r="588">
      <c r="A588" s="243"/>
    </row>
    <row r="589">
      <c r="A589" s="244"/>
    </row>
    <row r="590">
      <c r="A590" s="243"/>
    </row>
    <row r="622">
      <c r="A622" s="243"/>
    </row>
    <row r="623">
      <c r="A623" s="244"/>
    </row>
    <row r="624">
      <c r="A624" s="243"/>
    </row>
    <row r="625">
      <c r="A625" s="244"/>
    </row>
    <row r="626">
      <c r="A626" s="243"/>
    </row>
    <row r="627">
      <c r="A627" s="244"/>
    </row>
    <row r="628">
      <c r="A628" s="243"/>
    </row>
    <row r="629">
      <c r="A629" s="244"/>
    </row>
    <row r="630">
      <c r="A630" s="243"/>
    </row>
    <row r="631">
      <c r="A631" s="244"/>
    </row>
    <row r="632">
      <c r="A632" s="243"/>
    </row>
    <row r="664">
      <c r="A664" s="243"/>
    </row>
    <row r="665">
      <c r="A665" s="244"/>
    </row>
    <row r="666">
      <c r="A666" s="243"/>
    </row>
    <row r="667">
      <c r="A667" s="244"/>
    </row>
    <row r="668">
      <c r="A668" s="243"/>
    </row>
    <row r="669">
      <c r="A669" s="244"/>
    </row>
    <row r="670">
      <c r="A670" s="243"/>
    </row>
    <row r="671">
      <c r="A671" s="244"/>
    </row>
    <row r="672">
      <c r="A672" s="243"/>
    </row>
    <row r="673">
      <c r="A673" s="244"/>
    </row>
    <row r="674">
      <c r="A674" s="243"/>
    </row>
    <row r="706">
      <c r="A706" s="243"/>
    </row>
    <row r="707">
      <c r="A707" s="244"/>
    </row>
    <row r="708">
      <c r="A708" s="243"/>
    </row>
    <row r="709">
      <c r="A709" s="244"/>
    </row>
    <row r="710">
      <c r="A710" s="243"/>
    </row>
    <row r="711">
      <c r="A711" s="244"/>
    </row>
    <row r="712">
      <c r="A712" s="243"/>
    </row>
    <row r="713">
      <c r="A713" s="244"/>
    </row>
    <row r="714">
      <c r="A714" s="243"/>
    </row>
    <row r="715">
      <c r="A715" s="244"/>
    </row>
    <row r="716">
      <c r="A716" s="243"/>
    </row>
    <row r="748">
      <c r="A748" s="243"/>
    </row>
    <row r="749">
      <c r="A749" s="244"/>
    </row>
    <row r="750">
      <c r="A750" s="243"/>
    </row>
    <row r="751">
      <c r="A751" s="244"/>
    </row>
    <row r="752">
      <c r="A752" s="243"/>
    </row>
    <row r="753">
      <c r="A753" s="244"/>
    </row>
    <row r="754">
      <c r="A754" s="243"/>
    </row>
    <row r="755">
      <c r="A755" s="244"/>
    </row>
    <row r="756">
      <c r="A756" s="243"/>
    </row>
    <row r="757">
      <c r="A757" s="244"/>
    </row>
    <row r="758">
      <c r="A758" s="243"/>
    </row>
    <row r="790">
      <c r="A790" s="243"/>
    </row>
    <row r="791">
      <c r="A791" s="244"/>
    </row>
    <row r="792">
      <c r="A792" s="243"/>
    </row>
    <row r="793">
      <c r="A793" s="244"/>
    </row>
    <row r="794">
      <c r="A794" s="243"/>
    </row>
    <row r="795">
      <c r="A795" s="244"/>
    </row>
    <row r="796">
      <c r="A796" s="243"/>
    </row>
    <row r="797">
      <c r="A797" s="244"/>
    </row>
    <row r="798">
      <c r="A798" s="243"/>
    </row>
    <row r="799">
      <c r="A799" s="244"/>
    </row>
    <row r="800">
      <c r="A800" s="243"/>
    </row>
    <row r="832">
      <c r="A832" s="243"/>
    </row>
    <row r="833">
      <c r="A833" s="244"/>
    </row>
    <row r="834">
      <c r="A834" s="243"/>
    </row>
    <row r="835">
      <c r="A835" s="244"/>
    </row>
    <row r="836">
      <c r="A836" s="243"/>
    </row>
    <row r="837">
      <c r="A837" s="244"/>
    </row>
    <row r="838">
      <c r="A838" s="243"/>
    </row>
    <row r="839">
      <c r="A839" s="244"/>
    </row>
    <row r="840">
      <c r="A840" s="243"/>
    </row>
    <row r="841">
      <c r="A841" s="244"/>
    </row>
    <row r="842">
      <c r="A842" s="243"/>
    </row>
    <row r="874">
      <c r="A874" s="243"/>
    </row>
    <row r="875">
      <c r="A875" s="244"/>
    </row>
    <row r="876">
      <c r="A876" s="243"/>
    </row>
    <row r="877">
      <c r="A877" s="244"/>
    </row>
    <row r="878">
      <c r="A878" s="243"/>
    </row>
    <row r="879">
      <c r="A879" s="244"/>
    </row>
    <row r="880">
      <c r="A880" s="243"/>
    </row>
    <row r="881">
      <c r="A881" s="244"/>
    </row>
    <row r="882">
      <c r="A882" s="243"/>
    </row>
    <row r="883">
      <c r="A883" s="244"/>
    </row>
    <row r="884">
      <c r="A884" s="243"/>
    </row>
    <row r="916">
      <c r="A916" s="243"/>
    </row>
    <row r="917">
      <c r="A917" s="244"/>
    </row>
    <row r="918">
      <c r="A918" s="243"/>
    </row>
    <row r="919">
      <c r="A919" s="244"/>
    </row>
    <row r="920">
      <c r="A920" s="243"/>
    </row>
    <row r="921">
      <c r="A921" s="244"/>
    </row>
    <row r="922">
      <c r="A922" s="243"/>
    </row>
    <row r="923">
      <c r="A923" s="244"/>
    </row>
    <row r="924">
      <c r="A924" s="243"/>
    </row>
    <row r="925">
      <c r="A925" s="244"/>
    </row>
    <row r="926">
      <c r="A926" s="243"/>
    </row>
    <row r="958">
      <c r="A958" s="243"/>
    </row>
    <row r="959">
      <c r="A959" s="244"/>
    </row>
    <row r="960">
      <c r="A960" s="243"/>
    </row>
    <row r="961">
      <c r="A961" s="244"/>
    </row>
    <row r="962">
      <c r="A962" s="243"/>
    </row>
    <row r="963">
      <c r="A963" s="244"/>
    </row>
    <row r="964">
      <c r="A964" s="243"/>
    </row>
    <row r="965">
      <c r="A965" s="244"/>
    </row>
    <row r="966">
      <c r="A966" s="243"/>
    </row>
    <row r="967">
      <c r="A967" s="244"/>
    </row>
    <row r="968">
      <c r="A968" s="24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12.89"/>
    <col customWidth="1" min="2" max="2" width="15.11"/>
    <col customWidth="1" min="3" max="3" width="12.89"/>
    <col customWidth="1" min="4" max="10" width="15.11"/>
    <col customWidth="1" min="11" max="12" width="15.67"/>
    <col customWidth="1" min="13" max="13" width="23.67"/>
    <col customWidth="1" min="14" max="14" width="15.67"/>
    <col customWidth="1" min="15" max="15" width="16.78"/>
    <col customWidth="1" min="16" max="16" width="21.78"/>
  </cols>
  <sheetData>
    <row r="1">
      <c r="A1" s="245" t="s">
        <v>484</v>
      </c>
      <c r="O1" s="245"/>
      <c r="P1" s="245"/>
    </row>
    <row r="2" ht="25.5" customHeight="1">
      <c r="A2" s="246" t="s">
        <v>4</v>
      </c>
      <c r="B2" s="246">
        <v>2026.0</v>
      </c>
      <c r="C2" s="89" t="s">
        <v>485</v>
      </c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</row>
    <row r="4" ht="22.5" customHeight="1">
      <c r="A4" s="187" t="s">
        <v>113</v>
      </c>
      <c r="B4" s="187" t="s">
        <v>486</v>
      </c>
      <c r="C4" s="187" t="s">
        <v>137</v>
      </c>
      <c r="D4" s="187" t="s">
        <v>487</v>
      </c>
      <c r="E4" s="187" t="s">
        <v>488</v>
      </c>
      <c r="F4" s="187" t="s">
        <v>489</v>
      </c>
      <c r="G4" s="187" t="s">
        <v>490</v>
      </c>
      <c r="H4" s="187" t="s">
        <v>491</v>
      </c>
      <c r="I4" s="187" t="s">
        <v>380</v>
      </c>
      <c r="J4" s="187" t="s">
        <v>492</v>
      </c>
      <c r="K4" s="187" t="s">
        <v>493</v>
      </c>
      <c r="L4" s="187" t="s">
        <v>24</v>
      </c>
      <c r="M4" s="187" t="s">
        <v>26</v>
      </c>
      <c r="N4" s="187" t="s">
        <v>494</v>
      </c>
      <c r="O4" s="187" t="s">
        <v>495</v>
      </c>
      <c r="P4" s="187" t="s">
        <v>496</v>
      </c>
    </row>
    <row r="5" ht="22.5" customHeight="1">
      <c r="A5" s="194" t="s">
        <v>161</v>
      </c>
      <c r="B5" s="247">
        <f>SUMIFS(PAGOS!$E$2:$E$996,PAGOS!$D$2:$D$996,"&gt;="&amp;DATE($B$2,1,1),PAGOS!$D$2:$D$996,"&lt;"&amp;EDATE(DATE($B$2,1,1),1))+SUMIFS(PAGOS!$G$2:$G$996,PAGOS!$F$2:$F$996,"&gt;="&amp;DATE($B$2,1,1),PAGOS!$F$2:$F$996,"&lt;"&amp;EDATE(DATE($B$2,1,1),1),PAGOS!$H$2:$H$996,"&lt;&gt;MIXTO (ABONOS)")+SUMIFS(PAGOS!$J$2:$J$996,PAGOS!$I$2:$I$996,"&gt;="&amp;DATE($B$2,1,1),PAGOS!$I$2:$I$996,"&lt;"&amp;EDATE(DATE($B$2,1,1),1),PAGOS!$K$2:$K$996,"&lt;&gt;MIXTO (ABONOS)")+SUMIFS(PAGOS!$M$2:$M$996,PAGOS!$L$2:$L$996,"&gt;="&amp;DATE($B$2,1,1),PAGOS!$L$2:$L$996,"&lt;"&amp;EDATE(DATE($B$2,1,1),1),PAGOS!$N$2:$N$996,"&lt;&gt;MIXTO (ABONOS)")+SUMIFS(PAGOS!$P$2:$P$996,PAGOS!$O$2:$O$996,"&gt;="&amp;DATE($B$2,1,1),PAGOS!$O$2:$O$996,"&lt;"&amp;EDATE(DATE($B$2,1,1),1),PAGOS!$Q$2:$Q$996,"&lt;&gt;MIXTO (ABONOS)")+SUMIFS(PAGOS!$S$2:$S$996,PAGOS!$R$2:$R$996,"&gt;="&amp;DATE($B$2,1,1),PAGOS!$R$2:$R$996,"&lt;"&amp;EDATE(DATE($B$2,1,1),1),PAGOS!$T$2:$T$996,"&lt;&gt;MIXTO (ABONOS)")+SUMIFS(PAGOS!$V$2:$V$996,PAGOS!$U$2:$U$996,"&gt;="&amp;DATE($B$2,1,1),PAGOS!$U$2:$U$996,"&lt;"&amp;EDATE(DATE($B$2,1,1),1),PAGOS!$W$2:$W$996,"&lt;&gt;MIXTO (ABONOS)")+SUMIFS(PAGOS!$Y$2:$Y$996,PAGOS!$X$2:$X$996,"&gt;="&amp;DATE($B$2,1,1),PAGOS!$X$2:$X$996,"&lt;"&amp;EDATE(DATE($B$2,1,1),1),PAGOS!$Z$2:$Z$996,"&lt;&gt;MIXTO (ABONOS)")+SUMIFS(PAGOS!$AB$2:$AB$996,PAGOS!$AA$2:$AA$996,"&gt;="&amp;DATE($B$2,1,1),PAGOS!$AA$2:$AA$996,"&lt;"&amp;EDATE(DATE($B$2,1,1),1),PAGOS!$AC$2:$AC$996,"&lt;&gt;MIXTO (ABONOS)")+SUMIFS(PAGOS!$AE$2:$AE$996,PAGOS!$AD$2:$AD$996,"&gt;="&amp;DATE($B$2,1,1),PAGOS!$AD$2:$AD$996,"&lt;"&amp;EDATE(DATE($B$2,1,1),1),PAGOS!$AF$2:$AF$996,"&lt;&gt;MIXTO (ABONOS)")+SUMIFS(PAGOS!$AH$2:$AH$996,PAGOS!$AG$2:$AG$996,"&gt;="&amp;DATE($B$2,1,1),PAGOS!$AG$2:$AG$996,"&lt;"&amp;EDATE(DATE($B$2,1,1),1),PAGOS!$AI$2:$AI$996,"&lt;&gt;MIXTO (ABONOS)")+SUMIFS(PAGOS!$AK$2:$AK$996,PAGOS!$AJ$2:$AJ$996,"&gt;="&amp;DATE($B$2,1,1),PAGOS!$AJ$2:$AJ$996,"&lt;"&amp;EDATE(DATE($B$2,1,1),1),PAGOS!$AL$2:$AL$996,"&lt;&gt;MIXTO (ABONOS)")+SUMIFS('OTROS INGRESOS'!$F$5:$F30,'OTROS INGRESOS'!$A$5:$A30,"&gt;="&amp;DATE($B$2,1,1),'OTROS INGRESOS'!$A$5:$A30,"&lt;"&amp;EDATE(DATE($B$2,1,1),1))+SUMIFS('ABONOS MENSUALIDADES'!$F$5:$F$500,'ABONOS MENSUALIDADES'!$A$5:$A$500,"&gt;="&amp;DATE($B$2,1,1),'ABONOS MENSUALIDADES'!$A$5:$A$500,"&lt;"&amp;EDATE(DATE($B$2,1,1),1),'ABONOS MENSUALIDADES'!$G$5:$G$500,"&lt;&gt;*CONSOLIDADO EN PAGOS*")</f>
        <v>21250</v>
      </c>
      <c r="C5" s="247">
        <f>SUMIFS(PAGOS!$G$2:$G$996,PAGOS!$F$2:$F$996,"&gt;="&amp;DATE($B$2,1,1),PAGOS!$F$2:$F$996,"&lt;"&amp;EDATE(DATE($B$2,1,1),1),PAGOS!$H$2:$H$996,"*EFECTIVO*")+SUMIFS(PAGOS!$J$2:$J$996,PAGOS!$I$2:$I$996,"&gt;="&amp;DATE($B$2,1,1),PAGOS!$I$2:$I$996,"&lt;"&amp;EDATE(DATE($B$2,1,1),1),PAGOS!$K$2:$K$996,"*EFECTIVO*")+SUMIFS(PAGOS!$M$2:$M$996,PAGOS!$L$2:$L$996,"&gt;="&amp;DATE($B$2,1,1),PAGOS!$L$2:$L$996,"&lt;"&amp;EDATE(DATE($B$2,1,1),1),PAGOS!$N$2:$N$996,"*EFECTIVO*")+SUMIFS(PAGOS!$P$2:$P$996,PAGOS!$O$2:$O$996,"&gt;="&amp;DATE($B$2,1,1),PAGOS!$O$2:$O$996,"&lt;"&amp;EDATE(DATE($B$2,1,1),1),PAGOS!$Q$2:$Q$996,"*EFECTIVO*")+SUMIFS(PAGOS!$S$2:$S$996,PAGOS!$R$2:$R$996,"&gt;="&amp;DATE($B$2,1,1),PAGOS!$R$2:$R$996,"&lt;"&amp;EDATE(DATE($B$2,1,1),1),PAGOS!$T$2:$T$996,"*EFECTIVO*")+SUMIFS(PAGOS!$V$2:$V$996,PAGOS!$U$2:$U$996,"&gt;="&amp;DATE($B$2,1,1),PAGOS!$U$2:$U$996,"&lt;"&amp;EDATE(DATE($B$2,1,1),1),PAGOS!$W$2:$W$996,"*EFECTIVO*")+SUMIFS(PAGOS!$Y$2:$Y$996,PAGOS!$X$2:$X$996,"&gt;="&amp;DATE($B$2,1,1),PAGOS!$X$2:$X$996,"&lt;"&amp;EDATE(DATE($B$2,1,1),1),PAGOS!$Z$2:$Z$996,"*EFECTIVO*")+SUMIFS(PAGOS!$AB$2:$AB$996,PAGOS!$AA$2:$AA$996,"&gt;="&amp;DATE($B$2,1,1),PAGOS!$AA$2:$AA$996,"&lt;"&amp;EDATE(DATE($B$2,1,1),1),PAGOS!$AC$2:$AC$996,"*EFECTIVO*")+SUMIFS(PAGOS!$AE$2:$AE$996,PAGOS!$AD$2:$AD$996,"&gt;="&amp;DATE($B$2,1,1),PAGOS!$AD$2:$AD$996,"&lt;"&amp;EDATE(DATE($B$2,1,1),1),PAGOS!$AF$2:$AF$996,"*EFECTIVO*")+SUMIFS(PAGOS!$AH$2:$AH$996,PAGOS!$AG$2:$AG$996,"&gt;="&amp;DATE($B$2,1,1),PAGOS!$AG$2:$AG$996,"&lt;"&amp;EDATE(DATE($B$2,1,1),1),PAGOS!$AI$2:$AI$996,"*EFECTIVO*")+SUMIFS(PAGOS!$AK$2:$AK$996,PAGOS!$AJ$2:$AJ$996,"&gt;="&amp;DATE($B$2,1,1),PAGOS!$AJ$2:$AJ$996,"&lt;"&amp;EDATE(DATE($B$2,1,1),1),PAGOS!$AL$2:$AL$996,"*EFECTIVO*")+SUMIFS('OTROS INGRESOS'!$F$5:$F30,'OTROS INGRESOS'!$A$5:$A30,"&gt;="&amp;DATE($B$2,1,1),'OTROS INGRESOS'!$A$5:$A30,"&lt;"&amp;EDATE(DATE($B$2,1,1),1),'OTROS INGRESOS'!$E$5:$E30,"*EFECTIVO*")+SUMIFS('ABONOS MENSUALIDADES'!$F$5:$F$500,'ABONOS MENSUALIDADES'!$A$5:$A$500,"&gt;="&amp;DATE($B$2,1,1),'ABONOS MENSUALIDADES'!$A$5:$A$500,"&lt;"&amp;EDATE(DATE($B$2,1,1),1),'ABONOS MENSUALIDADES'!$E$5:$E$500,"*EFECTIVO*",'ABONOS MENSUALIDADES'!$G$5:$G$500,"&lt;&gt;*CONSOLIDADO EN PAGOS*")</f>
        <v>0</v>
      </c>
      <c r="D5" s="247">
        <f>SUMIFS(PAGOS!$G$2:$G$996,PAGOS!$F$2:$F$996,"&gt;="&amp;DATE($B$2,1,1),PAGOS!$F$2:$F$996,"&lt;"&amp;EDATE(DATE($B$2,1,1),1),PAGOS!$H$2:$H$996,"*TERMINAL*")+SUMIFS(PAGOS!$J$2:$J$996,PAGOS!$I$2:$I$996,"&gt;="&amp;DATE($B$2,1,1),PAGOS!$I$2:$I$996,"&lt;"&amp;EDATE(DATE($B$2,1,1),1),PAGOS!$K$2:$K$996,"*TERMINAL*")+SUMIFS(PAGOS!$M$2:$M$996,PAGOS!$L$2:$L$996,"&gt;="&amp;DATE($B$2,1,1),PAGOS!$L$2:$L$996,"&lt;"&amp;EDATE(DATE($B$2,1,1),1),PAGOS!$N$2:$N$996,"*TERMINAL*")+SUMIFS(PAGOS!$P$2:$P$996,PAGOS!$O$2:$O$996,"&gt;="&amp;DATE($B$2,1,1),PAGOS!$O$2:$O$996,"&lt;"&amp;EDATE(DATE($B$2,1,1),1),PAGOS!$Q$2:$Q$996,"*TERMINAL*")+SUMIFS(PAGOS!$S$2:$S$996,PAGOS!$R$2:$R$996,"&gt;="&amp;DATE($B$2,1,1),PAGOS!$R$2:$R$996,"&lt;"&amp;EDATE(DATE($B$2,1,1),1),PAGOS!$T$2:$T$996,"*TERMINAL*")+SUMIFS(PAGOS!$V$2:$V$996,PAGOS!$U$2:$U$996,"&gt;="&amp;DATE($B$2,1,1),PAGOS!$U$2:$U$996,"&lt;"&amp;EDATE(DATE($B$2,1,1),1),PAGOS!$W$2:$W$996,"*TERMINAL*")+SUMIFS(PAGOS!$Y$2:$Y$996,PAGOS!$X$2:$X$996,"&gt;="&amp;DATE($B$2,1,1),PAGOS!$X$2:$X$996,"&lt;"&amp;EDATE(DATE($B$2,1,1),1),PAGOS!$Z$2:$Z$996,"*TERMINAL*")+SUMIFS(PAGOS!$AB$2:$AB$996,PAGOS!$AA$2:$AA$996,"&gt;="&amp;DATE($B$2,1,1),PAGOS!$AA$2:$AA$996,"&lt;"&amp;EDATE(DATE($B$2,1,1),1),PAGOS!$AC$2:$AC$996,"*TERMINAL*")+SUMIFS(PAGOS!$AE$2:$AE$996,PAGOS!$AD$2:$AD$996,"&gt;="&amp;DATE($B$2,1,1),PAGOS!$AD$2:$AD$996,"&lt;"&amp;EDATE(DATE($B$2,1,1),1),PAGOS!$AF$2:$AF$996,"*TERMINAL*")+SUMIFS(PAGOS!$AH$2:$AH$996,PAGOS!$AG$2:$AG$996,"&gt;="&amp;DATE($B$2,1,1),PAGOS!$AG$2:$AG$996,"&lt;"&amp;EDATE(DATE($B$2,1,1),1),PAGOS!$AI$2:$AI$996,"*TERMINAL*")+SUMIFS(PAGOS!$AK$2:$AK$996,PAGOS!$AJ$2:$AJ$996,"&gt;="&amp;DATE($B$2,1,1),PAGOS!$AJ$2:$AJ$996,"&lt;"&amp;EDATE(DATE($B$2,1,1),1),PAGOS!$AL$2:$AL$996,"*TERMINAL*")+SUMIFS('OTROS INGRESOS'!$F$5:$F30,'OTROS INGRESOS'!$A$5:$A30,"&gt;="&amp;DATE($B$2,1,1),'OTROS INGRESOS'!$A$5:$A30,"&lt;"&amp;EDATE(DATE($B$2,1,1),1),'OTROS INGRESOS'!$E$5:$E30,"*TERMINAL*")+SUMIFS('ABONOS MENSUALIDADES'!$F$5:$F$500,'ABONOS MENSUALIDADES'!$A$5:$A$500,"&gt;="&amp;DATE($B$2,1,1),'ABONOS MENSUALIDADES'!$A$5:$A$500,"&lt;"&amp;EDATE(DATE($B$2,1,1),1),'ABONOS MENSUALIDADES'!$E$5:$E$500,"*TERMINAL*",'ABONOS MENSUALIDADES'!$G$5:$G$500,"&lt;&gt;*CONSOLIDADO EN PAGOS*")</f>
        <v>0</v>
      </c>
      <c r="E5" s="247">
        <f t="shared" ref="E5:E12" si="1">D5</f>
        <v>0</v>
      </c>
      <c r="F5" s="247">
        <f>SUMIFS(PAGOS!$G$2:$G$996,PAGOS!$F$2:$F$996,"&gt;="&amp;DATE($B$2,1,1),PAGOS!$F$2:$F$996,"&lt;"&amp;EDATE(DATE($B$2,1,1),1),PAGOS!$H$2:$H$996,"*TRANSFERENCIA*")+SUMIFS(PAGOS!$J$2:$J$996,PAGOS!$I$2:$I$996,"&gt;="&amp;DATE($B$2,1,1),PAGOS!$I$2:$I$996,"&lt;"&amp;EDATE(DATE($B$2,1,1),1),PAGOS!$K$2:$K$996,"*TRANSFERENCIA*")+SUMIFS(PAGOS!$M$2:$M$996,PAGOS!$L$2:$L$996,"&gt;="&amp;DATE($B$2,1,1),PAGOS!$L$2:$L$996,"&lt;"&amp;EDATE(DATE($B$2,1,1),1),PAGOS!$N$2:$N$996,"*TRANSFERENCIA*")+SUMIFS(PAGOS!$P$2:$P$996,PAGOS!$O$2:$O$996,"&gt;="&amp;DATE($B$2,1,1),PAGOS!$O$2:$O$996,"&lt;"&amp;EDATE(DATE($B$2,1,1),1),PAGOS!$Q$2:$Q$996,"*TRANSFERENCIA*")+SUMIFS(PAGOS!$S$2:$S$996,PAGOS!$R$2:$R$996,"&gt;="&amp;DATE($B$2,1,1),PAGOS!$R$2:$R$996,"&lt;"&amp;EDATE(DATE($B$2,1,1),1),PAGOS!$T$2:$T$996,"*TRANSFERENCIA*")+SUMIFS(PAGOS!$V$2:$V$996,PAGOS!$U$2:$U$996,"&gt;="&amp;DATE($B$2,1,1),PAGOS!$U$2:$U$996,"&lt;"&amp;EDATE(DATE($B$2,1,1),1),PAGOS!$W$2:$W$996,"*TRANSFERENCIA*")+SUMIFS(PAGOS!$Y$2:$Y$996,PAGOS!$X$2:$X$996,"&gt;="&amp;DATE($B$2,1,1),PAGOS!$X$2:$X$996,"&lt;"&amp;EDATE(DATE($B$2,1,1),1),PAGOS!$Z$2:$Z$996,"*TRANSFERENCIA*")+SUMIFS(PAGOS!$AB$2:$AB$996,PAGOS!$AA$2:$AA$996,"&gt;="&amp;DATE($B$2,1,1),PAGOS!$AA$2:$AA$996,"&lt;"&amp;EDATE(DATE($B$2,1,1),1),PAGOS!$AC$2:$AC$996,"*TRANSFERENCIA*")+SUMIFS(PAGOS!$AE$2:$AE$996,PAGOS!$AD$2:$AD$996,"&gt;="&amp;DATE($B$2,1,1),PAGOS!$AD$2:$AD$996,"&lt;"&amp;EDATE(DATE($B$2,1,1),1),PAGOS!$AF$2:$AF$996,"*TRANSFERENCIA*")+SUMIFS(PAGOS!$AH$2:$AH$996,PAGOS!$AG$2:$AG$996,"&gt;="&amp;DATE($B$2,1,1),PAGOS!$AG$2:$AG$996,"&lt;"&amp;EDATE(DATE($B$2,1,1),1),PAGOS!$AI$2:$AI$996,"*TRANSFERENCIA*")+SUMIFS(PAGOS!$AK$2:$AK$996,PAGOS!$AJ$2:$AJ$996,"&gt;="&amp;DATE($B$2,1,1),PAGOS!$AJ$2:$AJ$996,"&lt;"&amp;EDATE(DATE($B$2,1,1),1),PAGOS!$AL$2:$AL$996,"*TRANSFERENCIA*")+SUMIFS('OTROS INGRESOS'!$F$5:$F30,'OTROS INGRESOS'!$A$5:$A30,"&gt;="&amp;DATE($B$2,1,1),'OTROS INGRESOS'!$A$5:$A30,"&lt;"&amp;EDATE(DATE($B$2,1,1),1),'OTROS INGRESOS'!$E$5:$E30,"*TRANSFERENCIA*")+SUMIFS('ABONOS MENSUALIDADES'!$F$5:$F$500,'ABONOS MENSUALIDADES'!$A$5:$A$500,"&gt;="&amp;DATE($B$2,1,1),'ABONOS MENSUALIDADES'!$A$5:$A$500,"&lt;"&amp;EDATE(DATE($B$2,1,1),1),'ABONOS MENSUALIDADES'!$E$5:$E$500,"*TRANSFERENCIA*",'ABONOS MENSUALIDADES'!$G$5:$G$500,"&lt;&gt;*CONSOLIDADO EN PAGOS*")</f>
        <v>0</v>
      </c>
      <c r="G5" s="247">
        <f t="shared" ref="G5:G12" si="2">F5</f>
        <v>0</v>
      </c>
      <c r="H5" s="247">
        <f t="shared" ref="H5:H16" si="3">B5-C5-D5-F5</f>
        <v>21250</v>
      </c>
      <c r="I5" s="247">
        <f t="shared" ref="I5:I16" si="4">(D5-E5)+(F5-G5)</f>
        <v>0</v>
      </c>
      <c r="J5" s="247">
        <f t="shared" ref="J5:J12" si="5">C5+E5+G5+H5</f>
        <v>21250</v>
      </c>
      <c r="K5" s="247">
        <f>SUMIFS(EGRESOS!$G$5:$G30,EGRESOS!$A$5:$A30,"&gt;="&amp;DATE($B$2,1,1),EGRESOS!$A$5:$A30,"&lt;"&amp;EDATE(DATE($B$2,1,1),1))</f>
        <v>0</v>
      </c>
      <c r="L5" s="247">
        <f t="shared" ref="L5:L16" si="6">J5-K5</f>
        <v>21250</v>
      </c>
      <c r="M5" s="247">
        <f>SUMIFS('GASTOS FIJOS'!$D$4:$D$80,'GASTOS FIJOS'!$G$4:$G$80,TRUE,'GASTOS FIJOS'!$J$4:$J$80,"&lt;="&amp;EOMONTH(DATE($B$2,1,1),0),'GASTOS FIJOS'!$K$4:$K$80,"&gt;="&amp;DATE($B$2,1,1))</f>
        <v>41166</v>
      </c>
      <c r="N5" s="247">
        <f t="shared" ref="N5:N16" si="7">J5-M5</f>
        <v>-19916</v>
      </c>
      <c r="O5" s="247">
        <f>SUMPRODUCT((EGRESOS!$A$5:$A$502&gt;=DATE($B$2,ROW()-4,1))*(EGRESOS!$A$5:$A$502&lt;EDATE(DATE($B$2,ROW()-4,1),1))*(EGRESOS!$H$5:$H$502=TRUE)*(EGRESOS!$G$5:$G$502-EGRESOS!$G$5:$G$502/1.16))</f>
        <v>0</v>
      </c>
      <c r="P5" s="247">
        <f t="shared" ref="P5:P16" si="8">I5-O5</f>
        <v>0</v>
      </c>
    </row>
    <row r="6" ht="22.5" customHeight="1">
      <c r="A6" s="194" t="s">
        <v>44</v>
      </c>
      <c r="B6" s="247">
        <f>SUMIFS(PAGOS!$E$2:$E$996,PAGOS!$D$2:$D$996,"&gt;="&amp;DATE($B$2,2,1),PAGOS!$D$2:$D$996,"&lt;"&amp;EDATE(DATE($B$2,2,1),1))+SUMIFS(PAGOS!$G$2:$G$996,PAGOS!$F$2:$F$996,"&gt;="&amp;DATE($B$2,2,1),PAGOS!$F$2:$F$996,"&lt;"&amp;EDATE(DATE($B$2,2,1),1),PAGOS!$H$2:$H$996,"&lt;&gt;MIXTO (ABONOS)")+SUMIFS(PAGOS!$J$2:$J$996,PAGOS!$I$2:$I$996,"&gt;="&amp;DATE($B$2,2,1),PAGOS!$I$2:$I$996,"&lt;"&amp;EDATE(DATE($B$2,2,1),1),PAGOS!$K$2:$K$996,"&lt;&gt;MIXTO (ABONOS)")+SUMIFS(PAGOS!$M$2:$M$996,PAGOS!$L$2:$L$996,"&gt;="&amp;DATE($B$2,2,1),PAGOS!$L$2:$L$996,"&lt;"&amp;EDATE(DATE($B$2,2,1),1),PAGOS!$N$2:$N$996,"&lt;&gt;MIXTO (ABONOS)")+SUMIFS(PAGOS!$P$2:$P$996,PAGOS!$O$2:$O$996,"&gt;="&amp;DATE($B$2,2,1),PAGOS!$O$2:$O$996,"&lt;"&amp;EDATE(DATE($B$2,2,1),1),PAGOS!$Q$2:$Q$996,"&lt;&gt;MIXTO (ABONOS)")+SUMIFS(PAGOS!$S$2:$S$996,PAGOS!$R$2:$R$996,"&gt;="&amp;DATE($B$2,2,1),PAGOS!$R$2:$R$996,"&lt;"&amp;EDATE(DATE($B$2,2,1),1),PAGOS!$T$2:$T$996,"&lt;&gt;MIXTO (ABONOS)")+SUMIFS(PAGOS!$V$2:$V$996,PAGOS!$U$2:$U$996,"&gt;="&amp;DATE($B$2,2,1),PAGOS!$U$2:$U$996,"&lt;"&amp;EDATE(DATE($B$2,2,1),1),PAGOS!$W$2:$W$996,"&lt;&gt;MIXTO (ABONOS)")+SUMIFS(PAGOS!$Y$2:$Y$996,PAGOS!$X$2:$X$996,"&gt;="&amp;DATE($B$2,2,1),PAGOS!$X$2:$X$996,"&lt;"&amp;EDATE(DATE($B$2,2,1),1),PAGOS!$Z$2:$Z$996,"&lt;&gt;MIXTO (ABONOS)")+SUMIFS(PAGOS!$AB$2:$AB$996,PAGOS!$AA$2:$AA$996,"&gt;="&amp;DATE($B$2,2,1),PAGOS!$AA$2:$AA$996,"&lt;"&amp;EDATE(DATE($B$2,2,1),1),PAGOS!$AC$2:$AC$996,"&lt;&gt;MIXTO (ABONOS)")+SUMIFS(PAGOS!$AE$2:$AE$996,PAGOS!$AD$2:$AD$996,"&gt;="&amp;DATE($B$2,2,1),PAGOS!$AD$2:$AD$996,"&lt;"&amp;EDATE(DATE($B$2,2,1),1),PAGOS!$AF$2:$AF$996,"&lt;&gt;MIXTO (ABONOS)")+SUMIFS(PAGOS!$AH$2:$AH$996,PAGOS!$AG$2:$AG$996,"&gt;="&amp;DATE($B$2,2,1),PAGOS!$AG$2:$AG$996,"&lt;"&amp;EDATE(DATE($B$2,2,1),1),PAGOS!$AI$2:$AI$996,"&lt;&gt;MIXTO (ABONOS)")+SUMIFS(PAGOS!$AK$2:$AK$996,PAGOS!$AJ$2:$AJ$996,"&gt;="&amp;DATE($B$2,2,1),PAGOS!$AJ$2:$AJ$996,"&lt;"&amp;EDATE(DATE($B$2,2,1),1),PAGOS!$AL$2:$AL$996,"&lt;&gt;MIXTO (ABONOS)")+SUMIFS('OTROS INGRESOS'!$F$5:$F30,'OTROS INGRESOS'!$A$5:$A30,"&gt;="&amp;DATE($B$2,2,1),'OTROS INGRESOS'!$A$5:$A30,"&lt;"&amp;EDATE(DATE($B$2,2,1),1))+SUMIFS('ABONOS MENSUALIDADES'!$F$5:$F$500,'ABONOS MENSUALIDADES'!$A$5:$A$500,"&gt;="&amp;DATE($B$2,2,1),'ABONOS MENSUALIDADES'!$A$5:$A$500,"&lt;"&amp;EDATE(DATE($B$2,2,1),1),'ABONOS MENSUALIDADES'!$G$5:$G$500,"&lt;&gt;*CONSOLIDADO EN PAGOS*")</f>
        <v>25030</v>
      </c>
      <c r="C6" s="247">
        <f>SUMIFS(PAGOS!$G$2:$G$996,PAGOS!$F$2:$F$996,"&gt;="&amp;DATE($B$2,2,1),PAGOS!$F$2:$F$996,"&lt;"&amp;EDATE(DATE($B$2,2,1),1),PAGOS!$H$2:$H$996,"*EFECTIVO*")+SUMIFS(PAGOS!$J$2:$J$996,PAGOS!$I$2:$I$996,"&gt;="&amp;DATE($B$2,2,1),PAGOS!$I$2:$I$996,"&lt;"&amp;EDATE(DATE($B$2,2,1),1),PAGOS!$K$2:$K$996,"*EFECTIVO*")+SUMIFS(PAGOS!$M$2:$M$996,PAGOS!$L$2:$L$996,"&gt;="&amp;DATE($B$2,2,1),PAGOS!$L$2:$L$996,"&lt;"&amp;EDATE(DATE($B$2,2,1),1),PAGOS!$N$2:$N$996,"*EFECTIVO*")+SUMIFS(PAGOS!$P$2:$P$996,PAGOS!$O$2:$O$996,"&gt;="&amp;DATE($B$2,2,1),PAGOS!$O$2:$O$996,"&lt;"&amp;EDATE(DATE($B$2,2,1),1),PAGOS!$Q$2:$Q$996,"*EFECTIVO*")+SUMIFS(PAGOS!$S$2:$S$996,PAGOS!$R$2:$R$996,"&gt;="&amp;DATE($B$2,2,1),PAGOS!$R$2:$R$996,"&lt;"&amp;EDATE(DATE($B$2,2,1),1),PAGOS!$T$2:$T$996,"*EFECTIVO*")+SUMIFS(PAGOS!$V$2:$V$996,PAGOS!$U$2:$U$996,"&gt;="&amp;DATE($B$2,2,1),PAGOS!$U$2:$U$996,"&lt;"&amp;EDATE(DATE($B$2,2,1),1),PAGOS!$W$2:$W$996,"*EFECTIVO*")+SUMIFS(PAGOS!$Y$2:$Y$996,PAGOS!$X$2:$X$996,"&gt;="&amp;DATE($B$2,2,1),PAGOS!$X$2:$X$996,"&lt;"&amp;EDATE(DATE($B$2,2,1),1),PAGOS!$Z$2:$Z$996,"*EFECTIVO*")+SUMIFS(PAGOS!$AB$2:$AB$996,PAGOS!$AA$2:$AA$996,"&gt;="&amp;DATE($B$2,2,1),PAGOS!$AA$2:$AA$996,"&lt;"&amp;EDATE(DATE($B$2,2,1),1),PAGOS!$AC$2:$AC$996,"*EFECTIVO*")+SUMIFS(PAGOS!$AE$2:$AE$996,PAGOS!$AD$2:$AD$996,"&gt;="&amp;DATE($B$2,2,1),PAGOS!$AD$2:$AD$996,"&lt;"&amp;EDATE(DATE($B$2,2,1),1),PAGOS!$AF$2:$AF$996,"*EFECTIVO*")+SUMIFS(PAGOS!$AH$2:$AH$996,PAGOS!$AG$2:$AG$996,"&gt;="&amp;DATE($B$2,2,1),PAGOS!$AG$2:$AG$996,"&lt;"&amp;EDATE(DATE($B$2,2,1),1),PAGOS!$AI$2:$AI$996,"*EFECTIVO*")+SUMIFS(PAGOS!$AK$2:$AK$996,PAGOS!$AJ$2:$AJ$996,"&gt;="&amp;DATE($B$2,2,1),PAGOS!$AJ$2:$AJ$996,"&lt;"&amp;EDATE(DATE($B$2,2,1),1),PAGOS!$AL$2:$AL$996,"*EFECTIVO*")+SUMIFS('OTROS INGRESOS'!$F$5:$F30,'OTROS INGRESOS'!$A$5:$A30,"&gt;="&amp;DATE($B$2,2,1),'OTROS INGRESOS'!$A$5:$A30,"&lt;"&amp;EDATE(DATE($B$2,2,1),1),'OTROS INGRESOS'!$E$5:$E30,"*EFECTIVO*")+SUMIFS('ABONOS MENSUALIDADES'!$F$5:$F$500,'ABONOS MENSUALIDADES'!$A$5:$A$500,"&gt;="&amp;DATE($B$2,2,1),'ABONOS MENSUALIDADES'!$A$5:$A$500,"&lt;"&amp;EDATE(DATE($B$2,2,1),1),'ABONOS MENSUALIDADES'!$E$5:$E$500,"*EFECTIVO*",'ABONOS MENSUALIDADES'!$G$5:$G$500,"&lt;&gt;*CONSOLIDADO EN PAGOS*")</f>
        <v>8330</v>
      </c>
      <c r="D6" s="247">
        <f>SUMIFS(PAGOS!$G$2:$G$996,PAGOS!$F$2:$F$996,"&gt;="&amp;DATE($B$2,2,1),PAGOS!$F$2:$F$996,"&lt;"&amp;EDATE(DATE($B$2,2,1),1),PAGOS!$H$2:$H$996,"*TERMINAL*")+SUMIFS(PAGOS!$J$2:$J$996,PAGOS!$I$2:$I$996,"&gt;="&amp;DATE($B$2,2,1),PAGOS!$I$2:$I$996,"&lt;"&amp;EDATE(DATE($B$2,2,1),1),PAGOS!$K$2:$K$996,"*TERMINAL*")+SUMIFS(PAGOS!$M$2:$M$996,PAGOS!$L$2:$L$996,"&gt;="&amp;DATE($B$2,2,1),PAGOS!$L$2:$L$996,"&lt;"&amp;EDATE(DATE($B$2,2,1),1),PAGOS!$N$2:$N$996,"*TERMINAL*")+SUMIFS(PAGOS!$P$2:$P$996,PAGOS!$O$2:$O$996,"&gt;="&amp;DATE($B$2,2,1),PAGOS!$O$2:$O$996,"&lt;"&amp;EDATE(DATE($B$2,2,1),1),PAGOS!$Q$2:$Q$996,"*TERMINAL*")+SUMIFS(PAGOS!$S$2:$S$996,PAGOS!$R$2:$R$996,"&gt;="&amp;DATE($B$2,2,1),PAGOS!$R$2:$R$996,"&lt;"&amp;EDATE(DATE($B$2,2,1),1),PAGOS!$T$2:$T$996,"*TERMINAL*")+SUMIFS(PAGOS!$V$2:$V$996,PAGOS!$U$2:$U$996,"&gt;="&amp;DATE($B$2,2,1),PAGOS!$U$2:$U$996,"&lt;"&amp;EDATE(DATE($B$2,2,1),1),PAGOS!$W$2:$W$996,"*TERMINAL*")+SUMIFS(PAGOS!$Y$2:$Y$996,PAGOS!$X$2:$X$996,"&gt;="&amp;DATE($B$2,2,1),PAGOS!$X$2:$X$996,"&lt;"&amp;EDATE(DATE($B$2,2,1),1),PAGOS!$Z$2:$Z$996,"*TERMINAL*")+SUMIFS(PAGOS!$AB$2:$AB$996,PAGOS!$AA$2:$AA$996,"&gt;="&amp;DATE($B$2,2,1),PAGOS!$AA$2:$AA$996,"&lt;"&amp;EDATE(DATE($B$2,2,1),1),PAGOS!$AC$2:$AC$996,"*TERMINAL*")+SUMIFS(PAGOS!$AE$2:$AE$996,PAGOS!$AD$2:$AD$996,"&gt;="&amp;DATE($B$2,2,1),PAGOS!$AD$2:$AD$996,"&lt;"&amp;EDATE(DATE($B$2,2,1),1),PAGOS!$AF$2:$AF$996,"*TERMINAL*")+SUMIFS(PAGOS!$AH$2:$AH$996,PAGOS!$AG$2:$AG$996,"&gt;="&amp;DATE($B$2,2,1),PAGOS!$AG$2:$AG$996,"&lt;"&amp;EDATE(DATE($B$2,2,1),1),PAGOS!$AI$2:$AI$996,"*TERMINAL*")+SUMIFS(PAGOS!$AK$2:$AK$996,PAGOS!$AJ$2:$AJ$996,"&gt;="&amp;DATE($B$2,2,1),PAGOS!$AJ$2:$AJ$996,"&lt;"&amp;EDATE(DATE($B$2,2,1),1),PAGOS!$AL$2:$AL$996,"*TERMINAL*")+SUMIFS('OTROS INGRESOS'!$F$5:$F30,'OTROS INGRESOS'!$A$5:$A30,"&gt;="&amp;DATE($B$2,2,1),'OTROS INGRESOS'!$A$5:$A30,"&lt;"&amp;EDATE(DATE($B$2,2,1),1),'OTROS INGRESOS'!$E$5:$E30,"*TERMINAL*")+SUMIFS('ABONOS MENSUALIDADES'!$F$5:$F$500,'ABONOS MENSUALIDADES'!$A$5:$A$500,"&gt;="&amp;DATE($B$2,2,1),'ABONOS MENSUALIDADES'!$A$5:$A$500,"&lt;"&amp;EDATE(DATE($B$2,2,1),1),'ABONOS MENSUALIDADES'!$E$5:$E$500,"*TERMINAL*",'ABONOS MENSUALIDADES'!$G$5:$G$500,"&lt;&gt;*CONSOLIDADO EN PAGOS*")</f>
        <v>2100</v>
      </c>
      <c r="E6" s="247">
        <f t="shared" si="1"/>
        <v>2100</v>
      </c>
      <c r="F6" s="247">
        <f>SUMIFS(PAGOS!$G$2:$G$996,PAGOS!$F$2:$F$996,"&gt;="&amp;DATE($B$2,2,1),PAGOS!$F$2:$F$996,"&lt;"&amp;EDATE(DATE($B$2,2,1),1),PAGOS!$H$2:$H$996,"*TRANSFERENCIA*")+SUMIFS(PAGOS!$J$2:$J$996,PAGOS!$I$2:$I$996,"&gt;="&amp;DATE($B$2,2,1),PAGOS!$I$2:$I$996,"&lt;"&amp;EDATE(DATE($B$2,2,1),1),PAGOS!$K$2:$K$996,"*TRANSFERENCIA*")+SUMIFS(PAGOS!$M$2:$M$996,PAGOS!$L$2:$L$996,"&gt;="&amp;DATE($B$2,2,1),PAGOS!$L$2:$L$996,"&lt;"&amp;EDATE(DATE($B$2,2,1),1),PAGOS!$N$2:$N$996,"*TRANSFERENCIA*")+SUMIFS(PAGOS!$P$2:$P$996,PAGOS!$O$2:$O$996,"&gt;="&amp;DATE($B$2,2,1),PAGOS!$O$2:$O$996,"&lt;"&amp;EDATE(DATE($B$2,2,1),1),PAGOS!$Q$2:$Q$996,"*TRANSFERENCIA*")+SUMIFS(PAGOS!$S$2:$S$996,PAGOS!$R$2:$R$996,"&gt;="&amp;DATE($B$2,2,1),PAGOS!$R$2:$R$996,"&lt;"&amp;EDATE(DATE($B$2,2,1),1),PAGOS!$T$2:$T$996,"*TRANSFERENCIA*")+SUMIFS(PAGOS!$V$2:$V$996,PAGOS!$U$2:$U$996,"&gt;="&amp;DATE($B$2,2,1),PAGOS!$U$2:$U$996,"&lt;"&amp;EDATE(DATE($B$2,2,1),1),PAGOS!$W$2:$W$996,"*TRANSFERENCIA*")+SUMIFS(PAGOS!$Y$2:$Y$996,PAGOS!$X$2:$X$996,"&gt;="&amp;DATE($B$2,2,1),PAGOS!$X$2:$X$996,"&lt;"&amp;EDATE(DATE($B$2,2,1),1),PAGOS!$Z$2:$Z$996,"*TRANSFERENCIA*")+SUMIFS(PAGOS!$AB$2:$AB$996,PAGOS!$AA$2:$AA$996,"&gt;="&amp;DATE($B$2,2,1),PAGOS!$AA$2:$AA$996,"&lt;"&amp;EDATE(DATE($B$2,2,1),1),PAGOS!$AC$2:$AC$996,"*TRANSFERENCIA*")+SUMIFS(PAGOS!$AE$2:$AE$996,PAGOS!$AD$2:$AD$996,"&gt;="&amp;DATE($B$2,2,1),PAGOS!$AD$2:$AD$996,"&lt;"&amp;EDATE(DATE($B$2,2,1),1),PAGOS!$AF$2:$AF$996,"*TRANSFERENCIA*")+SUMIFS(PAGOS!$AH$2:$AH$996,PAGOS!$AG$2:$AG$996,"&gt;="&amp;DATE($B$2,2,1),PAGOS!$AG$2:$AG$996,"&lt;"&amp;EDATE(DATE($B$2,2,1),1),PAGOS!$AI$2:$AI$996,"*TRANSFERENCIA*")+SUMIFS(PAGOS!$AK$2:$AK$996,PAGOS!$AJ$2:$AJ$996,"&gt;="&amp;DATE($B$2,2,1),PAGOS!$AJ$2:$AJ$996,"&lt;"&amp;EDATE(DATE($B$2,2,1),1),PAGOS!$AL$2:$AL$996,"*TRANSFERENCIA*")+SUMIFS('OTROS INGRESOS'!$F$5:$F30,'OTROS INGRESOS'!$A$5:$A30,"&gt;="&amp;DATE($B$2,2,1),'OTROS INGRESOS'!$A$5:$A30,"&lt;"&amp;EDATE(DATE($B$2,2,1),1),'OTROS INGRESOS'!$E$5:$E30,"*TRANSFERENCIA*")+SUMIFS('ABONOS MENSUALIDADES'!$F$5:$F$500,'ABONOS MENSUALIDADES'!$A$5:$A$500,"&gt;="&amp;DATE($B$2,2,1),'ABONOS MENSUALIDADES'!$A$5:$A$500,"&lt;"&amp;EDATE(DATE($B$2,2,1),1),'ABONOS MENSUALIDADES'!$E$5:$E$500,"*TRANSFERENCIA*",'ABONOS MENSUALIDADES'!$G$5:$G$500,"&lt;&gt;*CONSOLIDADO EN PAGOS*")</f>
        <v>14600</v>
      </c>
      <c r="G6" s="247">
        <f t="shared" si="2"/>
        <v>14600</v>
      </c>
      <c r="H6" s="247">
        <f t="shared" si="3"/>
        <v>0</v>
      </c>
      <c r="I6" s="247">
        <f t="shared" si="4"/>
        <v>0</v>
      </c>
      <c r="J6" s="247">
        <f t="shared" si="5"/>
        <v>25030</v>
      </c>
      <c r="K6" s="247">
        <f>SUMIFS(EGRESOS!$G$5:$G30,EGRESOS!$A$5:$A30,"&gt;="&amp;DATE($B$2,2,1),EGRESOS!$A$5:$A30,"&lt;"&amp;EDATE(DATE($B$2,2,1),1))</f>
        <v>0</v>
      </c>
      <c r="L6" s="247">
        <f t="shared" si="6"/>
        <v>25030</v>
      </c>
      <c r="M6" s="247">
        <f>SUMIFS('GASTOS FIJOS'!$D$4:$D$80,'GASTOS FIJOS'!$G$4:$G$80,TRUE,'GASTOS FIJOS'!$J$4:$J$80,"&lt;="&amp;EOMONTH(DATE($B$2,2,1),0),'GASTOS FIJOS'!$K$4:$K$80,"&gt;="&amp;DATE($B$2,2,1))</f>
        <v>41166</v>
      </c>
      <c r="N6" s="247">
        <f t="shared" si="7"/>
        <v>-16136</v>
      </c>
      <c r="O6" s="247">
        <f>SUMPRODUCT((EGRESOS!$A$5:$A$502&gt;=DATE($B$2,ROW()-4,1))*(EGRESOS!$A$5:$A$502&lt;EDATE(DATE($B$2,ROW()-4,1),1))*(EGRESOS!$H$5:$H$502=TRUE)*(EGRESOS!$G$5:$G$502-EGRESOS!$G$5:$G$502/1.16))</f>
        <v>0</v>
      </c>
      <c r="P6" s="247">
        <f t="shared" si="8"/>
        <v>0</v>
      </c>
    </row>
    <row r="7" ht="22.5" customHeight="1">
      <c r="A7" s="194" t="s">
        <v>47</v>
      </c>
      <c r="B7" s="247">
        <f>SUMIFS(PAGOS!$E$2:$E$996,PAGOS!$D$2:$D$996,"&gt;="&amp;DATE($B$2,3,1),PAGOS!$D$2:$D$996,"&lt;"&amp;EDATE(DATE($B$2,3,1),1))+SUMIFS(PAGOS!$G$2:$G$996,PAGOS!$F$2:$F$996,"&gt;="&amp;DATE($B$2,3,1),PAGOS!$F$2:$F$996,"&lt;"&amp;EDATE(DATE($B$2,3,1),1),PAGOS!$H$2:$H$996,"&lt;&gt;MIXTO (ABONOS)")+SUMIFS(PAGOS!$J$2:$J$996,PAGOS!$I$2:$I$996,"&gt;="&amp;DATE($B$2,3,1),PAGOS!$I$2:$I$996,"&lt;"&amp;EDATE(DATE($B$2,3,1),1),PAGOS!$K$2:$K$996,"&lt;&gt;MIXTO (ABONOS)")+SUMIFS(PAGOS!$M$2:$M$996,PAGOS!$L$2:$L$996,"&gt;="&amp;DATE($B$2,3,1),PAGOS!$L$2:$L$996,"&lt;"&amp;EDATE(DATE($B$2,3,1),1),PAGOS!$N$2:$N$996,"&lt;&gt;MIXTO (ABONOS)")+SUMIFS(PAGOS!$P$2:$P$996,PAGOS!$O$2:$O$996,"&gt;="&amp;DATE($B$2,3,1),PAGOS!$O$2:$O$996,"&lt;"&amp;EDATE(DATE($B$2,3,1),1),PAGOS!$Q$2:$Q$996,"&lt;&gt;MIXTO (ABONOS)")+SUMIFS(PAGOS!$S$2:$S$996,PAGOS!$R$2:$R$996,"&gt;="&amp;DATE($B$2,3,1),PAGOS!$R$2:$R$996,"&lt;"&amp;EDATE(DATE($B$2,3,1),1),PAGOS!$T$2:$T$996,"&lt;&gt;MIXTO (ABONOS)")+SUMIFS(PAGOS!$V$2:$V$996,PAGOS!$U$2:$U$996,"&gt;="&amp;DATE($B$2,3,1),PAGOS!$U$2:$U$996,"&lt;"&amp;EDATE(DATE($B$2,3,1),1),PAGOS!$W$2:$W$996,"&lt;&gt;MIXTO (ABONOS)")+SUMIFS(PAGOS!$Y$2:$Y$996,PAGOS!$X$2:$X$996,"&gt;="&amp;DATE($B$2,3,1),PAGOS!$X$2:$X$996,"&lt;"&amp;EDATE(DATE($B$2,3,1),1),PAGOS!$Z$2:$Z$996,"&lt;&gt;MIXTO (ABONOS)")+SUMIFS(PAGOS!$AB$2:$AB$996,PAGOS!$AA$2:$AA$996,"&gt;="&amp;DATE($B$2,3,1),PAGOS!$AA$2:$AA$996,"&lt;"&amp;EDATE(DATE($B$2,3,1),1),PAGOS!$AC$2:$AC$996,"&lt;&gt;MIXTO (ABONOS)")+SUMIFS(PAGOS!$AE$2:$AE$996,PAGOS!$AD$2:$AD$996,"&gt;="&amp;DATE($B$2,3,1),PAGOS!$AD$2:$AD$996,"&lt;"&amp;EDATE(DATE($B$2,3,1),1),PAGOS!$AF$2:$AF$996,"&lt;&gt;MIXTO (ABONOS)")+SUMIFS(PAGOS!$AH$2:$AH$996,PAGOS!$AG$2:$AG$996,"&gt;="&amp;DATE($B$2,3,1),PAGOS!$AG$2:$AG$996,"&lt;"&amp;EDATE(DATE($B$2,3,1),1),PAGOS!$AI$2:$AI$996,"&lt;&gt;MIXTO (ABONOS)")+SUMIFS(PAGOS!$AK$2:$AK$996,PAGOS!$AJ$2:$AJ$996,"&gt;="&amp;DATE($B$2,3,1),PAGOS!$AJ$2:$AJ$996,"&lt;"&amp;EDATE(DATE($B$2,3,1),1),PAGOS!$AL$2:$AL$996,"&lt;&gt;MIXTO (ABONOS)")+SUMIFS('OTROS INGRESOS'!$F$5:$F30,'OTROS INGRESOS'!$A$5:$A30,"&gt;="&amp;DATE($B$2,3,1),'OTROS INGRESOS'!$A$5:$A30,"&lt;"&amp;EDATE(DATE($B$2,3,1),1))+SUMIFS('ABONOS MENSUALIDADES'!$F$5:$F$500,'ABONOS MENSUALIDADES'!$A$5:$A$500,"&gt;="&amp;DATE($B$2,3,1),'ABONOS MENSUALIDADES'!$A$5:$A$500,"&lt;"&amp;EDATE(DATE($B$2,3,1),1),'ABONOS MENSUALIDADES'!$G$5:$G$500,"&lt;&gt;*CONSOLIDADO EN PAGOS*")</f>
        <v>27380</v>
      </c>
      <c r="C7" s="247">
        <f>SUMIFS(PAGOS!$G$2:$G$996,PAGOS!$F$2:$F$996,"&gt;="&amp;DATE($B$2,3,1),PAGOS!$F$2:$F$996,"&lt;"&amp;EDATE(DATE($B$2,3,1),1),PAGOS!$H$2:$H$996,"*EFECTIVO*")+SUMIFS(PAGOS!$J$2:$J$996,PAGOS!$I$2:$I$996,"&gt;="&amp;DATE($B$2,3,1),PAGOS!$I$2:$I$996,"&lt;"&amp;EDATE(DATE($B$2,3,1),1),PAGOS!$K$2:$K$996,"*EFECTIVO*")+SUMIFS(PAGOS!$M$2:$M$996,PAGOS!$L$2:$L$996,"&gt;="&amp;DATE($B$2,3,1),PAGOS!$L$2:$L$996,"&lt;"&amp;EDATE(DATE($B$2,3,1),1),PAGOS!$N$2:$N$996,"*EFECTIVO*")+SUMIFS(PAGOS!$P$2:$P$996,PAGOS!$O$2:$O$996,"&gt;="&amp;DATE($B$2,3,1),PAGOS!$O$2:$O$996,"&lt;"&amp;EDATE(DATE($B$2,3,1),1),PAGOS!$Q$2:$Q$996,"*EFECTIVO*")+SUMIFS(PAGOS!$S$2:$S$996,PAGOS!$R$2:$R$996,"&gt;="&amp;DATE($B$2,3,1),PAGOS!$R$2:$R$996,"&lt;"&amp;EDATE(DATE($B$2,3,1),1),PAGOS!$T$2:$T$996,"*EFECTIVO*")+SUMIFS(PAGOS!$V$2:$V$996,PAGOS!$U$2:$U$996,"&gt;="&amp;DATE($B$2,3,1),PAGOS!$U$2:$U$996,"&lt;"&amp;EDATE(DATE($B$2,3,1),1),PAGOS!$W$2:$W$996,"*EFECTIVO*")+SUMIFS(PAGOS!$Y$2:$Y$996,PAGOS!$X$2:$X$996,"&gt;="&amp;DATE($B$2,3,1),PAGOS!$X$2:$X$996,"&lt;"&amp;EDATE(DATE($B$2,3,1),1),PAGOS!$Z$2:$Z$996,"*EFECTIVO*")+SUMIFS(PAGOS!$AB$2:$AB$996,PAGOS!$AA$2:$AA$996,"&gt;="&amp;DATE($B$2,3,1),PAGOS!$AA$2:$AA$996,"&lt;"&amp;EDATE(DATE($B$2,3,1),1),PAGOS!$AC$2:$AC$996,"*EFECTIVO*")+SUMIFS(PAGOS!$AE$2:$AE$996,PAGOS!$AD$2:$AD$996,"&gt;="&amp;DATE($B$2,3,1),PAGOS!$AD$2:$AD$996,"&lt;"&amp;EDATE(DATE($B$2,3,1),1),PAGOS!$AF$2:$AF$996,"*EFECTIVO*")+SUMIFS(PAGOS!$AH$2:$AH$996,PAGOS!$AG$2:$AG$996,"&gt;="&amp;DATE($B$2,3,1),PAGOS!$AG$2:$AG$996,"&lt;"&amp;EDATE(DATE($B$2,3,1),1),PAGOS!$AI$2:$AI$996,"*EFECTIVO*")+SUMIFS(PAGOS!$AK$2:$AK$996,PAGOS!$AJ$2:$AJ$996,"&gt;="&amp;DATE($B$2,3,1),PAGOS!$AJ$2:$AJ$996,"&lt;"&amp;EDATE(DATE($B$2,3,1),1),PAGOS!$AL$2:$AL$996,"*EFECTIVO*")+SUMIFS('OTROS INGRESOS'!$F$5:$F30,'OTROS INGRESOS'!$A$5:$A30,"&gt;="&amp;DATE($B$2,3,1),'OTROS INGRESOS'!$A$5:$A30,"&lt;"&amp;EDATE(DATE($B$2,3,1),1),'OTROS INGRESOS'!$E$5:$E30,"*EFECTIVO*")+SUMIFS('ABONOS MENSUALIDADES'!$F$5:$F$500,'ABONOS MENSUALIDADES'!$A$5:$A$500,"&gt;="&amp;DATE($B$2,3,1),'ABONOS MENSUALIDADES'!$A$5:$A$500,"&lt;"&amp;EDATE(DATE($B$2,3,1),1),'ABONOS MENSUALIDADES'!$E$5:$E$500,"*EFECTIVO*",'ABONOS MENSUALIDADES'!$G$5:$G$500,"&lt;&gt;*CONSOLIDADO EN PAGOS*")</f>
        <v>9230</v>
      </c>
      <c r="D7" s="247">
        <f>SUMIFS(PAGOS!$G$2:$G$996,PAGOS!$F$2:$F$996,"&gt;="&amp;DATE($B$2,3,1),PAGOS!$F$2:$F$996,"&lt;"&amp;EDATE(DATE($B$2,3,1),1),PAGOS!$H$2:$H$996,"*TERMINAL*")+SUMIFS(PAGOS!$J$2:$J$996,PAGOS!$I$2:$I$996,"&gt;="&amp;DATE($B$2,3,1),PAGOS!$I$2:$I$996,"&lt;"&amp;EDATE(DATE($B$2,3,1),1),PAGOS!$K$2:$K$996,"*TERMINAL*")+SUMIFS(PAGOS!$M$2:$M$996,PAGOS!$L$2:$L$996,"&gt;="&amp;DATE($B$2,3,1),PAGOS!$L$2:$L$996,"&lt;"&amp;EDATE(DATE($B$2,3,1),1),PAGOS!$N$2:$N$996,"*TERMINAL*")+SUMIFS(PAGOS!$P$2:$P$996,PAGOS!$O$2:$O$996,"&gt;="&amp;DATE($B$2,3,1),PAGOS!$O$2:$O$996,"&lt;"&amp;EDATE(DATE($B$2,3,1),1),PAGOS!$Q$2:$Q$996,"*TERMINAL*")+SUMIFS(PAGOS!$S$2:$S$996,PAGOS!$R$2:$R$996,"&gt;="&amp;DATE($B$2,3,1),PAGOS!$R$2:$R$996,"&lt;"&amp;EDATE(DATE($B$2,3,1),1),PAGOS!$T$2:$T$996,"*TERMINAL*")+SUMIFS(PAGOS!$V$2:$V$996,PAGOS!$U$2:$U$996,"&gt;="&amp;DATE($B$2,3,1),PAGOS!$U$2:$U$996,"&lt;"&amp;EDATE(DATE($B$2,3,1),1),PAGOS!$W$2:$W$996,"*TERMINAL*")+SUMIFS(PAGOS!$Y$2:$Y$996,PAGOS!$X$2:$X$996,"&gt;="&amp;DATE($B$2,3,1),PAGOS!$X$2:$X$996,"&lt;"&amp;EDATE(DATE($B$2,3,1),1),PAGOS!$Z$2:$Z$996,"*TERMINAL*")+SUMIFS(PAGOS!$AB$2:$AB$996,PAGOS!$AA$2:$AA$996,"&gt;="&amp;DATE($B$2,3,1),PAGOS!$AA$2:$AA$996,"&lt;"&amp;EDATE(DATE($B$2,3,1),1),PAGOS!$AC$2:$AC$996,"*TERMINAL*")+SUMIFS(PAGOS!$AE$2:$AE$996,PAGOS!$AD$2:$AD$996,"&gt;="&amp;DATE($B$2,3,1),PAGOS!$AD$2:$AD$996,"&lt;"&amp;EDATE(DATE($B$2,3,1),1),PAGOS!$AF$2:$AF$996,"*TERMINAL*")+SUMIFS(PAGOS!$AH$2:$AH$996,PAGOS!$AG$2:$AG$996,"&gt;="&amp;DATE($B$2,3,1),PAGOS!$AG$2:$AG$996,"&lt;"&amp;EDATE(DATE($B$2,3,1),1),PAGOS!$AI$2:$AI$996,"*TERMINAL*")+SUMIFS(PAGOS!$AK$2:$AK$996,PAGOS!$AJ$2:$AJ$996,"&gt;="&amp;DATE($B$2,3,1),PAGOS!$AJ$2:$AJ$996,"&lt;"&amp;EDATE(DATE($B$2,3,1),1),PAGOS!$AL$2:$AL$996,"*TERMINAL*")+SUMIFS('OTROS INGRESOS'!$F$5:$F30,'OTROS INGRESOS'!$A$5:$A30,"&gt;="&amp;DATE($B$2,3,1),'OTROS INGRESOS'!$A$5:$A30,"&lt;"&amp;EDATE(DATE($B$2,3,1),1),'OTROS INGRESOS'!$E$5:$E30,"*TERMINAL*")+SUMIFS('ABONOS MENSUALIDADES'!$F$5:$F$500,'ABONOS MENSUALIDADES'!$A$5:$A$500,"&gt;="&amp;DATE($B$2,3,1),'ABONOS MENSUALIDADES'!$A$5:$A$500,"&lt;"&amp;EDATE(DATE($B$2,3,1),1),'ABONOS MENSUALIDADES'!$E$5:$E$500,"*TERMINAL*",'ABONOS MENSUALIDADES'!$G$5:$G$500,"&lt;&gt;*CONSOLIDADO EN PAGOS*")</f>
        <v>5650</v>
      </c>
      <c r="E7" s="247">
        <f t="shared" si="1"/>
        <v>5650</v>
      </c>
      <c r="F7" s="247">
        <f>SUMIFS(PAGOS!$G$2:$G$996,PAGOS!$F$2:$F$996,"&gt;="&amp;DATE($B$2,3,1),PAGOS!$F$2:$F$996,"&lt;"&amp;EDATE(DATE($B$2,3,1),1),PAGOS!$H$2:$H$996,"*TRANSFERENCIA*")+SUMIFS(PAGOS!$J$2:$J$996,PAGOS!$I$2:$I$996,"&gt;="&amp;DATE($B$2,3,1),PAGOS!$I$2:$I$996,"&lt;"&amp;EDATE(DATE($B$2,3,1),1),PAGOS!$K$2:$K$996,"*TRANSFERENCIA*")+SUMIFS(PAGOS!$M$2:$M$996,PAGOS!$L$2:$L$996,"&gt;="&amp;DATE($B$2,3,1),PAGOS!$L$2:$L$996,"&lt;"&amp;EDATE(DATE($B$2,3,1),1),PAGOS!$N$2:$N$996,"*TRANSFERENCIA*")+SUMIFS(PAGOS!$P$2:$P$996,PAGOS!$O$2:$O$996,"&gt;="&amp;DATE($B$2,3,1),PAGOS!$O$2:$O$996,"&lt;"&amp;EDATE(DATE($B$2,3,1),1),PAGOS!$Q$2:$Q$996,"*TRANSFERENCIA*")+SUMIFS(PAGOS!$S$2:$S$996,PAGOS!$R$2:$R$996,"&gt;="&amp;DATE($B$2,3,1),PAGOS!$R$2:$R$996,"&lt;"&amp;EDATE(DATE($B$2,3,1),1),PAGOS!$T$2:$T$996,"*TRANSFERENCIA*")+SUMIFS(PAGOS!$V$2:$V$996,PAGOS!$U$2:$U$996,"&gt;="&amp;DATE($B$2,3,1),PAGOS!$U$2:$U$996,"&lt;"&amp;EDATE(DATE($B$2,3,1),1),PAGOS!$W$2:$W$996,"*TRANSFERENCIA*")+SUMIFS(PAGOS!$Y$2:$Y$996,PAGOS!$X$2:$X$996,"&gt;="&amp;DATE($B$2,3,1),PAGOS!$X$2:$X$996,"&lt;"&amp;EDATE(DATE($B$2,3,1),1),PAGOS!$Z$2:$Z$996,"*TRANSFERENCIA*")+SUMIFS(PAGOS!$AB$2:$AB$996,PAGOS!$AA$2:$AA$996,"&gt;="&amp;DATE($B$2,3,1),PAGOS!$AA$2:$AA$996,"&lt;"&amp;EDATE(DATE($B$2,3,1),1),PAGOS!$AC$2:$AC$996,"*TRANSFERENCIA*")+SUMIFS(PAGOS!$AE$2:$AE$996,PAGOS!$AD$2:$AD$996,"&gt;="&amp;DATE($B$2,3,1),PAGOS!$AD$2:$AD$996,"&lt;"&amp;EDATE(DATE($B$2,3,1),1),PAGOS!$AF$2:$AF$996,"*TRANSFERENCIA*")+SUMIFS(PAGOS!$AH$2:$AH$996,PAGOS!$AG$2:$AG$996,"&gt;="&amp;DATE($B$2,3,1),PAGOS!$AG$2:$AG$996,"&lt;"&amp;EDATE(DATE($B$2,3,1),1),PAGOS!$AI$2:$AI$996,"*TRANSFERENCIA*")+SUMIFS(PAGOS!$AK$2:$AK$996,PAGOS!$AJ$2:$AJ$996,"&gt;="&amp;DATE($B$2,3,1),PAGOS!$AJ$2:$AJ$996,"&lt;"&amp;EDATE(DATE($B$2,3,1),1),PAGOS!$AL$2:$AL$996,"*TRANSFERENCIA*")+SUMIFS('OTROS INGRESOS'!$F$5:$F30,'OTROS INGRESOS'!$A$5:$A30,"&gt;="&amp;DATE($B$2,3,1),'OTROS INGRESOS'!$A$5:$A30,"&lt;"&amp;EDATE(DATE($B$2,3,1),1),'OTROS INGRESOS'!$E$5:$E30,"*TRANSFERENCIA*")+SUMIFS('ABONOS MENSUALIDADES'!$F$5:$F$500,'ABONOS MENSUALIDADES'!$A$5:$A$500,"&gt;="&amp;DATE($B$2,3,1),'ABONOS MENSUALIDADES'!$A$5:$A$500,"&lt;"&amp;EDATE(DATE($B$2,3,1),1),'ABONOS MENSUALIDADES'!$E$5:$E$500,"*TRANSFERENCIA*",'ABONOS MENSUALIDADES'!$G$5:$G$500,"&lt;&gt;*CONSOLIDADO EN PAGOS*")</f>
        <v>12500</v>
      </c>
      <c r="G7" s="247">
        <f t="shared" si="2"/>
        <v>12500</v>
      </c>
      <c r="H7" s="247">
        <f t="shared" si="3"/>
        <v>0</v>
      </c>
      <c r="I7" s="247">
        <f t="shared" si="4"/>
        <v>0</v>
      </c>
      <c r="J7" s="247">
        <f t="shared" si="5"/>
        <v>27380</v>
      </c>
      <c r="K7" s="247">
        <f>SUMIFS(EGRESOS!$G$5:$G30,EGRESOS!$A$5:$A30,"&gt;="&amp;DATE($B$2,3,1),EGRESOS!$A$5:$A30,"&lt;"&amp;EDATE(DATE($B$2,3,1),1))</f>
        <v>0</v>
      </c>
      <c r="L7" s="247">
        <f t="shared" si="6"/>
        <v>27380</v>
      </c>
      <c r="M7" s="247">
        <f>SUMIFS('GASTOS FIJOS'!$D$4:$D$80,'GASTOS FIJOS'!$G$4:$G$80,TRUE,'GASTOS FIJOS'!$J$4:$J$80,"&lt;="&amp;EOMONTH(DATE($B$2,3,1),0),'GASTOS FIJOS'!$K$4:$K$80,"&gt;="&amp;DATE($B$2,3,1))</f>
        <v>41166</v>
      </c>
      <c r="N7" s="247">
        <f t="shared" si="7"/>
        <v>-13786</v>
      </c>
      <c r="O7" s="247">
        <f>SUMPRODUCT((EGRESOS!$A$5:$A$502&gt;=DATE($B$2,ROW()-4,1))*(EGRESOS!$A$5:$A$502&lt;EDATE(DATE($B$2,ROW()-4,1),1))*(EGRESOS!$H$5:$H$502=TRUE)*(EGRESOS!$G$5:$G$502-EGRESOS!$G$5:$G$502/1.16))</f>
        <v>0</v>
      </c>
      <c r="P7" s="247">
        <f t="shared" si="8"/>
        <v>0</v>
      </c>
    </row>
    <row r="8" ht="22.5" customHeight="1">
      <c r="A8" s="194" t="s">
        <v>53</v>
      </c>
      <c r="B8" s="247">
        <f>SUMIFS(PAGOS!$E$2:$E$996,PAGOS!$D$2:$D$996,"&gt;="&amp;DATE($B$2,4,1),PAGOS!$D$2:$D$996,"&lt;"&amp;EDATE(DATE($B$2,4,1),1))+SUMIFS(PAGOS!$G$2:$G$996,PAGOS!$F$2:$F$996,"&gt;="&amp;DATE($B$2,4,1),PAGOS!$F$2:$F$996,"&lt;"&amp;EDATE(DATE($B$2,4,1),1),PAGOS!$H$2:$H$996,"&lt;&gt;MIXTO (ABONOS)")+SUMIFS(PAGOS!$J$2:$J$996,PAGOS!$I$2:$I$996,"&gt;="&amp;DATE($B$2,4,1),PAGOS!$I$2:$I$996,"&lt;"&amp;EDATE(DATE($B$2,4,1),1),PAGOS!$K$2:$K$996,"&lt;&gt;MIXTO (ABONOS)")+SUMIFS(PAGOS!$M$2:$M$996,PAGOS!$L$2:$L$996,"&gt;="&amp;DATE($B$2,4,1),PAGOS!$L$2:$L$996,"&lt;"&amp;EDATE(DATE($B$2,4,1),1),PAGOS!$N$2:$N$996,"&lt;&gt;MIXTO (ABONOS)")+SUMIFS(PAGOS!$P$2:$P$996,PAGOS!$O$2:$O$996,"&gt;="&amp;DATE($B$2,4,1),PAGOS!$O$2:$O$996,"&lt;"&amp;EDATE(DATE($B$2,4,1),1),PAGOS!$Q$2:$Q$996,"&lt;&gt;MIXTO (ABONOS)")+SUMIFS(PAGOS!$S$2:$S$996,PAGOS!$R$2:$R$996,"&gt;="&amp;DATE($B$2,4,1),PAGOS!$R$2:$R$996,"&lt;"&amp;EDATE(DATE($B$2,4,1),1),PAGOS!$T$2:$T$996,"&lt;&gt;MIXTO (ABONOS)")+SUMIFS(PAGOS!$V$2:$V$996,PAGOS!$U$2:$U$996,"&gt;="&amp;DATE($B$2,4,1),PAGOS!$U$2:$U$996,"&lt;"&amp;EDATE(DATE($B$2,4,1),1),PAGOS!$W$2:$W$996,"&lt;&gt;MIXTO (ABONOS)")+SUMIFS(PAGOS!$Y$2:$Y$996,PAGOS!$X$2:$X$996,"&gt;="&amp;DATE($B$2,4,1),PAGOS!$X$2:$X$996,"&lt;"&amp;EDATE(DATE($B$2,4,1),1),PAGOS!$Z$2:$Z$996,"&lt;&gt;MIXTO (ABONOS)")+SUMIFS(PAGOS!$AB$2:$AB$996,PAGOS!$AA$2:$AA$996,"&gt;="&amp;DATE($B$2,4,1),PAGOS!$AA$2:$AA$996,"&lt;"&amp;EDATE(DATE($B$2,4,1),1),PAGOS!$AC$2:$AC$996,"&lt;&gt;MIXTO (ABONOS)")+SUMIFS(PAGOS!$AE$2:$AE$996,PAGOS!$AD$2:$AD$996,"&gt;="&amp;DATE($B$2,4,1),PAGOS!$AD$2:$AD$996,"&lt;"&amp;EDATE(DATE($B$2,4,1),1),PAGOS!$AF$2:$AF$996,"&lt;&gt;MIXTO (ABONOS)")+SUMIFS(PAGOS!$AH$2:$AH$996,PAGOS!$AG$2:$AG$996,"&gt;="&amp;DATE($B$2,4,1),PAGOS!$AG$2:$AG$996,"&lt;"&amp;EDATE(DATE($B$2,4,1),1),PAGOS!$AI$2:$AI$996,"&lt;&gt;MIXTO (ABONOS)")+SUMIFS(PAGOS!$AK$2:$AK$996,PAGOS!$AJ$2:$AJ$996,"&gt;="&amp;DATE($B$2,4,1),PAGOS!$AJ$2:$AJ$996,"&lt;"&amp;EDATE(DATE($B$2,4,1),1),PAGOS!$AL$2:$AL$996,"&lt;&gt;MIXTO (ABONOS)")+SUMIFS('OTROS INGRESOS'!$F$5:$F30,'OTROS INGRESOS'!$A$5:$A30,"&gt;="&amp;DATE($B$2,4,1),'OTROS INGRESOS'!$A$5:$A30,"&lt;"&amp;EDATE(DATE($B$2,4,1),1))+SUMIFS('ABONOS MENSUALIDADES'!$F$5:$F$500,'ABONOS MENSUALIDADES'!$A$5:$A$500,"&gt;="&amp;DATE($B$2,4,1),'ABONOS MENSUALIDADES'!$A$5:$A$500,"&lt;"&amp;EDATE(DATE($B$2,4,1),1),'ABONOS MENSUALIDADES'!$G$5:$G$500,"&lt;&gt;*CONSOLIDADO EN PAGOS*")</f>
        <v>33220</v>
      </c>
      <c r="C8" s="247">
        <f>SUMIFS(PAGOS!$G$2:$G$996,PAGOS!$F$2:$F$996,"&gt;="&amp;DATE($B$2,4,1),PAGOS!$F$2:$F$996,"&lt;"&amp;EDATE(DATE($B$2,4,1),1),PAGOS!$H$2:$H$996,"*EFECTIVO*")+SUMIFS(PAGOS!$J$2:$J$996,PAGOS!$I$2:$I$996,"&gt;="&amp;DATE($B$2,4,1),PAGOS!$I$2:$I$996,"&lt;"&amp;EDATE(DATE($B$2,4,1),1),PAGOS!$K$2:$K$996,"*EFECTIVO*")+SUMIFS(PAGOS!$M$2:$M$996,PAGOS!$L$2:$L$996,"&gt;="&amp;DATE($B$2,4,1),PAGOS!$L$2:$L$996,"&lt;"&amp;EDATE(DATE($B$2,4,1),1),PAGOS!$N$2:$N$996,"*EFECTIVO*")+SUMIFS(PAGOS!$P$2:$P$996,PAGOS!$O$2:$O$996,"&gt;="&amp;DATE($B$2,4,1),PAGOS!$O$2:$O$996,"&lt;"&amp;EDATE(DATE($B$2,4,1),1),PAGOS!$Q$2:$Q$996,"*EFECTIVO*")+SUMIFS(PAGOS!$S$2:$S$996,PAGOS!$R$2:$R$996,"&gt;="&amp;DATE($B$2,4,1),PAGOS!$R$2:$R$996,"&lt;"&amp;EDATE(DATE($B$2,4,1),1),PAGOS!$T$2:$T$996,"*EFECTIVO*")+SUMIFS(PAGOS!$V$2:$V$996,PAGOS!$U$2:$U$996,"&gt;="&amp;DATE($B$2,4,1),PAGOS!$U$2:$U$996,"&lt;"&amp;EDATE(DATE($B$2,4,1),1),PAGOS!$W$2:$W$996,"*EFECTIVO*")+SUMIFS(PAGOS!$Y$2:$Y$996,PAGOS!$X$2:$X$996,"&gt;="&amp;DATE($B$2,4,1),PAGOS!$X$2:$X$996,"&lt;"&amp;EDATE(DATE($B$2,4,1),1),PAGOS!$Z$2:$Z$996,"*EFECTIVO*")+SUMIFS(PAGOS!$AB$2:$AB$996,PAGOS!$AA$2:$AA$996,"&gt;="&amp;DATE($B$2,4,1),PAGOS!$AA$2:$AA$996,"&lt;"&amp;EDATE(DATE($B$2,4,1),1),PAGOS!$AC$2:$AC$996,"*EFECTIVO*")+SUMIFS(PAGOS!$AE$2:$AE$996,PAGOS!$AD$2:$AD$996,"&gt;="&amp;DATE($B$2,4,1),PAGOS!$AD$2:$AD$996,"&lt;"&amp;EDATE(DATE($B$2,4,1),1),PAGOS!$AF$2:$AF$996,"*EFECTIVO*")+SUMIFS(PAGOS!$AH$2:$AH$996,PAGOS!$AG$2:$AG$996,"&gt;="&amp;DATE($B$2,4,1),PAGOS!$AG$2:$AG$996,"&lt;"&amp;EDATE(DATE($B$2,4,1),1),PAGOS!$AI$2:$AI$996,"*EFECTIVO*")+SUMIFS(PAGOS!$AK$2:$AK$996,PAGOS!$AJ$2:$AJ$996,"&gt;="&amp;DATE($B$2,4,1),PAGOS!$AJ$2:$AJ$996,"&lt;"&amp;EDATE(DATE($B$2,4,1),1),PAGOS!$AL$2:$AL$996,"*EFECTIVO*")+SUMIFS('OTROS INGRESOS'!$F$5:$F30,'OTROS INGRESOS'!$A$5:$A30,"&gt;="&amp;DATE($B$2,4,1),'OTROS INGRESOS'!$A$5:$A30,"&lt;"&amp;EDATE(DATE($B$2,4,1),1),'OTROS INGRESOS'!$E$5:$E30,"*EFECTIVO*")+SUMIFS('ABONOS MENSUALIDADES'!$F$5:$F$500,'ABONOS MENSUALIDADES'!$A$5:$A$500,"&gt;="&amp;DATE($B$2,4,1),'ABONOS MENSUALIDADES'!$A$5:$A$500,"&lt;"&amp;EDATE(DATE($B$2,4,1),1),'ABONOS MENSUALIDADES'!$E$5:$E$500,"*EFECTIVO*",'ABONOS MENSUALIDADES'!$G$5:$G$500,"&lt;&gt;*CONSOLIDADO EN PAGOS*")</f>
        <v>9045</v>
      </c>
      <c r="D8" s="247">
        <f>SUMIFS(PAGOS!$G$2:$G$996,PAGOS!$F$2:$F$996,"&gt;="&amp;DATE($B$2,4,1),PAGOS!$F$2:$F$996,"&lt;"&amp;EDATE(DATE($B$2,4,1),1),PAGOS!$H$2:$H$996,"*TERMINAL*")+SUMIFS(PAGOS!$J$2:$J$996,PAGOS!$I$2:$I$996,"&gt;="&amp;DATE($B$2,4,1),PAGOS!$I$2:$I$996,"&lt;"&amp;EDATE(DATE($B$2,4,1),1),PAGOS!$K$2:$K$996,"*TERMINAL*")+SUMIFS(PAGOS!$M$2:$M$996,PAGOS!$L$2:$L$996,"&gt;="&amp;DATE($B$2,4,1),PAGOS!$L$2:$L$996,"&lt;"&amp;EDATE(DATE($B$2,4,1),1),PAGOS!$N$2:$N$996,"*TERMINAL*")+SUMIFS(PAGOS!$P$2:$P$996,PAGOS!$O$2:$O$996,"&gt;="&amp;DATE($B$2,4,1),PAGOS!$O$2:$O$996,"&lt;"&amp;EDATE(DATE($B$2,4,1),1),PAGOS!$Q$2:$Q$996,"*TERMINAL*")+SUMIFS(PAGOS!$S$2:$S$996,PAGOS!$R$2:$R$996,"&gt;="&amp;DATE($B$2,4,1),PAGOS!$R$2:$R$996,"&lt;"&amp;EDATE(DATE($B$2,4,1),1),PAGOS!$T$2:$T$996,"*TERMINAL*")+SUMIFS(PAGOS!$V$2:$V$996,PAGOS!$U$2:$U$996,"&gt;="&amp;DATE($B$2,4,1),PAGOS!$U$2:$U$996,"&lt;"&amp;EDATE(DATE($B$2,4,1),1),PAGOS!$W$2:$W$996,"*TERMINAL*")+SUMIFS(PAGOS!$Y$2:$Y$996,PAGOS!$X$2:$X$996,"&gt;="&amp;DATE($B$2,4,1),PAGOS!$X$2:$X$996,"&lt;"&amp;EDATE(DATE($B$2,4,1),1),PAGOS!$Z$2:$Z$996,"*TERMINAL*")+SUMIFS(PAGOS!$AB$2:$AB$996,PAGOS!$AA$2:$AA$996,"&gt;="&amp;DATE($B$2,4,1),PAGOS!$AA$2:$AA$996,"&lt;"&amp;EDATE(DATE($B$2,4,1),1),PAGOS!$AC$2:$AC$996,"*TERMINAL*")+SUMIFS(PAGOS!$AE$2:$AE$996,PAGOS!$AD$2:$AD$996,"&gt;="&amp;DATE($B$2,4,1),PAGOS!$AD$2:$AD$996,"&lt;"&amp;EDATE(DATE($B$2,4,1),1),PAGOS!$AF$2:$AF$996,"*TERMINAL*")+SUMIFS(PAGOS!$AH$2:$AH$996,PAGOS!$AG$2:$AG$996,"&gt;="&amp;DATE($B$2,4,1),PAGOS!$AG$2:$AG$996,"&lt;"&amp;EDATE(DATE($B$2,4,1),1),PAGOS!$AI$2:$AI$996,"*TERMINAL*")+SUMIFS(PAGOS!$AK$2:$AK$996,PAGOS!$AJ$2:$AJ$996,"&gt;="&amp;DATE($B$2,4,1),PAGOS!$AJ$2:$AJ$996,"&lt;"&amp;EDATE(DATE($B$2,4,1),1),PAGOS!$AL$2:$AL$996,"*TERMINAL*")+SUMIFS('OTROS INGRESOS'!$F$5:$F30,'OTROS INGRESOS'!$A$5:$A30,"&gt;="&amp;DATE($B$2,4,1),'OTROS INGRESOS'!$A$5:$A30,"&lt;"&amp;EDATE(DATE($B$2,4,1),1),'OTROS INGRESOS'!$E$5:$E30,"*TERMINAL*")+SUMIFS('ABONOS MENSUALIDADES'!$F$5:$F$500,'ABONOS MENSUALIDADES'!$A$5:$A$500,"&gt;="&amp;DATE($B$2,4,1),'ABONOS MENSUALIDADES'!$A$5:$A$500,"&lt;"&amp;EDATE(DATE($B$2,4,1),1),'ABONOS MENSUALIDADES'!$E$5:$E$500,"*TERMINAL*",'ABONOS MENSUALIDADES'!$G$5:$G$500,"&lt;&gt;*CONSOLIDADO EN PAGOS*")</f>
        <v>4350</v>
      </c>
      <c r="E8" s="247">
        <f t="shared" si="1"/>
        <v>4350</v>
      </c>
      <c r="F8" s="247">
        <f>SUMIFS(PAGOS!$G$2:$G$996,PAGOS!$F$2:$F$996,"&gt;="&amp;DATE($B$2,4,1),PAGOS!$F$2:$F$996,"&lt;"&amp;EDATE(DATE($B$2,4,1),1),PAGOS!$H$2:$H$996,"*TRANSFERENCIA*")+SUMIFS(PAGOS!$J$2:$J$996,PAGOS!$I$2:$I$996,"&gt;="&amp;DATE($B$2,4,1),PAGOS!$I$2:$I$996,"&lt;"&amp;EDATE(DATE($B$2,4,1),1),PAGOS!$K$2:$K$996,"*TRANSFERENCIA*")+SUMIFS(PAGOS!$M$2:$M$996,PAGOS!$L$2:$L$996,"&gt;="&amp;DATE($B$2,4,1),PAGOS!$L$2:$L$996,"&lt;"&amp;EDATE(DATE($B$2,4,1),1),PAGOS!$N$2:$N$996,"*TRANSFERENCIA*")+SUMIFS(PAGOS!$P$2:$P$996,PAGOS!$O$2:$O$996,"&gt;="&amp;DATE($B$2,4,1),PAGOS!$O$2:$O$996,"&lt;"&amp;EDATE(DATE($B$2,4,1),1),PAGOS!$Q$2:$Q$996,"*TRANSFERENCIA*")+SUMIFS(PAGOS!$S$2:$S$996,PAGOS!$R$2:$R$996,"&gt;="&amp;DATE($B$2,4,1),PAGOS!$R$2:$R$996,"&lt;"&amp;EDATE(DATE($B$2,4,1),1),PAGOS!$T$2:$T$996,"*TRANSFERENCIA*")+SUMIFS(PAGOS!$V$2:$V$996,PAGOS!$U$2:$U$996,"&gt;="&amp;DATE($B$2,4,1),PAGOS!$U$2:$U$996,"&lt;"&amp;EDATE(DATE($B$2,4,1),1),PAGOS!$W$2:$W$996,"*TRANSFERENCIA*")+SUMIFS(PAGOS!$Y$2:$Y$996,PAGOS!$X$2:$X$996,"&gt;="&amp;DATE($B$2,4,1),PAGOS!$X$2:$X$996,"&lt;"&amp;EDATE(DATE($B$2,4,1),1),PAGOS!$Z$2:$Z$996,"*TRANSFERENCIA*")+SUMIFS(PAGOS!$AB$2:$AB$996,PAGOS!$AA$2:$AA$996,"&gt;="&amp;DATE($B$2,4,1),PAGOS!$AA$2:$AA$996,"&lt;"&amp;EDATE(DATE($B$2,4,1),1),PAGOS!$AC$2:$AC$996,"*TRANSFERENCIA*")+SUMIFS(PAGOS!$AE$2:$AE$996,PAGOS!$AD$2:$AD$996,"&gt;="&amp;DATE($B$2,4,1),PAGOS!$AD$2:$AD$996,"&lt;"&amp;EDATE(DATE($B$2,4,1),1),PAGOS!$AF$2:$AF$996,"*TRANSFERENCIA*")+SUMIFS(PAGOS!$AH$2:$AH$996,PAGOS!$AG$2:$AG$996,"&gt;="&amp;DATE($B$2,4,1),PAGOS!$AG$2:$AG$996,"&lt;"&amp;EDATE(DATE($B$2,4,1),1),PAGOS!$AI$2:$AI$996,"*TRANSFERENCIA*")+SUMIFS(PAGOS!$AK$2:$AK$996,PAGOS!$AJ$2:$AJ$996,"&gt;="&amp;DATE($B$2,4,1),PAGOS!$AJ$2:$AJ$996,"&lt;"&amp;EDATE(DATE($B$2,4,1),1),PAGOS!$AL$2:$AL$996,"*TRANSFERENCIA*")+SUMIFS('OTROS INGRESOS'!$F$5:$F30,'OTROS INGRESOS'!$A$5:$A30,"&gt;="&amp;DATE($B$2,4,1),'OTROS INGRESOS'!$A$5:$A30,"&lt;"&amp;EDATE(DATE($B$2,4,1),1),'OTROS INGRESOS'!$E$5:$E30,"*TRANSFERENCIA*")+SUMIFS('ABONOS MENSUALIDADES'!$F$5:$F$500,'ABONOS MENSUALIDADES'!$A$5:$A$500,"&gt;="&amp;DATE($B$2,4,1),'ABONOS MENSUALIDADES'!$A$5:$A$500,"&lt;"&amp;EDATE(DATE($B$2,4,1),1),'ABONOS MENSUALIDADES'!$E$5:$E$500,"*TRANSFERENCIA*",'ABONOS MENSUALIDADES'!$G$5:$G$500,"&lt;&gt;*CONSOLIDADO EN PAGOS*")</f>
        <v>19825</v>
      </c>
      <c r="G8" s="247">
        <f t="shared" si="2"/>
        <v>19825</v>
      </c>
      <c r="H8" s="247">
        <f t="shared" si="3"/>
        <v>0</v>
      </c>
      <c r="I8" s="247">
        <f t="shared" si="4"/>
        <v>0</v>
      </c>
      <c r="J8" s="247">
        <f t="shared" si="5"/>
        <v>33220</v>
      </c>
      <c r="K8" s="247">
        <f>SUMIFS(EGRESOS!$G$5:$G30,EGRESOS!$A$5:$A30,"&gt;="&amp;DATE($B$2,4,1),EGRESOS!$A$5:$A30,"&lt;"&amp;EDATE(DATE($B$2,4,1),1))</f>
        <v>0</v>
      </c>
      <c r="L8" s="247">
        <f t="shared" si="6"/>
        <v>33220</v>
      </c>
      <c r="M8" s="247">
        <f>SUMIFS('GASTOS FIJOS'!$D$4:$D$80,'GASTOS FIJOS'!$G$4:$G$80,TRUE,'GASTOS FIJOS'!$J$4:$J$80,"&lt;="&amp;EOMONTH(DATE($B$2,4,1),0),'GASTOS FIJOS'!$K$4:$K$80,"&gt;="&amp;DATE($B$2,4,1))</f>
        <v>41166</v>
      </c>
      <c r="N8" s="247">
        <f t="shared" si="7"/>
        <v>-7946</v>
      </c>
      <c r="O8" s="247">
        <f>SUMPRODUCT((EGRESOS!$A$5:$A$502&gt;=DATE($B$2,ROW()-4,1))*(EGRESOS!$A$5:$A$502&lt;EDATE(DATE($B$2,ROW()-4,1),1))*(EGRESOS!$H$5:$H$502=TRUE)*(EGRESOS!$G$5:$G$502-EGRESOS!$G$5:$G$502/1.16))</f>
        <v>0</v>
      </c>
      <c r="P8" s="247">
        <f t="shared" si="8"/>
        <v>0</v>
      </c>
    </row>
    <row r="9" ht="22.5" customHeight="1">
      <c r="A9" s="194" t="s">
        <v>58</v>
      </c>
      <c r="B9" s="247">
        <f>SUMIFS(PAGOS!$E$2:$E$996,PAGOS!$D$2:$D$996,"&gt;="&amp;DATE($B$2,5,1),PAGOS!$D$2:$D$996,"&lt;"&amp;EDATE(DATE($B$2,5,1),1))+SUMIFS(PAGOS!$G$2:$G$996,PAGOS!$F$2:$F$996,"&gt;="&amp;DATE($B$2,5,1),PAGOS!$F$2:$F$996,"&lt;"&amp;EDATE(DATE($B$2,5,1),1),PAGOS!$H$2:$H$996,"&lt;&gt;MIXTO (ABONOS)")+SUMIFS(PAGOS!$J$2:$J$996,PAGOS!$I$2:$I$996,"&gt;="&amp;DATE($B$2,5,1),PAGOS!$I$2:$I$996,"&lt;"&amp;EDATE(DATE($B$2,5,1),1),PAGOS!$K$2:$K$996,"&lt;&gt;MIXTO (ABONOS)")+SUMIFS(PAGOS!$M$2:$M$996,PAGOS!$L$2:$L$996,"&gt;="&amp;DATE($B$2,5,1),PAGOS!$L$2:$L$996,"&lt;"&amp;EDATE(DATE($B$2,5,1),1),PAGOS!$N$2:$N$996,"&lt;&gt;MIXTO (ABONOS)")+SUMIFS(PAGOS!$P$2:$P$996,PAGOS!$O$2:$O$996,"&gt;="&amp;DATE($B$2,5,1),PAGOS!$O$2:$O$996,"&lt;"&amp;EDATE(DATE($B$2,5,1),1),PAGOS!$Q$2:$Q$996,"&lt;&gt;MIXTO (ABONOS)")+SUMIFS(PAGOS!$S$2:$S$996,PAGOS!$R$2:$R$996,"&gt;="&amp;DATE($B$2,5,1),PAGOS!$R$2:$R$996,"&lt;"&amp;EDATE(DATE($B$2,5,1),1),PAGOS!$T$2:$T$996,"&lt;&gt;MIXTO (ABONOS)")+SUMIFS(PAGOS!$V$2:$V$996,PAGOS!$U$2:$U$996,"&gt;="&amp;DATE($B$2,5,1),PAGOS!$U$2:$U$996,"&lt;"&amp;EDATE(DATE($B$2,5,1),1),PAGOS!$W$2:$W$996,"&lt;&gt;MIXTO (ABONOS)")+SUMIFS(PAGOS!$Y$2:$Y$996,PAGOS!$X$2:$X$996,"&gt;="&amp;DATE($B$2,5,1),PAGOS!$X$2:$X$996,"&lt;"&amp;EDATE(DATE($B$2,5,1),1),PAGOS!$Z$2:$Z$996,"&lt;&gt;MIXTO (ABONOS)")+SUMIFS(PAGOS!$AB$2:$AB$996,PAGOS!$AA$2:$AA$996,"&gt;="&amp;DATE($B$2,5,1),PAGOS!$AA$2:$AA$996,"&lt;"&amp;EDATE(DATE($B$2,5,1),1),PAGOS!$AC$2:$AC$996,"&lt;&gt;MIXTO (ABONOS)")+SUMIFS(PAGOS!$AE$2:$AE$996,PAGOS!$AD$2:$AD$996,"&gt;="&amp;DATE($B$2,5,1),PAGOS!$AD$2:$AD$996,"&lt;"&amp;EDATE(DATE($B$2,5,1),1),PAGOS!$AF$2:$AF$996,"&lt;&gt;MIXTO (ABONOS)")+SUMIFS(PAGOS!$AH$2:$AH$996,PAGOS!$AG$2:$AG$996,"&gt;="&amp;DATE($B$2,5,1),PAGOS!$AG$2:$AG$996,"&lt;"&amp;EDATE(DATE($B$2,5,1),1),PAGOS!$AI$2:$AI$996,"&lt;&gt;MIXTO (ABONOS)")+SUMIFS(PAGOS!$AK$2:$AK$996,PAGOS!$AJ$2:$AJ$996,"&gt;="&amp;DATE($B$2,5,1),PAGOS!$AJ$2:$AJ$996,"&lt;"&amp;EDATE(DATE($B$2,5,1),1),PAGOS!$AL$2:$AL$996,"&lt;&gt;MIXTO (ABONOS)")+SUMIFS('OTROS INGRESOS'!$F$5:$F30,'OTROS INGRESOS'!$A$5:$A30,"&gt;="&amp;DATE($B$2,5,1),'OTROS INGRESOS'!$A$5:$A30,"&lt;"&amp;EDATE(DATE($B$2,5,1),1))+SUMIFS('ABONOS MENSUALIDADES'!$F$5:$F$500,'ABONOS MENSUALIDADES'!$A$5:$A$500,"&gt;="&amp;DATE($B$2,5,1),'ABONOS MENSUALIDADES'!$A$5:$A$500,"&lt;"&amp;EDATE(DATE($B$2,5,1),1),'ABONOS MENSUALIDADES'!$G$5:$G$500,"&lt;&gt;*CONSOLIDADO EN PAGOS*")</f>
        <v>34550</v>
      </c>
      <c r="C9" s="247">
        <f>SUMIFS(PAGOS!$G$2:$G$996,PAGOS!$F$2:$F$996,"&gt;="&amp;DATE($B$2,5,1),PAGOS!$F$2:$F$996,"&lt;"&amp;EDATE(DATE($B$2,5,1),1),PAGOS!$H$2:$H$996,"*EFECTIVO*")+SUMIFS(PAGOS!$J$2:$J$996,PAGOS!$I$2:$I$996,"&gt;="&amp;DATE($B$2,5,1),PAGOS!$I$2:$I$996,"&lt;"&amp;EDATE(DATE($B$2,5,1),1),PAGOS!$K$2:$K$996,"*EFECTIVO*")+SUMIFS(PAGOS!$M$2:$M$996,PAGOS!$L$2:$L$996,"&gt;="&amp;DATE($B$2,5,1),PAGOS!$L$2:$L$996,"&lt;"&amp;EDATE(DATE($B$2,5,1),1),PAGOS!$N$2:$N$996,"*EFECTIVO*")+SUMIFS(PAGOS!$P$2:$P$996,PAGOS!$O$2:$O$996,"&gt;="&amp;DATE($B$2,5,1),PAGOS!$O$2:$O$996,"&lt;"&amp;EDATE(DATE($B$2,5,1),1),PAGOS!$Q$2:$Q$996,"*EFECTIVO*")+SUMIFS(PAGOS!$S$2:$S$996,PAGOS!$R$2:$R$996,"&gt;="&amp;DATE($B$2,5,1),PAGOS!$R$2:$R$996,"&lt;"&amp;EDATE(DATE($B$2,5,1),1),PAGOS!$T$2:$T$996,"*EFECTIVO*")+SUMIFS(PAGOS!$V$2:$V$996,PAGOS!$U$2:$U$996,"&gt;="&amp;DATE($B$2,5,1),PAGOS!$U$2:$U$996,"&lt;"&amp;EDATE(DATE($B$2,5,1),1),PAGOS!$W$2:$W$996,"*EFECTIVO*")+SUMIFS(PAGOS!$Y$2:$Y$996,PAGOS!$X$2:$X$996,"&gt;="&amp;DATE($B$2,5,1),PAGOS!$X$2:$X$996,"&lt;"&amp;EDATE(DATE($B$2,5,1),1),PAGOS!$Z$2:$Z$996,"*EFECTIVO*")+SUMIFS(PAGOS!$AB$2:$AB$996,PAGOS!$AA$2:$AA$996,"&gt;="&amp;DATE($B$2,5,1),PAGOS!$AA$2:$AA$996,"&lt;"&amp;EDATE(DATE($B$2,5,1),1),PAGOS!$AC$2:$AC$996,"*EFECTIVO*")+SUMIFS(PAGOS!$AE$2:$AE$996,PAGOS!$AD$2:$AD$996,"&gt;="&amp;DATE($B$2,5,1),PAGOS!$AD$2:$AD$996,"&lt;"&amp;EDATE(DATE($B$2,5,1),1),PAGOS!$AF$2:$AF$996,"*EFECTIVO*")+SUMIFS(PAGOS!$AH$2:$AH$996,PAGOS!$AG$2:$AG$996,"&gt;="&amp;DATE($B$2,5,1),PAGOS!$AG$2:$AG$996,"&lt;"&amp;EDATE(DATE($B$2,5,1),1),PAGOS!$AI$2:$AI$996,"*EFECTIVO*")+SUMIFS(PAGOS!$AK$2:$AK$996,PAGOS!$AJ$2:$AJ$996,"&gt;="&amp;DATE($B$2,5,1),PAGOS!$AJ$2:$AJ$996,"&lt;"&amp;EDATE(DATE($B$2,5,1),1),PAGOS!$AL$2:$AL$996,"*EFECTIVO*")+SUMIFS('OTROS INGRESOS'!$F$5:$F30,'OTROS INGRESOS'!$A$5:$A30,"&gt;="&amp;DATE($B$2,5,1),'OTROS INGRESOS'!$A$5:$A30,"&lt;"&amp;EDATE(DATE($B$2,5,1),1),'OTROS INGRESOS'!$E$5:$E30,"*EFECTIVO*")+SUMIFS('ABONOS MENSUALIDADES'!$F$5:$F$500,'ABONOS MENSUALIDADES'!$A$5:$A$500,"&gt;="&amp;DATE($B$2,5,1),'ABONOS MENSUALIDADES'!$A$5:$A$500,"&lt;"&amp;EDATE(DATE($B$2,5,1),1),'ABONOS MENSUALIDADES'!$E$5:$E$500,"*EFECTIVO*",'ABONOS MENSUALIDADES'!$G$5:$G$500,"&lt;&gt;*CONSOLIDADO EN PAGOS*")</f>
        <v>14450</v>
      </c>
      <c r="D9" s="247">
        <f>SUMIFS(PAGOS!$G$2:$G$996,PAGOS!$F$2:$F$996,"&gt;="&amp;DATE($B$2,5,1),PAGOS!$F$2:$F$996,"&lt;"&amp;EDATE(DATE($B$2,5,1),1),PAGOS!$H$2:$H$996,"*TERMINAL*")+SUMIFS(PAGOS!$J$2:$J$996,PAGOS!$I$2:$I$996,"&gt;="&amp;DATE($B$2,5,1),PAGOS!$I$2:$I$996,"&lt;"&amp;EDATE(DATE($B$2,5,1),1),PAGOS!$K$2:$K$996,"*TERMINAL*")+SUMIFS(PAGOS!$M$2:$M$996,PAGOS!$L$2:$L$996,"&gt;="&amp;DATE($B$2,5,1),PAGOS!$L$2:$L$996,"&lt;"&amp;EDATE(DATE($B$2,5,1),1),PAGOS!$N$2:$N$996,"*TERMINAL*")+SUMIFS(PAGOS!$P$2:$P$996,PAGOS!$O$2:$O$996,"&gt;="&amp;DATE($B$2,5,1),PAGOS!$O$2:$O$996,"&lt;"&amp;EDATE(DATE($B$2,5,1),1),PAGOS!$Q$2:$Q$996,"*TERMINAL*")+SUMIFS(PAGOS!$S$2:$S$996,PAGOS!$R$2:$R$996,"&gt;="&amp;DATE($B$2,5,1),PAGOS!$R$2:$R$996,"&lt;"&amp;EDATE(DATE($B$2,5,1),1),PAGOS!$T$2:$T$996,"*TERMINAL*")+SUMIFS(PAGOS!$V$2:$V$996,PAGOS!$U$2:$U$996,"&gt;="&amp;DATE($B$2,5,1),PAGOS!$U$2:$U$996,"&lt;"&amp;EDATE(DATE($B$2,5,1),1),PAGOS!$W$2:$W$996,"*TERMINAL*")+SUMIFS(PAGOS!$Y$2:$Y$996,PAGOS!$X$2:$X$996,"&gt;="&amp;DATE($B$2,5,1),PAGOS!$X$2:$X$996,"&lt;"&amp;EDATE(DATE($B$2,5,1),1),PAGOS!$Z$2:$Z$996,"*TERMINAL*")+SUMIFS(PAGOS!$AB$2:$AB$996,PAGOS!$AA$2:$AA$996,"&gt;="&amp;DATE($B$2,5,1),PAGOS!$AA$2:$AA$996,"&lt;"&amp;EDATE(DATE($B$2,5,1),1),PAGOS!$AC$2:$AC$996,"*TERMINAL*")+SUMIFS(PAGOS!$AE$2:$AE$996,PAGOS!$AD$2:$AD$996,"&gt;="&amp;DATE($B$2,5,1),PAGOS!$AD$2:$AD$996,"&lt;"&amp;EDATE(DATE($B$2,5,1),1),PAGOS!$AF$2:$AF$996,"*TERMINAL*")+SUMIFS(PAGOS!$AH$2:$AH$996,PAGOS!$AG$2:$AG$996,"&gt;="&amp;DATE($B$2,5,1),PAGOS!$AG$2:$AG$996,"&lt;"&amp;EDATE(DATE($B$2,5,1),1),PAGOS!$AI$2:$AI$996,"*TERMINAL*")+SUMIFS(PAGOS!$AK$2:$AK$996,PAGOS!$AJ$2:$AJ$996,"&gt;="&amp;DATE($B$2,5,1),PAGOS!$AJ$2:$AJ$996,"&lt;"&amp;EDATE(DATE($B$2,5,1),1),PAGOS!$AL$2:$AL$996,"*TERMINAL*")+SUMIFS('OTROS INGRESOS'!$F$5:$F30,'OTROS INGRESOS'!$A$5:$A30,"&gt;="&amp;DATE($B$2,5,1),'OTROS INGRESOS'!$A$5:$A30,"&lt;"&amp;EDATE(DATE($B$2,5,1),1),'OTROS INGRESOS'!$E$5:$E30,"*TERMINAL*")+SUMIFS('ABONOS MENSUALIDADES'!$F$5:$F$500,'ABONOS MENSUALIDADES'!$A$5:$A$500,"&gt;="&amp;DATE($B$2,5,1),'ABONOS MENSUALIDADES'!$A$5:$A$500,"&lt;"&amp;EDATE(DATE($B$2,5,1),1),'ABONOS MENSUALIDADES'!$E$5:$E$500,"*TERMINAL*",'ABONOS MENSUALIDADES'!$G$5:$G$500,"&lt;&gt;*CONSOLIDADO EN PAGOS*")</f>
        <v>4700</v>
      </c>
      <c r="E9" s="247">
        <f t="shared" si="1"/>
        <v>4700</v>
      </c>
      <c r="F9" s="247">
        <f>SUMIFS(PAGOS!$G$2:$G$996,PAGOS!$F$2:$F$996,"&gt;="&amp;DATE($B$2,5,1),PAGOS!$F$2:$F$996,"&lt;"&amp;EDATE(DATE($B$2,5,1),1),PAGOS!$H$2:$H$996,"*TRANSFERENCIA*")+SUMIFS(PAGOS!$J$2:$J$996,PAGOS!$I$2:$I$996,"&gt;="&amp;DATE($B$2,5,1),PAGOS!$I$2:$I$996,"&lt;"&amp;EDATE(DATE($B$2,5,1),1),PAGOS!$K$2:$K$996,"*TRANSFERENCIA*")+SUMIFS(PAGOS!$M$2:$M$996,PAGOS!$L$2:$L$996,"&gt;="&amp;DATE($B$2,5,1),PAGOS!$L$2:$L$996,"&lt;"&amp;EDATE(DATE($B$2,5,1),1),PAGOS!$N$2:$N$996,"*TRANSFERENCIA*")+SUMIFS(PAGOS!$P$2:$P$996,PAGOS!$O$2:$O$996,"&gt;="&amp;DATE($B$2,5,1),PAGOS!$O$2:$O$996,"&lt;"&amp;EDATE(DATE($B$2,5,1),1),PAGOS!$Q$2:$Q$996,"*TRANSFERENCIA*")+SUMIFS(PAGOS!$S$2:$S$996,PAGOS!$R$2:$R$996,"&gt;="&amp;DATE($B$2,5,1),PAGOS!$R$2:$R$996,"&lt;"&amp;EDATE(DATE($B$2,5,1),1),PAGOS!$T$2:$T$996,"*TRANSFERENCIA*")+SUMIFS(PAGOS!$V$2:$V$996,PAGOS!$U$2:$U$996,"&gt;="&amp;DATE($B$2,5,1),PAGOS!$U$2:$U$996,"&lt;"&amp;EDATE(DATE($B$2,5,1),1),PAGOS!$W$2:$W$996,"*TRANSFERENCIA*")+SUMIFS(PAGOS!$Y$2:$Y$996,PAGOS!$X$2:$X$996,"&gt;="&amp;DATE($B$2,5,1),PAGOS!$X$2:$X$996,"&lt;"&amp;EDATE(DATE($B$2,5,1),1),PAGOS!$Z$2:$Z$996,"*TRANSFERENCIA*")+SUMIFS(PAGOS!$AB$2:$AB$996,PAGOS!$AA$2:$AA$996,"&gt;="&amp;DATE($B$2,5,1),PAGOS!$AA$2:$AA$996,"&lt;"&amp;EDATE(DATE($B$2,5,1),1),PAGOS!$AC$2:$AC$996,"*TRANSFERENCIA*")+SUMIFS(PAGOS!$AE$2:$AE$996,PAGOS!$AD$2:$AD$996,"&gt;="&amp;DATE($B$2,5,1),PAGOS!$AD$2:$AD$996,"&lt;"&amp;EDATE(DATE($B$2,5,1),1),PAGOS!$AF$2:$AF$996,"*TRANSFERENCIA*")+SUMIFS(PAGOS!$AH$2:$AH$996,PAGOS!$AG$2:$AG$996,"&gt;="&amp;DATE($B$2,5,1),PAGOS!$AG$2:$AG$996,"&lt;"&amp;EDATE(DATE($B$2,5,1),1),PAGOS!$AI$2:$AI$996,"*TRANSFERENCIA*")+SUMIFS(PAGOS!$AK$2:$AK$996,PAGOS!$AJ$2:$AJ$996,"&gt;="&amp;DATE($B$2,5,1),PAGOS!$AJ$2:$AJ$996,"&lt;"&amp;EDATE(DATE($B$2,5,1),1),PAGOS!$AL$2:$AL$996,"*TRANSFERENCIA*")+SUMIFS('OTROS INGRESOS'!$F$5:$F30,'OTROS INGRESOS'!$A$5:$A30,"&gt;="&amp;DATE($B$2,5,1),'OTROS INGRESOS'!$A$5:$A30,"&lt;"&amp;EDATE(DATE($B$2,5,1),1),'OTROS INGRESOS'!$E$5:$E30,"*TRANSFERENCIA*")+SUMIFS('ABONOS MENSUALIDADES'!$F$5:$F$500,'ABONOS MENSUALIDADES'!$A$5:$A$500,"&gt;="&amp;DATE($B$2,5,1),'ABONOS MENSUALIDADES'!$A$5:$A$500,"&lt;"&amp;EDATE(DATE($B$2,5,1),1),'ABONOS MENSUALIDADES'!$E$5:$E$500,"*TRANSFERENCIA*",'ABONOS MENSUALIDADES'!$G$5:$G$500,"&lt;&gt;*CONSOLIDADO EN PAGOS*")</f>
        <v>15400</v>
      </c>
      <c r="G9" s="247">
        <f t="shared" si="2"/>
        <v>15400</v>
      </c>
      <c r="H9" s="247">
        <f t="shared" si="3"/>
        <v>0</v>
      </c>
      <c r="I9" s="247">
        <f t="shared" si="4"/>
        <v>0</v>
      </c>
      <c r="J9" s="247">
        <f t="shared" si="5"/>
        <v>34550</v>
      </c>
      <c r="K9" s="247">
        <f>SUMIFS(EGRESOS!$G$5:$G30,EGRESOS!$A$5:$A30,"&gt;="&amp;DATE($B$2,5,1),EGRESOS!$A$5:$A30,"&lt;"&amp;EDATE(DATE($B$2,5,1),1))</f>
        <v>0</v>
      </c>
      <c r="L9" s="247">
        <f t="shared" si="6"/>
        <v>34550</v>
      </c>
      <c r="M9" s="247">
        <f>SUMIFS('GASTOS FIJOS'!$D$4:$D$80,'GASTOS FIJOS'!$G$4:$G$80,TRUE,'GASTOS FIJOS'!$J$4:$J$80,"&lt;="&amp;EOMONTH(DATE($B$2,5,1),0),'GASTOS FIJOS'!$K$4:$K$80,"&gt;="&amp;DATE($B$2,5,1))</f>
        <v>41166</v>
      </c>
      <c r="N9" s="247">
        <f t="shared" si="7"/>
        <v>-6616</v>
      </c>
      <c r="O9" s="247">
        <f>SUMPRODUCT((EGRESOS!$A$5:$A$502&gt;=DATE($B$2,ROW()-4,1))*(EGRESOS!$A$5:$A$502&lt;EDATE(DATE($B$2,ROW()-4,1),1))*(EGRESOS!$H$5:$H$502=TRUE)*(EGRESOS!$G$5:$G$502-EGRESOS!$G$5:$G$502/1.16))</f>
        <v>0</v>
      </c>
      <c r="P9" s="247">
        <f t="shared" si="8"/>
        <v>0</v>
      </c>
    </row>
    <row r="10" ht="22.5" customHeight="1">
      <c r="A10" s="194" t="s">
        <v>63</v>
      </c>
      <c r="B10" s="247">
        <f>SUMIFS(PAGOS!$E$2:$E$996,PAGOS!$D$2:$D$996,"&gt;="&amp;DATE($B$2,6,1),PAGOS!$D$2:$D$996,"&lt;"&amp;EDATE(DATE($B$2,6,1),1))+SUMIFS(PAGOS!$G$2:$G$996,PAGOS!$F$2:$F$996,"&gt;="&amp;DATE($B$2,6,1),PAGOS!$F$2:$F$996,"&lt;"&amp;EDATE(DATE($B$2,6,1),1),PAGOS!$H$2:$H$996,"&lt;&gt;MIXTO (ABONOS)")+SUMIFS(PAGOS!$J$2:$J$996,PAGOS!$I$2:$I$996,"&gt;="&amp;DATE($B$2,6,1),PAGOS!$I$2:$I$996,"&lt;"&amp;EDATE(DATE($B$2,6,1),1),PAGOS!$K$2:$K$996,"&lt;&gt;MIXTO (ABONOS)")+SUMIFS(PAGOS!$M$2:$M$996,PAGOS!$L$2:$L$996,"&gt;="&amp;DATE($B$2,6,1),PAGOS!$L$2:$L$996,"&lt;"&amp;EDATE(DATE($B$2,6,1),1),PAGOS!$N$2:$N$996,"&lt;&gt;MIXTO (ABONOS)")+SUMIFS(PAGOS!$P$2:$P$996,PAGOS!$O$2:$O$996,"&gt;="&amp;DATE($B$2,6,1),PAGOS!$O$2:$O$996,"&lt;"&amp;EDATE(DATE($B$2,6,1),1),PAGOS!$Q$2:$Q$996,"&lt;&gt;MIXTO (ABONOS)")+SUMIFS(PAGOS!$S$2:$S$996,PAGOS!$R$2:$R$996,"&gt;="&amp;DATE($B$2,6,1),PAGOS!$R$2:$R$996,"&lt;"&amp;EDATE(DATE($B$2,6,1),1),PAGOS!$T$2:$T$996,"&lt;&gt;MIXTO (ABONOS)")+SUMIFS(PAGOS!$V$2:$V$996,PAGOS!$U$2:$U$996,"&gt;="&amp;DATE($B$2,6,1),PAGOS!$U$2:$U$996,"&lt;"&amp;EDATE(DATE($B$2,6,1),1),PAGOS!$W$2:$W$996,"&lt;&gt;MIXTO (ABONOS)")+SUMIFS(PAGOS!$Y$2:$Y$996,PAGOS!$X$2:$X$996,"&gt;="&amp;DATE($B$2,6,1),PAGOS!$X$2:$X$996,"&lt;"&amp;EDATE(DATE($B$2,6,1),1),PAGOS!$Z$2:$Z$996,"&lt;&gt;MIXTO (ABONOS)")+SUMIFS(PAGOS!$AB$2:$AB$996,PAGOS!$AA$2:$AA$996,"&gt;="&amp;DATE($B$2,6,1),PAGOS!$AA$2:$AA$996,"&lt;"&amp;EDATE(DATE($B$2,6,1),1),PAGOS!$AC$2:$AC$996,"&lt;&gt;MIXTO (ABONOS)")+SUMIFS(PAGOS!$AE$2:$AE$996,PAGOS!$AD$2:$AD$996,"&gt;="&amp;DATE($B$2,6,1),PAGOS!$AD$2:$AD$996,"&lt;"&amp;EDATE(DATE($B$2,6,1),1),PAGOS!$AF$2:$AF$996,"&lt;&gt;MIXTO (ABONOS)")+SUMIFS(PAGOS!$AH$2:$AH$996,PAGOS!$AG$2:$AG$996,"&gt;="&amp;DATE($B$2,6,1),PAGOS!$AG$2:$AG$996,"&lt;"&amp;EDATE(DATE($B$2,6,1),1),PAGOS!$AI$2:$AI$996,"&lt;&gt;MIXTO (ABONOS)")+SUMIFS(PAGOS!$AK$2:$AK$996,PAGOS!$AJ$2:$AJ$996,"&gt;="&amp;DATE($B$2,6,1),PAGOS!$AJ$2:$AJ$996,"&lt;"&amp;EDATE(DATE($B$2,6,1),1),PAGOS!$AL$2:$AL$996,"&lt;&gt;MIXTO (ABONOS)")+SUMIFS('OTROS INGRESOS'!$F$5:$F30,'OTROS INGRESOS'!$A$5:$A30,"&gt;="&amp;DATE($B$2,6,1),'OTROS INGRESOS'!$A$5:$A30,"&lt;"&amp;EDATE(DATE($B$2,6,1),1))+SUMIFS('ABONOS MENSUALIDADES'!$F$5:$F$500,'ABONOS MENSUALIDADES'!$A$5:$A$500,"&gt;="&amp;DATE($B$2,6,1),'ABONOS MENSUALIDADES'!$A$5:$A$500,"&lt;"&amp;EDATE(DATE($B$2,6,1),1),'ABONOS MENSUALIDADES'!$G$5:$G$500,"&lt;&gt;*CONSOLIDADO EN PAGOS*")</f>
        <v>38950</v>
      </c>
      <c r="C10" s="247">
        <f>SUMIFS(PAGOS!$G$2:$G$996,PAGOS!$F$2:$F$996,"&gt;="&amp;DATE($B$2,6,1),PAGOS!$F$2:$F$996,"&lt;"&amp;EDATE(DATE($B$2,6,1),1),PAGOS!$H$2:$H$996,"*EFECTIVO*")+SUMIFS(PAGOS!$J$2:$J$996,PAGOS!$I$2:$I$996,"&gt;="&amp;DATE($B$2,6,1),PAGOS!$I$2:$I$996,"&lt;"&amp;EDATE(DATE($B$2,6,1),1),PAGOS!$K$2:$K$996,"*EFECTIVO*")+SUMIFS(PAGOS!$M$2:$M$996,PAGOS!$L$2:$L$996,"&gt;="&amp;DATE($B$2,6,1),PAGOS!$L$2:$L$996,"&lt;"&amp;EDATE(DATE($B$2,6,1),1),PAGOS!$N$2:$N$996,"*EFECTIVO*")+SUMIFS(PAGOS!$P$2:$P$996,PAGOS!$O$2:$O$996,"&gt;="&amp;DATE($B$2,6,1),PAGOS!$O$2:$O$996,"&lt;"&amp;EDATE(DATE($B$2,6,1),1),PAGOS!$Q$2:$Q$996,"*EFECTIVO*")+SUMIFS(PAGOS!$S$2:$S$996,PAGOS!$R$2:$R$996,"&gt;="&amp;DATE($B$2,6,1),PAGOS!$R$2:$R$996,"&lt;"&amp;EDATE(DATE($B$2,6,1),1),PAGOS!$T$2:$T$996,"*EFECTIVO*")+SUMIFS(PAGOS!$V$2:$V$996,PAGOS!$U$2:$U$996,"&gt;="&amp;DATE($B$2,6,1),PAGOS!$U$2:$U$996,"&lt;"&amp;EDATE(DATE($B$2,6,1),1),PAGOS!$W$2:$W$996,"*EFECTIVO*")+SUMIFS(PAGOS!$Y$2:$Y$996,PAGOS!$X$2:$X$996,"&gt;="&amp;DATE($B$2,6,1),PAGOS!$X$2:$X$996,"&lt;"&amp;EDATE(DATE($B$2,6,1),1),PAGOS!$Z$2:$Z$996,"*EFECTIVO*")+SUMIFS(PAGOS!$AB$2:$AB$996,PAGOS!$AA$2:$AA$996,"&gt;="&amp;DATE($B$2,6,1),PAGOS!$AA$2:$AA$996,"&lt;"&amp;EDATE(DATE($B$2,6,1),1),PAGOS!$AC$2:$AC$996,"*EFECTIVO*")+SUMIFS(PAGOS!$AE$2:$AE$996,PAGOS!$AD$2:$AD$996,"&gt;="&amp;DATE($B$2,6,1),PAGOS!$AD$2:$AD$996,"&lt;"&amp;EDATE(DATE($B$2,6,1),1),PAGOS!$AF$2:$AF$996,"*EFECTIVO*")+SUMIFS(PAGOS!$AH$2:$AH$996,PAGOS!$AG$2:$AG$996,"&gt;="&amp;DATE($B$2,6,1),PAGOS!$AG$2:$AG$996,"&lt;"&amp;EDATE(DATE($B$2,6,1),1),PAGOS!$AI$2:$AI$996,"*EFECTIVO*")+SUMIFS(PAGOS!$AK$2:$AK$996,PAGOS!$AJ$2:$AJ$996,"&gt;="&amp;DATE($B$2,6,1),PAGOS!$AJ$2:$AJ$996,"&lt;"&amp;EDATE(DATE($B$2,6,1),1),PAGOS!$AL$2:$AL$996,"*EFECTIVO*")+SUMIFS('OTROS INGRESOS'!$F$5:$F30,'OTROS INGRESOS'!$A$5:$A30,"&gt;="&amp;DATE($B$2,6,1),'OTROS INGRESOS'!$A$5:$A30,"&lt;"&amp;EDATE(DATE($B$2,6,1),1),'OTROS INGRESOS'!$E$5:$E30,"*EFECTIVO*")+SUMIFS('ABONOS MENSUALIDADES'!$F$5:$F$500,'ABONOS MENSUALIDADES'!$A$5:$A$500,"&gt;="&amp;DATE($B$2,6,1),'ABONOS MENSUALIDADES'!$A$5:$A$500,"&lt;"&amp;EDATE(DATE($B$2,6,1),1),'ABONOS MENSUALIDADES'!$E$5:$E$500,"*EFECTIVO*",'ABONOS MENSUALIDADES'!$G$5:$G$500,"&lt;&gt;*CONSOLIDADO EN PAGOS*")</f>
        <v>17150</v>
      </c>
      <c r="D10" s="247">
        <f>SUMIFS(PAGOS!$G$2:$G$996,PAGOS!$F$2:$F$996,"&gt;="&amp;DATE($B$2,6,1),PAGOS!$F$2:$F$996,"&lt;"&amp;EDATE(DATE($B$2,6,1),1),PAGOS!$H$2:$H$996,"*TERMINAL*")+SUMIFS(PAGOS!$J$2:$J$996,PAGOS!$I$2:$I$996,"&gt;="&amp;DATE($B$2,6,1),PAGOS!$I$2:$I$996,"&lt;"&amp;EDATE(DATE($B$2,6,1),1),PAGOS!$K$2:$K$996,"*TERMINAL*")+SUMIFS(PAGOS!$M$2:$M$996,PAGOS!$L$2:$L$996,"&gt;="&amp;DATE($B$2,6,1),PAGOS!$L$2:$L$996,"&lt;"&amp;EDATE(DATE($B$2,6,1),1),PAGOS!$N$2:$N$996,"*TERMINAL*")+SUMIFS(PAGOS!$P$2:$P$996,PAGOS!$O$2:$O$996,"&gt;="&amp;DATE($B$2,6,1),PAGOS!$O$2:$O$996,"&lt;"&amp;EDATE(DATE($B$2,6,1),1),PAGOS!$Q$2:$Q$996,"*TERMINAL*")+SUMIFS(PAGOS!$S$2:$S$996,PAGOS!$R$2:$R$996,"&gt;="&amp;DATE($B$2,6,1),PAGOS!$R$2:$R$996,"&lt;"&amp;EDATE(DATE($B$2,6,1),1),PAGOS!$T$2:$T$996,"*TERMINAL*")+SUMIFS(PAGOS!$V$2:$V$996,PAGOS!$U$2:$U$996,"&gt;="&amp;DATE($B$2,6,1),PAGOS!$U$2:$U$996,"&lt;"&amp;EDATE(DATE($B$2,6,1),1),PAGOS!$W$2:$W$996,"*TERMINAL*")+SUMIFS(PAGOS!$Y$2:$Y$996,PAGOS!$X$2:$X$996,"&gt;="&amp;DATE($B$2,6,1),PAGOS!$X$2:$X$996,"&lt;"&amp;EDATE(DATE($B$2,6,1),1),PAGOS!$Z$2:$Z$996,"*TERMINAL*")+SUMIFS(PAGOS!$AB$2:$AB$996,PAGOS!$AA$2:$AA$996,"&gt;="&amp;DATE($B$2,6,1),PAGOS!$AA$2:$AA$996,"&lt;"&amp;EDATE(DATE($B$2,6,1),1),PAGOS!$AC$2:$AC$996,"*TERMINAL*")+SUMIFS(PAGOS!$AE$2:$AE$996,PAGOS!$AD$2:$AD$996,"&gt;="&amp;DATE($B$2,6,1),PAGOS!$AD$2:$AD$996,"&lt;"&amp;EDATE(DATE($B$2,6,1),1),PAGOS!$AF$2:$AF$996,"*TERMINAL*")+SUMIFS(PAGOS!$AH$2:$AH$996,PAGOS!$AG$2:$AG$996,"&gt;="&amp;DATE($B$2,6,1),PAGOS!$AG$2:$AG$996,"&lt;"&amp;EDATE(DATE($B$2,6,1),1),PAGOS!$AI$2:$AI$996,"*TERMINAL*")+SUMIFS(PAGOS!$AK$2:$AK$996,PAGOS!$AJ$2:$AJ$996,"&gt;="&amp;DATE($B$2,6,1),PAGOS!$AJ$2:$AJ$996,"&lt;"&amp;EDATE(DATE($B$2,6,1),1),PAGOS!$AL$2:$AL$996,"*TERMINAL*")+SUMIFS('OTROS INGRESOS'!$F$5:$F30,'OTROS INGRESOS'!$A$5:$A30,"&gt;="&amp;DATE($B$2,6,1),'OTROS INGRESOS'!$A$5:$A30,"&lt;"&amp;EDATE(DATE($B$2,6,1),1),'OTROS INGRESOS'!$E$5:$E30,"*TERMINAL*")+SUMIFS('ABONOS MENSUALIDADES'!$F$5:$F$500,'ABONOS MENSUALIDADES'!$A$5:$A$500,"&gt;="&amp;DATE($B$2,6,1),'ABONOS MENSUALIDADES'!$A$5:$A$500,"&lt;"&amp;EDATE(DATE($B$2,6,1),1),'ABONOS MENSUALIDADES'!$E$5:$E$500,"*TERMINAL*",'ABONOS MENSUALIDADES'!$G$5:$G$500,"&lt;&gt;*CONSOLIDADO EN PAGOS*")</f>
        <v>6600</v>
      </c>
      <c r="E10" s="247">
        <f t="shared" si="1"/>
        <v>6600</v>
      </c>
      <c r="F10" s="247">
        <f>SUMIFS(PAGOS!$G$2:$G$996,PAGOS!$F$2:$F$996,"&gt;="&amp;DATE($B$2,6,1),PAGOS!$F$2:$F$996,"&lt;"&amp;EDATE(DATE($B$2,6,1),1),PAGOS!$H$2:$H$996,"*TRANSFERENCIA*")+SUMIFS(PAGOS!$J$2:$J$996,PAGOS!$I$2:$I$996,"&gt;="&amp;DATE($B$2,6,1),PAGOS!$I$2:$I$996,"&lt;"&amp;EDATE(DATE($B$2,6,1),1),PAGOS!$K$2:$K$996,"*TRANSFERENCIA*")+SUMIFS(PAGOS!$M$2:$M$996,PAGOS!$L$2:$L$996,"&gt;="&amp;DATE($B$2,6,1),PAGOS!$L$2:$L$996,"&lt;"&amp;EDATE(DATE($B$2,6,1),1),PAGOS!$N$2:$N$996,"*TRANSFERENCIA*")+SUMIFS(PAGOS!$P$2:$P$996,PAGOS!$O$2:$O$996,"&gt;="&amp;DATE($B$2,6,1),PAGOS!$O$2:$O$996,"&lt;"&amp;EDATE(DATE($B$2,6,1),1),PAGOS!$Q$2:$Q$996,"*TRANSFERENCIA*")+SUMIFS(PAGOS!$S$2:$S$996,PAGOS!$R$2:$R$996,"&gt;="&amp;DATE($B$2,6,1),PAGOS!$R$2:$R$996,"&lt;"&amp;EDATE(DATE($B$2,6,1),1),PAGOS!$T$2:$T$996,"*TRANSFERENCIA*")+SUMIFS(PAGOS!$V$2:$V$996,PAGOS!$U$2:$U$996,"&gt;="&amp;DATE($B$2,6,1),PAGOS!$U$2:$U$996,"&lt;"&amp;EDATE(DATE($B$2,6,1),1),PAGOS!$W$2:$W$996,"*TRANSFERENCIA*")+SUMIFS(PAGOS!$Y$2:$Y$996,PAGOS!$X$2:$X$996,"&gt;="&amp;DATE($B$2,6,1),PAGOS!$X$2:$X$996,"&lt;"&amp;EDATE(DATE($B$2,6,1),1),PAGOS!$Z$2:$Z$996,"*TRANSFERENCIA*")+SUMIFS(PAGOS!$AB$2:$AB$996,PAGOS!$AA$2:$AA$996,"&gt;="&amp;DATE($B$2,6,1),PAGOS!$AA$2:$AA$996,"&lt;"&amp;EDATE(DATE($B$2,6,1),1),PAGOS!$AC$2:$AC$996,"*TRANSFERENCIA*")+SUMIFS(PAGOS!$AE$2:$AE$996,PAGOS!$AD$2:$AD$996,"&gt;="&amp;DATE($B$2,6,1),PAGOS!$AD$2:$AD$996,"&lt;"&amp;EDATE(DATE($B$2,6,1),1),PAGOS!$AF$2:$AF$996,"*TRANSFERENCIA*")+SUMIFS(PAGOS!$AH$2:$AH$996,PAGOS!$AG$2:$AG$996,"&gt;="&amp;DATE($B$2,6,1),PAGOS!$AG$2:$AG$996,"&lt;"&amp;EDATE(DATE($B$2,6,1),1),PAGOS!$AI$2:$AI$996,"*TRANSFERENCIA*")+SUMIFS(PAGOS!$AK$2:$AK$996,PAGOS!$AJ$2:$AJ$996,"&gt;="&amp;DATE($B$2,6,1),PAGOS!$AJ$2:$AJ$996,"&lt;"&amp;EDATE(DATE($B$2,6,1),1),PAGOS!$AL$2:$AL$996,"*TRANSFERENCIA*")+SUMIFS('OTROS INGRESOS'!$F$5:$F30,'OTROS INGRESOS'!$A$5:$A30,"&gt;="&amp;DATE($B$2,6,1),'OTROS INGRESOS'!$A$5:$A30,"&lt;"&amp;EDATE(DATE($B$2,6,1),1),'OTROS INGRESOS'!$E$5:$E30,"*TRANSFERENCIA*")+SUMIFS('ABONOS MENSUALIDADES'!$F$5:$F$500,'ABONOS MENSUALIDADES'!$A$5:$A$500,"&gt;="&amp;DATE($B$2,6,1),'ABONOS MENSUALIDADES'!$A$5:$A$500,"&lt;"&amp;EDATE(DATE($B$2,6,1),1),'ABONOS MENSUALIDADES'!$E$5:$E$500,"*TRANSFERENCIA*",'ABONOS MENSUALIDADES'!$G$5:$G$500,"&lt;&gt;*CONSOLIDADO EN PAGOS*")</f>
        <v>15200</v>
      </c>
      <c r="G10" s="247">
        <f t="shared" si="2"/>
        <v>15200</v>
      </c>
      <c r="H10" s="247">
        <f t="shared" si="3"/>
        <v>0</v>
      </c>
      <c r="I10" s="247">
        <f t="shared" si="4"/>
        <v>0</v>
      </c>
      <c r="J10" s="247">
        <f t="shared" si="5"/>
        <v>38950</v>
      </c>
      <c r="K10" s="247">
        <f>SUMIFS(EGRESOS!$G$5:$G30,EGRESOS!$A$5:$A30,"&gt;="&amp;DATE($B$2,6,1),EGRESOS!$A$5:$A30,"&lt;"&amp;EDATE(DATE($B$2,6,1),1))</f>
        <v>0</v>
      </c>
      <c r="L10" s="247">
        <f t="shared" si="6"/>
        <v>38950</v>
      </c>
      <c r="M10" s="247">
        <f>SUMIFS('GASTOS FIJOS'!$D$4:$D$80,'GASTOS FIJOS'!$G$4:$G$80,TRUE,'GASTOS FIJOS'!$J$4:$J$80,"&lt;="&amp;EOMONTH(DATE($B$2,6,1),0),'GASTOS FIJOS'!$K$4:$K$80,"&gt;="&amp;DATE($B$2,6,1))</f>
        <v>41166</v>
      </c>
      <c r="N10" s="247">
        <f t="shared" si="7"/>
        <v>-2216</v>
      </c>
      <c r="O10" s="247">
        <f>SUMPRODUCT((EGRESOS!$A$5:$A$502&gt;=DATE($B$2,ROW()-4,1))*(EGRESOS!$A$5:$A$502&lt;EDATE(DATE($B$2,ROW()-4,1),1))*(EGRESOS!$H$5:$H$502=TRUE)*(EGRESOS!$G$5:$G$502-EGRESOS!$G$5:$G$502/1.16))</f>
        <v>0</v>
      </c>
      <c r="P10" s="247">
        <f t="shared" si="8"/>
        <v>0</v>
      </c>
    </row>
    <row r="11" ht="22.5" customHeight="1">
      <c r="A11" s="194" t="s">
        <v>68</v>
      </c>
      <c r="B11" s="247">
        <f>SUMIFS(PAGOS!$E$2:$E$996,PAGOS!$D$2:$D$996,"&gt;="&amp;DATE($B$2,7,1),PAGOS!$D$2:$D$996,"&lt;"&amp;EDATE(DATE($B$2,7,1),1))+SUMIFS(PAGOS!$G$2:$G$996,PAGOS!$F$2:$F$996,"&gt;="&amp;DATE($B$2,7,1),PAGOS!$F$2:$F$996,"&lt;"&amp;EDATE(DATE($B$2,7,1),1),PAGOS!$H$2:$H$996,"&lt;&gt;MIXTO (ABONOS)")+SUMIFS(PAGOS!$J$2:$J$996,PAGOS!$I$2:$I$996,"&gt;="&amp;DATE($B$2,7,1),PAGOS!$I$2:$I$996,"&lt;"&amp;EDATE(DATE($B$2,7,1),1),PAGOS!$K$2:$K$996,"&lt;&gt;MIXTO (ABONOS)")+SUMIFS(PAGOS!$M$2:$M$996,PAGOS!$L$2:$L$996,"&gt;="&amp;DATE($B$2,7,1),PAGOS!$L$2:$L$996,"&lt;"&amp;EDATE(DATE($B$2,7,1),1),PAGOS!$N$2:$N$996,"&lt;&gt;MIXTO (ABONOS)")+SUMIFS(PAGOS!$P$2:$P$996,PAGOS!$O$2:$O$996,"&gt;="&amp;DATE($B$2,7,1),PAGOS!$O$2:$O$996,"&lt;"&amp;EDATE(DATE($B$2,7,1),1),PAGOS!$Q$2:$Q$996,"&lt;&gt;MIXTO (ABONOS)")+SUMIFS(PAGOS!$S$2:$S$996,PAGOS!$R$2:$R$996,"&gt;="&amp;DATE($B$2,7,1),PAGOS!$R$2:$R$996,"&lt;"&amp;EDATE(DATE($B$2,7,1),1),PAGOS!$T$2:$T$996,"&lt;&gt;MIXTO (ABONOS)")+SUMIFS(PAGOS!$V$2:$V$996,PAGOS!$U$2:$U$996,"&gt;="&amp;DATE($B$2,7,1),PAGOS!$U$2:$U$996,"&lt;"&amp;EDATE(DATE($B$2,7,1),1),PAGOS!$W$2:$W$996,"&lt;&gt;MIXTO (ABONOS)")+SUMIFS(PAGOS!$Y$2:$Y$996,PAGOS!$X$2:$X$996,"&gt;="&amp;DATE($B$2,7,1),PAGOS!$X$2:$X$996,"&lt;"&amp;EDATE(DATE($B$2,7,1),1),PAGOS!$Z$2:$Z$996,"&lt;&gt;MIXTO (ABONOS)")+SUMIFS(PAGOS!$AB$2:$AB$996,PAGOS!$AA$2:$AA$996,"&gt;="&amp;DATE($B$2,7,1),PAGOS!$AA$2:$AA$996,"&lt;"&amp;EDATE(DATE($B$2,7,1),1),PAGOS!$AC$2:$AC$996,"&lt;&gt;MIXTO (ABONOS)")+SUMIFS(PAGOS!$AE$2:$AE$996,PAGOS!$AD$2:$AD$996,"&gt;="&amp;DATE($B$2,7,1),PAGOS!$AD$2:$AD$996,"&lt;"&amp;EDATE(DATE($B$2,7,1),1),PAGOS!$AF$2:$AF$996,"&lt;&gt;MIXTO (ABONOS)")+SUMIFS(PAGOS!$AH$2:$AH$996,PAGOS!$AG$2:$AG$996,"&gt;="&amp;DATE($B$2,7,1),PAGOS!$AG$2:$AG$996,"&lt;"&amp;EDATE(DATE($B$2,7,1),1),PAGOS!$AI$2:$AI$996,"&lt;&gt;MIXTO (ABONOS)")+SUMIFS(PAGOS!$AK$2:$AK$996,PAGOS!$AJ$2:$AJ$996,"&gt;="&amp;DATE($B$2,7,1),PAGOS!$AJ$2:$AJ$996,"&lt;"&amp;EDATE(DATE($B$2,7,1),1),PAGOS!$AL$2:$AL$996,"&lt;&gt;MIXTO (ABONOS)")+SUMIFS('OTROS INGRESOS'!$F$5:$F30,'OTROS INGRESOS'!$A$5:$A30,"&gt;="&amp;DATE($B$2,7,1),'OTROS INGRESOS'!$A$5:$A30,"&lt;"&amp;EDATE(DATE($B$2,7,1),1))+SUMIFS('ABONOS MENSUALIDADES'!$F$5:$F$500,'ABONOS MENSUALIDADES'!$A$5:$A$500,"&gt;="&amp;DATE($B$2,7,1),'ABONOS MENSUALIDADES'!$A$5:$A$500,"&lt;"&amp;EDATE(DATE($B$2,7,1),1),'ABONOS MENSUALIDADES'!$G$5:$G$500,"&lt;&gt;*CONSOLIDADO EN PAGOS*")</f>
        <v>39790</v>
      </c>
      <c r="C11" s="247">
        <f>SUMIFS(PAGOS!$G$2:$G$996,PAGOS!$F$2:$F$996,"&gt;="&amp;DATE($B$2,7,1),PAGOS!$F$2:$F$996,"&lt;"&amp;EDATE(DATE($B$2,7,1),1),PAGOS!$H$2:$H$996,"*EFECTIVO*")+SUMIFS(PAGOS!$J$2:$J$996,PAGOS!$I$2:$I$996,"&gt;="&amp;DATE($B$2,7,1),PAGOS!$I$2:$I$996,"&lt;"&amp;EDATE(DATE($B$2,7,1),1),PAGOS!$K$2:$K$996,"*EFECTIVO*")+SUMIFS(PAGOS!$M$2:$M$996,PAGOS!$L$2:$L$996,"&gt;="&amp;DATE($B$2,7,1),PAGOS!$L$2:$L$996,"&lt;"&amp;EDATE(DATE($B$2,7,1),1),PAGOS!$N$2:$N$996,"*EFECTIVO*")+SUMIFS(PAGOS!$P$2:$P$996,PAGOS!$O$2:$O$996,"&gt;="&amp;DATE($B$2,7,1),PAGOS!$O$2:$O$996,"&lt;"&amp;EDATE(DATE($B$2,7,1),1),PAGOS!$Q$2:$Q$996,"*EFECTIVO*")+SUMIFS(PAGOS!$S$2:$S$996,PAGOS!$R$2:$R$996,"&gt;="&amp;DATE($B$2,7,1),PAGOS!$R$2:$R$996,"&lt;"&amp;EDATE(DATE($B$2,7,1),1),PAGOS!$T$2:$T$996,"*EFECTIVO*")+SUMIFS(PAGOS!$V$2:$V$996,PAGOS!$U$2:$U$996,"&gt;="&amp;DATE($B$2,7,1),PAGOS!$U$2:$U$996,"&lt;"&amp;EDATE(DATE($B$2,7,1),1),PAGOS!$W$2:$W$996,"*EFECTIVO*")+SUMIFS(PAGOS!$Y$2:$Y$996,PAGOS!$X$2:$X$996,"&gt;="&amp;DATE($B$2,7,1),PAGOS!$X$2:$X$996,"&lt;"&amp;EDATE(DATE($B$2,7,1),1),PAGOS!$Z$2:$Z$996,"*EFECTIVO*")+SUMIFS(PAGOS!$AB$2:$AB$996,PAGOS!$AA$2:$AA$996,"&gt;="&amp;DATE($B$2,7,1),PAGOS!$AA$2:$AA$996,"&lt;"&amp;EDATE(DATE($B$2,7,1),1),PAGOS!$AC$2:$AC$996,"*EFECTIVO*")+SUMIFS(PAGOS!$AE$2:$AE$996,PAGOS!$AD$2:$AD$996,"&gt;="&amp;DATE($B$2,7,1),PAGOS!$AD$2:$AD$996,"&lt;"&amp;EDATE(DATE($B$2,7,1),1),PAGOS!$AF$2:$AF$996,"*EFECTIVO*")+SUMIFS(PAGOS!$AH$2:$AH$996,PAGOS!$AG$2:$AG$996,"&gt;="&amp;DATE($B$2,7,1),PAGOS!$AG$2:$AG$996,"&lt;"&amp;EDATE(DATE($B$2,7,1),1),PAGOS!$AI$2:$AI$996,"*EFECTIVO*")+SUMIFS(PAGOS!$AK$2:$AK$996,PAGOS!$AJ$2:$AJ$996,"&gt;="&amp;DATE($B$2,7,1),PAGOS!$AJ$2:$AJ$996,"&lt;"&amp;EDATE(DATE($B$2,7,1),1),PAGOS!$AL$2:$AL$996,"*EFECTIVO*")+SUMIFS('OTROS INGRESOS'!$F$5:$F30,'OTROS INGRESOS'!$A$5:$A30,"&gt;="&amp;DATE($B$2,7,1),'OTROS INGRESOS'!$A$5:$A30,"&lt;"&amp;EDATE(DATE($B$2,7,1),1),'OTROS INGRESOS'!$E$5:$E30,"*EFECTIVO*")+SUMIFS('ABONOS MENSUALIDADES'!$F$5:$F$500,'ABONOS MENSUALIDADES'!$A$5:$A$500,"&gt;="&amp;DATE($B$2,7,1),'ABONOS MENSUALIDADES'!$A$5:$A$500,"&lt;"&amp;EDATE(DATE($B$2,7,1),1),'ABONOS MENSUALIDADES'!$E$5:$E$500,"*EFECTIVO*",'ABONOS MENSUALIDADES'!$G$5:$G$500,"&lt;&gt;*CONSOLIDADO EN PAGOS*")</f>
        <v>12250</v>
      </c>
      <c r="D11" s="247">
        <f>SUMIFS(PAGOS!$G$2:$G$996,PAGOS!$F$2:$F$996,"&gt;="&amp;DATE($B$2,7,1),PAGOS!$F$2:$F$996,"&lt;"&amp;EDATE(DATE($B$2,7,1),1),PAGOS!$H$2:$H$996,"*TERMINAL*")+SUMIFS(PAGOS!$J$2:$J$996,PAGOS!$I$2:$I$996,"&gt;="&amp;DATE($B$2,7,1),PAGOS!$I$2:$I$996,"&lt;"&amp;EDATE(DATE($B$2,7,1),1),PAGOS!$K$2:$K$996,"*TERMINAL*")+SUMIFS(PAGOS!$M$2:$M$996,PAGOS!$L$2:$L$996,"&gt;="&amp;DATE($B$2,7,1),PAGOS!$L$2:$L$996,"&lt;"&amp;EDATE(DATE($B$2,7,1),1),PAGOS!$N$2:$N$996,"*TERMINAL*")+SUMIFS(PAGOS!$P$2:$P$996,PAGOS!$O$2:$O$996,"&gt;="&amp;DATE($B$2,7,1),PAGOS!$O$2:$O$996,"&lt;"&amp;EDATE(DATE($B$2,7,1),1),PAGOS!$Q$2:$Q$996,"*TERMINAL*")+SUMIFS(PAGOS!$S$2:$S$996,PAGOS!$R$2:$R$996,"&gt;="&amp;DATE($B$2,7,1),PAGOS!$R$2:$R$996,"&lt;"&amp;EDATE(DATE($B$2,7,1),1),PAGOS!$T$2:$T$996,"*TERMINAL*")+SUMIFS(PAGOS!$V$2:$V$996,PAGOS!$U$2:$U$996,"&gt;="&amp;DATE($B$2,7,1),PAGOS!$U$2:$U$996,"&lt;"&amp;EDATE(DATE($B$2,7,1),1),PAGOS!$W$2:$W$996,"*TERMINAL*")+SUMIFS(PAGOS!$Y$2:$Y$996,PAGOS!$X$2:$X$996,"&gt;="&amp;DATE($B$2,7,1),PAGOS!$X$2:$X$996,"&lt;"&amp;EDATE(DATE($B$2,7,1),1),PAGOS!$Z$2:$Z$996,"*TERMINAL*")+SUMIFS(PAGOS!$AB$2:$AB$996,PAGOS!$AA$2:$AA$996,"&gt;="&amp;DATE($B$2,7,1),PAGOS!$AA$2:$AA$996,"&lt;"&amp;EDATE(DATE($B$2,7,1),1),PAGOS!$AC$2:$AC$996,"*TERMINAL*")+SUMIFS(PAGOS!$AE$2:$AE$996,PAGOS!$AD$2:$AD$996,"&gt;="&amp;DATE($B$2,7,1),PAGOS!$AD$2:$AD$996,"&lt;"&amp;EDATE(DATE($B$2,7,1),1),PAGOS!$AF$2:$AF$996,"*TERMINAL*")+SUMIFS(PAGOS!$AH$2:$AH$996,PAGOS!$AG$2:$AG$996,"&gt;="&amp;DATE($B$2,7,1),PAGOS!$AG$2:$AG$996,"&lt;"&amp;EDATE(DATE($B$2,7,1),1),PAGOS!$AI$2:$AI$996,"*TERMINAL*")+SUMIFS(PAGOS!$AK$2:$AK$996,PAGOS!$AJ$2:$AJ$996,"&gt;="&amp;DATE($B$2,7,1),PAGOS!$AJ$2:$AJ$996,"&lt;"&amp;EDATE(DATE($B$2,7,1),1),PAGOS!$AL$2:$AL$996,"*TERMINAL*")+SUMIFS('OTROS INGRESOS'!$F$5:$F30,'OTROS INGRESOS'!$A$5:$A30,"&gt;="&amp;DATE($B$2,7,1),'OTROS INGRESOS'!$A$5:$A30,"&lt;"&amp;EDATE(DATE($B$2,7,1),1),'OTROS INGRESOS'!$E$5:$E30,"*TERMINAL*")+SUMIFS('ABONOS MENSUALIDADES'!$F$5:$F$500,'ABONOS MENSUALIDADES'!$A$5:$A$500,"&gt;="&amp;DATE($B$2,7,1),'ABONOS MENSUALIDADES'!$A$5:$A$500,"&lt;"&amp;EDATE(DATE($B$2,7,1),1),'ABONOS MENSUALIDADES'!$E$5:$E$500,"*TERMINAL*",'ABONOS MENSUALIDADES'!$G$5:$G$500,"&lt;&gt;*CONSOLIDADO EN PAGOS*")</f>
        <v>5800</v>
      </c>
      <c r="E11" s="247">
        <f t="shared" si="1"/>
        <v>5800</v>
      </c>
      <c r="F11" s="247">
        <f>SUMIFS(PAGOS!$G$2:$G$996,PAGOS!$F$2:$F$996,"&gt;="&amp;DATE($B$2,7,1),PAGOS!$F$2:$F$996,"&lt;"&amp;EDATE(DATE($B$2,7,1),1),PAGOS!$H$2:$H$996,"*TRANSFERENCIA*")+SUMIFS(PAGOS!$J$2:$J$996,PAGOS!$I$2:$I$996,"&gt;="&amp;DATE($B$2,7,1),PAGOS!$I$2:$I$996,"&lt;"&amp;EDATE(DATE($B$2,7,1),1),PAGOS!$K$2:$K$996,"*TRANSFERENCIA*")+SUMIFS(PAGOS!$M$2:$M$996,PAGOS!$L$2:$L$996,"&gt;="&amp;DATE($B$2,7,1),PAGOS!$L$2:$L$996,"&lt;"&amp;EDATE(DATE($B$2,7,1),1),PAGOS!$N$2:$N$996,"*TRANSFERENCIA*")+SUMIFS(PAGOS!$P$2:$P$996,PAGOS!$O$2:$O$996,"&gt;="&amp;DATE($B$2,7,1),PAGOS!$O$2:$O$996,"&lt;"&amp;EDATE(DATE($B$2,7,1),1),PAGOS!$Q$2:$Q$996,"*TRANSFERENCIA*")+SUMIFS(PAGOS!$S$2:$S$996,PAGOS!$R$2:$R$996,"&gt;="&amp;DATE($B$2,7,1),PAGOS!$R$2:$R$996,"&lt;"&amp;EDATE(DATE($B$2,7,1),1),PAGOS!$T$2:$T$996,"*TRANSFERENCIA*")+SUMIFS(PAGOS!$V$2:$V$996,PAGOS!$U$2:$U$996,"&gt;="&amp;DATE($B$2,7,1),PAGOS!$U$2:$U$996,"&lt;"&amp;EDATE(DATE($B$2,7,1),1),PAGOS!$W$2:$W$996,"*TRANSFERENCIA*")+SUMIFS(PAGOS!$Y$2:$Y$996,PAGOS!$X$2:$X$996,"&gt;="&amp;DATE($B$2,7,1),PAGOS!$X$2:$X$996,"&lt;"&amp;EDATE(DATE($B$2,7,1),1),PAGOS!$Z$2:$Z$996,"*TRANSFERENCIA*")+SUMIFS(PAGOS!$AB$2:$AB$996,PAGOS!$AA$2:$AA$996,"&gt;="&amp;DATE($B$2,7,1),PAGOS!$AA$2:$AA$996,"&lt;"&amp;EDATE(DATE($B$2,7,1),1),PAGOS!$AC$2:$AC$996,"*TRANSFERENCIA*")+SUMIFS(PAGOS!$AE$2:$AE$996,PAGOS!$AD$2:$AD$996,"&gt;="&amp;DATE($B$2,7,1),PAGOS!$AD$2:$AD$996,"&lt;"&amp;EDATE(DATE($B$2,7,1),1),PAGOS!$AF$2:$AF$996,"*TRANSFERENCIA*")+SUMIFS(PAGOS!$AH$2:$AH$996,PAGOS!$AG$2:$AG$996,"&gt;="&amp;DATE($B$2,7,1),PAGOS!$AG$2:$AG$996,"&lt;"&amp;EDATE(DATE($B$2,7,1),1),PAGOS!$AI$2:$AI$996,"*TRANSFERENCIA*")+SUMIFS(PAGOS!$AK$2:$AK$996,PAGOS!$AJ$2:$AJ$996,"&gt;="&amp;DATE($B$2,7,1),PAGOS!$AJ$2:$AJ$996,"&lt;"&amp;EDATE(DATE($B$2,7,1),1),PAGOS!$AL$2:$AL$996,"*TRANSFERENCIA*")+SUMIFS('OTROS INGRESOS'!$F$5:$F30,'OTROS INGRESOS'!$A$5:$A30,"&gt;="&amp;DATE($B$2,7,1),'OTROS INGRESOS'!$A$5:$A30,"&lt;"&amp;EDATE(DATE($B$2,7,1),1),'OTROS INGRESOS'!$E$5:$E30,"*TRANSFERENCIA*")+SUMIFS('ABONOS MENSUALIDADES'!$F$5:$F$500,'ABONOS MENSUALIDADES'!$A$5:$A$500,"&gt;="&amp;DATE($B$2,7,1),'ABONOS MENSUALIDADES'!$A$5:$A$500,"&lt;"&amp;EDATE(DATE($B$2,7,1),1),'ABONOS MENSUALIDADES'!$E$5:$E$500,"*TRANSFERENCIA*",'ABONOS MENSUALIDADES'!$G$5:$G$500,"&lt;&gt;*CONSOLIDADO EN PAGOS*")</f>
        <v>21740</v>
      </c>
      <c r="G11" s="247">
        <f t="shared" si="2"/>
        <v>21740</v>
      </c>
      <c r="H11" s="247">
        <f t="shared" si="3"/>
        <v>0</v>
      </c>
      <c r="I11" s="247">
        <f t="shared" si="4"/>
        <v>0</v>
      </c>
      <c r="J11" s="247">
        <f t="shared" si="5"/>
        <v>39790</v>
      </c>
      <c r="K11" s="247">
        <f>SUMIFS(EGRESOS!$G$5:$G30,EGRESOS!$A$5:$A30,"&gt;="&amp;DATE($B$2,7,1),EGRESOS!$A$5:$A30,"&lt;"&amp;EDATE(DATE($B$2,7,1),1))</f>
        <v>0</v>
      </c>
      <c r="L11" s="247">
        <f t="shared" si="6"/>
        <v>39790</v>
      </c>
      <c r="M11" s="247">
        <f>SUMIFS('GASTOS FIJOS'!$D$4:$D$80,'GASTOS FIJOS'!$G$4:$G$80,TRUE,'GASTOS FIJOS'!$J$4:$J$80,"&lt;="&amp;EOMONTH(DATE($B$2,7,1),0),'GASTOS FIJOS'!$K$4:$K$80,"&gt;="&amp;DATE($B$2,7,1))</f>
        <v>41166</v>
      </c>
      <c r="N11" s="247">
        <f t="shared" si="7"/>
        <v>-1376</v>
      </c>
      <c r="O11" s="247">
        <f>SUMPRODUCT((EGRESOS!$A$5:$A$502&gt;=DATE($B$2,ROW()-4,1))*(EGRESOS!$A$5:$A$502&lt;EDATE(DATE($B$2,ROW()-4,1),1))*(EGRESOS!$H$5:$H$502=TRUE)*(EGRESOS!$G$5:$G$502-EGRESOS!$G$5:$G$502/1.16))</f>
        <v>0</v>
      </c>
      <c r="P11" s="247">
        <f t="shared" si="8"/>
        <v>0</v>
      </c>
    </row>
    <row r="12" ht="22.5" customHeight="1">
      <c r="A12" s="194" t="s">
        <v>73</v>
      </c>
      <c r="B12" s="247">
        <f>SUMIFS(PAGOS!$E$2:$E$996,PAGOS!$D$2:$D$996,"&gt;="&amp;DATE($B$2,8,1),PAGOS!$D$2:$D$996,"&lt;"&amp;EDATE(DATE($B$2,8,1),1))+SUMIFS(PAGOS!$G$2:$G$996,PAGOS!$F$2:$F$996,"&gt;="&amp;DATE($B$2,8,1),PAGOS!$F$2:$F$996,"&lt;"&amp;EDATE(DATE($B$2,8,1),1),PAGOS!$H$2:$H$996,"&lt;&gt;MIXTO (ABONOS)")+SUMIFS(PAGOS!$J$2:$J$996,PAGOS!$I$2:$I$996,"&gt;="&amp;DATE($B$2,8,1),PAGOS!$I$2:$I$996,"&lt;"&amp;EDATE(DATE($B$2,8,1),1),PAGOS!$K$2:$K$996,"&lt;&gt;MIXTO (ABONOS)")+SUMIFS(PAGOS!$M$2:$M$996,PAGOS!$L$2:$L$996,"&gt;="&amp;DATE($B$2,8,1),PAGOS!$L$2:$L$996,"&lt;"&amp;EDATE(DATE($B$2,8,1),1),PAGOS!$N$2:$N$996,"&lt;&gt;MIXTO (ABONOS)")+SUMIFS(PAGOS!$P$2:$P$996,PAGOS!$O$2:$O$996,"&gt;="&amp;DATE($B$2,8,1),PAGOS!$O$2:$O$996,"&lt;"&amp;EDATE(DATE($B$2,8,1),1),PAGOS!$Q$2:$Q$996,"&lt;&gt;MIXTO (ABONOS)")+SUMIFS(PAGOS!$S$2:$S$996,PAGOS!$R$2:$R$996,"&gt;="&amp;DATE($B$2,8,1),PAGOS!$R$2:$R$996,"&lt;"&amp;EDATE(DATE($B$2,8,1),1),PAGOS!$T$2:$T$996,"&lt;&gt;MIXTO (ABONOS)")+SUMIFS(PAGOS!$V$2:$V$996,PAGOS!$U$2:$U$996,"&gt;="&amp;DATE($B$2,8,1),PAGOS!$U$2:$U$996,"&lt;"&amp;EDATE(DATE($B$2,8,1),1),PAGOS!$W$2:$W$996,"&lt;&gt;MIXTO (ABONOS)")+SUMIFS(PAGOS!$Y$2:$Y$996,PAGOS!$X$2:$X$996,"&gt;="&amp;DATE($B$2,8,1),PAGOS!$X$2:$X$996,"&lt;"&amp;EDATE(DATE($B$2,8,1),1),PAGOS!$Z$2:$Z$996,"&lt;&gt;MIXTO (ABONOS)")+SUMIFS(PAGOS!$AB$2:$AB$996,PAGOS!$AA$2:$AA$996,"&gt;="&amp;DATE($B$2,8,1),PAGOS!$AA$2:$AA$996,"&lt;"&amp;EDATE(DATE($B$2,8,1),1),PAGOS!$AC$2:$AC$996,"&lt;&gt;MIXTO (ABONOS)")+SUMIFS(PAGOS!$AE$2:$AE$996,PAGOS!$AD$2:$AD$996,"&gt;="&amp;DATE($B$2,8,1),PAGOS!$AD$2:$AD$996,"&lt;"&amp;EDATE(DATE($B$2,8,1),1),PAGOS!$AF$2:$AF$996,"&lt;&gt;MIXTO (ABONOS)")+SUMIFS(PAGOS!$AH$2:$AH$996,PAGOS!$AG$2:$AG$996,"&gt;="&amp;DATE($B$2,8,1),PAGOS!$AG$2:$AG$996,"&lt;"&amp;EDATE(DATE($B$2,8,1),1),PAGOS!$AI$2:$AI$996,"&lt;&gt;MIXTO (ABONOS)")+SUMIFS(PAGOS!$AK$2:$AK$996,PAGOS!$AJ$2:$AJ$996,"&gt;="&amp;DATE($B$2,8,1),PAGOS!$AJ$2:$AJ$996,"&lt;"&amp;EDATE(DATE($B$2,8,1),1),PAGOS!$AL$2:$AL$996,"&lt;&gt;MIXTO (ABONOS)")+SUMIFS('OTROS INGRESOS'!$F$5:$F30,'OTROS INGRESOS'!$A$5:$A30,"&gt;="&amp;DATE($B$2,8,1),'OTROS INGRESOS'!$A$5:$A30,"&lt;"&amp;EDATE(DATE($B$2,8,1),1))+SUMIFS('ABONOS MENSUALIDADES'!$F$5:$F$500,'ABONOS MENSUALIDADES'!$A$5:$A$500,"&gt;="&amp;DATE($B$2,8,1),'ABONOS MENSUALIDADES'!$A$5:$A$500,"&lt;"&amp;EDATE(DATE($B$2,8,1),1),'ABONOS MENSUALIDADES'!$G$5:$G$500,"&lt;&gt;*CONSOLIDADO EN PAGOS*")</f>
        <v>63581.67</v>
      </c>
      <c r="C12" s="247">
        <f>SUMIFS(PAGOS!$G$2:$G$996,PAGOS!$F$2:$F$996,"&gt;="&amp;DATE($B$2,8,1),PAGOS!$F$2:$F$996,"&lt;"&amp;EDATE(DATE($B$2,8,1),1),PAGOS!$H$2:$H$996,"*EFECTIVO*")+SUMIFS(PAGOS!$J$2:$J$996,PAGOS!$I$2:$I$996,"&gt;="&amp;DATE($B$2,8,1),PAGOS!$I$2:$I$996,"&lt;"&amp;EDATE(DATE($B$2,8,1),1),PAGOS!$K$2:$K$996,"*EFECTIVO*")+SUMIFS(PAGOS!$M$2:$M$996,PAGOS!$L$2:$L$996,"&gt;="&amp;DATE($B$2,8,1),PAGOS!$L$2:$L$996,"&lt;"&amp;EDATE(DATE($B$2,8,1),1),PAGOS!$N$2:$N$996,"*EFECTIVO*")+SUMIFS(PAGOS!$P$2:$P$996,PAGOS!$O$2:$O$996,"&gt;="&amp;DATE($B$2,8,1),PAGOS!$O$2:$O$996,"&lt;"&amp;EDATE(DATE($B$2,8,1),1),PAGOS!$Q$2:$Q$996,"*EFECTIVO*")+SUMIFS(PAGOS!$S$2:$S$996,PAGOS!$R$2:$R$996,"&gt;="&amp;DATE($B$2,8,1),PAGOS!$R$2:$R$996,"&lt;"&amp;EDATE(DATE($B$2,8,1),1),PAGOS!$T$2:$T$996,"*EFECTIVO*")+SUMIFS(PAGOS!$V$2:$V$996,PAGOS!$U$2:$U$996,"&gt;="&amp;DATE($B$2,8,1),PAGOS!$U$2:$U$996,"&lt;"&amp;EDATE(DATE($B$2,8,1),1),PAGOS!$W$2:$W$996,"*EFECTIVO*")+SUMIFS(PAGOS!$Y$2:$Y$996,PAGOS!$X$2:$X$996,"&gt;="&amp;DATE($B$2,8,1),PAGOS!$X$2:$X$996,"&lt;"&amp;EDATE(DATE($B$2,8,1),1),PAGOS!$Z$2:$Z$996,"*EFECTIVO*")+SUMIFS(PAGOS!$AB$2:$AB$996,PAGOS!$AA$2:$AA$996,"&gt;="&amp;DATE($B$2,8,1),PAGOS!$AA$2:$AA$996,"&lt;"&amp;EDATE(DATE($B$2,8,1),1),PAGOS!$AC$2:$AC$996,"*EFECTIVO*")+SUMIFS(PAGOS!$AE$2:$AE$996,PAGOS!$AD$2:$AD$996,"&gt;="&amp;DATE($B$2,8,1),PAGOS!$AD$2:$AD$996,"&lt;"&amp;EDATE(DATE($B$2,8,1),1),PAGOS!$AF$2:$AF$996,"*EFECTIVO*")+SUMIFS(PAGOS!$AH$2:$AH$996,PAGOS!$AG$2:$AG$996,"&gt;="&amp;DATE($B$2,8,1),PAGOS!$AG$2:$AG$996,"&lt;"&amp;EDATE(DATE($B$2,8,1),1),PAGOS!$AI$2:$AI$996,"*EFECTIVO*")+SUMIFS(PAGOS!$AK$2:$AK$996,PAGOS!$AJ$2:$AJ$996,"&gt;="&amp;DATE($B$2,8,1),PAGOS!$AJ$2:$AJ$996,"&lt;"&amp;EDATE(DATE($B$2,8,1),1),PAGOS!$AL$2:$AL$996,"*EFECTIVO*")+SUMIFS('OTROS INGRESOS'!$F$5:$F30,'OTROS INGRESOS'!$A$5:$A30,"&gt;="&amp;DATE($B$2,8,1),'OTROS INGRESOS'!$A$5:$A30,"&lt;"&amp;EDATE(DATE($B$2,8,1),1),'OTROS INGRESOS'!$E$5:$E30,"*EFECTIVO*")+SUMIFS('ABONOS MENSUALIDADES'!$F$5:$F$500,'ABONOS MENSUALIDADES'!$A$5:$A$500,"&gt;="&amp;DATE($B$2,8,1),'ABONOS MENSUALIDADES'!$A$5:$A$500,"&lt;"&amp;EDATE(DATE($B$2,8,1),1),'ABONOS MENSUALIDADES'!$E$5:$E$500,"*EFECTIVO*",'ABONOS MENSUALIDADES'!$G$5:$G$500,"&lt;&gt;*CONSOLIDADO EN PAGOS*")</f>
        <v>20354</v>
      </c>
      <c r="D12" s="247">
        <f>SUMIFS(PAGOS!$G$2:$G$996,PAGOS!$F$2:$F$996,"&gt;="&amp;DATE($B$2,8,1),PAGOS!$F$2:$F$996,"&lt;"&amp;EDATE(DATE($B$2,8,1),1),PAGOS!$H$2:$H$996,"*TERMINAL*")+SUMIFS(PAGOS!$J$2:$J$996,PAGOS!$I$2:$I$996,"&gt;="&amp;DATE($B$2,8,1),PAGOS!$I$2:$I$996,"&lt;"&amp;EDATE(DATE($B$2,8,1),1),PAGOS!$K$2:$K$996,"*TERMINAL*")+SUMIFS(PAGOS!$M$2:$M$996,PAGOS!$L$2:$L$996,"&gt;="&amp;DATE($B$2,8,1),PAGOS!$L$2:$L$996,"&lt;"&amp;EDATE(DATE($B$2,8,1),1),PAGOS!$N$2:$N$996,"*TERMINAL*")+SUMIFS(PAGOS!$P$2:$P$996,PAGOS!$O$2:$O$996,"&gt;="&amp;DATE($B$2,8,1),PAGOS!$O$2:$O$996,"&lt;"&amp;EDATE(DATE($B$2,8,1),1),PAGOS!$Q$2:$Q$996,"*TERMINAL*")+SUMIFS(PAGOS!$S$2:$S$996,PAGOS!$R$2:$R$996,"&gt;="&amp;DATE($B$2,8,1),PAGOS!$R$2:$R$996,"&lt;"&amp;EDATE(DATE($B$2,8,1),1),PAGOS!$T$2:$T$996,"*TERMINAL*")+SUMIFS(PAGOS!$V$2:$V$996,PAGOS!$U$2:$U$996,"&gt;="&amp;DATE($B$2,8,1),PAGOS!$U$2:$U$996,"&lt;"&amp;EDATE(DATE($B$2,8,1),1),PAGOS!$W$2:$W$996,"*TERMINAL*")+SUMIFS(PAGOS!$Y$2:$Y$996,PAGOS!$X$2:$X$996,"&gt;="&amp;DATE($B$2,8,1),PAGOS!$X$2:$X$996,"&lt;"&amp;EDATE(DATE($B$2,8,1),1),PAGOS!$Z$2:$Z$996,"*TERMINAL*")+SUMIFS(PAGOS!$AB$2:$AB$996,PAGOS!$AA$2:$AA$996,"&gt;="&amp;DATE($B$2,8,1),PAGOS!$AA$2:$AA$996,"&lt;"&amp;EDATE(DATE($B$2,8,1),1),PAGOS!$AC$2:$AC$996,"*TERMINAL*")+SUMIFS(PAGOS!$AE$2:$AE$996,PAGOS!$AD$2:$AD$996,"&gt;="&amp;DATE($B$2,8,1),PAGOS!$AD$2:$AD$996,"&lt;"&amp;EDATE(DATE($B$2,8,1),1),PAGOS!$AF$2:$AF$996,"*TERMINAL*")+SUMIFS(PAGOS!$AH$2:$AH$996,PAGOS!$AG$2:$AG$996,"&gt;="&amp;DATE($B$2,8,1),PAGOS!$AG$2:$AG$996,"&lt;"&amp;EDATE(DATE($B$2,8,1),1),PAGOS!$AI$2:$AI$996,"*TERMINAL*")+SUMIFS(PAGOS!$AK$2:$AK$996,PAGOS!$AJ$2:$AJ$996,"&gt;="&amp;DATE($B$2,8,1),PAGOS!$AJ$2:$AJ$996,"&lt;"&amp;EDATE(DATE($B$2,8,1),1),PAGOS!$AL$2:$AL$996,"*TERMINAL*")+SUMIFS('OTROS INGRESOS'!$F$5:$F30,'OTROS INGRESOS'!$A$5:$A30,"&gt;="&amp;DATE($B$2,8,1),'OTROS INGRESOS'!$A$5:$A30,"&lt;"&amp;EDATE(DATE($B$2,8,1),1),'OTROS INGRESOS'!$E$5:$E30,"*TERMINAL*")+SUMIFS('ABONOS MENSUALIDADES'!$F$5:$F$500,'ABONOS MENSUALIDADES'!$A$5:$A$500,"&gt;="&amp;DATE($B$2,8,1),'ABONOS MENSUALIDADES'!$A$5:$A$500,"&lt;"&amp;EDATE(DATE($B$2,8,1),1),'ABONOS MENSUALIDADES'!$E$5:$E$500,"*TERMINAL*",'ABONOS MENSUALIDADES'!$G$5:$G$500,"&lt;&gt;*CONSOLIDADO EN PAGOS*")</f>
        <v>11250</v>
      </c>
      <c r="E12" s="247">
        <f t="shared" si="1"/>
        <v>11250</v>
      </c>
      <c r="F12" s="247">
        <f>SUMIFS(PAGOS!$G$2:$G$996,PAGOS!$F$2:$F$996,"&gt;="&amp;DATE($B$2,8,1),PAGOS!$F$2:$F$996,"&lt;"&amp;EDATE(DATE($B$2,8,1),1),PAGOS!$H$2:$H$996,"*TRANSFERENCIA*")+SUMIFS(PAGOS!$J$2:$J$996,PAGOS!$I$2:$I$996,"&gt;="&amp;DATE($B$2,8,1),PAGOS!$I$2:$I$996,"&lt;"&amp;EDATE(DATE($B$2,8,1),1),PAGOS!$K$2:$K$996,"*TRANSFERENCIA*")+SUMIFS(PAGOS!$M$2:$M$996,PAGOS!$L$2:$L$996,"&gt;="&amp;DATE($B$2,8,1),PAGOS!$L$2:$L$996,"&lt;"&amp;EDATE(DATE($B$2,8,1),1),PAGOS!$N$2:$N$996,"*TRANSFERENCIA*")+SUMIFS(PAGOS!$P$2:$P$996,PAGOS!$O$2:$O$996,"&gt;="&amp;DATE($B$2,8,1),PAGOS!$O$2:$O$996,"&lt;"&amp;EDATE(DATE($B$2,8,1),1),PAGOS!$Q$2:$Q$996,"*TRANSFERENCIA*")+SUMIFS(PAGOS!$S$2:$S$996,PAGOS!$R$2:$R$996,"&gt;="&amp;DATE($B$2,8,1),PAGOS!$R$2:$R$996,"&lt;"&amp;EDATE(DATE($B$2,8,1),1),PAGOS!$T$2:$T$996,"*TRANSFERENCIA*")+SUMIFS(PAGOS!$V$2:$V$996,PAGOS!$U$2:$U$996,"&gt;="&amp;DATE($B$2,8,1),PAGOS!$U$2:$U$996,"&lt;"&amp;EDATE(DATE($B$2,8,1),1),PAGOS!$W$2:$W$996,"*TRANSFERENCIA*")+SUMIFS(PAGOS!$Y$2:$Y$996,PAGOS!$X$2:$X$996,"&gt;="&amp;DATE($B$2,8,1),PAGOS!$X$2:$X$996,"&lt;"&amp;EDATE(DATE($B$2,8,1),1),PAGOS!$Z$2:$Z$996,"*TRANSFERENCIA*")+SUMIFS(PAGOS!$AB$2:$AB$996,PAGOS!$AA$2:$AA$996,"&gt;="&amp;DATE($B$2,8,1),PAGOS!$AA$2:$AA$996,"&lt;"&amp;EDATE(DATE($B$2,8,1),1),PAGOS!$AC$2:$AC$996,"*TRANSFERENCIA*")+SUMIFS(PAGOS!$AE$2:$AE$996,PAGOS!$AD$2:$AD$996,"&gt;="&amp;DATE($B$2,8,1),PAGOS!$AD$2:$AD$996,"&lt;"&amp;EDATE(DATE($B$2,8,1),1),PAGOS!$AF$2:$AF$996,"*TRANSFERENCIA*")+SUMIFS(PAGOS!$AH$2:$AH$996,PAGOS!$AG$2:$AG$996,"&gt;="&amp;DATE($B$2,8,1),PAGOS!$AG$2:$AG$996,"&lt;"&amp;EDATE(DATE($B$2,8,1),1),PAGOS!$AI$2:$AI$996,"*TRANSFERENCIA*")+SUMIFS(PAGOS!$AK$2:$AK$996,PAGOS!$AJ$2:$AJ$996,"&gt;="&amp;DATE($B$2,8,1),PAGOS!$AJ$2:$AJ$996,"&lt;"&amp;EDATE(DATE($B$2,8,1),1),PAGOS!$AL$2:$AL$996,"*TRANSFERENCIA*")+SUMIFS('OTROS INGRESOS'!$F$5:$F30,'OTROS INGRESOS'!$A$5:$A30,"&gt;="&amp;DATE($B$2,8,1),'OTROS INGRESOS'!$A$5:$A30,"&lt;"&amp;EDATE(DATE($B$2,8,1),1),'OTROS INGRESOS'!$E$5:$E30,"*TRANSFERENCIA*")+SUMIFS('ABONOS MENSUALIDADES'!$F$5:$F$500,'ABONOS MENSUALIDADES'!$A$5:$A$500,"&gt;="&amp;DATE($B$2,8,1),'ABONOS MENSUALIDADES'!$A$5:$A$500,"&lt;"&amp;EDATE(DATE($B$2,8,1),1),'ABONOS MENSUALIDADES'!$E$5:$E$500,"*TRANSFERENCIA*",'ABONOS MENSUALIDADES'!$G$5:$G$500,"&lt;&gt;*CONSOLIDADO EN PAGOS*")</f>
        <v>31977.67</v>
      </c>
      <c r="G12" s="247">
        <f t="shared" si="2"/>
        <v>31977.67</v>
      </c>
      <c r="H12" s="247">
        <f t="shared" si="3"/>
        <v>0</v>
      </c>
      <c r="I12" s="247">
        <f t="shared" si="4"/>
        <v>0</v>
      </c>
      <c r="J12" s="247">
        <f t="shared" si="5"/>
        <v>63581.67</v>
      </c>
      <c r="K12" s="247">
        <f>SUMIFS(EGRESOS!$G$5:$G30,EGRESOS!$A$5:$A30,"&gt;="&amp;DATE($B$2,8,1),EGRESOS!$A$5:$A30,"&lt;"&amp;EDATE(DATE($B$2,8,1),1))</f>
        <v>15876</v>
      </c>
      <c r="L12" s="247">
        <f t="shared" si="6"/>
        <v>47705.67</v>
      </c>
      <c r="M12" s="247">
        <f>SUMIFS('GASTOS FIJOS'!$D$4:$D$80,'GASTOS FIJOS'!$G$4:$G$80,TRUE,'GASTOS FIJOS'!$J$4:$J$80,"&lt;="&amp;EOMONTH(DATE($B$2,8,1),0),'GASTOS FIJOS'!$K$4:$K$80,"&gt;="&amp;DATE($B$2,8,1))</f>
        <v>41166</v>
      </c>
      <c r="N12" s="247">
        <f t="shared" si="7"/>
        <v>22415.67</v>
      </c>
      <c r="O12" s="247">
        <f>SUMPRODUCT((EGRESOS!$A$5:$A$502&gt;=DATE($B$2,ROW()-4,1))*(EGRESOS!$A$5:$A$502&lt;EDATE(DATE($B$2,ROW()-4,1),1))*(EGRESOS!$H$5:$H$502=TRUE)*(EGRESOS!$G$5:$G$502-EGRESOS!$G$5:$G$502/1.16))</f>
        <v>1293.931034</v>
      </c>
      <c r="P12" s="247">
        <f t="shared" si="8"/>
        <v>-1293.931034</v>
      </c>
    </row>
    <row r="13" ht="22.5" customHeight="1">
      <c r="A13" s="194" t="s">
        <v>76</v>
      </c>
      <c r="B13" s="247">
        <f>SUMIFS(PAGOS!$E$2:$E$996,PAGOS!$D$2:$D$996,"&gt;="&amp;DATE($B$2,9,1),PAGOS!$D$2:$D$996,"&lt;"&amp;EDATE(DATE($B$2,9,1),1))+SUMIFS(PAGOS!$G$2:$G$996,PAGOS!$F$2:$F$996,"&gt;="&amp;DATE($B$2,9,1),PAGOS!$F$2:$F$996,"&lt;"&amp;EDATE(DATE($B$2,9,1),1),PAGOS!$H$2:$H$996,"&lt;&gt;MIXTO (ABONOS)")+SUMIFS(PAGOS!$J$2:$J$996,PAGOS!$I$2:$I$996,"&gt;="&amp;DATE($B$2,9,1),PAGOS!$I$2:$I$996,"&lt;"&amp;EDATE(DATE($B$2,9,1),1),PAGOS!$K$2:$K$996,"&lt;&gt;MIXTO (ABONOS)")+SUMIFS(PAGOS!$M$2:$M$996,PAGOS!$L$2:$L$996,"&gt;="&amp;DATE($B$2,9,1),PAGOS!$L$2:$L$996,"&lt;"&amp;EDATE(DATE($B$2,9,1),1),PAGOS!$N$2:$N$996,"&lt;&gt;MIXTO (ABONOS)")+SUMIFS(PAGOS!$P$2:$P$996,PAGOS!$O$2:$O$996,"&gt;="&amp;DATE($B$2,9,1),PAGOS!$O$2:$O$996,"&lt;"&amp;EDATE(DATE($B$2,9,1),1),PAGOS!$Q$2:$Q$996,"&lt;&gt;MIXTO (ABONOS)")+SUMIFS(PAGOS!$S$2:$S$996,PAGOS!$R$2:$R$996,"&gt;="&amp;DATE($B$2,9,1),PAGOS!$R$2:$R$996,"&lt;"&amp;EDATE(DATE($B$2,9,1),1),PAGOS!$T$2:$T$996,"&lt;&gt;MIXTO (ABONOS)")+SUMIFS(PAGOS!$V$2:$V$996,PAGOS!$U$2:$U$996,"&gt;="&amp;DATE($B$2,9,1),PAGOS!$U$2:$U$996,"&lt;"&amp;EDATE(DATE($B$2,9,1),1),PAGOS!$W$2:$W$996,"&lt;&gt;MIXTO (ABONOS)")+SUMIFS(PAGOS!$Y$2:$Y$996,PAGOS!$X$2:$X$996,"&gt;="&amp;DATE($B$2,9,1),PAGOS!$X$2:$X$996,"&lt;"&amp;EDATE(DATE($B$2,9,1),1),PAGOS!$Z$2:$Z$996,"&lt;&gt;MIXTO (ABONOS)")+SUMIFS(PAGOS!$AB$2:$AB$996,PAGOS!$AA$2:$AA$996,"&gt;="&amp;DATE($B$2,9,1),PAGOS!$AA$2:$AA$996,"&lt;"&amp;EDATE(DATE($B$2,9,1),1),PAGOS!$AC$2:$AC$996,"&lt;&gt;MIXTO (ABONOS)")+SUMIFS(PAGOS!$AE$2:$AE$996,PAGOS!$AD$2:$AD$996,"&gt;="&amp;DATE($B$2,9,1),PAGOS!$AD$2:$AD$996,"&lt;"&amp;EDATE(DATE($B$2,9,1),1),PAGOS!$AF$2:$AF$996,"&lt;&gt;MIXTO (ABONOS)")+SUMIFS(PAGOS!$AH$2:$AH$996,PAGOS!$AG$2:$AG$996,"&gt;="&amp;DATE($B$2,9,1),PAGOS!$AG$2:$AG$996,"&lt;"&amp;EDATE(DATE($B$2,9,1),1),PAGOS!$AI$2:$AI$996,"&lt;&gt;MIXTO (ABONOS)")+SUMIFS(PAGOS!$AK$2:$AK$996,PAGOS!$AJ$2:$AJ$996,"&gt;="&amp;DATE($B$2,9,1),PAGOS!$AJ$2:$AJ$996,"&lt;"&amp;EDATE(DATE($B$2,9,1),1),PAGOS!$AL$2:$AL$996,"&lt;&gt;MIXTO (ABONOS)")+SUMIFS('OTROS INGRESOS'!$F$5:$F30,'OTROS INGRESOS'!$A$5:$A30,"&gt;="&amp;DATE($B$2,9,1),'OTROS INGRESOS'!$A$5:$A30,"&lt;"&amp;EDATE(DATE($B$2,9,1),1))+SUMIFS('ABONOS MENSUALIDADES'!$F$5:$F$500,'ABONOS MENSUALIDADES'!$A$5:$A$500,"&gt;="&amp;DATE($B$2,9,1),'ABONOS MENSUALIDADES'!$A$5:$A$500,"&lt;"&amp;EDATE(DATE($B$2,9,1),1),'ABONOS MENSUALIDADES'!$G$5:$G$500,"&lt;&gt;*CONSOLIDADO EN PAGOS*")</f>
        <v>71208</v>
      </c>
      <c r="C13" s="247">
        <f>SUMIFS(PAGOS!$G$2:$G$996,PAGOS!$F$2:$F$996,"&gt;="&amp;DATE($B$2,9,1),PAGOS!$F$2:$F$996,"&lt;"&amp;EDATE(DATE($B$2,9,1),1),PAGOS!$H$2:$H$996,"*EFECTIVO*")+SUMIFS(PAGOS!$J$2:$J$996,PAGOS!$I$2:$I$996,"&gt;="&amp;DATE($B$2,9,1),PAGOS!$I$2:$I$996,"&lt;"&amp;EDATE(DATE($B$2,9,1),1),PAGOS!$K$2:$K$996,"*EFECTIVO*")+SUMIFS(PAGOS!$M$2:$M$996,PAGOS!$L$2:$L$996,"&gt;="&amp;DATE($B$2,9,1),PAGOS!$L$2:$L$996,"&lt;"&amp;EDATE(DATE($B$2,9,1),1),PAGOS!$N$2:$N$996,"*EFECTIVO*")+SUMIFS(PAGOS!$P$2:$P$996,PAGOS!$O$2:$O$996,"&gt;="&amp;DATE($B$2,9,1),PAGOS!$O$2:$O$996,"&lt;"&amp;EDATE(DATE($B$2,9,1),1),PAGOS!$Q$2:$Q$996,"*EFECTIVO*")+SUMIFS(PAGOS!$S$2:$S$996,PAGOS!$R$2:$R$996,"&gt;="&amp;DATE($B$2,9,1),PAGOS!$R$2:$R$996,"&lt;"&amp;EDATE(DATE($B$2,9,1),1),PAGOS!$T$2:$T$996,"*EFECTIVO*")+SUMIFS(PAGOS!$V$2:$V$996,PAGOS!$U$2:$U$996,"&gt;="&amp;DATE($B$2,9,1),PAGOS!$U$2:$U$996,"&lt;"&amp;EDATE(DATE($B$2,9,1),1),PAGOS!$W$2:$W$996,"*EFECTIVO*")+SUMIFS(PAGOS!$Y$2:$Y$996,PAGOS!$X$2:$X$996,"&gt;="&amp;DATE($B$2,9,1),PAGOS!$X$2:$X$996,"&lt;"&amp;EDATE(DATE($B$2,9,1),1),PAGOS!$Z$2:$Z$996,"*EFECTIVO*")+SUMIFS(PAGOS!$AB$2:$AB$996,PAGOS!$AA$2:$AA$996,"&gt;="&amp;DATE($B$2,9,1),PAGOS!$AA$2:$AA$996,"&lt;"&amp;EDATE(DATE($B$2,9,1),1),PAGOS!$AC$2:$AC$996,"*EFECTIVO*")+SUMIFS(PAGOS!$AE$2:$AE$996,PAGOS!$AD$2:$AD$996,"&gt;="&amp;DATE($B$2,9,1),PAGOS!$AD$2:$AD$996,"&lt;"&amp;EDATE(DATE($B$2,9,1),1),PAGOS!$AF$2:$AF$996,"*EFECTIVO*")+SUMIFS(PAGOS!$AH$2:$AH$996,PAGOS!$AG$2:$AG$996,"&gt;="&amp;DATE($B$2,9,1),PAGOS!$AG$2:$AG$996,"&lt;"&amp;EDATE(DATE($B$2,9,1),1),PAGOS!$AI$2:$AI$996,"*EFECTIVO*")+SUMIFS(PAGOS!$AK$2:$AK$996,PAGOS!$AJ$2:$AJ$996,"&gt;="&amp;DATE($B$2,9,1),PAGOS!$AJ$2:$AJ$996,"&lt;"&amp;EDATE(DATE($B$2,9,1),1),PAGOS!$AL$2:$AL$996,"*EFECTIVO*")+SUMIFS('OTROS INGRESOS'!$F$5:$F30,'OTROS INGRESOS'!$A$5:$A30,"&gt;="&amp;DATE($B$2,9,1),'OTROS INGRESOS'!$A$5:$A30,"&lt;"&amp;EDATE(DATE($B$2,9,1),1),'OTROS INGRESOS'!$E$5:$E30,"*EFECTIVO*")+SUMIFS('ABONOS MENSUALIDADES'!$F$5:$F$500,'ABONOS MENSUALIDADES'!$A$5:$A$500,"&gt;="&amp;DATE($B$2,9,1),'ABONOS MENSUALIDADES'!$A$5:$A$500,"&lt;"&amp;EDATE(DATE($B$2,9,1),1),'ABONOS MENSUALIDADES'!$E$5:$E$500,"*EFECTIVO*",'ABONOS MENSUALIDADES'!$G$5:$G$500,"&lt;&gt;*CONSOLIDADO EN PAGOS*")</f>
        <v>30615</v>
      </c>
      <c r="D13" s="247">
        <f>SUMIFS(PAGOS!$G$2:$G$996,PAGOS!$F$2:$F$996,"&gt;="&amp;DATE($B$2,9,1),PAGOS!$F$2:$F$996,"&lt;"&amp;EDATE(DATE($B$2,9,1),1),PAGOS!$H$2:$H$996,"*TERMINAL*")+SUMIFS(PAGOS!$J$2:$J$996,PAGOS!$I$2:$I$996,"&gt;="&amp;DATE($B$2,9,1),PAGOS!$I$2:$I$996,"&lt;"&amp;EDATE(DATE($B$2,9,1),1),PAGOS!$K$2:$K$996,"*TERMINAL*")+SUMIFS(PAGOS!$M$2:$M$996,PAGOS!$L$2:$L$996,"&gt;="&amp;DATE($B$2,9,1),PAGOS!$L$2:$L$996,"&lt;"&amp;EDATE(DATE($B$2,9,1),1),PAGOS!$N$2:$N$996,"*TERMINAL*")+SUMIFS(PAGOS!$P$2:$P$996,PAGOS!$O$2:$O$996,"&gt;="&amp;DATE($B$2,9,1),PAGOS!$O$2:$O$996,"&lt;"&amp;EDATE(DATE($B$2,9,1),1),PAGOS!$Q$2:$Q$996,"*TERMINAL*")+SUMIFS(PAGOS!$S$2:$S$996,PAGOS!$R$2:$R$996,"&gt;="&amp;DATE($B$2,9,1),PAGOS!$R$2:$R$996,"&lt;"&amp;EDATE(DATE($B$2,9,1),1),PAGOS!$T$2:$T$996,"*TERMINAL*")+SUMIFS(PAGOS!$V$2:$V$996,PAGOS!$U$2:$U$996,"&gt;="&amp;DATE($B$2,9,1),PAGOS!$U$2:$U$996,"&lt;"&amp;EDATE(DATE($B$2,9,1),1),PAGOS!$W$2:$W$996,"*TERMINAL*")+SUMIFS(PAGOS!$Y$2:$Y$996,PAGOS!$X$2:$X$996,"&gt;="&amp;DATE($B$2,9,1),PAGOS!$X$2:$X$996,"&lt;"&amp;EDATE(DATE($B$2,9,1),1),PAGOS!$Z$2:$Z$996,"*TERMINAL*")+SUMIFS(PAGOS!$AB$2:$AB$996,PAGOS!$AA$2:$AA$996,"&gt;="&amp;DATE($B$2,9,1),PAGOS!$AA$2:$AA$996,"&lt;"&amp;EDATE(DATE($B$2,9,1),1),PAGOS!$AC$2:$AC$996,"*TERMINAL*")+SUMIFS(PAGOS!$AE$2:$AE$996,PAGOS!$AD$2:$AD$996,"&gt;="&amp;DATE($B$2,9,1),PAGOS!$AD$2:$AD$996,"&lt;"&amp;EDATE(DATE($B$2,9,1),1),PAGOS!$AF$2:$AF$996,"*TERMINAL*")+SUMIFS(PAGOS!$AH$2:$AH$996,PAGOS!$AG$2:$AG$996,"&gt;="&amp;DATE($B$2,9,1),PAGOS!$AG$2:$AG$996,"&lt;"&amp;EDATE(DATE($B$2,9,1),1),PAGOS!$AI$2:$AI$996,"*TERMINAL*")+SUMIFS(PAGOS!$AK$2:$AK$996,PAGOS!$AJ$2:$AJ$996,"&gt;="&amp;DATE($B$2,9,1),PAGOS!$AJ$2:$AJ$996,"&lt;"&amp;EDATE(DATE($B$2,9,1),1),PAGOS!$AL$2:$AL$996,"*TERMINAL*")+SUMIFS('OTROS INGRESOS'!$F$5:$F30,'OTROS INGRESOS'!$A$5:$A30,"&gt;="&amp;DATE($B$2,9,1),'OTROS INGRESOS'!$A$5:$A30,"&lt;"&amp;EDATE(DATE($B$2,9,1),1),'OTROS INGRESOS'!$E$5:$E30,"*TERMINAL*")+SUMIFS('ABONOS MENSUALIDADES'!$F$5:$F$500,'ABONOS MENSUALIDADES'!$A$5:$A$500,"&gt;="&amp;DATE($B$2,9,1),'ABONOS MENSUALIDADES'!$A$5:$A$500,"&lt;"&amp;EDATE(DATE($B$2,9,1),1),'ABONOS MENSUALIDADES'!$E$5:$E$500,"*TERMINAL*",'ABONOS MENSUALIDADES'!$G$5:$G$500,"&lt;&gt;*CONSOLIDADO EN PAGOS*")</f>
        <v>8085</v>
      </c>
      <c r="E13" s="247">
        <f>LET(inicio,DATE($B$2,ROW()-4,1),otrosBrutos,SUMIFS('OTROS INGRESOS'!$F$5:$F30,'OTROS INGRESOS'!$A$5:$A30,"&gt;="&amp;inicio,'OTROS INGRESOS'!$A$5:$A30,"&lt;"&amp;EDATE(inicio,1),'OTROS INGRESOS'!$E$5:$E30,"*TERMINAL*"),otrosNetos,SUMIFS('OTROS INGRESOS'!$H$5:$H30,'OTROS INGRESOS'!$A$5:$A30,"&gt;="&amp;inicio,'OTROS INGRESOS'!$A$5:$A30,"&lt;"&amp;EDATE(inicio,1),'OTROS INGRESOS'!$E$5:$E30,"*TERMINAL*"),(D13-otrosBrutos)/1.16+otrosNetos)</f>
        <v>6969.827586</v>
      </c>
      <c r="F13" s="247">
        <f>SUMIFS(PAGOS!$G$2:$G$996,PAGOS!$F$2:$F$996,"&gt;="&amp;DATE($B$2,9,1),PAGOS!$F$2:$F$996,"&lt;"&amp;EDATE(DATE($B$2,9,1),1),PAGOS!$H$2:$H$996,"*TRANSFERENCIA*")+SUMIFS(PAGOS!$J$2:$J$996,PAGOS!$I$2:$I$996,"&gt;="&amp;DATE($B$2,9,1),PAGOS!$I$2:$I$996,"&lt;"&amp;EDATE(DATE($B$2,9,1),1),PAGOS!$K$2:$K$996,"*TRANSFERENCIA*")+SUMIFS(PAGOS!$M$2:$M$996,PAGOS!$L$2:$L$996,"&gt;="&amp;DATE($B$2,9,1),PAGOS!$L$2:$L$996,"&lt;"&amp;EDATE(DATE($B$2,9,1),1),PAGOS!$N$2:$N$996,"*TRANSFERENCIA*")+SUMIFS(PAGOS!$P$2:$P$996,PAGOS!$O$2:$O$996,"&gt;="&amp;DATE($B$2,9,1),PAGOS!$O$2:$O$996,"&lt;"&amp;EDATE(DATE($B$2,9,1),1),PAGOS!$Q$2:$Q$996,"*TRANSFERENCIA*")+SUMIFS(PAGOS!$S$2:$S$996,PAGOS!$R$2:$R$996,"&gt;="&amp;DATE($B$2,9,1),PAGOS!$R$2:$R$996,"&lt;"&amp;EDATE(DATE($B$2,9,1),1),PAGOS!$T$2:$T$996,"*TRANSFERENCIA*")+SUMIFS(PAGOS!$V$2:$V$996,PAGOS!$U$2:$U$996,"&gt;="&amp;DATE($B$2,9,1),PAGOS!$U$2:$U$996,"&lt;"&amp;EDATE(DATE($B$2,9,1),1),PAGOS!$W$2:$W$996,"*TRANSFERENCIA*")+SUMIFS(PAGOS!$Y$2:$Y$996,PAGOS!$X$2:$X$996,"&gt;="&amp;DATE($B$2,9,1),PAGOS!$X$2:$X$996,"&lt;"&amp;EDATE(DATE($B$2,9,1),1),PAGOS!$Z$2:$Z$996,"*TRANSFERENCIA*")+SUMIFS(PAGOS!$AB$2:$AB$996,PAGOS!$AA$2:$AA$996,"&gt;="&amp;DATE($B$2,9,1),PAGOS!$AA$2:$AA$996,"&lt;"&amp;EDATE(DATE($B$2,9,1),1),PAGOS!$AC$2:$AC$996,"*TRANSFERENCIA*")+SUMIFS(PAGOS!$AE$2:$AE$996,PAGOS!$AD$2:$AD$996,"&gt;="&amp;DATE($B$2,9,1),PAGOS!$AD$2:$AD$996,"&lt;"&amp;EDATE(DATE($B$2,9,1),1),PAGOS!$AF$2:$AF$996,"*TRANSFERENCIA*")+SUMIFS(PAGOS!$AH$2:$AH$996,PAGOS!$AG$2:$AG$996,"&gt;="&amp;DATE($B$2,9,1),PAGOS!$AG$2:$AG$996,"&lt;"&amp;EDATE(DATE($B$2,9,1),1),PAGOS!$AI$2:$AI$996,"*TRANSFERENCIA*")+SUMIFS(PAGOS!$AK$2:$AK$996,PAGOS!$AJ$2:$AJ$996,"&gt;="&amp;DATE($B$2,9,1),PAGOS!$AJ$2:$AJ$996,"&lt;"&amp;EDATE(DATE($B$2,9,1),1),PAGOS!$AL$2:$AL$996,"*TRANSFERENCIA*")+SUMIFS('OTROS INGRESOS'!$F$5:$F30,'OTROS INGRESOS'!$A$5:$A30,"&gt;="&amp;DATE($B$2,9,1),'OTROS INGRESOS'!$A$5:$A30,"&lt;"&amp;EDATE(DATE($B$2,9,1),1),'OTROS INGRESOS'!$E$5:$E30,"*TRANSFERENCIA*")+SUMIFS('ABONOS MENSUALIDADES'!$F$5:$F$500,'ABONOS MENSUALIDADES'!$A$5:$A$500,"&gt;="&amp;DATE($B$2,9,1),'ABONOS MENSUALIDADES'!$A$5:$A$500,"&lt;"&amp;EDATE(DATE($B$2,9,1),1),'ABONOS MENSUALIDADES'!$E$5:$E$500,"*TRANSFERENCIA*",'ABONOS MENSUALIDADES'!$G$5:$G$500,"&lt;&gt;*CONSOLIDADO EN PAGOS*")</f>
        <v>32508</v>
      </c>
      <c r="G13" s="247">
        <f>LET(inicio,DATE($B$2,ROW()-4,1),otrosBrutos,SUMIFS('OTROS INGRESOS'!$F$5:$F30,'OTROS INGRESOS'!$A$5:$A30,"&gt;="&amp;inicio,'OTROS INGRESOS'!$A$5:$A30,"&lt;"&amp;EDATE(inicio,1),'OTROS INGRESOS'!$E$5:$E30,"*TRANSFERENCIA*"),otrosNetos,SUMIFS('OTROS INGRESOS'!$H$5:$H30,'OTROS INGRESOS'!$A$5:$A30,"&gt;="&amp;inicio,'OTROS INGRESOS'!$A$5:$A30,"&lt;"&amp;EDATE(inicio,1),'OTROS INGRESOS'!$E$5:$E30,"*TRANSFERENCIA*"),(F13-otrosBrutos)/1.16+otrosNetos)</f>
        <v>28392.13793</v>
      </c>
      <c r="H13" s="247">
        <f t="shared" si="3"/>
        <v>0</v>
      </c>
      <c r="I13" s="247">
        <f t="shared" si="4"/>
        <v>5231.034483</v>
      </c>
      <c r="J13" s="247">
        <f>(C13+E13+G13+H13)</f>
        <v>65976.96552</v>
      </c>
      <c r="K13" s="247">
        <f>SUMIFS(EGRESOS!$G$5:$G30,EGRESOS!$A$5:$A30,"&gt;="&amp;DATE($B$2,9,1),EGRESOS!$A$5:$A30,"&lt;"&amp;EDATE(DATE($B$2,9,1),1))</f>
        <v>54935.55</v>
      </c>
      <c r="L13" s="247">
        <f t="shared" si="6"/>
        <v>11041.41552</v>
      </c>
      <c r="M13" s="247">
        <f>SUMIFS('GASTOS FIJOS'!$D$4:$D$80,'GASTOS FIJOS'!$G$4:$G$80,TRUE,'GASTOS FIJOS'!$J$4:$J$80,"&lt;="&amp;EOMONTH(DATE($B$2,9,1),0),'GASTOS FIJOS'!$K$4:$K$80,"&gt;="&amp;DATE($B$2,9,1))</f>
        <v>42326</v>
      </c>
      <c r="N13" s="247">
        <f t="shared" si="7"/>
        <v>23650.96552</v>
      </c>
      <c r="O13" s="247">
        <f>SUMPRODUCT((EGRESOS!$A$5:$A$502&gt;=DATE($B$2,ROW()-4,1))*(EGRESOS!$A$5:$A$502&lt;EDATE(DATE($B$2,ROW()-4,1),1))*(EGRESOS!$H$5:$H$502=TRUE)*(EGRESOS!$G$5:$G$502-EGRESOS!$G$5:$G$502/1.16))</f>
        <v>3635.528276</v>
      </c>
      <c r="P13" s="247">
        <f t="shared" si="8"/>
        <v>1595.506207</v>
      </c>
    </row>
    <row r="14" ht="22.5" customHeight="1">
      <c r="A14" s="194" t="s">
        <v>3</v>
      </c>
      <c r="B14" s="247">
        <f>SUMIFS(PAGOS!$E$2:$E$996,PAGOS!$D$2:$D$996,"&gt;="&amp;DATE($B$2,10,1),PAGOS!$D$2:$D$996,"&lt;"&amp;EDATE(DATE($B$2,10,1),1))+SUMIFS(PAGOS!$G$2:$G$996,PAGOS!$F$2:$F$996,"&gt;="&amp;DATE($B$2,10,1),PAGOS!$F$2:$F$996,"&lt;"&amp;EDATE(DATE($B$2,10,1),1),PAGOS!$H$2:$H$996,"&lt;&gt;MIXTO (ABONOS)")+SUMIFS(PAGOS!$J$2:$J$996,PAGOS!$I$2:$I$996,"&gt;="&amp;DATE($B$2,10,1),PAGOS!$I$2:$I$996,"&lt;"&amp;EDATE(DATE($B$2,10,1),1),PAGOS!$K$2:$K$996,"&lt;&gt;MIXTO (ABONOS)")+SUMIFS(PAGOS!$M$2:$M$996,PAGOS!$L$2:$L$996,"&gt;="&amp;DATE($B$2,10,1),PAGOS!$L$2:$L$996,"&lt;"&amp;EDATE(DATE($B$2,10,1),1),PAGOS!$N$2:$N$996,"&lt;&gt;MIXTO (ABONOS)")+SUMIFS(PAGOS!$P$2:$P$996,PAGOS!$O$2:$O$996,"&gt;="&amp;DATE($B$2,10,1),PAGOS!$O$2:$O$996,"&lt;"&amp;EDATE(DATE($B$2,10,1),1),PAGOS!$Q$2:$Q$996,"&lt;&gt;MIXTO (ABONOS)")+SUMIFS(PAGOS!$S$2:$S$996,PAGOS!$R$2:$R$996,"&gt;="&amp;DATE($B$2,10,1),PAGOS!$R$2:$R$996,"&lt;"&amp;EDATE(DATE($B$2,10,1),1),PAGOS!$T$2:$T$996,"&lt;&gt;MIXTO (ABONOS)")+SUMIFS(PAGOS!$V$2:$V$996,PAGOS!$U$2:$U$996,"&gt;="&amp;DATE($B$2,10,1),PAGOS!$U$2:$U$996,"&lt;"&amp;EDATE(DATE($B$2,10,1),1),PAGOS!$W$2:$W$996,"&lt;&gt;MIXTO (ABONOS)")+SUMIFS(PAGOS!$Y$2:$Y$996,PAGOS!$X$2:$X$996,"&gt;="&amp;DATE($B$2,10,1),PAGOS!$X$2:$X$996,"&lt;"&amp;EDATE(DATE($B$2,10,1),1),PAGOS!$Z$2:$Z$996,"&lt;&gt;MIXTO (ABONOS)")+SUMIFS(PAGOS!$AB$2:$AB$996,PAGOS!$AA$2:$AA$996,"&gt;="&amp;DATE($B$2,10,1),PAGOS!$AA$2:$AA$996,"&lt;"&amp;EDATE(DATE($B$2,10,1),1),PAGOS!$AC$2:$AC$996,"&lt;&gt;MIXTO (ABONOS)")+SUMIFS(PAGOS!$AE$2:$AE$996,PAGOS!$AD$2:$AD$996,"&gt;="&amp;DATE($B$2,10,1),PAGOS!$AD$2:$AD$996,"&lt;"&amp;EDATE(DATE($B$2,10,1),1),PAGOS!$AF$2:$AF$996,"&lt;&gt;MIXTO (ABONOS)")+SUMIFS(PAGOS!$AH$2:$AH$996,PAGOS!$AG$2:$AG$996,"&gt;="&amp;DATE($B$2,10,1),PAGOS!$AG$2:$AG$996,"&lt;"&amp;EDATE(DATE($B$2,10,1),1),PAGOS!$AI$2:$AI$996,"&lt;&gt;MIXTO (ABONOS)")+SUMIFS(PAGOS!$AK$2:$AK$996,PAGOS!$AJ$2:$AJ$996,"&gt;="&amp;DATE($B$2,10,1),PAGOS!$AJ$2:$AJ$996,"&lt;"&amp;EDATE(DATE($B$2,10,1),1),PAGOS!$AL$2:$AL$996,"&lt;&gt;MIXTO (ABONOS)")+SUMIFS('OTROS INGRESOS'!$F$5:$F30,'OTROS INGRESOS'!$A$5:$A30,"&gt;="&amp;DATE($B$2,10,1),'OTROS INGRESOS'!$A$5:$A30,"&lt;"&amp;EDATE(DATE($B$2,10,1),1))+SUMIFS('ABONOS MENSUALIDADES'!$F$5:$F$500,'ABONOS MENSUALIDADES'!$A$5:$A$500,"&gt;="&amp;DATE($B$2,10,1),'ABONOS MENSUALIDADES'!$A$5:$A$500,"&lt;"&amp;EDATE(DATE($B$2,10,1),1),'ABONOS MENSUALIDADES'!$G$5:$G$500,"&lt;&gt;*CONSOLIDADO EN PAGOS*")</f>
        <v>66356</v>
      </c>
      <c r="C14" s="247">
        <f>SUMIFS(PAGOS!$G$2:$G$996,PAGOS!$F$2:$F$996,"&gt;="&amp;DATE($B$2,10,1),PAGOS!$F$2:$F$996,"&lt;"&amp;EDATE(DATE($B$2,10,1),1),PAGOS!$H$2:$H$996,"*EFECTIVO*")+SUMIFS(PAGOS!$J$2:$J$996,PAGOS!$I$2:$I$996,"&gt;="&amp;DATE($B$2,10,1),PAGOS!$I$2:$I$996,"&lt;"&amp;EDATE(DATE($B$2,10,1),1),PAGOS!$K$2:$K$996,"*EFECTIVO*")+SUMIFS(PAGOS!$M$2:$M$996,PAGOS!$L$2:$L$996,"&gt;="&amp;DATE($B$2,10,1),PAGOS!$L$2:$L$996,"&lt;"&amp;EDATE(DATE($B$2,10,1),1),PAGOS!$N$2:$N$996,"*EFECTIVO*")+SUMIFS(PAGOS!$P$2:$P$996,PAGOS!$O$2:$O$996,"&gt;="&amp;DATE($B$2,10,1),PAGOS!$O$2:$O$996,"&lt;"&amp;EDATE(DATE($B$2,10,1),1),PAGOS!$Q$2:$Q$996,"*EFECTIVO*")+SUMIFS(PAGOS!$S$2:$S$996,PAGOS!$R$2:$R$996,"&gt;="&amp;DATE($B$2,10,1),PAGOS!$R$2:$R$996,"&lt;"&amp;EDATE(DATE($B$2,10,1),1),PAGOS!$T$2:$T$996,"*EFECTIVO*")+SUMIFS(PAGOS!$V$2:$V$996,PAGOS!$U$2:$U$996,"&gt;="&amp;DATE($B$2,10,1),PAGOS!$U$2:$U$996,"&lt;"&amp;EDATE(DATE($B$2,10,1),1),PAGOS!$W$2:$W$996,"*EFECTIVO*")+SUMIFS(PAGOS!$Y$2:$Y$996,PAGOS!$X$2:$X$996,"&gt;="&amp;DATE($B$2,10,1),PAGOS!$X$2:$X$996,"&lt;"&amp;EDATE(DATE($B$2,10,1),1),PAGOS!$Z$2:$Z$996,"*EFECTIVO*")+SUMIFS(PAGOS!$AB$2:$AB$996,PAGOS!$AA$2:$AA$996,"&gt;="&amp;DATE($B$2,10,1),PAGOS!$AA$2:$AA$996,"&lt;"&amp;EDATE(DATE($B$2,10,1),1),PAGOS!$AC$2:$AC$996,"*EFECTIVO*")+SUMIFS(PAGOS!$AE$2:$AE$996,PAGOS!$AD$2:$AD$996,"&gt;="&amp;DATE($B$2,10,1),PAGOS!$AD$2:$AD$996,"&lt;"&amp;EDATE(DATE($B$2,10,1),1),PAGOS!$AF$2:$AF$996,"*EFECTIVO*")+SUMIFS(PAGOS!$AH$2:$AH$996,PAGOS!$AG$2:$AG$996,"&gt;="&amp;DATE($B$2,10,1),PAGOS!$AG$2:$AG$996,"&lt;"&amp;EDATE(DATE($B$2,10,1),1),PAGOS!$AI$2:$AI$996,"*EFECTIVO*")+SUMIFS(PAGOS!$AK$2:$AK$996,PAGOS!$AJ$2:$AJ$996,"&gt;="&amp;DATE($B$2,10,1),PAGOS!$AJ$2:$AJ$996,"&lt;"&amp;EDATE(DATE($B$2,10,1),1),PAGOS!$AL$2:$AL$996,"*EFECTIVO*")+SUMIFS('OTROS INGRESOS'!$F$5:$F30,'OTROS INGRESOS'!$A$5:$A30,"&gt;="&amp;DATE($B$2,10,1),'OTROS INGRESOS'!$A$5:$A30,"&lt;"&amp;EDATE(DATE($B$2,10,1),1),'OTROS INGRESOS'!$E$5:$E30,"*EFECTIVO*")+SUMIFS('ABONOS MENSUALIDADES'!$F$5:$F$500,'ABONOS MENSUALIDADES'!$A$5:$A$500,"&gt;="&amp;DATE($B$2,10,1),'ABONOS MENSUALIDADES'!$A$5:$A$500,"&lt;"&amp;EDATE(DATE($B$2,10,1),1),'ABONOS MENSUALIDADES'!$E$5:$E$500,"*EFECTIVO*",'ABONOS MENSUALIDADES'!$G$5:$G$500,"&lt;&gt;*CONSOLIDADO EN PAGOS*")</f>
        <v>27320</v>
      </c>
      <c r="D14" s="247">
        <f>SUMIFS(PAGOS!$G$2:$G$996,PAGOS!$F$2:$F$996,"&gt;="&amp;DATE($B$2,10,1),PAGOS!$F$2:$F$996,"&lt;"&amp;EDATE(DATE($B$2,10,1),1),PAGOS!$H$2:$H$996,"*TERMINAL*")+SUMIFS(PAGOS!$J$2:$J$996,PAGOS!$I$2:$I$996,"&gt;="&amp;DATE($B$2,10,1),PAGOS!$I$2:$I$996,"&lt;"&amp;EDATE(DATE($B$2,10,1),1),PAGOS!$K$2:$K$996,"*TERMINAL*")+SUMIFS(PAGOS!$M$2:$M$996,PAGOS!$L$2:$L$996,"&gt;="&amp;DATE($B$2,10,1),PAGOS!$L$2:$L$996,"&lt;"&amp;EDATE(DATE($B$2,10,1),1),PAGOS!$N$2:$N$996,"*TERMINAL*")+SUMIFS(PAGOS!$P$2:$P$996,PAGOS!$O$2:$O$996,"&gt;="&amp;DATE($B$2,10,1),PAGOS!$O$2:$O$996,"&lt;"&amp;EDATE(DATE($B$2,10,1),1),PAGOS!$Q$2:$Q$996,"*TERMINAL*")+SUMIFS(PAGOS!$S$2:$S$996,PAGOS!$R$2:$R$996,"&gt;="&amp;DATE($B$2,10,1),PAGOS!$R$2:$R$996,"&lt;"&amp;EDATE(DATE($B$2,10,1),1),PAGOS!$T$2:$T$996,"*TERMINAL*")+SUMIFS(PAGOS!$V$2:$V$996,PAGOS!$U$2:$U$996,"&gt;="&amp;DATE($B$2,10,1),PAGOS!$U$2:$U$996,"&lt;"&amp;EDATE(DATE($B$2,10,1),1),PAGOS!$W$2:$W$996,"*TERMINAL*")+SUMIFS(PAGOS!$Y$2:$Y$996,PAGOS!$X$2:$X$996,"&gt;="&amp;DATE($B$2,10,1),PAGOS!$X$2:$X$996,"&lt;"&amp;EDATE(DATE($B$2,10,1),1),PAGOS!$Z$2:$Z$996,"*TERMINAL*")+SUMIFS(PAGOS!$AB$2:$AB$996,PAGOS!$AA$2:$AA$996,"&gt;="&amp;DATE($B$2,10,1),PAGOS!$AA$2:$AA$996,"&lt;"&amp;EDATE(DATE($B$2,10,1),1),PAGOS!$AC$2:$AC$996,"*TERMINAL*")+SUMIFS(PAGOS!$AE$2:$AE$996,PAGOS!$AD$2:$AD$996,"&gt;="&amp;DATE($B$2,10,1),PAGOS!$AD$2:$AD$996,"&lt;"&amp;EDATE(DATE($B$2,10,1),1),PAGOS!$AF$2:$AF$996,"*TERMINAL*")+SUMIFS(PAGOS!$AH$2:$AH$996,PAGOS!$AG$2:$AG$996,"&gt;="&amp;DATE($B$2,10,1),PAGOS!$AG$2:$AG$996,"&lt;"&amp;EDATE(DATE($B$2,10,1),1),PAGOS!$AI$2:$AI$996,"*TERMINAL*")+SUMIFS(PAGOS!$AK$2:$AK$996,PAGOS!$AJ$2:$AJ$996,"&gt;="&amp;DATE($B$2,10,1),PAGOS!$AJ$2:$AJ$996,"&lt;"&amp;EDATE(DATE($B$2,10,1),1),PAGOS!$AL$2:$AL$996,"*TERMINAL*")+SUMIFS('OTROS INGRESOS'!$F$5:$F30,'OTROS INGRESOS'!$A$5:$A30,"&gt;="&amp;DATE($B$2,10,1),'OTROS INGRESOS'!$A$5:$A30,"&lt;"&amp;EDATE(DATE($B$2,10,1),1),'OTROS INGRESOS'!$E$5:$E30,"*TERMINAL*")+SUMIFS('ABONOS MENSUALIDADES'!$F$5:$F$500,'ABONOS MENSUALIDADES'!$A$5:$A$500,"&gt;="&amp;DATE($B$2,10,1),'ABONOS MENSUALIDADES'!$A$5:$A$500,"&lt;"&amp;EDATE(DATE($B$2,10,1),1),'ABONOS MENSUALIDADES'!$E$5:$E$500,"*TERMINAL*",'ABONOS MENSUALIDADES'!$G$5:$G$500,"&lt;&gt;*CONSOLIDADO EN PAGOS*")</f>
        <v>8350</v>
      </c>
      <c r="E14" s="247">
        <f>LET(inicio,DATE($B$2,ROW()-4,1),otrosBrutos,SUMIFS('OTROS INGRESOS'!$F$5:$F30,'OTROS INGRESOS'!$A$5:$A30,"&gt;="&amp;inicio,'OTROS INGRESOS'!$A$5:$A30,"&lt;"&amp;EDATE(inicio,1),'OTROS INGRESOS'!$E$5:$E30,"*TERMINAL*"),otrosNetos,SUMIFS('OTROS INGRESOS'!$H$5:$H30,'OTROS INGRESOS'!$A$5:$A30,"&gt;="&amp;inicio,'OTROS INGRESOS'!$A$5:$A30,"&lt;"&amp;EDATE(inicio,1),'OTROS INGRESOS'!$E$5:$E30,"*TERMINAL*"),(D14-otrosBrutos)/1.16+otrosNetos)</f>
        <v>7198.275862</v>
      </c>
      <c r="F14" s="247">
        <f>SUMIFS(PAGOS!$G$2:$G$996,PAGOS!$F$2:$F$996,"&gt;="&amp;DATE($B$2,10,1),PAGOS!$F$2:$F$996,"&lt;"&amp;EDATE(DATE($B$2,10,1),1),PAGOS!$H$2:$H$996,"*TRANSFERENCIA*")+SUMIFS(PAGOS!$J$2:$J$996,PAGOS!$I$2:$I$996,"&gt;="&amp;DATE($B$2,10,1),PAGOS!$I$2:$I$996,"&lt;"&amp;EDATE(DATE($B$2,10,1),1),PAGOS!$K$2:$K$996,"*TRANSFERENCIA*")+SUMIFS(PAGOS!$M$2:$M$996,PAGOS!$L$2:$L$996,"&gt;="&amp;DATE($B$2,10,1),PAGOS!$L$2:$L$996,"&lt;"&amp;EDATE(DATE($B$2,10,1),1),PAGOS!$N$2:$N$996,"*TRANSFERENCIA*")+SUMIFS(PAGOS!$P$2:$P$996,PAGOS!$O$2:$O$996,"&gt;="&amp;DATE($B$2,10,1),PAGOS!$O$2:$O$996,"&lt;"&amp;EDATE(DATE($B$2,10,1),1),PAGOS!$Q$2:$Q$996,"*TRANSFERENCIA*")+SUMIFS(PAGOS!$S$2:$S$996,PAGOS!$R$2:$R$996,"&gt;="&amp;DATE($B$2,10,1),PAGOS!$R$2:$R$996,"&lt;"&amp;EDATE(DATE($B$2,10,1),1),PAGOS!$T$2:$T$996,"*TRANSFERENCIA*")+SUMIFS(PAGOS!$V$2:$V$996,PAGOS!$U$2:$U$996,"&gt;="&amp;DATE($B$2,10,1),PAGOS!$U$2:$U$996,"&lt;"&amp;EDATE(DATE($B$2,10,1),1),PAGOS!$W$2:$W$996,"*TRANSFERENCIA*")+SUMIFS(PAGOS!$Y$2:$Y$996,PAGOS!$X$2:$X$996,"&gt;="&amp;DATE($B$2,10,1),PAGOS!$X$2:$X$996,"&lt;"&amp;EDATE(DATE($B$2,10,1),1),PAGOS!$Z$2:$Z$996,"*TRANSFERENCIA*")+SUMIFS(PAGOS!$AB$2:$AB$996,PAGOS!$AA$2:$AA$996,"&gt;="&amp;DATE($B$2,10,1),PAGOS!$AA$2:$AA$996,"&lt;"&amp;EDATE(DATE($B$2,10,1),1),PAGOS!$AC$2:$AC$996,"*TRANSFERENCIA*")+SUMIFS(PAGOS!$AE$2:$AE$996,PAGOS!$AD$2:$AD$996,"&gt;="&amp;DATE($B$2,10,1),PAGOS!$AD$2:$AD$996,"&lt;"&amp;EDATE(DATE($B$2,10,1),1),PAGOS!$AF$2:$AF$996,"*TRANSFERENCIA*")+SUMIFS(PAGOS!$AH$2:$AH$996,PAGOS!$AG$2:$AG$996,"&gt;="&amp;DATE($B$2,10,1),PAGOS!$AG$2:$AG$996,"&lt;"&amp;EDATE(DATE($B$2,10,1),1),PAGOS!$AI$2:$AI$996,"*TRANSFERENCIA*")+SUMIFS(PAGOS!$AK$2:$AK$996,PAGOS!$AJ$2:$AJ$996,"&gt;="&amp;DATE($B$2,10,1),PAGOS!$AJ$2:$AJ$996,"&lt;"&amp;EDATE(DATE($B$2,10,1),1),PAGOS!$AL$2:$AL$996,"*TRANSFERENCIA*")+SUMIFS('OTROS INGRESOS'!$F$5:$F30,'OTROS INGRESOS'!$A$5:$A30,"&gt;="&amp;DATE($B$2,10,1),'OTROS INGRESOS'!$A$5:$A30,"&lt;"&amp;EDATE(DATE($B$2,10,1),1),'OTROS INGRESOS'!$E$5:$E30,"*TRANSFERENCIA*")+SUMIFS('ABONOS MENSUALIDADES'!$F$5:$F$500,'ABONOS MENSUALIDADES'!$A$5:$A$500,"&gt;="&amp;DATE($B$2,10,1),'ABONOS MENSUALIDADES'!$A$5:$A$500,"&lt;"&amp;EDATE(DATE($B$2,10,1),1),'ABONOS MENSUALIDADES'!$E$5:$E$500,"*TRANSFERENCIA*",'ABONOS MENSUALIDADES'!$G$5:$G$500,"&lt;&gt;*CONSOLIDADO EN PAGOS*")</f>
        <v>30686</v>
      </c>
      <c r="G14" s="247">
        <f>LET(inicio,DATE($B$2,ROW()-4,1),otrosBrutos,SUMIFS('OTROS INGRESOS'!$F$5:$F30,'OTROS INGRESOS'!$A$5:$A30,"&gt;="&amp;inicio,'OTROS INGRESOS'!$A$5:$A30,"&lt;"&amp;EDATE(inicio,1),'OTROS INGRESOS'!$E$5:$E30,"*TRANSFERENCIA*"),otrosNetos,SUMIFS('OTROS INGRESOS'!$H$5:$H30,'OTROS INGRESOS'!$A$5:$A30,"&gt;="&amp;inicio,'OTROS INGRESOS'!$A$5:$A30,"&lt;"&amp;EDATE(inicio,1),'OTROS INGRESOS'!$E$5:$E30,"*TRANSFERENCIA*"),(F14-otrosBrutos)/1.16+otrosNetos)</f>
        <v>26527.37931</v>
      </c>
      <c r="H14" s="247">
        <f t="shared" si="3"/>
        <v>0</v>
      </c>
      <c r="I14" s="247">
        <f t="shared" si="4"/>
        <v>5310.344828</v>
      </c>
      <c r="J14" s="247">
        <f t="shared" ref="J14:J16" si="9">C14+E14+G14+H14</f>
        <v>61045.65517</v>
      </c>
      <c r="K14" s="247">
        <f>SUMIFS(EGRESOS!$G$5:$G30,EGRESOS!$A$5:$A30,"&gt;="&amp;DATE($B$2,10,1),EGRESOS!$A$5:$A30,"&lt;"&amp;EDATE(DATE($B$2,10,1),1))</f>
        <v>35596.97</v>
      </c>
      <c r="L14" s="247">
        <f t="shared" si="6"/>
        <v>25448.68517</v>
      </c>
      <c r="M14" s="247">
        <f>SUMIFS('GASTOS FIJOS'!$D$4:$D$80,'GASTOS FIJOS'!$G$4:$G$80,TRUE,'GASTOS FIJOS'!$J$4:$J$80,"&lt;="&amp;EOMONTH(DATE($B$2,10,1),0),'GASTOS FIJOS'!$K$4:$K$80,"&gt;="&amp;DATE($B$2,10,1))</f>
        <v>43926</v>
      </c>
      <c r="N14" s="247">
        <f t="shared" si="7"/>
        <v>17119.65517</v>
      </c>
      <c r="O14" s="247">
        <f>SUMPRODUCT((EGRESOS!$A$5:$A$502&gt;=DATE($B$2,ROW()-4,1))*(EGRESOS!$A$5:$A$502&lt;EDATE(DATE($B$2,ROW()-4,1),1))*(EGRESOS!$H$5:$H$502=TRUE)*(EGRESOS!$G$5:$G$502-EGRESOS!$G$5:$G$502/1.16))</f>
        <v>0</v>
      </c>
      <c r="P14" s="247">
        <f t="shared" si="8"/>
        <v>5310.344828</v>
      </c>
    </row>
    <row r="15" ht="22.5" customHeight="1">
      <c r="A15" s="194" t="s">
        <v>86</v>
      </c>
      <c r="B15" s="247">
        <f>SUMIFS(PAGOS!$E$2:$E$996,PAGOS!$D$2:$D$996,"&gt;="&amp;DATE($B$2,11,1),PAGOS!$D$2:$D$996,"&lt;"&amp;EDATE(DATE($B$2,11,1),1))+SUMIFS(PAGOS!$G$2:$G$996,PAGOS!$F$2:$F$996,"&gt;="&amp;DATE($B$2,11,1),PAGOS!$F$2:$F$996,"&lt;"&amp;EDATE(DATE($B$2,11,1),1),PAGOS!$H$2:$H$996,"&lt;&gt;MIXTO (ABONOS)")+SUMIFS(PAGOS!$J$2:$J$996,PAGOS!$I$2:$I$996,"&gt;="&amp;DATE($B$2,11,1),PAGOS!$I$2:$I$996,"&lt;"&amp;EDATE(DATE($B$2,11,1),1),PAGOS!$K$2:$K$996,"&lt;&gt;MIXTO (ABONOS)")+SUMIFS(PAGOS!$M$2:$M$996,PAGOS!$L$2:$L$996,"&gt;="&amp;DATE($B$2,11,1),PAGOS!$L$2:$L$996,"&lt;"&amp;EDATE(DATE($B$2,11,1),1),PAGOS!$N$2:$N$996,"&lt;&gt;MIXTO (ABONOS)")+SUMIFS(PAGOS!$P$2:$P$996,PAGOS!$O$2:$O$996,"&gt;="&amp;DATE($B$2,11,1),PAGOS!$O$2:$O$996,"&lt;"&amp;EDATE(DATE($B$2,11,1),1),PAGOS!$Q$2:$Q$996,"&lt;&gt;MIXTO (ABONOS)")+SUMIFS(PAGOS!$S$2:$S$996,PAGOS!$R$2:$R$996,"&gt;="&amp;DATE($B$2,11,1),PAGOS!$R$2:$R$996,"&lt;"&amp;EDATE(DATE($B$2,11,1),1),PAGOS!$T$2:$T$996,"&lt;&gt;MIXTO (ABONOS)")+SUMIFS(PAGOS!$V$2:$V$996,PAGOS!$U$2:$U$996,"&gt;="&amp;DATE($B$2,11,1),PAGOS!$U$2:$U$996,"&lt;"&amp;EDATE(DATE($B$2,11,1),1),PAGOS!$W$2:$W$996,"&lt;&gt;MIXTO (ABONOS)")+SUMIFS(PAGOS!$Y$2:$Y$996,PAGOS!$X$2:$X$996,"&gt;="&amp;DATE($B$2,11,1),PAGOS!$X$2:$X$996,"&lt;"&amp;EDATE(DATE($B$2,11,1),1),PAGOS!$Z$2:$Z$996,"&lt;&gt;MIXTO (ABONOS)")+SUMIFS(PAGOS!$AB$2:$AB$996,PAGOS!$AA$2:$AA$996,"&gt;="&amp;DATE($B$2,11,1),PAGOS!$AA$2:$AA$996,"&lt;"&amp;EDATE(DATE($B$2,11,1),1),PAGOS!$AC$2:$AC$996,"&lt;&gt;MIXTO (ABONOS)")+SUMIFS(PAGOS!$AE$2:$AE$996,PAGOS!$AD$2:$AD$996,"&gt;="&amp;DATE($B$2,11,1),PAGOS!$AD$2:$AD$996,"&lt;"&amp;EDATE(DATE($B$2,11,1),1),PAGOS!$AF$2:$AF$996,"&lt;&gt;MIXTO (ABONOS)")+SUMIFS(PAGOS!$AH$2:$AH$996,PAGOS!$AG$2:$AG$996,"&gt;="&amp;DATE($B$2,11,1),PAGOS!$AG$2:$AG$996,"&lt;"&amp;EDATE(DATE($B$2,11,1),1),PAGOS!$AI$2:$AI$996,"&lt;&gt;MIXTO (ABONOS)")+SUMIFS(PAGOS!$AK$2:$AK$996,PAGOS!$AJ$2:$AJ$996,"&gt;="&amp;DATE($B$2,11,1),PAGOS!$AJ$2:$AJ$996,"&lt;"&amp;EDATE(DATE($B$2,11,1),1),PAGOS!$AL$2:$AL$996,"&lt;&gt;MIXTO (ABONOS)")+SUMIFS('OTROS INGRESOS'!$F$5:$F30,'OTROS INGRESOS'!$A$5:$A30,"&gt;="&amp;DATE($B$2,11,1),'OTROS INGRESOS'!$A$5:$A30,"&lt;"&amp;EDATE(DATE($B$2,11,1),1))+SUMIFS('ABONOS MENSUALIDADES'!$F$5:$F$500,'ABONOS MENSUALIDADES'!$A$5:$A$500,"&gt;="&amp;DATE($B$2,11,1),'ABONOS MENSUALIDADES'!$A$5:$A$500,"&lt;"&amp;EDATE(DATE($B$2,11,1),1),'ABONOS MENSUALIDADES'!$G$5:$G$500,"&lt;&gt;*CONSOLIDADO EN PAGOS*")</f>
        <v>0</v>
      </c>
      <c r="C15" s="247">
        <f>SUMIFS(PAGOS!$G$2:$G$996,PAGOS!$F$2:$F$996,"&gt;="&amp;DATE($B$2,11,1),PAGOS!$F$2:$F$996,"&lt;"&amp;EDATE(DATE($B$2,11,1),1),PAGOS!$H$2:$H$996,"*EFECTIVO*")+SUMIFS(PAGOS!$J$2:$J$996,PAGOS!$I$2:$I$996,"&gt;="&amp;DATE($B$2,11,1),PAGOS!$I$2:$I$996,"&lt;"&amp;EDATE(DATE($B$2,11,1),1),PAGOS!$K$2:$K$996,"*EFECTIVO*")+SUMIFS(PAGOS!$M$2:$M$996,PAGOS!$L$2:$L$996,"&gt;="&amp;DATE($B$2,11,1),PAGOS!$L$2:$L$996,"&lt;"&amp;EDATE(DATE($B$2,11,1),1),PAGOS!$N$2:$N$996,"*EFECTIVO*")+SUMIFS(PAGOS!$P$2:$P$996,PAGOS!$O$2:$O$996,"&gt;="&amp;DATE($B$2,11,1),PAGOS!$O$2:$O$996,"&lt;"&amp;EDATE(DATE($B$2,11,1),1),PAGOS!$Q$2:$Q$996,"*EFECTIVO*")+SUMIFS(PAGOS!$S$2:$S$996,PAGOS!$R$2:$R$996,"&gt;="&amp;DATE($B$2,11,1),PAGOS!$R$2:$R$996,"&lt;"&amp;EDATE(DATE($B$2,11,1),1),PAGOS!$T$2:$T$996,"*EFECTIVO*")+SUMIFS(PAGOS!$V$2:$V$996,PAGOS!$U$2:$U$996,"&gt;="&amp;DATE($B$2,11,1),PAGOS!$U$2:$U$996,"&lt;"&amp;EDATE(DATE($B$2,11,1),1),PAGOS!$W$2:$W$996,"*EFECTIVO*")+SUMIFS(PAGOS!$Y$2:$Y$996,PAGOS!$X$2:$X$996,"&gt;="&amp;DATE($B$2,11,1),PAGOS!$X$2:$X$996,"&lt;"&amp;EDATE(DATE($B$2,11,1),1),PAGOS!$Z$2:$Z$996,"*EFECTIVO*")+SUMIFS(PAGOS!$AB$2:$AB$996,PAGOS!$AA$2:$AA$996,"&gt;="&amp;DATE($B$2,11,1),PAGOS!$AA$2:$AA$996,"&lt;"&amp;EDATE(DATE($B$2,11,1),1),PAGOS!$AC$2:$AC$996,"*EFECTIVO*")+SUMIFS(PAGOS!$AE$2:$AE$996,PAGOS!$AD$2:$AD$996,"&gt;="&amp;DATE($B$2,11,1),PAGOS!$AD$2:$AD$996,"&lt;"&amp;EDATE(DATE($B$2,11,1),1),PAGOS!$AF$2:$AF$996,"*EFECTIVO*")+SUMIFS(PAGOS!$AH$2:$AH$996,PAGOS!$AG$2:$AG$996,"&gt;="&amp;DATE($B$2,11,1),PAGOS!$AG$2:$AG$996,"&lt;"&amp;EDATE(DATE($B$2,11,1),1),PAGOS!$AI$2:$AI$996,"*EFECTIVO*")+SUMIFS(PAGOS!$AK$2:$AK$996,PAGOS!$AJ$2:$AJ$996,"&gt;="&amp;DATE($B$2,11,1),PAGOS!$AJ$2:$AJ$996,"&lt;"&amp;EDATE(DATE($B$2,11,1),1),PAGOS!$AL$2:$AL$996,"*EFECTIVO*")+SUMIFS('OTROS INGRESOS'!$F$5:$F30,'OTROS INGRESOS'!$A$5:$A30,"&gt;="&amp;DATE($B$2,11,1),'OTROS INGRESOS'!$A$5:$A30,"&lt;"&amp;EDATE(DATE($B$2,11,1),1),'OTROS INGRESOS'!$E$5:$E30,"*EFECTIVO*")+SUMIFS('ABONOS MENSUALIDADES'!$F$5:$F$500,'ABONOS MENSUALIDADES'!$A$5:$A$500,"&gt;="&amp;DATE($B$2,11,1),'ABONOS MENSUALIDADES'!$A$5:$A$500,"&lt;"&amp;EDATE(DATE($B$2,11,1),1),'ABONOS MENSUALIDADES'!$E$5:$E$500,"*EFECTIVO*",'ABONOS MENSUALIDADES'!$G$5:$G$500,"&lt;&gt;*CONSOLIDADO EN PAGOS*")</f>
        <v>0</v>
      </c>
      <c r="D15" s="247">
        <f>SUMIFS(PAGOS!$G$2:$G$996,PAGOS!$F$2:$F$996,"&gt;="&amp;DATE($B$2,11,1),PAGOS!$F$2:$F$996,"&lt;"&amp;EDATE(DATE($B$2,11,1),1),PAGOS!$H$2:$H$996,"*TERMINAL*")+SUMIFS(PAGOS!$J$2:$J$996,PAGOS!$I$2:$I$996,"&gt;="&amp;DATE($B$2,11,1),PAGOS!$I$2:$I$996,"&lt;"&amp;EDATE(DATE($B$2,11,1),1),PAGOS!$K$2:$K$996,"*TERMINAL*")+SUMIFS(PAGOS!$M$2:$M$996,PAGOS!$L$2:$L$996,"&gt;="&amp;DATE($B$2,11,1),PAGOS!$L$2:$L$996,"&lt;"&amp;EDATE(DATE($B$2,11,1),1),PAGOS!$N$2:$N$996,"*TERMINAL*")+SUMIFS(PAGOS!$P$2:$P$996,PAGOS!$O$2:$O$996,"&gt;="&amp;DATE($B$2,11,1),PAGOS!$O$2:$O$996,"&lt;"&amp;EDATE(DATE($B$2,11,1),1),PAGOS!$Q$2:$Q$996,"*TERMINAL*")+SUMIFS(PAGOS!$S$2:$S$996,PAGOS!$R$2:$R$996,"&gt;="&amp;DATE($B$2,11,1),PAGOS!$R$2:$R$996,"&lt;"&amp;EDATE(DATE($B$2,11,1),1),PAGOS!$T$2:$T$996,"*TERMINAL*")+SUMIFS(PAGOS!$V$2:$V$996,PAGOS!$U$2:$U$996,"&gt;="&amp;DATE($B$2,11,1),PAGOS!$U$2:$U$996,"&lt;"&amp;EDATE(DATE($B$2,11,1),1),PAGOS!$W$2:$W$996,"*TERMINAL*")+SUMIFS(PAGOS!$Y$2:$Y$996,PAGOS!$X$2:$X$996,"&gt;="&amp;DATE($B$2,11,1),PAGOS!$X$2:$X$996,"&lt;"&amp;EDATE(DATE($B$2,11,1),1),PAGOS!$Z$2:$Z$996,"*TERMINAL*")+SUMIFS(PAGOS!$AB$2:$AB$996,PAGOS!$AA$2:$AA$996,"&gt;="&amp;DATE($B$2,11,1),PAGOS!$AA$2:$AA$996,"&lt;"&amp;EDATE(DATE($B$2,11,1),1),PAGOS!$AC$2:$AC$996,"*TERMINAL*")+SUMIFS(PAGOS!$AE$2:$AE$996,PAGOS!$AD$2:$AD$996,"&gt;="&amp;DATE($B$2,11,1),PAGOS!$AD$2:$AD$996,"&lt;"&amp;EDATE(DATE($B$2,11,1),1),PAGOS!$AF$2:$AF$996,"*TERMINAL*")+SUMIFS(PAGOS!$AH$2:$AH$996,PAGOS!$AG$2:$AG$996,"&gt;="&amp;DATE($B$2,11,1),PAGOS!$AG$2:$AG$996,"&lt;"&amp;EDATE(DATE($B$2,11,1),1),PAGOS!$AI$2:$AI$996,"*TERMINAL*")+SUMIFS(PAGOS!$AK$2:$AK$996,PAGOS!$AJ$2:$AJ$996,"&gt;="&amp;DATE($B$2,11,1),PAGOS!$AJ$2:$AJ$996,"&lt;"&amp;EDATE(DATE($B$2,11,1),1),PAGOS!$AL$2:$AL$996,"*TERMINAL*")+SUMIFS('OTROS INGRESOS'!$F$5:$F30,'OTROS INGRESOS'!$A$5:$A30,"&gt;="&amp;DATE($B$2,11,1),'OTROS INGRESOS'!$A$5:$A30,"&lt;"&amp;EDATE(DATE($B$2,11,1),1),'OTROS INGRESOS'!$E$5:$E30,"*TERMINAL*")+SUMIFS('ABONOS MENSUALIDADES'!$F$5:$F$500,'ABONOS MENSUALIDADES'!$A$5:$A$500,"&gt;="&amp;DATE($B$2,11,1),'ABONOS MENSUALIDADES'!$A$5:$A$500,"&lt;"&amp;EDATE(DATE($B$2,11,1),1),'ABONOS MENSUALIDADES'!$E$5:$E$500,"*TERMINAL*",'ABONOS MENSUALIDADES'!$G$5:$G$500,"&lt;&gt;*CONSOLIDADO EN PAGOS*")</f>
        <v>0</v>
      </c>
      <c r="E15" s="247">
        <f>LET(inicio,DATE($B$2,ROW()-4,1),otrosBrutos,SUMIFS('OTROS INGRESOS'!$F$5:$F30,'OTROS INGRESOS'!$A$5:$A30,"&gt;="&amp;inicio,'OTROS INGRESOS'!$A$5:$A30,"&lt;"&amp;EDATE(inicio,1),'OTROS INGRESOS'!$E$5:$E30,"*TERMINAL*"),otrosNetos,SUMIFS('OTROS INGRESOS'!$H$5:$H30,'OTROS INGRESOS'!$A$5:$A30,"&gt;="&amp;inicio,'OTROS INGRESOS'!$A$5:$A30,"&lt;"&amp;EDATE(inicio,1),'OTROS INGRESOS'!$E$5:$E30,"*TERMINAL*"),(D15-otrosBrutos)/1.16+otrosNetos)</f>
        <v>0</v>
      </c>
      <c r="F15" s="247">
        <f>SUMIFS(PAGOS!$G$2:$G$996,PAGOS!$F$2:$F$996,"&gt;="&amp;DATE($B$2,11,1),PAGOS!$F$2:$F$996,"&lt;"&amp;EDATE(DATE($B$2,11,1),1),PAGOS!$H$2:$H$996,"*TRANSFERENCIA*")+SUMIFS(PAGOS!$J$2:$J$996,PAGOS!$I$2:$I$996,"&gt;="&amp;DATE($B$2,11,1),PAGOS!$I$2:$I$996,"&lt;"&amp;EDATE(DATE($B$2,11,1),1),PAGOS!$K$2:$K$996,"*TRANSFERENCIA*")+SUMIFS(PAGOS!$M$2:$M$996,PAGOS!$L$2:$L$996,"&gt;="&amp;DATE($B$2,11,1),PAGOS!$L$2:$L$996,"&lt;"&amp;EDATE(DATE($B$2,11,1),1),PAGOS!$N$2:$N$996,"*TRANSFERENCIA*")+SUMIFS(PAGOS!$P$2:$P$996,PAGOS!$O$2:$O$996,"&gt;="&amp;DATE($B$2,11,1),PAGOS!$O$2:$O$996,"&lt;"&amp;EDATE(DATE($B$2,11,1),1),PAGOS!$Q$2:$Q$996,"*TRANSFERENCIA*")+SUMIFS(PAGOS!$S$2:$S$996,PAGOS!$R$2:$R$996,"&gt;="&amp;DATE($B$2,11,1),PAGOS!$R$2:$R$996,"&lt;"&amp;EDATE(DATE($B$2,11,1),1),PAGOS!$T$2:$T$996,"*TRANSFERENCIA*")+SUMIFS(PAGOS!$V$2:$V$996,PAGOS!$U$2:$U$996,"&gt;="&amp;DATE($B$2,11,1),PAGOS!$U$2:$U$996,"&lt;"&amp;EDATE(DATE($B$2,11,1),1),PAGOS!$W$2:$W$996,"*TRANSFERENCIA*")+SUMIFS(PAGOS!$Y$2:$Y$996,PAGOS!$X$2:$X$996,"&gt;="&amp;DATE($B$2,11,1),PAGOS!$X$2:$X$996,"&lt;"&amp;EDATE(DATE($B$2,11,1),1),PAGOS!$Z$2:$Z$996,"*TRANSFERENCIA*")+SUMIFS(PAGOS!$AB$2:$AB$996,PAGOS!$AA$2:$AA$996,"&gt;="&amp;DATE($B$2,11,1),PAGOS!$AA$2:$AA$996,"&lt;"&amp;EDATE(DATE($B$2,11,1),1),PAGOS!$AC$2:$AC$996,"*TRANSFERENCIA*")+SUMIFS(PAGOS!$AE$2:$AE$996,PAGOS!$AD$2:$AD$996,"&gt;="&amp;DATE($B$2,11,1),PAGOS!$AD$2:$AD$996,"&lt;"&amp;EDATE(DATE($B$2,11,1),1),PAGOS!$AF$2:$AF$996,"*TRANSFERENCIA*")+SUMIFS(PAGOS!$AH$2:$AH$996,PAGOS!$AG$2:$AG$996,"&gt;="&amp;DATE($B$2,11,1),PAGOS!$AG$2:$AG$996,"&lt;"&amp;EDATE(DATE($B$2,11,1),1),PAGOS!$AI$2:$AI$996,"*TRANSFERENCIA*")+SUMIFS(PAGOS!$AK$2:$AK$996,PAGOS!$AJ$2:$AJ$996,"&gt;="&amp;DATE($B$2,11,1),PAGOS!$AJ$2:$AJ$996,"&lt;"&amp;EDATE(DATE($B$2,11,1),1),PAGOS!$AL$2:$AL$996,"*TRANSFERENCIA*")+SUMIFS('OTROS INGRESOS'!$F$5:$F30,'OTROS INGRESOS'!$A$5:$A30,"&gt;="&amp;DATE($B$2,11,1),'OTROS INGRESOS'!$A$5:$A30,"&lt;"&amp;EDATE(DATE($B$2,11,1),1),'OTROS INGRESOS'!$E$5:$E30,"*TRANSFERENCIA*")+SUMIFS('ABONOS MENSUALIDADES'!$F$5:$F$500,'ABONOS MENSUALIDADES'!$A$5:$A$500,"&gt;="&amp;DATE($B$2,11,1),'ABONOS MENSUALIDADES'!$A$5:$A$500,"&lt;"&amp;EDATE(DATE($B$2,11,1),1),'ABONOS MENSUALIDADES'!$E$5:$E$500,"*TRANSFERENCIA*",'ABONOS MENSUALIDADES'!$G$5:$G$500,"&lt;&gt;*CONSOLIDADO EN PAGOS*")</f>
        <v>0</v>
      </c>
      <c r="G15" s="247">
        <f>LET(inicio,DATE($B$2,ROW()-4,1),otrosBrutos,SUMIFS('OTROS INGRESOS'!$F$5:$F30,'OTROS INGRESOS'!$A$5:$A30,"&gt;="&amp;inicio,'OTROS INGRESOS'!$A$5:$A30,"&lt;"&amp;EDATE(inicio,1),'OTROS INGRESOS'!$E$5:$E30,"*TRANSFERENCIA*"),otrosNetos,SUMIFS('OTROS INGRESOS'!$H$5:$H30,'OTROS INGRESOS'!$A$5:$A30,"&gt;="&amp;inicio,'OTROS INGRESOS'!$A$5:$A30,"&lt;"&amp;EDATE(inicio,1),'OTROS INGRESOS'!$E$5:$E30,"*TRANSFERENCIA*"),(F15-otrosBrutos)/1.16+otrosNetos)</f>
        <v>0</v>
      </c>
      <c r="H15" s="247">
        <f t="shared" si="3"/>
        <v>0</v>
      </c>
      <c r="I15" s="247">
        <f t="shared" si="4"/>
        <v>0</v>
      </c>
      <c r="J15" s="247">
        <f t="shared" si="9"/>
        <v>0</v>
      </c>
      <c r="K15" s="247">
        <f>SUMIFS(EGRESOS!$G$5:$G30,EGRESOS!$A$5:$A30,"&gt;="&amp;DATE($B$2,11,1),EGRESOS!$A$5:$A30,"&lt;"&amp;EDATE(DATE($B$2,11,1),1))</f>
        <v>0</v>
      </c>
      <c r="L15" s="247">
        <f t="shared" si="6"/>
        <v>0</v>
      </c>
      <c r="M15" s="247">
        <f>SUMIFS('GASTOS FIJOS'!$D$4:$D$80,'GASTOS FIJOS'!$G$4:$G$80,TRUE,'GASTOS FIJOS'!$J$4:$J$80,"&lt;="&amp;EOMONTH(DATE($B$2,11,1),0),'GASTOS FIJOS'!$K$4:$K$80,"&gt;="&amp;DATE($B$2,11,1))</f>
        <v>43926</v>
      </c>
      <c r="N15" s="247">
        <f t="shared" si="7"/>
        <v>-43926</v>
      </c>
      <c r="O15" s="247">
        <f>SUMPRODUCT((EGRESOS!$A$5:$A$502&gt;=DATE($B$2,ROW()-4,1))*(EGRESOS!$A$5:$A$502&lt;EDATE(DATE($B$2,ROW()-4,1),1))*(EGRESOS!$H$5:$H$502=TRUE)*(EGRESOS!$G$5:$G$502-EGRESOS!$G$5:$G$502/1.16))</f>
        <v>0</v>
      </c>
      <c r="P15" s="247">
        <f t="shared" si="8"/>
        <v>0</v>
      </c>
    </row>
    <row r="16" ht="22.5" customHeight="1">
      <c r="A16" s="194" t="s">
        <v>89</v>
      </c>
      <c r="B16" s="247">
        <f>SUMIFS(PAGOS!$E$2:$E$996,PAGOS!$D$2:$D$996,"&gt;="&amp;DATE($B$2,12,1),PAGOS!$D$2:$D$996,"&lt;"&amp;EDATE(DATE($B$2,12,1),1))+SUMIFS(PAGOS!$G$2:$G$996,PAGOS!$F$2:$F$996,"&gt;="&amp;DATE($B$2,12,1),PAGOS!$F$2:$F$996,"&lt;"&amp;EDATE(DATE($B$2,12,1),1),PAGOS!$H$2:$H$996,"&lt;&gt;MIXTO (ABONOS)")+SUMIFS(PAGOS!$J$2:$J$996,PAGOS!$I$2:$I$996,"&gt;="&amp;DATE($B$2,12,1),PAGOS!$I$2:$I$996,"&lt;"&amp;EDATE(DATE($B$2,12,1),1),PAGOS!$K$2:$K$996,"&lt;&gt;MIXTO (ABONOS)")+SUMIFS(PAGOS!$M$2:$M$996,PAGOS!$L$2:$L$996,"&gt;="&amp;DATE($B$2,12,1),PAGOS!$L$2:$L$996,"&lt;"&amp;EDATE(DATE($B$2,12,1),1),PAGOS!$N$2:$N$996,"&lt;&gt;MIXTO (ABONOS)")+SUMIFS(PAGOS!$P$2:$P$996,PAGOS!$O$2:$O$996,"&gt;="&amp;DATE($B$2,12,1),PAGOS!$O$2:$O$996,"&lt;"&amp;EDATE(DATE($B$2,12,1),1),PAGOS!$Q$2:$Q$996,"&lt;&gt;MIXTO (ABONOS)")+SUMIFS(PAGOS!$S$2:$S$996,PAGOS!$R$2:$R$996,"&gt;="&amp;DATE($B$2,12,1),PAGOS!$R$2:$R$996,"&lt;"&amp;EDATE(DATE($B$2,12,1),1),PAGOS!$T$2:$T$996,"&lt;&gt;MIXTO (ABONOS)")+SUMIFS(PAGOS!$V$2:$V$996,PAGOS!$U$2:$U$996,"&gt;="&amp;DATE($B$2,12,1),PAGOS!$U$2:$U$996,"&lt;"&amp;EDATE(DATE($B$2,12,1),1),PAGOS!$W$2:$W$996,"&lt;&gt;MIXTO (ABONOS)")+SUMIFS(PAGOS!$Y$2:$Y$996,PAGOS!$X$2:$X$996,"&gt;="&amp;DATE($B$2,12,1),PAGOS!$X$2:$X$996,"&lt;"&amp;EDATE(DATE($B$2,12,1),1),PAGOS!$Z$2:$Z$996,"&lt;&gt;MIXTO (ABONOS)")+SUMIFS(PAGOS!$AB$2:$AB$996,PAGOS!$AA$2:$AA$996,"&gt;="&amp;DATE($B$2,12,1),PAGOS!$AA$2:$AA$996,"&lt;"&amp;EDATE(DATE($B$2,12,1),1),PAGOS!$AC$2:$AC$996,"&lt;&gt;MIXTO (ABONOS)")+SUMIFS(PAGOS!$AE$2:$AE$996,PAGOS!$AD$2:$AD$996,"&gt;="&amp;DATE($B$2,12,1),PAGOS!$AD$2:$AD$996,"&lt;"&amp;EDATE(DATE($B$2,12,1),1),PAGOS!$AF$2:$AF$996,"&lt;&gt;MIXTO (ABONOS)")+SUMIFS(PAGOS!$AH$2:$AH$996,PAGOS!$AG$2:$AG$996,"&gt;="&amp;DATE($B$2,12,1),PAGOS!$AG$2:$AG$996,"&lt;"&amp;EDATE(DATE($B$2,12,1),1),PAGOS!$AI$2:$AI$996,"&lt;&gt;MIXTO (ABONOS)")+SUMIFS(PAGOS!$AK$2:$AK$996,PAGOS!$AJ$2:$AJ$996,"&gt;="&amp;DATE($B$2,12,1),PAGOS!$AJ$2:$AJ$996,"&lt;"&amp;EDATE(DATE($B$2,12,1),1),PAGOS!$AL$2:$AL$996,"&lt;&gt;MIXTO (ABONOS)")+SUMIFS('OTROS INGRESOS'!$F$5:$F30,'OTROS INGRESOS'!$A$5:$A30,"&gt;="&amp;DATE($B$2,12,1),'OTROS INGRESOS'!$A$5:$A30,"&lt;"&amp;EDATE(DATE($B$2,12,1),1))+SUMIFS('ABONOS MENSUALIDADES'!$F$5:$F$500,'ABONOS MENSUALIDADES'!$A$5:$A$500,"&gt;="&amp;DATE($B$2,12,1),'ABONOS MENSUALIDADES'!$A$5:$A$500,"&lt;"&amp;EDATE(DATE($B$2,12,1),1),'ABONOS MENSUALIDADES'!$G$5:$G$500,"&lt;&gt;*CONSOLIDADO EN PAGOS*")</f>
        <v>0</v>
      </c>
      <c r="C16" s="247">
        <f>SUMIFS(PAGOS!$G$2:$G$996,PAGOS!$F$2:$F$996,"&gt;="&amp;DATE($B$2,12,1),PAGOS!$F$2:$F$996,"&lt;"&amp;EDATE(DATE($B$2,12,1),1),PAGOS!$H$2:$H$996,"*EFECTIVO*")+SUMIFS(PAGOS!$J$2:$J$996,PAGOS!$I$2:$I$996,"&gt;="&amp;DATE($B$2,12,1),PAGOS!$I$2:$I$996,"&lt;"&amp;EDATE(DATE($B$2,12,1),1),PAGOS!$K$2:$K$996,"*EFECTIVO*")+SUMIFS(PAGOS!$M$2:$M$996,PAGOS!$L$2:$L$996,"&gt;="&amp;DATE($B$2,12,1),PAGOS!$L$2:$L$996,"&lt;"&amp;EDATE(DATE($B$2,12,1),1),PAGOS!$N$2:$N$996,"*EFECTIVO*")+SUMIFS(PAGOS!$P$2:$P$996,PAGOS!$O$2:$O$996,"&gt;="&amp;DATE($B$2,12,1),PAGOS!$O$2:$O$996,"&lt;"&amp;EDATE(DATE($B$2,12,1),1),PAGOS!$Q$2:$Q$996,"*EFECTIVO*")+SUMIFS(PAGOS!$S$2:$S$996,PAGOS!$R$2:$R$996,"&gt;="&amp;DATE($B$2,12,1),PAGOS!$R$2:$R$996,"&lt;"&amp;EDATE(DATE($B$2,12,1),1),PAGOS!$T$2:$T$996,"*EFECTIVO*")+SUMIFS(PAGOS!$V$2:$V$996,PAGOS!$U$2:$U$996,"&gt;="&amp;DATE($B$2,12,1),PAGOS!$U$2:$U$996,"&lt;"&amp;EDATE(DATE($B$2,12,1),1),PAGOS!$W$2:$W$996,"*EFECTIVO*")+SUMIFS(PAGOS!$Y$2:$Y$996,PAGOS!$X$2:$X$996,"&gt;="&amp;DATE($B$2,12,1),PAGOS!$X$2:$X$996,"&lt;"&amp;EDATE(DATE($B$2,12,1),1),PAGOS!$Z$2:$Z$996,"*EFECTIVO*")+SUMIFS(PAGOS!$AB$2:$AB$996,PAGOS!$AA$2:$AA$996,"&gt;="&amp;DATE($B$2,12,1),PAGOS!$AA$2:$AA$996,"&lt;"&amp;EDATE(DATE($B$2,12,1),1),PAGOS!$AC$2:$AC$996,"*EFECTIVO*")+SUMIFS(PAGOS!$AE$2:$AE$996,PAGOS!$AD$2:$AD$996,"&gt;="&amp;DATE($B$2,12,1),PAGOS!$AD$2:$AD$996,"&lt;"&amp;EDATE(DATE($B$2,12,1),1),PAGOS!$AF$2:$AF$996,"*EFECTIVO*")+SUMIFS(PAGOS!$AH$2:$AH$996,PAGOS!$AG$2:$AG$996,"&gt;="&amp;DATE($B$2,12,1),PAGOS!$AG$2:$AG$996,"&lt;"&amp;EDATE(DATE($B$2,12,1),1),PAGOS!$AI$2:$AI$996,"*EFECTIVO*")+SUMIFS(PAGOS!$AK$2:$AK$996,PAGOS!$AJ$2:$AJ$996,"&gt;="&amp;DATE($B$2,12,1),PAGOS!$AJ$2:$AJ$996,"&lt;"&amp;EDATE(DATE($B$2,12,1),1),PAGOS!$AL$2:$AL$996,"*EFECTIVO*")+SUMIFS('OTROS INGRESOS'!$F$5:$F30,'OTROS INGRESOS'!$A$5:$A30,"&gt;="&amp;DATE($B$2,12,1),'OTROS INGRESOS'!$A$5:$A30,"&lt;"&amp;EDATE(DATE($B$2,12,1),1),'OTROS INGRESOS'!$E$5:$E30,"*EFECTIVO*")+SUMIFS('ABONOS MENSUALIDADES'!$F$5:$F$500,'ABONOS MENSUALIDADES'!$A$5:$A$500,"&gt;="&amp;DATE($B$2,12,1),'ABONOS MENSUALIDADES'!$A$5:$A$500,"&lt;"&amp;EDATE(DATE($B$2,12,1),1),'ABONOS MENSUALIDADES'!$E$5:$E$500,"*EFECTIVO*",'ABONOS MENSUALIDADES'!$G$5:$G$500,"&lt;&gt;*CONSOLIDADO EN PAGOS*")</f>
        <v>0</v>
      </c>
      <c r="D16" s="247">
        <f>SUMIFS(PAGOS!$G$2:$G$996,PAGOS!$F$2:$F$996,"&gt;="&amp;DATE($B$2,12,1),PAGOS!$F$2:$F$996,"&lt;"&amp;EDATE(DATE($B$2,12,1),1),PAGOS!$H$2:$H$996,"*TERMINAL*")+SUMIFS(PAGOS!$J$2:$J$996,PAGOS!$I$2:$I$996,"&gt;="&amp;DATE($B$2,12,1),PAGOS!$I$2:$I$996,"&lt;"&amp;EDATE(DATE($B$2,12,1),1),PAGOS!$K$2:$K$996,"*TERMINAL*")+SUMIFS(PAGOS!$M$2:$M$996,PAGOS!$L$2:$L$996,"&gt;="&amp;DATE($B$2,12,1),PAGOS!$L$2:$L$996,"&lt;"&amp;EDATE(DATE($B$2,12,1),1),PAGOS!$N$2:$N$996,"*TERMINAL*")+SUMIFS(PAGOS!$P$2:$P$996,PAGOS!$O$2:$O$996,"&gt;="&amp;DATE($B$2,12,1),PAGOS!$O$2:$O$996,"&lt;"&amp;EDATE(DATE($B$2,12,1),1),PAGOS!$Q$2:$Q$996,"*TERMINAL*")+SUMIFS(PAGOS!$S$2:$S$996,PAGOS!$R$2:$R$996,"&gt;="&amp;DATE($B$2,12,1),PAGOS!$R$2:$R$996,"&lt;"&amp;EDATE(DATE($B$2,12,1),1),PAGOS!$T$2:$T$996,"*TERMINAL*")+SUMIFS(PAGOS!$V$2:$V$996,PAGOS!$U$2:$U$996,"&gt;="&amp;DATE($B$2,12,1),PAGOS!$U$2:$U$996,"&lt;"&amp;EDATE(DATE($B$2,12,1),1),PAGOS!$W$2:$W$996,"*TERMINAL*")+SUMIFS(PAGOS!$Y$2:$Y$996,PAGOS!$X$2:$X$996,"&gt;="&amp;DATE($B$2,12,1),PAGOS!$X$2:$X$996,"&lt;"&amp;EDATE(DATE($B$2,12,1),1),PAGOS!$Z$2:$Z$996,"*TERMINAL*")+SUMIFS(PAGOS!$AB$2:$AB$996,PAGOS!$AA$2:$AA$996,"&gt;="&amp;DATE($B$2,12,1),PAGOS!$AA$2:$AA$996,"&lt;"&amp;EDATE(DATE($B$2,12,1),1),PAGOS!$AC$2:$AC$996,"*TERMINAL*")+SUMIFS(PAGOS!$AE$2:$AE$996,PAGOS!$AD$2:$AD$996,"&gt;="&amp;DATE($B$2,12,1),PAGOS!$AD$2:$AD$996,"&lt;"&amp;EDATE(DATE($B$2,12,1),1),PAGOS!$AF$2:$AF$996,"*TERMINAL*")+SUMIFS(PAGOS!$AH$2:$AH$996,PAGOS!$AG$2:$AG$996,"&gt;="&amp;DATE($B$2,12,1),PAGOS!$AG$2:$AG$996,"&lt;"&amp;EDATE(DATE($B$2,12,1),1),PAGOS!$AI$2:$AI$996,"*TERMINAL*")+SUMIFS(PAGOS!$AK$2:$AK$996,PAGOS!$AJ$2:$AJ$996,"&gt;="&amp;DATE($B$2,12,1),PAGOS!$AJ$2:$AJ$996,"&lt;"&amp;EDATE(DATE($B$2,12,1),1),PAGOS!$AL$2:$AL$996,"*TERMINAL*")+SUMIFS('OTROS INGRESOS'!$F$5:$F30,'OTROS INGRESOS'!$A$5:$A30,"&gt;="&amp;DATE($B$2,12,1),'OTROS INGRESOS'!$A$5:$A30,"&lt;"&amp;EDATE(DATE($B$2,12,1),1),'OTROS INGRESOS'!$E$5:$E30,"*TERMINAL*")+SUMIFS('ABONOS MENSUALIDADES'!$F$5:$F$500,'ABONOS MENSUALIDADES'!$A$5:$A$500,"&gt;="&amp;DATE($B$2,12,1),'ABONOS MENSUALIDADES'!$A$5:$A$500,"&lt;"&amp;EDATE(DATE($B$2,12,1),1),'ABONOS MENSUALIDADES'!$E$5:$E$500,"*TERMINAL*",'ABONOS MENSUALIDADES'!$G$5:$G$500,"&lt;&gt;*CONSOLIDADO EN PAGOS*")</f>
        <v>0</v>
      </c>
      <c r="E16" s="247">
        <f>LET(inicio,DATE($B$2,ROW()-4,1),otrosBrutos,SUMIFS('OTROS INGRESOS'!$F$5:$F30,'OTROS INGRESOS'!$A$5:$A30,"&gt;="&amp;inicio,'OTROS INGRESOS'!$A$5:$A30,"&lt;"&amp;EDATE(inicio,1),'OTROS INGRESOS'!$E$5:$E30,"*TERMINAL*"),otrosNetos,SUMIFS('OTROS INGRESOS'!$H$5:$H30,'OTROS INGRESOS'!$A$5:$A30,"&gt;="&amp;inicio,'OTROS INGRESOS'!$A$5:$A30,"&lt;"&amp;EDATE(inicio,1),'OTROS INGRESOS'!$E$5:$E30,"*TERMINAL*"),(D16-otrosBrutos)/1.16+otrosNetos)</f>
        <v>0</v>
      </c>
      <c r="F16" s="247">
        <f>SUMIFS(PAGOS!$G$2:$G$996,PAGOS!$F$2:$F$996,"&gt;="&amp;DATE($B$2,12,1),PAGOS!$F$2:$F$996,"&lt;"&amp;EDATE(DATE($B$2,12,1),1),PAGOS!$H$2:$H$996,"*TRANSFERENCIA*")+SUMIFS(PAGOS!$J$2:$J$996,PAGOS!$I$2:$I$996,"&gt;="&amp;DATE($B$2,12,1),PAGOS!$I$2:$I$996,"&lt;"&amp;EDATE(DATE($B$2,12,1),1),PAGOS!$K$2:$K$996,"*TRANSFERENCIA*")+SUMIFS(PAGOS!$M$2:$M$996,PAGOS!$L$2:$L$996,"&gt;="&amp;DATE($B$2,12,1),PAGOS!$L$2:$L$996,"&lt;"&amp;EDATE(DATE($B$2,12,1),1),PAGOS!$N$2:$N$996,"*TRANSFERENCIA*")+SUMIFS(PAGOS!$P$2:$P$996,PAGOS!$O$2:$O$996,"&gt;="&amp;DATE($B$2,12,1),PAGOS!$O$2:$O$996,"&lt;"&amp;EDATE(DATE($B$2,12,1),1),PAGOS!$Q$2:$Q$996,"*TRANSFERENCIA*")+SUMIFS(PAGOS!$S$2:$S$996,PAGOS!$R$2:$R$996,"&gt;="&amp;DATE($B$2,12,1),PAGOS!$R$2:$R$996,"&lt;"&amp;EDATE(DATE($B$2,12,1),1),PAGOS!$T$2:$T$996,"*TRANSFERENCIA*")+SUMIFS(PAGOS!$V$2:$V$996,PAGOS!$U$2:$U$996,"&gt;="&amp;DATE($B$2,12,1),PAGOS!$U$2:$U$996,"&lt;"&amp;EDATE(DATE($B$2,12,1),1),PAGOS!$W$2:$W$996,"*TRANSFERENCIA*")+SUMIFS(PAGOS!$Y$2:$Y$996,PAGOS!$X$2:$X$996,"&gt;="&amp;DATE($B$2,12,1),PAGOS!$X$2:$X$996,"&lt;"&amp;EDATE(DATE($B$2,12,1),1),PAGOS!$Z$2:$Z$996,"*TRANSFERENCIA*")+SUMIFS(PAGOS!$AB$2:$AB$996,PAGOS!$AA$2:$AA$996,"&gt;="&amp;DATE($B$2,12,1),PAGOS!$AA$2:$AA$996,"&lt;"&amp;EDATE(DATE($B$2,12,1),1),PAGOS!$AC$2:$AC$996,"*TRANSFERENCIA*")+SUMIFS(PAGOS!$AE$2:$AE$996,PAGOS!$AD$2:$AD$996,"&gt;="&amp;DATE($B$2,12,1),PAGOS!$AD$2:$AD$996,"&lt;"&amp;EDATE(DATE($B$2,12,1),1),PAGOS!$AF$2:$AF$996,"*TRANSFERENCIA*")+SUMIFS(PAGOS!$AH$2:$AH$996,PAGOS!$AG$2:$AG$996,"&gt;="&amp;DATE($B$2,12,1),PAGOS!$AG$2:$AG$996,"&lt;"&amp;EDATE(DATE($B$2,12,1),1),PAGOS!$AI$2:$AI$996,"*TRANSFERENCIA*")+SUMIFS(PAGOS!$AK$2:$AK$996,PAGOS!$AJ$2:$AJ$996,"&gt;="&amp;DATE($B$2,12,1),PAGOS!$AJ$2:$AJ$996,"&lt;"&amp;EDATE(DATE($B$2,12,1),1),PAGOS!$AL$2:$AL$996,"*TRANSFERENCIA*")+SUMIFS('OTROS INGRESOS'!$F$5:$F30,'OTROS INGRESOS'!$A$5:$A30,"&gt;="&amp;DATE($B$2,12,1),'OTROS INGRESOS'!$A$5:$A30,"&lt;"&amp;EDATE(DATE($B$2,12,1),1),'OTROS INGRESOS'!$E$5:$E30,"*TRANSFERENCIA*")+SUMIFS('ABONOS MENSUALIDADES'!$F$5:$F$500,'ABONOS MENSUALIDADES'!$A$5:$A$500,"&gt;="&amp;DATE($B$2,12,1),'ABONOS MENSUALIDADES'!$A$5:$A$500,"&lt;"&amp;EDATE(DATE($B$2,12,1),1),'ABONOS MENSUALIDADES'!$E$5:$E$500,"*TRANSFERENCIA*",'ABONOS MENSUALIDADES'!$G$5:$G$500,"&lt;&gt;*CONSOLIDADO EN PAGOS*")</f>
        <v>0</v>
      </c>
      <c r="G16" s="247">
        <f>LET(inicio,DATE($B$2,ROW()-4,1),otrosBrutos,SUMIFS('OTROS INGRESOS'!$F$5:$F30,'OTROS INGRESOS'!$A$5:$A30,"&gt;="&amp;inicio,'OTROS INGRESOS'!$A$5:$A30,"&lt;"&amp;EDATE(inicio,1),'OTROS INGRESOS'!$E$5:$E30,"*TRANSFERENCIA*"),otrosNetos,SUMIFS('OTROS INGRESOS'!$H$5:$H30,'OTROS INGRESOS'!$A$5:$A30,"&gt;="&amp;inicio,'OTROS INGRESOS'!$A$5:$A30,"&lt;"&amp;EDATE(inicio,1),'OTROS INGRESOS'!$E$5:$E30,"*TRANSFERENCIA*"),(F16-otrosBrutos)/1.16+otrosNetos)</f>
        <v>0</v>
      </c>
      <c r="H16" s="247">
        <f t="shared" si="3"/>
        <v>0</v>
      </c>
      <c r="I16" s="247">
        <f t="shared" si="4"/>
        <v>0</v>
      </c>
      <c r="J16" s="247">
        <f t="shared" si="9"/>
        <v>0</v>
      </c>
      <c r="K16" s="247">
        <f>SUMIFS(EGRESOS!$G$5:$G30,EGRESOS!$A$5:$A30,"&gt;="&amp;DATE($B$2,12,1),EGRESOS!$A$5:$A30,"&lt;"&amp;EDATE(DATE($B$2,12,1),1))</f>
        <v>0</v>
      </c>
      <c r="L16" s="247">
        <f t="shared" si="6"/>
        <v>0</v>
      </c>
      <c r="M16" s="247">
        <f>SUMIFS('GASTOS FIJOS'!$D$4:$D$80,'GASTOS FIJOS'!$G$4:$G$80,TRUE,'GASTOS FIJOS'!$J$4:$J$80,"&lt;="&amp;EOMONTH(DATE($B$2,12,1),0),'GASTOS FIJOS'!$K$4:$K$80,"&gt;="&amp;DATE($B$2,12,1))</f>
        <v>43926</v>
      </c>
      <c r="N16" s="247">
        <f t="shared" si="7"/>
        <v>-43926</v>
      </c>
      <c r="O16" s="247">
        <f>SUMPRODUCT((EGRESOS!$A$5:$A$502&gt;=DATE($B$2,ROW()-4,1))*(EGRESOS!$A$5:$A$502&lt;EDATE(DATE($B$2,ROW()-4,1),1))*(EGRESOS!$H$5:$H$502=TRUE)*(EGRESOS!$G$5:$G$502-EGRESOS!$G$5:$G$502/1.16))</f>
        <v>0</v>
      </c>
      <c r="P16" s="247">
        <f t="shared" si="8"/>
        <v>0</v>
      </c>
    </row>
    <row r="18">
      <c r="A18" s="380" t="s">
        <v>671</v>
      </c>
      <c r="O18" s="380"/>
      <c r="P18" s="380"/>
    </row>
  </sheetData>
  <mergeCells count="2">
    <mergeCell ref="A1:N1"/>
    <mergeCell ref="A18:N18"/>
  </mergeCells>
  <conditionalFormatting sqref="P5:P16">
    <cfRule type="cellIs" dxfId="11" priority="1" stopIfTrue="1" operator="greaterThanOrEqual">
      <formula>0</formula>
    </cfRule>
  </conditionalFormatting>
  <conditionalFormatting sqref="P5:P16">
    <cfRule type="cellIs" dxfId="12" priority="2" stopIfTrue="1" operator="lessThan">
      <formula>0</formula>
    </cfRule>
  </conditionalFormatting>
  <conditionalFormatting sqref="N5:P16">
    <cfRule type="cellIs" dxfId="13" priority="3" stopIfTrue="1" operator="lessThan">
      <formula>0</formula>
    </cfRule>
  </conditionalFormatting>
  <conditionalFormatting sqref="N5:P16">
    <cfRule type="cellIs" dxfId="14" priority="4" stopIfTrue="1" operator="greaterThanOrEqual">
      <formula>0</formula>
    </cfRule>
  </conditionalFormatting>
  <conditionalFormatting sqref="L5:L16">
    <cfRule type="cellIs" dxfId="13" priority="5" stopIfTrue="1" operator="lessThan">
      <formula>0</formula>
    </cfRule>
  </conditionalFormatting>
  <conditionalFormatting sqref="L5:L16">
    <cfRule type="cellIs" dxfId="14" priority="6" stopIfTrue="1" operator="greaterThanOrEqual">
      <formula>0</formula>
    </cfRule>
  </conditionalFormatting>
  <dataValidations>
    <dataValidation type="custom" allowBlank="1" showDropDown="1" sqref="B5:P16">
      <formula1>AND(ISNUMBER(B5),(NOT(OR(NOT(ISERROR(DATEVALUE(B5))), AND(ISNUMBER(B5), LEFT(CELL("format", B5))="D")))))</formula1>
    </dataValidation>
  </dataValidations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8.56"/>
    <col customWidth="1" min="2" max="6" width="20.11"/>
    <col customWidth="1" min="7" max="7" width="21.56"/>
  </cols>
  <sheetData>
    <row r="1" ht="22.5" customHeight="1">
      <c r="A1" s="20" t="s">
        <v>27</v>
      </c>
      <c r="B1" s="20" t="s">
        <v>502</v>
      </c>
      <c r="C1" s="20" t="s">
        <v>15</v>
      </c>
      <c r="D1" s="20" t="s">
        <v>503</v>
      </c>
      <c r="E1" s="20" t="s">
        <v>18</v>
      </c>
      <c r="F1" s="20" t="s">
        <v>504</v>
      </c>
      <c r="G1" s="267" t="s">
        <v>505</v>
      </c>
      <c r="H1" s="267" t="s">
        <v>506</v>
      </c>
      <c r="I1" s="267" t="s">
        <v>25</v>
      </c>
      <c r="J1" s="267" t="s">
        <v>507</v>
      </c>
      <c r="K1" s="267" t="s">
        <v>508</v>
      </c>
    </row>
    <row r="2" ht="22.5" customHeight="1">
      <c r="A2" s="32" t="s">
        <v>509</v>
      </c>
      <c r="B2" s="32" t="s">
        <v>122</v>
      </c>
      <c r="C2" s="268" t="s">
        <v>510</v>
      </c>
      <c r="D2" s="37">
        <v>37947.0</v>
      </c>
      <c r="E2" s="32" t="s">
        <v>511</v>
      </c>
      <c r="F2" s="41">
        <v>3.122708077E9</v>
      </c>
      <c r="G2" s="269" t="s">
        <v>512</v>
      </c>
      <c r="H2" s="270"/>
    </row>
    <row r="3" ht="22.5" customHeight="1">
      <c r="A3" s="32" t="s">
        <v>513</v>
      </c>
      <c r="B3" s="32" t="s">
        <v>514</v>
      </c>
      <c r="C3" s="268" t="s">
        <v>515</v>
      </c>
      <c r="D3" s="75">
        <v>42875.0</v>
      </c>
      <c r="E3" s="32" t="s">
        <v>516</v>
      </c>
      <c r="F3" s="41">
        <v>3.129438301E9</v>
      </c>
      <c r="G3" s="35" t="s">
        <v>517</v>
      </c>
      <c r="H3" s="270"/>
    </row>
    <row r="4" ht="22.5" customHeight="1">
      <c r="A4" s="271" t="s">
        <v>518</v>
      </c>
      <c r="B4" s="271" t="s">
        <v>67</v>
      </c>
      <c r="C4" s="272" t="s">
        <v>510</v>
      </c>
      <c r="D4" s="273">
        <v>40781.0</v>
      </c>
      <c r="E4" s="271" t="s">
        <v>519</v>
      </c>
      <c r="F4" s="274">
        <v>3.121812053E9</v>
      </c>
      <c r="G4" s="269" t="s">
        <v>520</v>
      </c>
      <c r="H4" s="270"/>
    </row>
    <row r="5" ht="22.5" customHeight="1">
      <c r="A5" s="32" t="s">
        <v>521</v>
      </c>
      <c r="B5" s="32" t="s">
        <v>67</v>
      </c>
      <c r="C5" s="268" t="s">
        <v>522</v>
      </c>
      <c r="D5" s="275"/>
      <c r="E5" s="32" t="s">
        <v>523</v>
      </c>
      <c r="F5" s="41">
        <v>3.121358066E9</v>
      </c>
      <c r="G5" s="269" t="s">
        <v>524</v>
      </c>
      <c r="H5" s="270"/>
    </row>
    <row r="6" ht="22.5" customHeight="1">
      <c r="A6" s="276" t="s">
        <v>525</v>
      </c>
      <c r="B6" s="271" t="s">
        <v>526</v>
      </c>
      <c r="C6" s="272" t="s">
        <v>510</v>
      </c>
      <c r="D6" s="273">
        <v>39559.0</v>
      </c>
      <c r="E6" s="271" t="s">
        <v>527</v>
      </c>
      <c r="F6" s="274">
        <v>3.171217985E9</v>
      </c>
      <c r="G6" s="277" t="s">
        <v>520</v>
      </c>
      <c r="H6" s="270"/>
    </row>
    <row r="7" ht="22.5" customHeight="1">
      <c r="A7" s="32" t="s">
        <v>528</v>
      </c>
      <c r="B7" s="32" t="s">
        <v>529</v>
      </c>
      <c r="C7" s="268" t="s">
        <v>515</v>
      </c>
      <c r="D7" s="275"/>
      <c r="E7" s="32" t="s">
        <v>530</v>
      </c>
      <c r="F7" s="41">
        <v>3.121205894E9</v>
      </c>
      <c r="G7" s="278" t="s">
        <v>517</v>
      </c>
      <c r="H7" s="270"/>
    </row>
    <row r="8" ht="22.5" customHeight="1">
      <c r="A8" s="271" t="s">
        <v>531</v>
      </c>
      <c r="B8" s="271" t="s">
        <v>529</v>
      </c>
      <c r="C8" s="272" t="s">
        <v>515</v>
      </c>
      <c r="D8" s="279"/>
      <c r="E8" s="271" t="s">
        <v>532</v>
      </c>
      <c r="F8" s="274">
        <v>3.121205894E9</v>
      </c>
      <c r="G8" s="277" t="s">
        <v>517</v>
      </c>
      <c r="H8" s="270"/>
    </row>
    <row r="9" ht="22.5" customHeight="1">
      <c r="A9" s="32" t="s">
        <v>533</v>
      </c>
      <c r="B9" s="275"/>
      <c r="C9" s="268" t="s">
        <v>534</v>
      </c>
      <c r="D9" s="275"/>
      <c r="E9" s="275"/>
      <c r="F9" s="64"/>
      <c r="G9" s="35" t="s">
        <v>517</v>
      </c>
      <c r="H9" s="270"/>
    </row>
    <row r="10" ht="22.5" customHeight="1">
      <c r="A10" s="280" t="s">
        <v>535</v>
      </c>
      <c r="B10" s="281" t="s">
        <v>536</v>
      </c>
      <c r="C10" s="282" t="s">
        <v>510</v>
      </c>
      <c r="D10" s="283">
        <v>40368.0</v>
      </c>
      <c r="E10" s="280" t="s">
        <v>537</v>
      </c>
      <c r="F10" s="284">
        <v>3.121497272E9</v>
      </c>
      <c r="G10" s="285">
        <v>45726.0</v>
      </c>
      <c r="H10" s="286" t="b">
        <v>0</v>
      </c>
      <c r="I10" s="287"/>
      <c r="J10" s="287"/>
      <c r="K10" s="287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22.5" customHeight="1">
      <c r="A11" s="32" t="s">
        <v>538</v>
      </c>
      <c r="B11" s="32" t="s">
        <v>539</v>
      </c>
      <c r="C11" s="268" t="s">
        <v>515</v>
      </c>
      <c r="D11" s="75">
        <v>42085.0</v>
      </c>
      <c r="E11" s="39" t="s">
        <v>540</v>
      </c>
      <c r="F11" s="41">
        <v>3.121886629E9</v>
      </c>
      <c r="G11" s="124">
        <v>45663.0</v>
      </c>
      <c r="H11" s="32" t="b">
        <v>0</v>
      </c>
    </row>
    <row r="12" ht="22.5" customHeight="1">
      <c r="A12" s="271" t="s">
        <v>541</v>
      </c>
      <c r="B12" s="271" t="s">
        <v>67</v>
      </c>
      <c r="C12" s="272" t="s">
        <v>515</v>
      </c>
      <c r="D12" s="279"/>
      <c r="E12" s="276" t="s">
        <v>542</v>
      </c>
      <c r="F12" s="274">
        <v>3.121324132E9</v>
      </c>
      <c r="G12" s="288">
        <v>45537.0</v>
      </c>
      <c r="H12" s="271" t="b">
        <v>0</v>
      </c>
    </row>
    <row r="13" ht="22.5" customHeight="1">
      <c r="A13" s="32" t="s">
        <v>543</v>
      </c>
      <c r="B13" s="32" t="s">
        <v>544</v>
      </c>
      <c r="C13" s="268" t="s">
        <v>534</v>
      </c>
      <c r="D13" s="75">
        <v>42147.0</v>
      </c>
      <c r="E13" s="289" t="s">
        <v>545</v>
      </c>
      <c r="F13" s="41">
        <v>3.123195118E9</v>
      </c>
      <c r="G13" s="124">
        <v>45671.0</v>
      </c>
      <c r="H13" s="32" t="b">
        <v>0</v>
      </c>
    </row>
    <row r="14" ht="22.5" customHeight="1">
      <c r="A14" s="286" t="s">
        <v>546</v>
      </c>
      <c r="B14" s="286" t="s">
        <v>547</v>
      </c>
      <c r="C14" s="290" t="s">
        <v>522</v>
      </c>
      <c r="D14" s="286">
        <v>40853.0</v>
      </c>
      <c r="E14" s="281" t="s">
        <v>548</v>
      </c>
      <c r="F14" s="286">
        <v>3.122254388E9</v>
      </c>
      <c r="G14" s="105">
        <v>45580.0</v>
      </c>
      <c r="H14" s="286" t="b">
        <v>0</v>
      </c>
      <c r="I14" s="287"/>
      <c r="J14" s="287"/>
      <c r="K14" s="287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22.5" customHeight="1">
      <c r="A15" s="61" t="s">
        <v>549</v>
      </c>
      <c r="B15" s="119" t="s">
        <v>550</v>
      </c>
      <c r="C15" s="35" t="s">
        <v>551</v>
      </c>
      <c r="D15" s="121">
        <v>41838.0</v>
      </c>
      <c r="E15" s="61" t="s">
        <v>552</v>
      </c>
      <c r="F15" s="119">
        <v>3.123119035E9</v>
      </c>
      <c r="G15" s="291">
        <v>45796.0</v>
      </c>
      <c r="H15" s="32" t="b">
        <v>1</v>
      </c>
      <c r="I15" s="75"/>
      <c r="J15" s="75"/>
      <c r="K15" s="75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</row>
    <row r="16" ht="22.5" customHeight="1">
      <c r="A16" s="61" t="s">
        <v>553</v>
      </c>
      <c r="B16" s="275"/>
      <c r="C16" s="35" t="s">
        <v>554</v>
      </c>
      <c r="D16" s="146">
        <v>36023.0</v>
      </c>
      <c r="E16" s="61" t="s">
        <v>555</v>
      </c>
      <c r="F16" s="119">
        <v>3.121444868E9</v>
      </c>
      <c r="G16" s="292">
        <v>46058.0</v>
      </c>
      <c r="H16" s="32" t="b">
        <v>1</v>
      </c>
    </row>
    <row r="17" ht="22.5" customHeight="1">
      <c r="A17" s="39" t="s">
        <v>556</v>
      </c>
      <c r="B17" s="32" t="s">
        <v>557</v>
      </c>
      <c r="C17" s="268" t="s">
        <v>534</v>
      </c>
      <c r="D17" s="75">
        <v>42272.0</v>
      </c>
      <c r="E17" s="39" t="s">
        <v>558</v>
      </c>
      <c r="F17" s="41">
        <v>3.121428706E9</v>
      </c>
      <c r="G17" s="293">
        <v>45870.0</v>
      </c>
      <c r="H17" s="32" t="b">
        <v>1</v>
      </c>
    </row>
    <row r="18" ht="22.5" customHeight="1">
      <c r="A18" s="61" t="s">
        <v>559</v>
      </c>
      <c r="B18" s="39"/>
      <c r="C18" s="35" t="s">
        <v>554</v>
      </c>
      <c r="D18" s="146">
        <v>38726.0</v>
      </c>
      <c r="E18" s="61" t="s">
        <v>560</v>
      </c>
      <c r="F18" s="119">
        <v>3.121227802E9</v>
      </c>
      <c r="G18" s="292">
        <v>46054.0</v>
      </c>
      <c r="H18" s="32" t="b">
        <v>1</v>
      </c>
    </row>
    <row r="19" ht="22.5" customHeight="1">
      <c r="A19" s="61" t="s">
        <v>218</v>
      </c>
      <c r="B19" s="39" t="s">
        <v>122</v>
      </c>
      <c r="C19" s="35" t="s">
        <v>554</v>
      </c>
      <c r="D19" s="146">
        <v>29216.0</v>
      </c>
      <c r="E19" s="61" t="s">
        <v>221</v>
      </c>
      <c r="F19" s="119">
        <v>3.121771462E9</v>
      </c>
      <c r="G19" s="292">
        <v>46054.0</v>
      </c>
      <c r="H19" s="32" t="b">
        <v>0</v>
      </c>
    </row>
    <row r="20" ht="22.5" customHeight="1">
      <c r="A20" s="61" t="s">
        <v>561</v>
      </c>
      <c r="B20" s="39" t="s">
        <v>562</v>
      </c>
      <c r="C20" s="35" t="s">
        <v>551</v>
      </c>
      <c r="D20" s="146">
        <v>41612.0</v>
      </c>
      <c r="E20" s="61" t="s">
        <v>563</v>
      </c>
      <c r="F20" s="119">
        <v>3.141439221E9</v>
      </c>
      <c r="G20" s="292">
        <v>45910.0</v>
      </c>
      <c r="H20" s="32" t="b">
        <v>1</v>
      </c>
    </row>
    <row r="21" ht="22.5" customHeight="1">
      <c r="A21" s="61" t="s">
        <v>564</v>
      </c>
      <c r="B21" s="39"/>
      <c r="C21" s="35" t="s">
        <v>105</v>
      </c>
      <c r="D21" s="63">
        <v>37644.0</v>
      </c>
      <c r="E21" s="61" t="s">
        <v>565</v>
      </c>
      <c r="F21" s="119">
        <v>3.125940659E9</v>
      </c>
      <c r="G21" s="292">
        <v>46054.0</v>
      </c>
      <c r="H21" s="32" t="b">
        <v>1</v>
      </c>
    </row>
    <row r="22" ht="22.5" customHeight="1">
      <c r="A22" s="294" t="s">
        <v>566</v>
      </c>
      <c r="B22" s="295" t="s">
        <v>567</v>
      </c>
      <c r="C22" s="296" t="s">
        <v>515</v>
      </c>
      <c r="D22" s="297">
        <v>43048.0</v>
      </c>
      <c r="E22" s="298" t="s">
        <v>568</v>
      </c>
      <c r="F22" s="299">
        <v>3.12318169E9</v>
      </c>
      <c r="G22" s="300">
        <v>46082.0</v>
      </c>
      <c r="H22" s="301" t="b">
        <v>1</v>
      </c>
      <c r="I22" s="302"/>
      <c r="J22" s="302"/>
      <c r="K22" s="30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</row>
    <row r="23" ht="22.5" customHeight="1">
      <c r="A23" s="303" t="s">
        <v>569</v>
      </c>
      <c r="B23" s="304" t="s">
        <v>570</v>
      </c>
      <c r="C23" s="305" t="s">
        <v>515</v>
      </c>
      <c r="D23" s="306">
        <v>42518.0</v>
      </c>
      <c r="E23" s="303" t="s">
        <v>571</v>
      </c>
      <c r="F23" s="307">
        <v>3.121662295E9</v>
      </c>
      <c r="G23" s="308">
        <v>45962.0</v>
      </c>
      <c r="H23" s="309" t="b">
        <v>1</v>
      </c>
      <c r="I23" s="310" t="s">
        <v>572</v>
      </c>
      <c r="J23" s="311"/>
      <c r="K23" s="311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  <c r="AA23" s="312"/>
    </row>
    <row r="24" ht="22.5" customHeight="1">
      <c r="A24" s="61" t="s">
        <v>321</v>
      </c>
      <c r="B24" s="39" t="s">
        <v>322</v>
      </c>
      <c r="C24" s="35" t="s">
        <v>515</v>
      </c>
      <c r="D24" s="146">
        <v>43169.0</v>
      </c>
      <c r="E24" s="61" t="s">
        <v>323</v>
      </c>
      <c r="F24" s="119">
        <v>3.121095323E9</v>
      </c>
      <c r="G24" s="184"/>
      <c r="H24" s="32" t="b">
        <v>1</v>
      </c>
    </row>
    <row r="25" ht="22.5" customHeight="1">
      <c r="A25" s="61" t="s">
        <v>573</v>
      </c>
      <c r="B25" s="39" t="s">
        <v>574</v>
      </c>
      <c r="C25" s="35" t="s">
        <v>575</v>
      </c>
      <c r="D25" s="146">
        <v>40495.0</v>
      </c>
      <c r="E25" s="61" t="s">
        <v>576</v>
      </c>
      <c r="F25" s="119">
        <v>3.13112605E9</v>
      </c>
      <c r="G25" s="292">
        <v>46204.0</v>
      </c>
      <c r="H25" s="32" t="b">
        <v>1</v>
      </c>
    </row>
    <row r="26" ht="22.5" customHeight="1">
      <c r="A26" s="271" t="s">
        <v>577</v>
      </c>
      <c r="B26" s="271" t="s">
        <v>122</v>
      </c>
      <c r="C26" s="313" t="s">
        <v>105</v>
      </c>
      <c r="D26" s="314">
        <v>36880.0</v>
      </c>
      <c r="E26" s="289" t="s">
        <v>578</v>
      </c>
      <c r="F26" s="274">
        <v>3.12100001E9</v>
      </c>
      <c r="G26" s="313" t="s">
        <v>520</v>
      </c>
      <c r="H26" s="271" t="b">
        <v>0</v>
      </c>
    </row>
    <row r="27" ht="22.5" customHeight="1">
      <c r="A27" s="303" t="s">
        <v>579</v>
      </c>
      <c r="B27" s="304" t="s">
        <v>580</v>
      </c>
      <c r="C27" s="305" t="s">
        <v>515</v>
      </c>
      <c r="D27" s="315">
        <v>42061.0</v>
      </c>
      <c r="E27" s="303"/>
      <c r="F27" s="307">
        <v>3.121993255E9</v>
      </c>
      <c r="G27" s="316"/>
      <c r="H27" s="309" t="b">
        <v>0</v>
      </c>
      <c r="I27" s="310" t="s">
        <v>572</v>
      </c>
      <c r="J27" s="311"/>
      <c r="K27" s="311"/>
      <c r="L27" s="312"/>
      <c r="M27" s="312"/>
      <c r="N27" s="31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  <c r="AA27" s="312"/>
    </row>
    <row r="28" ht="22.5" customHeight="1">
      <c r="A28" s="61" t="s">
        <v>581</v>
      </c>
      <c r="B28" s="39"/>
      <c r="C28" s="35" t="s">
        <v>69</v>
      </c>
      <c r="D28" s="146"/>
      <c r="E28" s="61"/>
      <c r="F28" s="119"/>
      <c r="G28" s="292"/>
      <c r="H28" s="32" t="b">
        <v>0</v>
      </c>
    </row>
    <row r="29" ht="22.5" customHeight="1">
      <c r="A29" s="61" t="s">
        <v>324</v>
      </c>
      <c r="B29" s="39" t="s">
        <v>325</v>
      </c>
      <c r="C29" s="35" t="s">
        <v>186</v>
      </c>
      <c r="D29" s="164">
        <v>42671.0</v>
      </c>
      <c r="E29" s="61" t="s">
        <v>326</v>
      </c>
      <c r="F29" s="119">
        <v>3.121448642E9</v>
      </c>
      <c r="G29" s="184" t="s">
        <v>517</v>
      </c>
      <c r="H29" s="32" t="b">
        <v>0</v>
      </c>
    </row>
    <row r="30" ht="22.5" customHeight="1">
      <c r="A30" s="317" t="s">
        <v>582</v>
      </c>
      <c r="B30" s="318" t="s">
        <v>583</v>
      </c>
      <c r="C30" s="319" t="s">
        <v>215</v>
      </c>
      <c r="D30" s="320">
        <v>43096.0</v>
      </c>
      <c r="E30" s="317" t="s">
        <v>584</v>
      </c>
      <c r="F30" s="321">
        <v>3.121256574E9</v>
      </c>
      <c r="G30" s="322">
        <v>46235.0</v>
      </c>
      <c r="H30" s="323" t="b">
        <v>1</v>
      </c>
      <c r="I30" s="324">
        <v>46235.0</v>
      </c>
      <c r="J30" s="325"/>
      <c r="K30" s="325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  <c r="AA30" s="326"/>
    </row>
    <row r="31" ht="22.5" customHeight="1">
      <c r="A31" s="317" t="s">
        <v>585</v>
      </c>
      <c r="B31" s="318" t="s">
        <v>122</v>
      </c>
      <c r="C31" s="319" t="s">
        <v>105</v>
      </c>
      <c r="D31" s="320"/>
      <c r="E31" s="317"/>
      <c r="F31" s="321"/>
      <c r="G31" s="327">
        <v>46269.0</v>
      </c>
      <c r="H31" s="323" t="b">
        <v>0</v>
      </c>
      <c r="I31" s="324">
        <v>46266.0</v>
      </c>
      <c r="J31" s="325"/>
      <c r="K31" s="325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</row>
    <row r="32" ht="22.5" customHeight="1">
      <c r="A32" s="317" t="s">
        <v>586</v>
      </c>
      <c r="B32" s="318" t="s">
        <v>122</v>
      </c>
      <c r="C32" s="319" t="s">
        <v>105</v>
      </c>
      <c r="D32" s="320">
        <v>38141.0</v>
      </c>
      <c r="E32" s="317" t="s">
        <v>587</v>
      </c>
      <c r="F32" s="321">
        <v>3.411582106E9</v>
      </c>
      <c r="G32" s="327">
        <v>46270.0</v>
      </c>
      <c r="H32" s="323" t="b">
        <v>1</v>
      </c>
      <c r="I32" s="324">
        <v>46266.0</v>
      </c>
      <c r="J32" s="325"/>
      <c r="K32" s="325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326"/>
    </row>
    <row r="33" ht="22.5" customHeight="1">
      <c r="A33" s="317" t="s">
        <v>436</v>
      </c>
      <c r="B33" s="318" t="s">
        <v>588</v>
      </c>
      <c r="C33" s="319" t="s">
        <v>215</v>
      </c>
      <c r="D33" s="320">
        <v>42061.0</v>
      </c>
      <c r="E33" s="317" t="s">
        <v>589</v>
      </c>
      <c r="F33" s="321">
        <v>3.121103705E9</v>
      </c>
      <c r="G33" s="327" t="s">
        <v>517</v>
      </c>
      <c r="H33" s="323" t="b">
        <v>1</v>
      </c>
      <c r="I33" s="324">
        <v>46023.0</v>
      </c>
      <c r="J33" s="328">
        <v>45917.0</v>
      </c>
      <c r="K33" s="328">
        <v>46309.0</v>
      </c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</row>
  </sheetData>
  <dataValidations>
    <dataValidation type="list" allowBlank="1" sqref="G2:G33">
      <formula1>"precios ,horario,distancia,tiempo,no se sabe"</formula1>
    </dataValidation>
    <dataValidation type="list" allowBlank="1" sqref="C15:C29">
      <formula1>"KIDS A,KIDS B,SABATINO,AÉREO 1,AÉREO 2,5 DIAS X SEMANA,AÉREO JR,AÉREO JR 2"</formula1>
    </dataValidation>
    <dataValidation type="list" allowBlank="1" sqref="C10:C14">
      <formula1>"KIDS A,KIDS B,SABATINO,AERIAL &amp; FLEX 2,AERIAL &amp; FLEX 1,5 DIAS X SEMANA"</formula1>
    </dataValidation>
    <dataValidation type="list" allowBlank="1" sqref="C30:C33">
      <formula1>"KIDS 1,KIDS 2,KIDS 3,SABATINO,ADULTS 1,ADULTS 2,MATUTINO,5 DIAS KIDS,JR 1,JR 2"</formula1>
    </dataValidation>
    <dataValidation type="list" allowBlank="1" sqref="C2:C9">
      <formula1>"KIDS A,KIDS B,SABATINO,AERIAL &amp; FLEX 2,AERIAL &amp; FLEX 1"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964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75"/>
  <cols>
    <col customWidth="1" min="1" max="1" width="32.78"/>
    <col customWidth="1" min="2" max="2" width="14.56"/>
    <col customWidth="1" min="3" max="3" width="17.33"/>
    <col customWidth="1" min="4" max="4" width="15.67"/>
    <col customWidth="1" min="5" max="5" width="11.22"/>
    <col customWidth="1" min="6" max="6" width="15.67"/>
    <col customWidth="1" min="7" max="7" width="18.44"/>
    <col customWidth="1" min="8" max="8" width="13.44"/>
    <col customWidth="1" min="9" max="9" width="26.78"/>
    <col customWidth="1" min="10" max="11" width="13.22"/>
  </cols>
  <sheetData>
    <row r="1">
      <c r="A1" s="330" t="s">
        <v>590</v>
      </c>
      <c r="B1" s="332">
        <f>SUMIFS(D4:D80,G4:G80,TRUE,J4:J80,"&lt;="&amp;EOMONTH(TODAY(),0),K4:K80,"&gt;="&amp;EOMONTH(TODAY(),-1)+1)</f>
        <v>43926</v>
      </c>
      <c r="C1" s="330" t="s">
        <v>591</v>
      </c>
    </row>
    <row r="3" ht="22.5" customHeight="1">
      <c r="A3" s="187" t="s">
        <v>114</v>
      </c>
      <c r="B3" s="187" t="s">
        <v>115</v>
      </c>
      <c r="C3" s="187" t="s">
        <v>119</v>
      </c>
      <c r="D3" s="187" t="s">
        <v>592</v>
      </c>
      <c r="E3" s="187" t="s">
        <v>593</v>
      </c>
      <c r="F3" s="187" t="s">
        <v>594</v>
      </c>
      <c r="G3" s="187" t="s">
        <v>595</v>
      </c>
      <c r="H3" s="187" t="s">
        <v>596</v>
      </c>
      <c r="I3" s="187" t="s">
        <v>382</v>
      </c>
      <c r="J3" s="187" t="s">
        <v>597</v>
      </c>
      <c r="K3" s="187" t="s">
        <v>598</v>
      </c>
    </row>
    <row r="4" ht="22.5" customHeight="1">
      <c r="A4" s="194" t="s">
        <v>599</v>
      </c>
      <c r="B4" s="194" t="s">
        <v>192</v>
      </c>
      <c r="C4" s="194" t="s">
        <v>160</v>
      </c>
      <c r="D4" s="333">
        <v>9280.0</v>
      </c>
      <c r="F4" s="191" t="s">
        <v>128</v>
      </c>
      <c r="G4" s="194" t="b">
        <v>1</v>
      </c>
      <c r="H4" s="334">
        <v>46267.0</v>
      </c>
      <c r="I4" s="194" t="s">
        <v>600</v>
      </c>
      <c r="J4" s="334">
        <v>46023.0</v>
      </c>
      <c r="K4" s="334">
        <v>46265.0</v>
      </c>
    </row>
    <row r="5" ht="22.5" customHeight="1">
      <c r="A5" s="194" t="s">
        <v>601</v>
      </c>
      <c r="B5" s="194" t="s">
        <v>147</v>
      </c>
      <c r="C5" s="194" t="s">
        <v>160</v>
      </c>
      <c r="D5" s="333">
        <v>550.0</v>
      </c>
      <c r="F5" s="191" t="s">
        <v>128</v>
      </c>
      <c r="G5" s="194" t="b">
        <v>1</v>
      </c>
      <c r="H5" s="335"/>
      <c r="I5" s="194" t="s">
        <v>472</v>
      </c>
      <c r="J5" s="334">
        <v>46023.0</v>
      </c>
      <c r="K5" s="334">
        <v>73050.0</v>
      </c>
    </row>
    <row r="6" ht="22.5" customHeight="1">
      <c r="A6" s="194" t="s">
        <v>602</v>
      </c>
      <c r="B6" s="194" t="s">
        <v>147</v>
      </c>
      <c r="C6" s="194" t="s">
        <v>160</v>
      </c>
      <c r="D6" s="333">
        <v>580.0</v>
      </c>
      <c r="F6" s="191" t="s">
        <v>128</v>
      </c>
      <c r="G6" s="194" t="b">
        <v>1</v>
      </c>
      <c r="H6" s="335"/>
      <c r="I6" s="194" t="s">
        <v>472</v>
      </c>
      <c r="J6" s="334">
        <v>46023.0</v>
      </c>
      <c r="K6" s="334">
        <v>73050.0</v>
      </c>
    </row>
    <row r="7" ht="22.5" customHeight="1">
      <c r="A7" s="194" t="s">
        <v>603</v>
      </c>
      <c r="B7" s="194" t="s">
        <v>147</v>
      </c>
      <c r="C7" s="194" t="s">
        <v>604</v>
      </c>
      <c r="D7" s="333">
        <v>560.0</v>
      </c>
      <c r="F7" s="191" t="s">
        <v>128</v>
      </c>
      <c r="G7" s="194" t="b">
        <v>1</v>
      </c>
      <c r="H7" s="335"/>
      <c r="I7" s="194" t="s">
        <v>605</v>
      </c>
      <c r="J7" s="334">
        <v>46023.0</v>
      </c>
      <c r="K7" s="334">
        <v>73050.0</v>
      </c>
    </row>
    <row r="8" ht="22.5" customHeight="1">
      <c r="A8" s="194" t="s">
        <v>606</v>
      </c>
      <c r="B8" s="194" t="s">
        <v>162</v>
      </c>
      <c r="C8" s="194" t="s">
        <v>604</v>
      </c>
      <c r="D8" s="333">
        <v>500.0</v>
      </c>
      <c r="F8" s="191" t="s">
        <v>128</v>
      </c>
      <c r="G8" s="194" t="b">
        <v>1</v>
      </c>
      <c r="H8" s="335"/>
      <c r="I8" s="194" t="s">
        <v>607</v>
      </c>
      <c r="J8" s="334">
        <v>46023.0</v>
      </c>
      <c r="K8" s="334">
        <v>73050.0</v>
      </c>
    </row>
    <row r="9" ht="22.5" customHeight="1">
      <c r="A9" s="194" t="s">
        <v>608</v>
      </c>
      <c r="B9" s="194" t="s">
        <v>157</v>
      </c>
      <c r="C9" s="194" t="s">
        <v>160</v>
      </c>
      <c r="D9" s="333">
        <v>5000.0</v>
      </c>
      <c r="F9" s="191" t="s">
        <v>609</v>
      </c>
      <c r="G9" s="194" t="b">
        <v>1</v>
      </c>
      <c r="H9" s="334">
        <v>46267.0</v>
      </c>
      <c r="I9" s="194" t="s">
        <v>610</v>
      </c>
      <c r="J9" s="334">
        <v>46023.0</v>
      </c>
      <c r="K9" s="334">
        <v>73050.0</v>
      </c>
    </row>
    <row r="10" ht="22.5" customHeight="1">
      <c r="A10" s="194" t="s">
        <v>460</v>
      </c>
      <c r="B10" s="194" t="s">
        <v>611</v>
      </c>
      <c r="C10" s="194" t="s">
        <v>160</v>
      </c>
      <c r="D10" s="333">
        <v>696.0</v>
      </c>
      <c r="F10" s="191" t="s">
        <v>137</v>
      </c>
      <c r="G10" s="194" t="b">
        <v>1</v>
      </c>
      <c r="H10" s="335"/>
      <c r="I10" s="194" t="s">
        <v>472</v>
      </c>
      <c r="J10" s="334">
        <v>46023.0</v>
      </c>
      <c r="K10" s="334">
        <v>73050.0</v>
      </c>
    </row>
    <row r="11" ht="22.5" customHeight="1">
      <c r="A11" s="194" t="s">
        <v>463</v>
      </c>
      <c r="B11" s="194" t="s">
        <v>612</v>
      </c>
      <c r="C11" s="194" t="s">
        <v>160</v>
      </c>
      <c r="D11" s="333">
        <v>16000.0</v>
      </c>
      <c r="F11" s="191" t="s">
        <v>137</v>
      </c>
      <c r="G11" s="194" t="b">
        <v>1</v>
      </c>
      <c r="H11" s="335"/>
      <c r="I11" s="194" t="s">
        <v>472</v>
      </c>
      <c r="J11" s="334">
        <v>46023.0</v>
      </c>
      <c r="K11" s="334">
        <v>73050.0</v>
      </c>
    </row>
    <row r="12" ht="22.5" customHeight="1">
      <c r="A12" s="194" t="s">
        <v>613</v>
      </c>
      <c r="B12" s="194" t="s">
        <v>612</v>
      </c>
      <c r="C12" s="194" t="s">
        <v>160</v>
      </c>
      <c r="D12" s="333">
        <v>8000.0</v>
      </c>
      <c r="F12" s="191" t="s">
        <v>128</v>
      </c>
      <c r="G12" s="194" t="b">
        <v>1</v>
      </c>
      <c r="H12" s="335"/>
      <c r="I12" s="194" t="s">
        <v>472</v>
      </c>
      <c r="J12" s="334">
        <v>46023.0</v>
      </c>
      <c r="K12" s="334">
        <v>73050.0</v>
      </c>
    </row>
    <row r="13">
      <c r="A13" s="216" t="s">
        <v>599</v>
      </c>
      <c r="B13" s="216" t="s">
        <v>192</v>
      </c>
      <c r="C13" s="216" t="s">
        <v>160</v>
      </c>
      <c r="D13" s="336">
        <v>10440.0</v>
      </c>
      <c r="F13" s="337" t="s">
        <v>128</v>
      </c>
      <c r="G13" s="216" t="b">
        <v>1</v>
      </c>
      <c r="H13" s="338">
        <v>46267.0</v>
      </c>
      <c r="I13" s="216" t="s">
        <v>614</v>
      </c>
      <c r="J13" s="338">
        <v>46266.0</v>
      </c>
      <c r="K13" s="338">
        <v>73050.0</v>
      </c>
    </row>
    <row r="14">
      <c r="A14" s="337" t="s">
        <v>615</v>
      </c>
      <c r="B14" s="337" t="s">
        <v>612</v>
      </c>
      <c r="C14" s="337" t="s">
        <v>160</v>
      </c>
      <c r="D14" s="336">
        <v>1600.0</v>
      </c>
      <c r="F14" s="337" t="s">
        <v>137</v>
      </c>
      <c r="G14" s="337" t="b">
        <v>1</v>
      </c>
      <c r="H14" s="339"/>
      <c r="J14" s="338">
        <v>46296.0</v>
      </c>
      <c r="K14" s="338">
        <v>73050.0</v>
      </c>
    </row>
    <row r="15">
      <c r="B15" s="51"/>
      <c r="C15" s="51"/>
      <c r="D15" s="62"/>
      <c r="F15" s="51"/>
      <c r="G15" s="51" t="b">
        <v>0</v>
      </c>
      <c r="H15" s="339"/>
      <c r="J15" s="339"/>
      <c r="K15" s="339"/>
    </row>
    <row r="16">
      <c r="B16" s="51"/>
      <c r="C16" s="51"/>
      <c r="D16" s="62"/>
      <c r="F16" s="51"/>
      <c r="G16" s="51" t="b">
        <v>0</v>
      </c>
      <c r="H16" s="339"/>
      <c r="J16" s="339"/>
      <c r="K16" s="339"/>
    </row>
    <row r="17">
      <c r="B17" s="51"/>
      <c r="C17" s="51"/>
      <c r="D17" s="62"/>
      <c r="F17" s="51"/>
      <c r="G17" s="51" t="b">
        <v>0</v>
      </c>
      <c r="H17" s="339"/>
      <c r="J17" s="339"/>
      <c r="K17" s="339"/>
    </row>
    <row r="18">
      <c r="B18" s="51"/>
      <c r="C18" s="51"/>
      <c r="D18" s="62"/>
      <c r="F18" s="51"/>
      <c r="G18" s="51" t="b">
        <v>0</v>
      </c>
      <c r="H18" s="339"/>
      <c r="J18" s="339"/>
      <c r="K18" s="339"/>
    </row>
    <row r="19">
      <c r="B19" s="51"/>
      <c r="C19" s="51"/>
      <c r="D19" s="62"/>
      <c r="F19" s="51"/>
      <c r="G19" s="51" t="b">
        <v>0</v>
      </c>
      <c r="H19" s="339"/>
      <c r="J19" s="339"/>
      <c r="K19" s="339"/>
    </row>
    <row r="20">
      <c r="B20" s="51"/>
      <c r="C20" s="51"/>
      <c r="D20" s="62"/>
      <c r="F20" s="51"/>
      <c r="G20" s="51" t="b">
        <v>0</v>
      </c>
      <c r="H20" s="339"/>
      <c r="J20" s="339"/>
      <c r="K20" s="339"/>
    </row>
    <row r="21">
      <c r="B21" s="51"/>
      <c r="C21" s="51"/>
      <c r="D21" s="62"/>
      <c r="F21" s="51"/>
      <c r="G21" s="51" t="b">
        <v>0</v>
      </c>
      <c r="H21" s="339"/>
      <c r="J21" s="339"/>
      <c r="K21" s="339"/>
    </row>
    <row r="22">
      <c r="B22" s="51"/>
      <c r="C22" s="51"/>
      <c r="D22" s="62"/>
      <c r="F22" s="51"/>
      <c r="G22" s="51" t="b">
        <v>0</v>
      </c>
      <c r="H22" s="339"/>
      <c r="J22" s="339"/>
      <c r="K22" s="339"/>
    </row>
    <row r="23">
      <c r="B23" s="51"/>
      <c r="C23" s="51"/>
      <c r="D23" s="62"/>
      <c r="F23" s="51"/>
      <c r="G23" s="51" t="b">
        <v>0</v>
      </c>
      <c r="H23" s="339"/>
      <c r="J23" s="339"/>
      <c r="K23" s="339"/>
    </row>
    <row r="24">
      <c r="B24" s="51"/>
      <c r="C24" s="51"/>
      <c r="D24" s="62"/>
      <c r="F24" s="51"/>
      <c r="G24" s="51" t="b">
        <v>0</v>
      </c>
      <c r="H24" s="339"/>
      <c r="J24" s="339"/>
      <c r="K24" s="339"/>
    </row>
    <row r="25">
      <c r="B25" s="51"/>
      <c r="C25" s="51"/>
      <c r="D25" s="62"/>
      <c r="F25" s="51"/>
      <c r="G25" s="51" t="b">
        <v>0</v>
      </c>
      <c r="H25" s="339"/>
      <c r="J25" s="339"/>
      <c r="K25" s="339"/>
    </row>
    <row r="26">
      <c r="B26" s="51"/>
      <c r="C26" s="51"/>
      <c r="D26" s="62"/>
      <c r="F26" s="51"/>
      <c r="G26" s="51" t="b">
        <v>0</v>
      </c>
      <c r="H26" s="339"/>
      <c r="J26" s="339"/>
      <c r="K26" s="339"/>
    </row>
    <row r="27">
      <c r="B27" s="51"/>
      <c r="C27" s="51"/>
      <c r="D27" s="62"/>
      <c r="F27" s="51"/>
      <c r="G27" s="51" t="b">
        <v>0</v>
      </c>
      <c r="H27" s="339"/>
      <c r="J27" s="339"/>
      <c r="K27" s="339"/>
    </row>
    <row r="28">
      <c r="B28" s="51"/>
      <c r="C28" s="51"/>
      <c r="D28" s="62"/>
      <c r="F28" s="51"/>
      <c r="G28" s="51" t="b">
        <v>0</v>
      </c>
      <c r="H28" s="339"/>
      <c r="J28" s="339"/>
      <c r="K28" s="339"/>
    </row>
    <row r="29">
      <c r="B29" s="51"/>
      <c r="C29" s="51"/>
      <c r="D29" s="62"/>
      <c r="F29" s="51"/>
      <c r="G29" s="51" t="b">
        <v>0</v>
      </c>
      <c r="H29" s="339"/>
      <c r="J29" s="339"/>
      <c r="K29" s="339"/>
    </row>
    <row r="30">
      <c r="B30" s="51"/>
      <c r="C30" s="51"/>
      <c r="D30" s="62"/>
      <c r="F30" s="51"/>
      <c r="G30" s="51" t="b">
        <v>0</v>
      </c>
      <c r="H30" s="339"/>
      <c r="J30" s="339"/>
      <c r="K30" s="339"/>
    </row>
    <row r="31">
      <c r="B31" s="51"/>
      <c r="C31" s="51"/>
      <c r="D31" s="62"/>
      <c r="F31" s="51"/>
      <c r="G31" s="51" t="b">
        <v>0</v>
      </c>
      <c r="H31" s="339"/>
      <c r="J31" s="339"/>
      <c r="K31" s="339"/>
    </row>
    <row r="32">
      <c r="B32" s="51"/>
      <c r="C32" s="51"/>
      <c r="D32" s="62"/>
      <c r="F32" s="51"/>
      <c r="G32" s="51" t="b">
        <v>0</v>
      </c>
      <c r="H32" s="339"/>
      <c r="J32" s="339"/>
      <c r="K32" s="339"/>
    </row>
    <row r="33">
      <c r="B33" s="51"/>
      <c r="C33" s="51"/>
      <c r="D33" s="62"/>
      <c r="F33" s="51"/>
      <c r="G33" s="51" t="b">
        <v>0</v>
      </c>
      <c r="H33" s="339"/>
      <c r="J33" s="339"/>
      <c r="K33" s="339"/>
    </row>
    <row r="34">
      <c r="B34" s="51"/>
      <c r="C34" s="51"/>
      <c r="D34" s="62"/>
      <c r="F34" s="51"/>
      <c r="G34" s="51" t="b">
        <v>0</v>
      </c>
      <c r="H34" s="339"/>
      <c r="J34" s="339"/>
      <c r="K34" s="339"/>
    </row>
    <row r="35">
      <c r="B35" s="51"/>
      <c r="C35" s="51"/>
      <c r="D35" s="62"/>
      <c r="F35" s="51"/>
      <c r="G35" s="51" t="b">
        <v>0</v>
      </c>
      <c r="H35" s="339"/>
      <c r="J35" s="339"/>
      <c r="K35" s="339"/>
    </row>
    <row r="36">
      <c r="B36" s="51"/>
      <c r="C36" s="51"/>
      <c r="D36" s="62"/>
      <c r="F36" s="51"/>
      <c r="G36" s="51" t="b">
        <v>0</v>
      </c>
      <c r="H36" s="339"/>
      <c r="J36" s="339"/>
      <c r="K36" s="339"/>
    </row>
    <row r="37">
      <c r="B37" s="51"/>
      <c r="C37" s="51"/>
      <c r="D37" s="62"/>
      <c r="F37" s="51"/>
      <c r="G37" s="51" t="b">
        <v>0</v>
      </c>
      <c r="H37" s="339"/>
      <c r="J37" s="339"/>
      <c r="K37" s="339"/>
    </row>
    <row r="38">
      <c r="B38" s="51"/>
      <c r="C38" s="51"/>
      <c r="D38" s="62"/>
      <c r="F38" s="51"/>
      <c r="G38" s="51" t="b">
        <v>0</v>
      </c>
      <c r="H38" s="339"/>
      <c r="J38" s="339"/>
      <c r="K38" s="339"/>
    </row>
    <row r="39">
      <c r="B39" s="51"/>
      <c r="C39" s="51"/>
      <c r="D39" s="62"/>
      <c r="F39" s="51"/>
      <c r="G39" s="51" t="b">
        <v>0</v>
      </c>
      <c r="H39" s="339"/>
      <c r="J39" s="339"/>
      <c r="K39" s="339"/>
    </row>
    <row r="40">
      <c r="B40" s="51"/>
      <c r="C40" s="51"/>
      <c r="D40" s="62"/>
      <c r="F40" s="51"/>
      <c r="G40" s="51" t="b">
        <v>0</v>
      </c>
      <c r="H40" s="339"/>
      <c r="J40" s="339"/>
      <c r="K40" s="339"/>
    </row>
    <row r="41">
      <c r="B41" s="51"/>
      <c r="C41" s="51"/>
      <c r="D41" s="62"/>
      <c r="F41" s="51"/>
      <c r="G41" s="51" t="b">
        <v>0</v>
      </c>
      <c r="H41" s="339"/>
      <c r="J41" s="339"/>
      <c r="K41" s="339"/>
    </row>
    <row r="42">
      <c r="B42" s="51"/>
      <c r="C42" s="51"/>
      <c r="D42" s="62"/>
      <c r="F42" s="51"/>
      <c r="G42" s="51" t="b">
        <v>0</v>
      </c>
      <c r="H42" s="339"/>
      <c r="J42" s="339"/>
      <c r="K42" s="339"/>
    </row>
    <row r="43">
      <c r="B43" s="51"/>
      <c r="C43" s="51"/>
      <c r="D43" s="62"/>
      <c r="F43" s="51"/>
      <c r="G43" s="51" t="b">
        <v>0</v>
      </c>
      <c r="H43" s="339"/>
      <c r="J43" s="339"/>
      <c r="K43" s="339"/>
    </row>
    <row r="44">
      <c r="B44" s="51"/>
      <c r="C44" s="51"/>
      <c r="D44" s="62"/>
      <c r="F44" s="51"/>
      <c r="G44" s="51" t="b">
        <v>0</v>
      </c>
      <c r="H44" s="339"/>
      <c r="J44" s="339"/>
      <c r="K44" s="339"/>
    </row>
    <row r="45">
      <c r="B45" s="51"/>
      <c r="C45" s="51"/>
      <c r="D45" s="62"/>
      <c r="F45" s="51"/>
      <c r="G45" s="51" t="b">
        <v>0</v>
      </c>
      <c r="H45" s="339"/>
      <c r="J45" s="339"/>
      <c r="K45" s="339"/>
    </row>
    <row r="46">
      <c r="B46" s="51"/>
      <c r="C46" s="51"/>
      <c r="D46" s="62"/>
      <c r="F46" s="51"/>
      <c r="G46" s="51" t="b">
        <v>0</v>
      </c>
      <c r="H46" s="339"/>
      <c r="J46" s="339"/>
      <c r="K46" s="339"/>
    </row>
    <row r="47">
      <c r="B47" s="51"/>
      <c r="C47" s="51"/>
      <c r="D47" s="62"/>
      <c r="F47" s="51"/>
      <c r="G47" s="51" t="b">
        <v>0</v>
      </c>
      <c r="H47" s="339"/>
      <c r="J47" s="339"/>
      <c r="K47" s="339"/>
    </row>
    <row r="48">
      <c r="B48" s="51"/>
      <c r="C48" s="51"/>
      <c r="D48" s="62"/>
      <c r="F48" s="51"/>
      <c r="G48" s="51" t="b">
        <v>0</v>
      </c>
      <c r="H48" s="339"/>
      <c r="J48" s="339"/>
      <c r="K48" s="339"/>
    </row>
    <row r="49">
      <c r="B49" s="51"/>
      <c r="C49" s="51"/>
      <c r="D49" s="62"/>
      <c r="F49" s="51"/>
      <c r="G49" s="51" t="b">
        <v>0</v>
      </c>
      <c r="H49" s="339"/>
      <c r="J49" s="339"/>
      <c r="K49" s="339"/>
    </row>
    <row r="50">
      <c r="B50" s="51"/>
      <c r="C50" s="51"/>
      <c r="D50" s="62"/>
      <c r="F50" s="51"/>
      <c r="G50" s="51" t="b">
        <v>0</v>
      </c>
      <c r="H50" s="339"/>
      <c r="J50" s="339"/>
      <c r="K50" s="339"/>
    </row>
    <row r="51">
      <c r="B51" s="51"/>
      <c r="C51" s="51"/>
      <c r="D51" s="62"/>
      <c r="F51" s="51"/>
      <c r="G51" s="51" t="b">
        <v>0</v>
      </c>
      <c r="H51" s="339"/>
      <c r="J51" s="339"/>
      <c r="K51" s="339"/>
    </row>
    <row r="52">
      <c r="B52" s="51"/>
      <c r="C52" s="51"/>
      <c r="D52" s="62"/>
      <c r="F52" s="51"/>
      <c r="G52" s="51" t="b">
        <v>0</v>
      </c>
      <c r="H52" s="339"/>
      <c r="J52" s="339"/>
      <c r="K52" s="339"/>
    </row>
    <row r="53">
      <c r="B53" s="51"/>
      <c r="C53" s="51"/>
      <c r="D53" s="62"/>
      <c r="F53" s="51"/>
      <c r="G53" s="51" t="b">
        <v>0</v>
      </c>
      <c r="H53" s="339"/>
      <c r="J53" s="339"/>
      <c r="K53" s="339"/>
    </row>
    <row r="54">
      <c r="B54" s="51"/>
      <c r="C54" s="51"/>
      <c r="D54" s="62"/>
      <c r="F54" s="51"/>
      <c r="G54" s="51" t="b">
        <v>0</v>
      </c>
      <c r="H54" s="339"/>
      <c r="J54" s="339"/>
      <c r="K54" s="339"/>
    </row>
    <row r="55">
      <c r="B55" s="51"/>
      <c r="C55" s="51"/>
      <c r="D55" s="62"/>
      <c r="F55" s="51"/>
      <c r="G55" s="51" t="b">
        <v>0</v>
      </c>
      <c r="H55" s="339"/>
      <c r="J55" s="339"/>
      <c r="K55" s="339"/>
    </row>
    <row r="56">
      <c r="B56" s="51"/>
      <c r="C56" s="51"/>
      <c r="D56" s="62"/>
      <c r="F56" s="51"/>
      <c r="G56" s="51" t="b">
        <v>0</v>
      </c>
      <c r="H56" s="339"/>
      <c r="J56" s="339"/>
      <c r="K56" s="339"/>
    </row>
    <row r="57">
      <c r="B57" s="51"/>
      <c r="C57" s="51"/>
      <c r="D57" s="62"/>
      <c r="F57" s="51"/>
      <c r="G57" s="51" t="b">
        <v>0</v>
      </c>
      <c r="H57" s="339"/>
      <c r="J57" s="339"/>
      <c r="K57" s="339"/>
    </row>
    <row r="58">
      <c r="B58" s="51"/>
      <c r="C58" s="51"/>
      <c r="D58" s="62"/>
      <c r="F58" s="51"/>
      <c r="G58" s="51" t="b">
        <v>0</v>
      </c>
      <c r="H58" s="339"/>
      <c r="J58" s="339"/>
      <c r="K58" s="339"/>
    </row>
    <row r="59">
      <c r="B59" s="51"/>
      <c r="C59" s="51"/>
      <c r="D59" s="62"/>
      <c r="F59" s="51"/>
      <c r="G59" s="51" t="b">
        <v>0</v>
      </c>
      <c r="H59" s="339"/>
      <c r="J59" s="339"/>
      <c r="K59" s="339"/>
    </row>
    <row r="60">
      <c r="B60" s="51"/>
      <c r="C60" s="51"/>
      <c r="D60" s="62"/>
      <c r="F60" s="51"/>
      <c r="G60" s="51" t="b">
        <v>0</v>
      </c>
      <c r="H60" s="339"/>
      <c r="J60" s="339"/>
      <c r="K60" s="339"/>
    </row>
    <row r="61">
      <c r="B61" s="51"/>
      <c r="C61" s="51"/>
      <c r="D61" s="62"/>
      <c r="F61" s="51"/>
      <c r="G61" s="51" t="b">
        <v>0</v>
      </c>
      <c r="H61" s="339"/>
      <c r="J61" s="339"/>
      <c r="K61" s="339"/>
    </row>
    <row r="62">
      <c r="B62" s="51"/>
      <c r="C62" s="51"/>
      <c r="D62" s="62"/>
      <c r="F62" s="51"/>
      <c r="G62" s="51" t="b">
        <v>0</v>
      </c>
      <c r="H62" s="339"/>
      <c r="J62" s="339"/>
      <c r="K62" s="339"/>
    </row>
    <row r="63">
      <c r="B63" s="51"/>
      <c r="C63" s="51"/>
      <c r="D63" s="62"/>
      <c r="F63" s="51"/>
      <c r="G63" s="51" t="b">
        <v>0</v>
      </c>
      <c r="H63" s="339"/>
      <c r="J63" s="339"/>
      <c r="K63" s="339"/>
    </row>
    <row r="64">
      <c r="B64" s="51"/>
      <c r="C64" s="51"/>
      <c r="D64" s="62"/>
      <c r="F64" s="51"/>
      <c r="G64" s="51" t="b">
        <v>0</v>
      </c>
      <c r="H64" s="339"/>
      <c r="J64" s="339"/>
      <c r="K64" s="339"/>
    </row>
    <row r="65">
      <c r="B65" s="51"/>
      <c r="C65" s="51"/>
      <c r="D65" s="62"/>
      <c r="F65" s="51"/>
      <c r="G65" s="51" t="b">
        <v>0</v>
      </c>
      <c r="H65" s="339"/>
      <c r="J65" s="339"/>
      <c r="K65" s="339"/>
    </row>
    <row r="66">
      <c r="B66" s="51"/>
      <c r="C66" s="51"/>
      <c r="D66" s="62"/>
      <c r="F66" s="51"/>
      <c r="G66" s="51" t="b">
        <v>0</v>
      </c>
      <c r="H66" s="339"/>
      <c r="J66" s="339"/>
      <c r="K66" s="339"/>
    </row>
    <row r="67">
      <c r="B67" s="51"/>
      <c r="C67" s="51"/>
      <c r="D67" s="62"/>
      <c r="F67" s="51"/>
      <c r="G67" s="51" t="b">
        <v>0</v>
      </c>
      <c r="H67" s="339"/>
      <c r="J67" s="339"/>
      <c r="K67" s="339"/>
    </row>
    <row r="68">
      <c r="B68" s="51"/>
      <c r="C68" s="51"/>
      <c r="D68" s="62"/>
      <c r="F68" s="51"/>
      <c r="G68" s="51" t="b">
        <v>0</v>
      </c>
      <c r="H68" s="339"/>
      <c r="J68" s="339"/>
      <c r="K68" s="339"/>
    </row>
    <row r="69">
      <c r="B69" s="51"/>
      <c r="C69" s="51"/>
      <c r="D69" s="62"/>
      <c r="F69" s="51"/>
      <c r="G69" s="51" t="b">
        <v>0</v>
      </c>
      <c r="H69" s="339"/>
      <c r="J69" s="339"/>
      <c r="K69" s="339"/>
    </row>
    <row r="70">
      <c r="B70" s="51"/>
      <c r="C70" s="51"/>
      <c r="D70" s="62"/>
      <c r="F70" s="51"/>
      <c r="G70" s="51" t="b">
        <v>0</v>
      </c>
      <c r="H70" s="339"/>
      <c r="J70" s="339"/>
      <c r="K70" s="339"/>
    </row>
    <row r="71">
      <c r="B71" s="51"/>
      <c r="C71" s="51"/>
      <c r="D71" s="62"/>
      <c r="F71" s="51"/>
      <c r="G71" s="51" t="b">
        <v>0</v>
      </c>
      <c r="H71" s="339"/>
      <c r="J71" s="339"/>
      <c r="K71" s="339"/>
    </row>
    <row r="72">
      <c r="B72" s="51"/>
      <c r="C72" s="51"/>
      <c r="D72" s="62"/>
      <c r="F72" s="51"/>
      <c r="G72" s="51" t="b">
        <v>0</v>
      </c>
      <c r="H72" s="339"/>
      <c r="J72" s="339"/>
      <c r="K72" s="339"/>
    </row>
    <row r="73">
      <c r="B73" s="51"/>
      <c r="C73" s="51"/>
      <c r="D73" s="62"/>
      <c r="F73" s="51"/>
      <c r="G73" s="51" t="b">
        <v>0</v>
      </c>
      <c r="H73" s="339"/>
      <c r="J73" s="339"/>
      <c r="K73" s="339"/>
    </row>
    <row r="74">
      <c r="B74" s="51"/>
      <c r="C74" s="51"/>
      <c r="D74" s="62"/>
      <c r="F74" s="51"/>
      <c r="G74" s="51" t="b">
        <v>0</v>
      </c>
      <c r="H74" s="339"/>
      <c r="J74" s="339"/>
      <c r="K74" s="339"/>
    </row>
    <row r="75">
      <c r="B75" s="51"/>
      <c r="C75" s="51"/>
      <c r="D75" s="62"/>
      <c r="F75" s="51"/>
      <c r="G75" s="51" t="b">
        <v>0</v>
      </c>
      <c r="H75" s="339"/>
      <c r="J75" s="339"/>
      <c r="K75" s="339"/>
    </row>
    <row r="76">
      <c r="B76" s="51"/>
      <c r="C76" s="51"/>
      <c r="D76" s="62"/>
      <c r="F76" s="51"/>
      <c r="G76" s="51" t="b">
        <v>0</v>
      </c>
      <c r="H76" s="339"/>
      <c r="J76" s="339"/>
      <c r="K76" s="339"/>
    </row>
    <row r="77">
      <c r="B77" s="51"/>
      <c r="C77" s="51"/>
      <c r="D77" s="62"/>
      <c r="F77" s="51"/>
      <c r="G77" s="51" t="b">
        <v>0</v>
      </c>
      <c r="H77" s="339"/>
      <c r="J77" s="339"/>
      <c r="K77" s="339"/>
    </row>
    <row r="78">
      <c r="B78" s="51"/>
      <c r="C78" s="51"/>
      <c r="D78" s="62"/>
      <c r="F78" s="51"/>
      <c r="G78" s="51" t="b">
        <v>0</v>
      </c>
      <c r="H78" s="339"/>
      <c r="J78" s="339"/>
      <c r="K78" s="339"/>
    </row>
    <row r="79">
      <c r="B79" s="51"/>
      <c r="C79" s="51"/>
      <c r="D79" s="62"/>
      <c r="F79" s="51"/>
      <c r="G79" s="51" t="b">
        <v>0</v>
      </c>
      <c r="H79" s="339"/>
      <c r="J79" s="339"/>
      <c r="K79" s="339"/>
    </row>
    <row r="80">
      <c r="B80" s="51"/>
      <c r="C80" s="51"/>
      <c r="D80" s="62"/>
      <c r="F80" s="51"/>
      <c r="G80" s="51" t="b">
        <v>0</v>
      </c>
      <c r="H80" s="339"/>
      <c r="J80" s="339"/>
      <c r="K80" s="339"/>
    </row>
  </sheetData>
  <dataValidations>
    <dataValidation type="list" allowBlank="1" showErrorMessage="1" sqref="B4:B80">
      <formula1>"RENTA,NÓMINA,SERVICIOS,HONORARIOS,INSUMOS,FINANCIAMIENTO,OTRO"</formula1>
    </dataValidation>
    <dataValidation type="list" allowBlank="1" showErrorMessage="1" sqref="C4:C80">
      <formula1>"FIJO,RECURRENTE VARIABLE"</formula1>
    </dataValidation>
    <dataValidation type="custom" allowBlank="1" showDropDown="1" sqref="H4:H12 J4:K12">
      <formula1>OR(NOT(ISERROR(DATEVALUE(H4))), AND(ISNUMBER(H4), LEFT(CELL("format", H4))="D"))</formula1>
    </dataValidation>
    <dataValidation type="custom" allowBlank="1" showDropDown="1" sqref="D4:D12">
      <formula1>AND(ISNUMBER(D4),(NOT(OR(NOT(ISERROR(DATEVALUE(D4))), AND(ISNUMBER(D4), LEFT(CELL("format", D4))="D")))))</formula1>
    </dataValidation>
    <dataValidation type="list" allowBlank="1" showErrorMessage="1" sqref="F4:F80">
      <formula1>"EFECTIVO,TRANSFERENCIA,TERMINAL,POR DEFINIR"</formula1>
    </dataValidation>
  </dataValidations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9E8E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17.89"/>
    <col customWidth="1" min="2" max="4" width="14.0"/>
    <col customWidth="1" min="5" max="5" width="11.78"/>
    <col customWidth="1" min="6" max="9" width="19.56"/>
  </cols>
  <sheetData>
    <row r="1">
      <c r="A1" s="88" t="s">
        <v>616</v>
      </c>
    </row>
    <row r="2" ht="33.0" customHeight="1">
      <c r="A2" s="89" t="s">
        <v>617</v>
      </c>
    </row>
    <row r="4" ht="36.0" customHeight="1">
      <c r="A4" s="187" t="s">
        <v>15</v>
      </c>
      <c r="B4" s="187" t="s">
        <v>618</v>
      </c>
      <c r="C4" s="187" t="s">
        <v>619</v>
      </c>
      <c r="D4" s="187" t="s">
        <v>620</v>
      </c>
      <c r="E4" s="187" t="s">
        <v>621</v>
      </c>
      <c r="F4" s="187" t="s">
        <v>622</v>
      </c>
      <c r="G4" s="187" t="s">
        <v>623</v>
      </c>
      <c r="H4" s="187" t="s">
        <v>624</v>
      </c>
      <c r="I4" s="187" t="s">
        <v>625</v>
      </c>
    </row>
    <row r="5" ht="22.5" customHeight="1">
      <c r="A5" s="194" t="s">
        <v>215</v>
      </c>
      <c r="B5" s="189">
        <f>COUNTIF('BASE DE DATOSS'!$C$2:$C$60,A5)</f>
        <v>8</v>
      </c>
      <c r="C5" s="194">
        <v>10.0</v>
      </c>
      <c r="D5" s="189">
        <f t="shared" ref="D5:D14" si="1">MAX(C5-B5,0)</f>
        <v>2</v>
      </c>
      <c r="E5" s="340">
        <f t="shared" ref="E5:E14" si="2">IFERROR(B5/C5,0)</f>
        <v>0.8</v>
      </c>
      <c r="F5" s="247">
        <f>MAX(IFNA(VLOOKUP(A5,COSTOS!$A$3:$B$13,2,FALSE),0)-150,0)</f>
        <v>950</v>
      </c>
      <c r="G5" s="247">
        <f t="shared" ref="G5:G14" si="3">B5*F5</f>
        <v>7600</v>
      </c>
      <c r="H5" s="247">
        <f t="shared" ref="H5:H14" si="4">C5*F5</f>
        <v>9500</v>
      </c>
      <c r="I5" s="247">
        <f t="shared" ref="I5:I14" si="5">H5-G5</f>
        <v>1900</v>
      </c>
    </row>
    <row r="6" ht="22.5" customHeight="1">
      <c r="A6" s="194" t="s">
        <v>186</v>
      </c>
      <c r="B6" s="189">
        <f>COUNTIF('BASE DE DATOSS'!$C$2:$C$60,A6)</f>
        <v>4</v>
      </c>
      <c r="C6" s="194">
        <v>10.0</v>
      </c>
      <c r="D6" s="189">
        <f t="shared" si="1"/>
        <v>6</v>
      </c>
      <c r="E6" s="340">
        <f t="shared" si="2"/>
        <v>0.4</v>
      </c>
      <c r="F6" s="247">
        <f>MAX(IFNA(VLOOKUP(A6,COSTOS!$A$3:$B$13,2,FALSE),0)-150,0)</f>
        <v>800</v>
      </c>
      <c r="G6" s="247">
        <f t="shared" si="3"/>
        <v>3200</v>
      </c>
      <c r="H6" s="247">
        <f t="shared" si="4"/>
        <v>8000</v>
      </c>
      <c r="I6" s="247">
        <f t="shared" si="5"/>
        <v>4800</v>
      </c>
    </row>
    <row r="7" ht="22.5" customHeight="1">
      <c r="A7" s="194" t="s">
        <v>31</v>
      </c>
      <c r="B7" s="189">
        <f>COUNTIF('BASE DE DATOSS'!$C$2:$C$60,A7)</f>
        <v>6</v>
      </c>
      <c r="C7" s="194">
        <v>10.0</v>
      </c>
      <c r="D7" s="189">
        <f t="shared" si="1"/>
        <v>4</v>
      </c>
      <c r="E7" s="340">
        <f t="shared" si="2"/>
        <v>0.6</v>
      </c>
      <c r="F7" s="247">
        <f>MAX(IFNA(VLOOKUP(A7,COSTOS!$A$3:$B$13,2,FALSE),0)-150,0)</f>
        <v>800</v>
      </c>
      <c r="G7" s="247">
        <f t="shared" si="3"/>
        <v>4800</v>
      </c>
      <c r="H7" s="247">
        <f t="shared" si="4"/>
        <v>8000</v>
      </c>
      <c r="I7" s="247">
        <f t="shared" si="5"/>
        <v>3200</v>
      </c>
    </row>
    <row r="8" ht="22.5" customHeight="1">
      <c r="A8" s="194" t="s">
        <v>123</v>
      </c>
      <c r="B8" s="189">
        <f>COUNTIF('BASE DE DATOSS'!$C$2:$C$60,A8)</f>
        <v>6</v>
      </c>
      <c r="C8" s="194">
        <v>10.0</v>
      </c>
      <c r="D8" s="189">
        <f t="shared" si="1"/>
        <v>4</v>
      </c>
      <c r="E8" s="340">
        <f t="shared" si="2"/>
        <v>0.6</v>
      </c>
      <c r="F8" s="247">
        <f>MAX(IFNA(VLOOKUP(A8,COSTOS!$A$3:$B$13,2,FALSE),0)-150,0)</f>
        <v>1150</v>
      </c>
      <c r="G8" s="247">
        <f t="shared" si="3"/>
        <v>6900</v>
      </c>
      <c r="H8" s="247">
        <f t="shared" si="4"/>
        <v>11500</v>
      </c>
      <c r="I8" s="247">
        <f t="shared" si="5"/>
        <v>4600</v>
      </c>
    </row>
    <row r="9" ht="22.5" customHeight="1">
      <c r="A9" s="194" t="s">
        <v>69</v>
      </c>
      <c r="B9" s="189">
        <f>COUNTIF('BASE DE DATOSS'!$C$2:$C$60,A9)</f>
        <v>8</v>
      </c>
      <c r="C9" s="194">
        <v>10.0</v>
      </c>
      <c r="D9" s="189">
        <f t="shared" si="1"/>
        <v>2</v>
      </c>
      <c r="E9" s="340">
        <f t="shared" si="2"/>
        <v>0.8</v>
      </c>
      <c r="F9" s="247">
        <f>MAX(IFNA(VLOOKUP(A9,COSTOS!$A$3:$B$13,2,FALSE),0)-150,0)</f>
        <v>950</v>
      </c>
      <c r="G9" s="247">
        <f t="shared" si="3"/>
        <v>7600</v>
      </c>
      <c r="H9" s="247">
        <f t="shared" si="4"/>
        <v>9500</v>
      </c>
      <c r="I9" s="247">
        <f t="shared" si="5"/>
        <v>1900</v>
      </c>
    </row>
    <row r="10" ht="22.5" customHeight="1">
      <c r="A10" s="194" t="s">
        <v>105</v>
      </c>
      <c r="B10" s="189">
        <f>COUNTIF('BASE DE DATOSS'!$C$2:$C$60,A10)</f>
        <v>6</v>
      </c>
      <c r="C10" s="194">
        <v>10.0</v>
      </c>
      <c r="D10" s="189">
        <f t="shared" si="1"/>
        <v>4</v>
      </c>
      <c r="E10" s="340">
        <f t="shared" si="2"/>
        <v>0.6</v>
      </c>
      <c r="F10" s="247">
        <f>MAX(IFNA(VLOOKUP(A10,COSTOS!$A$3:$B$13,2,FALSE),0)-150,0)</f>
        <v>550</v>
      </c>
      <c r="G10" s="247">
        <f t="shared" si="3"/>
        <v>3300</v>
      </c>
      <c r="H10" s="247">
        <f t="shared" si="4"/>
        <v>5500</v>
      </c>
      <c r="I10" s="247">
        <f t="shared" si="5"/>
        <v>2200</v>
      </c>
    </row>
    <row r="11" ht="22.5" customHeight="1">
      <c r="A11" s="194" t="s">
        <v>99</v>
      </c>
      <c r="B11" s="189">
        <f>COUNTIF('BASE DE DATOSS'!$C$2:$C$60,A11)</f>
        <v>5</v>
      </c>
      <c r="C11" s="194">
        <v>10.0</v>
      </c>
      <c r="D11" s="189">
        <f t="shared" si="1"/>
        <v>5</v>
      </c>
      <c r="E11" s="340">
        <f t="shared" si="2"/>
        <v>0.5</v>
      </c>
      <c r="F11" s="247">
        <f>MAX(IFNA(VLOOKUP(A11,COSTOS!$A$3:$B$13,2,FALSE),0)-150,0)</f>
        <v>950</v>
      </c>
      <c r="G11" s="247">
        <f t="shared" si="3"/>
        <v>4750</v>
      </c>
      <c r="H11" s="247">
        <f t="shared" si="4"/>
        <v>9500</v>
      </c>
      <c r="I11" s="247">
        <f t="shared" si="5"/>
        <v>4750</v>
      </c>
    </row>
    <row r="12" ht="22.5" customHeight="1">
      <c r="A12" s="194" t="s">
        <v>81</v>
      </c>
      <c r="B12" s="189">
        <f>COUNTIF('BASE DE DATOSS'!$C$2:$C$60,A12)</f>
        <v>1</v>
      </c>
      <c r="C12" s="194">
        <v>10.0</v>
      </c>
      <c r="D12" s="189">
        <f t="shared" si="1"/>
        <v>9</v>
      </c>
      <c r="E12" s="340">
        <f t="shared" si="2"/>
        <v>0.1</v>
      </c>
      <c r="F12" s="247">
        <f>MAX(IFNA(VLOOKUP(A12,COSTOS!$A$3:$B$13,2,FALSE),0)-150,0)</f>
        <v>1300</v>
      </c>
      <c r="G12" s="247">
        <f t="shared" si="3"/>
        <v>1300</v>
      </c>
      <c r="H12" s="247">
        <f t="shared" si="4"/>
        <v>13000</v>
      </c>
      <c r="I12" s="247">
        <f t="shared" si="5"/>
        <v>11700</v>
      </c>
    </row>
    <row r="13" ht="22.5" customHeight="1">
      <c r="A13" s="194" t="s">
        <v>206</v>
      </c>
      <c r="B13" s="189">
        <f>COUNTIF('BASE DE DATOSS'!$C$2:$C$60,A13)</f>
        <v>6</v>
      </c>
      <c r="C13" s="194">
        <v>10.0</v>
      </c>
      <c r="D13" s="189">
        <f t="shared" si="1"/>
        <v>4</v>
      </c>
      <c r="E13" s="340">
        <f t="shared" si="2"/>
        <v>0.6</v>
      </c>
      <c r="F13" s="247">
        <f>MAX(IFNA(VLOOKUP(A13,COSTOS!$A$3:$B$13,2,FALSE),0)-150,0)</f>
        <v>950</v>
      </c>
      <c r="G13" s="247">
        <f t="shared" si="3"/>
        <v>5700</v>
      </c>
      <c r="H13" s="247">
        <f t="shared" si="4"/>
        <v>9500</v>
      </c>
      <c r="I13" s="247">
        <f t="shared" si="5"/>
        <v>3800</v>
      </c>
    </row>
    <row r="14" ht="22.5" customHeight="1">
      <c r="A14" s="194" t="s">
        <v>59</v>
      </c>
      <c r="B14" s="189">
        <f>COUNTIF('BASE DE DATOSS'!$C$2:$C$60,A14)</f>
        <v>9</v>
      </c>
      <c r="C14" s="194">
        <v>10.0</v>
      </c>
      <c r="D14" s="189">
        <f t="shared" si="1"/>
        <v>1</v>
      </c>
      <c r="E14" s="340">
        <f t="shared" si="2"/>
        <v>0.9</v>
      </c>
      <c r="F14" s="247">
        <f>MAX(IFNA(VLOOKUP(A14,COSTOS!$A$3:$B$13,2,FALSE),0)-150,0)</f>
        <v>800</v>
      </c>
      <c r="G14" s="247">
        <f t="shared" si="3"/>
        <v>7200</v>
      </c>
      <c r="H14" s="247">
        <f t="shared" si="4"/>
        <v>8000</v>
      </c>
      <c r="I14" s="247">
        <f t="shared" si="5"/>
        <v>800</v>
      </c>
    </row>
    <row r="15">
      <c r="E15" s="341"/>
      <c r="F15" s="62"/>
      <c r="G15" s="62"/>
      <c r="H15" s="62"/>
      <c r="I15" s="62"/>
    </row>
    <row r="16">
      <c r="A16" s="342" t="s">
        <v>626</v>
      </c>
      <c r="B16" s="342">
        <f t="shared" ref="B16:D16" si="6">SUM(B5:B14)</f>
        <v>59</v>
      </c>
      <c r="C16" s="342">
        <f t="shared" si="6"/>
        <v>100</v>
      </c>
      <c r="D16" s="342">
        <f t="shared" si="6"/>
        <v>41</v>
      </c>
      <c r="E16" s="343">
        <f>IFERROR(B16/C16,0)</f>
        <v>0.59</v>
      </c>
      <c r="F16" s="344"/>
      <c r="G16" s="344">
        <f t="shared" ref="G16:I16" si="7">SUM(G5:G14)</f>
        <v>52350</v>
      </c>
      <c r="H16" s="344">
        <f t="shared" si="7"/>
        <v>92000</v>
      </c>
      <c r="I16" s="344">
        <f t="shared" si="7"/>
        <v>39650</v>
      </c>
    </row>
  </sheetData>
  <mergeCells count="2">
    <mergeCell ref="A1:I1"/>
    <mergeCell ref="A2:I2"/>
  </mergeCells>
  <conditionalFormatting sqref="D5:D14">
    <cfRule type="cellIs" dxfId="10" priority="1" stopIfTrue="1" operator="equal">
      <formula>0</formula>
    </cfRule>
  </conditionalFormatting>
  <conditionalFormatting sqref="E5:E14">
    <cfRule type="colorScale" priority="2">
      <colorScale>
        <cfvo type="min"/>
        <cfvo type="percentile" val="50"/>
        <cfvo type="max"/>
        <color rgb="FFEDEDED"/>
        <color rgb="FFF4DB8E"/>
        <color rgb="FF93CCA3"/>
      </colorScale>
    </cfRule>
  </conditionalFormatting>
  <dataValidations>
    <dataValidation type="custom" allowBlank="1" showDropDown="1" sqref="E5:I14">
      <formula1>AND(ISNUMBER(E5),(NOT(OR(NOT(ISERROR(DATEVALUE(E5))), AND(ISNUMBER(E5), LEFT(CELL("format", E5))="D")))))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73E8"/>
    <outlinePr summaryBelow="0" summaryRight="0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75"/>
  <cols>
    <col customWidth="1" min="1" max="1" width="14.0"/>
    <col customWidth="1" min="2" max="5" width="14.56"/>
    <col customWidth="1" min="6" max="6" width="27.89"/>
    <col customWidth="1" min="7" max="7" width="30.11"/>
    <col customWidth="1" min="8" max="8" width="23.44"/>
    <col customWidth="1" min="9" max="9" width="14.0"/>
  </cols>
  <sheetData>
    <row r="1" ht="25.5" customHeight="1">
      <c r="A1" s="345" t="s">
        <v>627</v>
      </c>
    </row>
    <row r="2" ht="31.5" customHeight="1">
      <c r="A2" s="215" t="s">
        <v>628</v>
      </c>
    </row>
    <row r="3">
      <c r="A3" s="216" t="s">
        <v>472</v>
      </c>
      <c r="B3" s="216" t="s">
        <v>472</v>
      </c>
      <c r="C3" s="216" t="s">
        <v>472</v>
      </c>
      <c r="D3" s="216" t="s">
        <v>472</v>
      </c>
      <c r="E3" s="216" t="s">
        <v>472</v>
      </c>
      <c r="F3" s="216" t="s">
        <v>472</v>
      </c>
      <c r="G3" s="216" t="s">
        <v>472</v>
      </c>
      <c r="H3" s="216" t="s">
        <v>472</v>
      </c>
      <c r="I3" s="216" t="s">
        <v>472</v>
      </c>
      <c r="J3" s="216" t="s">
        <v>472</v>
      </c>
    </row>
    <row r="4">
      <c r="A4" s="346" t="s">
        <v>629</v>
      </c>
      <c r="H4" s="346" t="s">
        <v>630</v>
      </c>
    </row>
    <row r="5">
      <c r="A5" s="347" t="s">
        <v>120</v>
      </c>
      <c r="B5" s="347" t="s">
        <v>631</v>
      </c>
      <c r="C5" s="347" t="s">
        <v>632</v>
      </c>
      <c r="D5" s="347" t="s">
        <v>633</v>
      </c>
      <c r="E5" s="347" t="s">
        <v>634</v>
      </c>
      <c r="F5" s="347" t="s">
        <v>635</v>
      </c>
      <c r="G5" s="347" t="s">
        <v>116</v>
      </c>
      <c r="H5" s="347" t="s">
        <v>114</v>
      </c>
      <c r="I5" s="347" t="s">
        <v>636</v>
      </c>
      <c r="J5" s="347" t="s">
        <v>472</v>
      </c>
    </row>
    <row r="6">
      <c r="A6" s="216" t="s">
        <v>465</v>
      </c>
      <c r="B6" s="348">
        <f>$I$11-$I$12</f>
        <v>70708.54069</v>
      </c>
      <c r="C6" s="349">
        <f>SUM('ESTADO CONTABLE'!$D$13:$D$16)+SUM('ESTADO CONTABLE'!$F$13:$F$16)-$I$7-C9</f>
        <v>62579</v>
      </c>
      <c r="D6" s="349">
        <f>SUMIFS(EGRESOS!$G$5:$G500,EGRESOS!$A$5:$A500,"&gt;="&amp;$I$6,EGRESOS!$J$5:$J500,$A6)-$I$9</f>
        <v>57847.52</v>
      </c>
      <c r="E6" s="349">
        <f t="shared" ref="E6:E8" si="1">SUMIF($D$14:$D$500,$A6,$E$14:$E$500)-SUMIF($C$14:$C$500,$A6,$E$14:$E$500)</f>
        <v>8794</v>
      </c>
      <c r="F6" s="349">
        <f>B6+C6-D6+E6-SUMIFS('RETIROS PROPIETARIA'!$E$5:$E$500,'RETIROS PROPIETARIA'!$A$5:$A$500,"&gt;="&amp;$I$6,'RETIROS PROPIETARIA'!$D$5:$D$500,$A6)</f>
        <v>81166.02069</v>
      </c>
      <c r="G6" s="216" t="s">
        <v>637</v>
      </c>
      <c r="H6" s="216" t="s">
        <v>638</v>
      </c>
      <c r="I6" s="338">
        <v>46267.0</v>
      </c>
      <c r="J6" s="216" t="s">
        <v>472</v>
      </c>
    </row>
    <row r="7">
      <c r="A7" s="216" t="s">
        <v>450</v>
      </c>
      <c r="B7" s="348">
        <v>8936.0</v>
      </c>
      <c r="C7" s="349">
        <f>SUM('ESTADO CONTABLE'!$C$13:$C$16)-$I$8</f>
        <v>51235</v>
      </c>
      <c r="D7" s="349">
        <f>SUMIFS(EGRESOS!$G$5:$G500,EGRESOS!$A$5:$A500,"&gt;="&amp;$I$6,EGRESOS!$J$5:$J500,$A7)</f>
        <v>5245</v>
      </c>
      <c r="E7" s="349">
        <f t="shared" si="1"/>
        <v>-51623</v>
      </c>
      <c r="F7" s="349">
        <f>B7+C7-D7+E7-SUMIFS('RETIROS PROPIETARIA'!$E$5:$E$500,'RETIROS PROPIETARIA'!$A$5:$A$500,"&gt;="&amp;$I$6,'RETIROS PROPIETARIA'!$D$5:$D$500,$A7)</f>
        <v>3303</v>
      </c>
      <c r="G7" s="216" t="s">
        <v>639</v>
      </c>
      <c r="H7" s="216" t="s">
        <v>640</v>
      </c>
      <c r="I7" s="348">
        <v>7550.0</v>
      </c>
      <c r="J7" s="216" t="s">
        <v>472</v>
      </c>
    </row>
    <row r="8">
      <c r="A8" s="216" t="s">
        <v>222</v>
      </c>
      <c r="B8" s="348">
        <v>7803.0</v>
      </c>
      <c r="C8" s="348">
        <f>0</f>
        <v>0</v>
      </c>
      <c r="D8" s="349">
        <f>SUMIFS(EGRESOS!$G$5:$G500,EGRESOS!$A$5:$A500,"&gt;="&amp;$I$6,EGRESOS!$J$5:$J500,$A8)</f>
        <v>27440</v>
      </c>
      <c r="E8" s="349">
        <f t="shared" si="1"/>
        <v>46079</v>
      </c>
      <c r="F8" s="349">
        <f>B8+C8-D8+E8-SUMIFS('RETIROS PROPIETARIA'!$E$5:$E$500,'RETIROS PROPIETARIA'!$A$5:$A$500,"&gt;="&amp;$I$6,'RETIROS PROPIETARIA'!$D$5:$D$500,$A8)</f>
        <v>16598</v>
      </c>
      <c r="G8" s="216" t="s">
        <v>641</v>
      </c>
      <c r="H8" s="216" t="s">
        <v>642</v>
      </c>
      <c r="I8" s="348">
        <v>6700.0</v>
      </c>
      <c r="J8" s="216" t="s">
        <v>472</v>
      </c>
    </row>
    <row r="9">
      <c r="A9" s="350" t="s">
        <v>643</v>
      </c>
      <c r="B9" s="351">
        <f>$I$10+$I$12</f>
        <v>6898.23931</v>
      </c>
      <c r="C9" s="351">
        <f>SUM('ESTADO CONTABLE'!$I$13:$I$16)-$I$12</f>
        <v>9500</v>
      </c>
      <c r="D9" s="352">
        <f>SUMIFS($E$14:$E$500,$B$14:$B$500,"PAGO IVA",$C$14:$C$500,$A9)</f>
        <v>3742</v>
      </c>
      <c r="E9" s="352">
        <f>SUMIFS($E$14:$E$500,$D$14:$D$500,$A9,$B$14:$B$500,"&lt;&gt;PAGO IVA")-SUMIFS($E$14:$E$500,$C$14:$C$500,$A9,$B$14:$B$500,"&lt;&gt;PAGO IVA")</f>
        <v>-3250</v>
      </c>
      <c r="F9" s="352">
        <f>B9+C9-D9+E9</f>
        <v>9406.23931</v>
      </c>
      <c r="G9" s="350" t="s">
        <v>644</v>
      </c>
      <c r="H9" s="216" t="s">
        <v>645</v>
      </c>
      <c r="I9" s="348">
        <v>0.0</v>
      </c>
      <c r="J9" s="216" t="s">
        <v>472</v>
      </c>
    </row>
    <row r="10">
      <c r="A10" s="353" t="s">
        <v>646</v>
      </c>
      <c r="B10" s="354">
        <f t="shared" ref="B10:F10" si="2">SUM(B6:B9)</f>
        <v>94345.78</v>
      </c>
      <c r="C10" s="354">
        <f t="shared" si="2"/>
        <v>123314</v>
      </c>
      <c r="D10" s="354">
        <f t="shared" si="2"/>
        <v>94274.52</v>
      </c>
      <c r="E10" s="354">
        <f t="shared" si="2"/>
        <v>0</v>
      </c>
      <c r="F10" s="354">
        <f t="shared" si="2"/>
        <v>110473.26</v>
      </c>
      <c r="G10" s="216" t="s">
        <v>472</v>
      </c>
      <c r="H10" s="216" t="s">
        <v>647</v>
      </c>
      <c r="I10" s="348">
        <v>5856.86</v>
      </c>
      <c r="J10" s="216" t="s">
        <v>472</v>
      </c>
    </row>
    <row r="11">
      <c r="A11" s="216" t="s">
        <v>472</v>
      </c>
      <c r="B11" s="216" t="s">
        <v>472</v>
      </c>
      <c r="C11" s="216" t="s">
        <v>472</v>
      </c>
      <c r="D11" s="216" t="s">
        <v>472</v>
      </c>
      <c r="E11" s="216" t="s">
        <v>472</v>
      </c>
      <c r="F11" s="216" t="s">
        <v>472</v>
      </c>
      <c r="G11" s="216" t="s">
        <v>472</v>
      </c>
      <c r="H11" s="216" t="s">
        <v>648</v>
      </c>
      <c r="I11" s="348">
        <v>71749.92</v>
      </c>
      <c r="J11" s="216" t="s">
        <v>472</v>
      </c>
    </row>
    <row r="12">
      <c r="A12" s="355" t="s">
        <v>649</v>
      </c>
      <c r="G12" s="216" t="s">
        <v>472</v>
      </c>
      <c r="H12" s="216" t="s">
        <v>650</v>
      </c>
      <c r="I12" s="348">
        <f>$I$7-($I$7/1.16)</f>
        <v>1041.37931</v>
      </c>
      <c r="J12" s="216" t="s">
        <v>472</v>
      </c>
    </row>
    <row r="13" ht="21.0" customHeight="1">
      <c r="A13" s="356" t="s">
        <v>111</v>
      </c>
      <c r="B13" s="356" t="s">
        <v>119</v>
      </c>
      <c r="C13" s="356" t="s">
        <v>651</v>
      </c>
      <c r="D13" s="356" t="s">
        <v>652</v>
      </c>
      <c r="E13" s="356" t="s">
        <v>117</v>
      </c>
      <c r="F13" s="356" t="s">
        <v>116</v>
      </c>
      <c r="G13" s="216" t="s">
        <v>472</v>
      </c>
      <c r="H13" s="357" t="s">
        <v>653</v>
      </c>
      <c r="I13" s="358"/>
      <c r="J13" s="359"/>
    </row>
    <row r="14">
      <c r="A14" s="98">
        <v>46267.0</v>
      </c>
      <c r="B14" s="100" t="s">
        <v>654</v>
      </c>
      <c r="C14" s="100" t="s">
        <v>450</v>
      </c>
      <c r="D14" s="100" t="s">
        <v>222</v>
      </c>
      <c r="E14" s="360">
        <v>1500.0</v>
      </c>
      <c r="F14" s="100" t="s">
        <v>655</v>
      </c>
      <c r="H14" s="361" t="s">
        <v>643</v>
      </c>
      <c r="I14" s="362">
        <f t="array" ref="I14">IFERROR(INDEX('ESTADO CONTABLE'!$I$5:$I$16,MATCH(UPPER(TEXT(TODAY(),"MMMM")),'ESTADO CONTABLE'!$A$5:$A$16,0)),0)</f>
        <v>5310.344828</v>
      </c>
      <c r="J14" s="363"/>
    </row>
    <row r="15">
      <c r="A15" s="364">
        <v>46268.0</v>
      </c>
      <c r="B15" s="365" t="s">
        <v>654</v>
      </c>
      <c r="C15" s="365" t="s">
        <v>450</v>
      </c>
      <c r="D15" s="365" t="s">
        <v>222</v>
      </c>
      <c r="E15" s="366">
        <v>12400.0</v>
      </c>
      <c r="F15" s="365" t="s">
        <v>182</v>
      </c>
      <c r="H15" s="361" t="s">
        <v>495</v>
      </c>
      <c r="I15" s="362">
        <f t="array" ref="I15">IFERROR(INDEX('ESTADO CONTABLE'!$O$5:$O$16,MATCH(UPPER(TEXT(TODAY(),"MMMM")),'ESTADO CONTABLE'!$A$5:$A$16,0)),0)</f>
        <v>0</v>
      </c>
      <c r="J15" s="363"/>
    </row>
    <row r="16">
      <c r="A16" s="98">
        <v>46270.0</v>
      </c>
      <c r="B16" s="100" t="s">
        <v>654</v>
      </c>
      <c r="C16" s="100" t="s">
        <v>450</v>
      </c>
      <c r="D16" s="100" t="s">
        <v>222</v>
      </c>
      <c r="E16" s="360">
        <v>10300.0</v>
      </c>
      <c r="F16" s="100" t="s">
        <v>656</v>
      </c>
      <c r="H16" s="361" t="s">
        <v>657</v>
      </c>
      <c r="I16" s="362">
        <f t="array" ref="I16">IFERROR(INDEX('ESTADO CONTABLE'!$P$5:$P$16,MATCH(UPPER(TEXT(TODAY(),"MMMM")),'ESTADO CONTABLE'!$A$5:$A$16,0)),0)</f>
        <v>5310.344828</v>
      </c>
      <c r="J16" s="363"/>
    </row>
    <row r="17" ht="18.75" customHeight="1">
      <c r="A17" s="364">
        <v>46270.0</v>
      </c>
      <c r="B17" s="365" t="s">
        <v>654</v>
      </c>
      <c r="C17" s="365" t="s">
        <v>222</v>
      </c>
      <c r="D17" s="365" t="s">
        <v>465</v>
      </c>
      <c r="E17" s="366">
        <v>7000.0</v>
      </c>
      <c r="F17" s="365" t="s">
        <v>658</v>
      </c>
      <c r="H17" s="368" t="s">
        <v>659</v>
      </c>
      <c r="I17" s="369"/>
      <c r="J17" s="370"/>
    </row>
    <row r="18" ht="18.75" customHeight="1">
      <c r="A18" s="98">
        <v>46275.0</v>
      </c>
      <c r="B18" s="100" t="s">
        <v>654</v>
      </c>
      <c r="C18" s="100" t="s">
        <v>643</v>
      </c>
      <c r="D18" s="100" t="s">
        <v>465</v>
      </c>
      <c r="E18" s="360">
        <v>690.0</v>
      </c>
      <c r="F18" s="100" t="s">
        <v>660</v>
      </c>
      <c r="H18" s="371"/>
      <c r="I18" s="372"/>
      <c r="J18" s="373"/>
    </row>
    <row r="19">
      <c r="A19" s="374">
        <v>46282.0</v>
      </c>
      <c r="B19" s="365" t="s">
        <v>654</v>
      </c>
      <c r="C19" s="365" t="s">
        <v>643</v>
      </c>
      <c r="D19" s="365" t="s">
        <v>465</v>
      </c>
      <c r="E19" s="366">
        <v>1280.0</v>
      </c>
      <c r="F19" s="365" t="s">
        <v>661</v>
      </c>
    </row>
    <row r="20">
      <c r="A20" s="98">
        <v>46286.0</v>
      </c>
      <c r="B20" s="100" t="s">
        <v>654</v>
      </c>
      <c r="C20" s="100" t="s">
        <v>465</v>
      </c>
      <c r="D20" s="100" t="s">
        <v>450</v>
      </c>
      <c r="E20" s="360">
        <v>250.0</v>
      </c>
      <c r="F20" s="100" t="s">
        <v>662</v>
      </c>
    </row>
    <row r="21">
      <c r="A21" s="364">
        <v>46287.0</v>
      </c>
      <c r="B21" s="365" t="s">
        <v>654</v>
      </c>
      <c r="C21" s="365" t="s">
        <v>450</v>
      </c>
      <c r="D21" s="365" t="s">
        <v>222</v>
      </c>
      <c r="E21" s="366">
        <v>5500.0</v>
      </c>
      <c r="F21" s="365" t="s">
        <v>663</v>
      </c>
    </row>
    <row r="22">
      <c r="A22" s="98">
        <v>46288.0</v>
      </c>
      <c r="B22" s="100" t="s">
        <v>664</v>
      </c>
      <c r="C22" s="100" t="s">
        <v>643</v>
      </c>
      <c r="D22" s="100" t="s">
        <v>665</v>
      </c>
      <c r="E22" s="360">
        <v>2687.0</v>
      </c>
      <c r="F22" s="100" t="s">
        <v>666</v>
      </c>
    </row>
    <row r="23">
      <c r="A23" s="364">
        <v>46298.0</v>
      </c>
      <c r="B23" s="365" t="s">
        <v>654</v>
      </c>
      <c r="C23" s="365" t="s">
        <v>450</v>
      </c>
      <c r="D23" s="365" t="s">
        <v>222</v>
      </c>
      <c r="E23" s="366">
        <v>9691.0</v>
      </c>
      <c r="F23" s="365" t="s">
        <v>667</v>
      </c>
    </row>
    <row r="24">
      <c r="A24" s="98">
        <v>46298.0</v>
      </c>
      <c r="B24" s="100" t="s">
        <v>654</v>
      </c>
      <c r="C24" s="100" t="s">
        <v>465</v>
      </c>
      <c r="D24" s="100" t="s">
        <v>222</v>
      </c>
      <c r="E24" s="360">
        <v>1006.0</v>
      </c>
      <c r="F24" s="100" t="s">
        <v>668</v>
      </c>
    </row>
    <row r="25">
      <c r="A25" s="364">
        <v>46300.0</v>
      </c>
      <c r="B25" s="365" t="s">
        <v>654</v>
      </c>
      <c r="C25" s="365" t="s">
        <v>450</v>
      </c>
      <c r="D25" s="365" t="s">
        <v>222</v>
      </c>
      <c r="E25" s="366">
        <v>6600.0</v>
      </c>
      <c r="F25" s="365" t="s">
        <v>669</v>
      </c>
    </row>
    <row r="26">
      <c r="A26" s="98">
        <v>46306.0</v>
      </c>
      <c r="B26" s="100" t="s">
        <v>654</v>
      </c>
      <c r="C26" s="100" t="s">
        <v>450</v>
      </c>
      <c r="D26" s="100" t="s">
        <v>222</v>
      </c>
      <c r="E26" s="360">
        <v>6082.0</v>
      </c>
      <c r="F26" s="100" t="s">
        <v>663</v>
      </c>
    </row>
    <row r="27">
      <c r="A27" s="364">
        <v>46310.0</v>
      </c>
      <c r="B27" s="365" t="s">
        <v>654</v>
      </c>
      <c r="C27" s="365" t="s">
        <v>465</v>
      </c>
      <c r="D27" s="365" t="s">
        <v>450</v>
      </c>
      <c r="E27" s="366">
        <v>200.0</v>
      </c>
      <c r="F27" s="365" t="s">
        <v>668</v>
      </c>
    </row>
    <row r="28">
      <c r="A28" s="98">
        <v>46310.0</v>
      </c>
      <c r="B28" s="100" t="s">
        <v>654</v>
      </c>
      <c r="C28" s="100" t="s">
        <v>643</v>
      </c>
      <c r="D28" s="100" t="s">
        <v>465</v>
      </c>
      <c r="E28" s="360">
        <v>1280.0</v>
      </c>
      <c r="F28" s="100" t="s">
        <v>670</v>
      </c>
    </row>
    <row r="29">
      <c r="A29" s="364">
        <v>46310.0</v>
      </c>
      <c r="B29" s="365" t="s">
        <v>664</v>
      </c>
      <c r="C29" s="365" t="s">
        <v>643</v>
      </c>
      <c r="D29" s="365" t="s">
        <v>665</v>
      </c>
      <c r="E29" s="366">
        <v>1055.0</v>
      </c>
      <c r="F29" s="365" t="s">
        <v>665</v>
      </c>
    </row>
    <row r="30">
      <c r="A30" s="375"/>
      <c r="B30" s="99"/>
      <c r="C30" s="99"/>
      <c r="D30" s="99"/>
      <c r="E30" s="376"/>
      <c r="F30" s="99"/>
    </row>
    <row r="31">
      <c r="A31" s="377"/>
      <c r="B31" s="378"/>
      <c r="C31" s="378"/>
      <c r="D31" s="378"/>
      <c r="E31" s="379"/>
      <c r="F31" s="378"/>
    </row>
    <row r="32">
      <c r="A32" s="375"/>
      <c r="B32" s="99"/>
      <c r="C32" s="99"/>
      <c r="D32" s="99"/>
      <c r="E32" s="376"/>
      <c r="F32" s="99"/>
    </row>
    <row r="33">
      <c r="A33" s="377"/>
      <c r="B33" s="378"/>
      <c r="C33" s="378"/>
      <c r="D33" s="378"/>
      <c r="E33" s="379"/>
      <c r="F33" s="378"/>
    </row>
    <row r="34">
      <c r="A34" s="375"/>
      <c r="B34" s="99"/>
      <c r="C34" s="99"/>
      <c r="D34" s="99"/>
      <c r="E34" s="376"/>
      <c r="F34" s="99"/>
    </row>
    <row r="35">
      <c r="A35" s="377"/>
      <c r="B35" s="378"/>
      <c r="C35" s="378"/>
      <c r="D35" s="378"/>
      <c r="E35" s="379"/>
      <c r="F35" s="378"/>
    </row>
    <row r="36">
      <c r="A36" s="375"/>
      <c r="B36" s="99"/>
      <c r="C36" s="99"/>
      <c r="D36" s="99"/>
      <c r="E36" s="376"/>
      <c r="F36" s="99"/>
    </row>
    <row r="37">
      <c r="A37" s="377"/>
      <c r="B37" s="378"/>
      <c r="C37" s="378"/>
      <c r="D37" s="378"/>
      <c r="E37" s="379"/>
      <c r="F37" s="378"/>
    </row>
    <row r="38">
      <c r="A38" s="375"/>
      <c r="B38" s="99"/>
      <c r="C38" s="99"/>
      <c r="D38" s="99"/>
      <c r="E38" s="376"/>
      <c r="F38" s="99"/>
    </row>
    <row r="39">
      <c r="A39" s="377"/>
      <c r="B39" s="378"/>
      <c r="C39" s="378"/>
      <c r="D39" s="378"/>
      <c r="E39" s="379"/>
      <c r="F39" s="378"/>
    </row>
    <row r="40">
      <c r="A40" s="375"/>
      <c r="B40" s="99"/>
      <c r="C40" s="99"/>
      <c r="D40" s="99"/>
      <c r="E40" s="376"/>
      <c r="F40" s="99"/>
    </row>
    <row r="41">
      <c r="A41" s="377"/>
      <c r="B41" s="378"/>
      <c r="C41" s="378"/>
      <c r="D41" s="378"/>
      <c r="E41" s="379"/>
      <c r="F41" s="378"/>
    </row>
    <row r="42">
      <c r="A42" s="375"/>
      <c r="B42" s="99"/>
      <c r="C42" s="99"/>
      <c r="D42" s="99"/>
      <c r="E42" s="376"/>
      <c r="F42" s="99"/>
    </row>
    <row r="43">
      <c r="A43" s="377"/>
      <c r="B43" s="378"/>
      <c r="C43" s="378"/>
      <c r="D43" s="378"/>
      <c r="E43" s="379"/>
      <c r="F43" s="378"/>
    </row>
    <row r="44">
      <c r="A44" s="375"/>
      <c r="B44" s="99"/>
      <c r="C44" s="99"/>
      <c r="D44" s="99"/>
      <c r="E44" s="376"/>
      <c r="F44" s="99"/>
    </row>
    <row r="45">
      <c r="A45" s="377"/>
      <c r="B45" s="378"/>
      <c r="C45" s="378"/>
      <c r="D45" s="378"/>
      <c r="E45" s="379"/>
      <c r="F45" s="378"/>
    </row>
    <row r="46">
      <c r="A46" s="375"/>
      <c r="B46" s="99"/>
      <c r="C46" s="99"/>
      <c r="D46" s="99"/>
      <c r="E46" s="376"/>
      <c r="F46" s="99"/>
    </row>
    <row r="47">
      <c r="A47" s="377"/>
      <c r="B47" s="378"/>
      <c r="C47" s="378"/>
      <c r="D47" s="378"/>
      <c r="E47" s="379"/>
      <c r="F47" s="378"/>
    </row>
    <row r="48">
      <c r="A48" s="375"/>
      <c r="B48" s="99"/>
      <c r="C48" s="99"/>
      <c r="D48" s="99"/>
      <c r="E48" s="376"/>
      <c r="F48" s="99"/>
    </row>
    <row r="49">
      <c r="A49" s="377"/>
      <c r="B49" s="378"/>
      <c r="C49" s="378"/>
      <c r="D49" s="378"/>
      <c r="E49" s="379"/>
      <c r="F49" s="378"/>
    </row>
    <row r="50">
      <c r="A50" s="375"/>
      <c r="B50" s="99"/>
      <c r="C50" s="99"/>
      <c r="D50" s="99"/>
      <c r="E50" s="376"/>
      <c r="F50" s="99"/>
    </row>
    <row r="51">
      <c r="A51" s="377"/>
      <c r="B51" s="378"/>
      <c r="C51" s="378"/>
      <c r="D51" s="378"/>
      <c r="E51" s="379"/>
      <c r="F51" s="378"/>
    </row>
    <row r="52">
      <c r="A52" s="375"/>
      <c r="B52" s="99"/>
      <c r="C52" s="99"/>
      <c r="D52" s="99"/>
      <c r="E52" s="376"/>
      <c r="F52" s="99"/>
    </row>
    <row r="53">
      <c r="A53" s="377"/>
      <c r="B53" s="378"/>
      <c r="C53" s="378"/>
      <c r="D53" s="378"/>
      <c r="E53" s="379"/>
      <c r="F53" s="378"/>
    </row>
    <row r="54">
      <c r="A54" s="375"/>
      <c r="B54" s="99"/>
      <c r="C54" s="99"/>
      <c r="D54" s="99"/>
      <c r="E54" s="376"/>
      <c r="F54" s="99"/>
    </row>
    <row r="55">
      <c r="A55" s="377"/>
      <c r="B55" s="378"/>
      <c r="C55" s="378"/>
      <c r="D55" s="378"/>
      <c r="E55" s="379"/>
      <c r="F55" s="378"/>
    </row>
    <row r="56">
      <c r="A56" s="375"/>
      <c r="B56" s="99"/>
      <c r="C56" s="99"/>
      <c r="D56" s="99"/>
      <c r="E56" s="376"/>
      <c r="F56" s="99"/>
    </row>
    <row r="57">
      <c r="A57" s="377"/>
      <c r="B57" s="378"/>
      <c r="C57" s="378"/>
      <c r="D57" s="378"/>
      <c r="E57" s="379"/>
      <c r="F57" s="378"/>
    </row>
    <row r="58">
      <c r="A58" s="375"/>
      <c r="B58" s="99"/>
      <c r="C58" s="99"/>
      <c r="D58" s="99"/>
      <c r="E58" s="376"/>
      <c r="F58" s="99"/>
    </row>
    <row r="59">
      <c r="A59" s="377"/>
      <c r="B59" s="378"/>
      <c r="C59" s="378"/>
      <c r="D59" s="378"/>
      <c r="E59" s="379"/>
      <c r="F59" s="378"/>
    </row>
    <row r="60">
      <c r="A60" s="375"/>
      <c r="B60" s="99"/>
      <c r="C60" s="99"/>
      <c r="D60" s="99"/>
      <c r="E60" s="376"/>
      <c r="F60" s="99"/>
    </row>
    <row r="61">
      <c r="A61" s="377"/>
      <c r="B61" s="378"/>
      <c r="C61" s="378"/>
      <c r="D61" s="378"/>
      <c r="E61" s="379"/>
      <c r="F61" s="378"/>
    </row>
    <row r="62">
      <c r="A62" s="375"/>
      <c r="B62" s="99"/>
      <c r="C62" s="99"/>
      <c r="D62" s="99"/>
      <c r="E62" s="376"/>
      <c r="F62" s="99"/>
    </row>
    <row r="63">
      <c r="A63" s="377"/>
      <c r="B63" s="378"/>
      <c r="C63" s="378"/>
      <c r="D63" s="378"/>
      <c r="E63" s="379"/>
      <c r="F63" s="378"/>
    </row>
    <row r="64">
      <c r="A64" s="375"/>
      <c r="B64" s="99"/>
      <c r="C64" s="99"/>
      <c r="D64" s="99"/>
      <c r="E64" s="376"/>
      <c r="F64" s="99"/>
    </row>
    <row r="65">
      <c r="A65" s="377"/>
      <c r="B65" s="378"/>
      <c r="C65" s="378"/>
      <c r="D65" s="378"/>
      <c r="E65" s="379"/>
      <c r="F65" s="378"/>
    </row>
    <row r="66">
      <c r="A66" s="375"/>
      <c r="B66" s="99"/>
      <c r="C66" s="99"/>
      <c r="D66" s="99"/>
      <c r="E66" s="376"/>
      <c r="F66" s="99"/>
    </row>
    <row r="67">
      <c r="A67" s="377"/>
      <c r="B67" s="378"/>
      <c r="C67" s="378"/>
      <c r="D67" s="378"/>
      <c r="E67" s="379"/>
      <c r="F67" s="378"/>
    </row>
    <row r="68">
      <c r="A68" s="375"/>
      <c r="B68" s="99"/>
      <c r="C68" s="99"/>
      <c r="D68" s="99"/>
      <c r="E68" s="376"/>
      <c r="F68" s="99"/>
    </row>
    <row r="69">
      <c r="A69" s="377"/>
      <c r="B69" s="378"/>
      <c r="C69" s="378"/>
      <c r="D69" s="378"/>
      <c r="E69" s="379"/>
      <c r="F69" s="378"/>
    </row>
    <row r="70">
      <c r="A70" s="375"/>
      <c r="B70" s="99"/>
      <c r="C70" s="99"/>
      <c r="D70" s="99"/>
      <c r="E70" s="376"/>
      <c r="F70" s="99"/>
    </row>
    <row r="71">
      <c r="A71" s="377"/>
      <c r="B71" s="378"/>
      <c r="C71" s="378"/>
      <c r="D71" s="378"/>
      <c r="E71" s="379"/>
      <c r="F71" s="378"/>
    </row>
    <row r="72">
      <c r="A72" s="375"/>
      <c r="B72" s="99"/>
      <c r="C72" s="99"/>
      <c r="D72" s="99"/>
      <c r="E72" s="376"/>
      <c r="F72" s="99"/>
    </row>
    <row r="73">
      <c r="A73" s="377"/>
      <c r="B73" s="378"/>
      <c r="C73" s="378"/>
      <c r="D73" s="378"/>
      <c r="E73" s="379"/>
      <c r="F73" s="378"/>
    </row>
    <row r="74">
      <c r="A74" s="375"/>
      <c r="B74" s="99"/>
      <c r="C74" s="99"/>
      <c r="D74" s="99"/>
      <c r="E74" s="376"/>
      <c r="F74" s="99"/>
    </row>
    <row r="75">
      <c r="A75" s="377"/>
      <c r="B75" s="378"/>
      <c r="C75" s="378"/>
      <c r="D75" s="378"/>
      <c r="E75" s="379"/>
      <c r="F75" s="378"/>
    </row>
    <row r="76">
      <c r="A76" s="375"/>
      <c r="B76" s="99"/>
      <c r="C76" s="99"/>
      <c r="D76" s="99"/>
      <c r="E76" s="376"/>
      <c r="F76" s="99"/>
    </row>
    <row r="77">
      <c r="A77" s="377"/>
      <c r="B77" s="378"/>
      <c r="C77" s="378"/>
      <c r="D77" s="378"/>
      <c r="E77" s="379"/>
      <c r="F77" s="378"/>
    </row>
    <row r="78">
      <c r="A78" s="375"/>
      <c r="B78" s="99"/>
      <c r="C78" s="99"/>
      <c r="D78" s="99"/>
      <c r="E78" s="376"/>
      <c r="F78" s="99"/>
    </row>
    <row r="79">
      <c r="A79" s="377"/>
      <c r="B79" s="378"/>
      <c r="C79" s="378"/>
      <c r="D79" s="378"/>
      <c r="E79" s="379"/>
      <c r="F79" s="378"/>
    </row>
    <row r="80">
      <c r="A80" s="375"/>
      <c r="B80" s="99"/>
      <c r="C80" s="99"/>
      <c r="D80" s="99"/>
      <c r="E80" s="376"/>
      <c r="F80" s="99"/>
    </row>
    <row r="81">
      <c r="A81" s="377"/>
      <c r="B81" s="378"/>
      <c r="C81" s="378"/>
      <c r="D81" s="378"/>
      <c r="E81" s="379"/>
      <c r="F81" s="378"/>
    </row>
    <row r="82">
      <c r="A82" s="375"/>
      <c r="B82" s="99"/>
      <c r="C82" s="99"/>
      <c r="D82" s="99"/>
      <c r="E82" s="376"/>
      <c r="F82" s="99"/>
    </row>
    <row r="83">
      <c r="A83" s="377"/>
      <c r="B83" s="378"/>
      <c r="C83" s="378"/>
      <c r="D83" s="378"/>
      <c r="E83" s="379"/>
      <c r="F83" s="378"/>
    </row>
    <row r="84">
      <c r="A84" s="375"/>
      <c r="B84" s="99"/>
      <c r="C84" s="99"/>
      <c r="D84" s="99"/>
      <c r="E84" s="376"/>
      <c r="F84" s="99"/>
    </row>
    <row r="85">
      <c r="A85" s="377"/>
      <c r="B85" s="378"/>
      <c r="C85" s="378"/>
      <c r="D85" s="378"/>
      <c r="E85" s="379"/>
      <c r="F85" s="378"/>
    </row>
    <row r="86">
      <c r="A86" s="375"/>
      <c r="B86" s="99"/>
      <c r="C86" s="99"/>
      <c r="D86" s="99"/>
      <c r="E86" s="376"/>
      <c r="F86" s="99"/>
    </row>
    <row r="87">
      <c r="A87" s="377"/>
      <c r="B87" s="378"/>
      <c r="C87" s="378"/>
      <c r="D87" s="378"/>
      <c r="E87" s="379"/>
      <c r="F87" s="378"/>
    </row>
    <row r="88">
      <c r="A88" s="375"/>
      <c r="B88" s="99"/>
      <c r="C88" s="99"/>
      <c r="D88" s="99"/>
      <c r="E88" s="376"/>
      <c r="F88" s="99"/>
    </row>
    <row r="89">
      <c r="A89" s="377"/>
      <c r="B89" s="378"/>
      <c r="C89" s="378"/>
      <c r="D89" s="378"/>
      <c r="E89" s="379"/>
      <c r="F89" s="378"/>
    </row>
    <row r="90">
      <c r="A90" s="375"/>
      <c r="B90" s="99"/>
      <c r="C90" s="99"/>
      <c r="D90" s="99"/>
      <c r="E90" s="376"/>
      <c r="F90" s="99"/>
    </row>
    <row r="91">
      <c r="A91" s="377"/>
      <c r="B91" s="378"/>
      <c r="C91" s="378"/>
      <c r="D91" s="378"/>
      <c r="E91" s="379"/>
      <c r="F91" s="378"/>
    </row>
    <row r="92">
      <c r="A92" s="375"/>
      <c r="B92" s="99"/>
      <c r="C92" s="99"/>
      <c r="D92" s="99"/>
      <c r="E92" s="376"/>
      <c r="F92" s="99"/>
    </row>
    <row r="93">
      <c r="A93" s="377"/>
      <c r="B93" s="378"/>
      <c r="C93" s="378"/>
      <c r="D93" s="378"/>
      <c r="E93" s="379"/>
      <c r="F93" s="378"/>
    </row>
    <row r="94">
      <c r="A94" s="375"/>
      <c r="B94" s="99"/>
      <c r="C94" s="99"/>
      <c r="D94" s="99"/>
      <c r="E94" s="376"/>
      <c r="F94" s="99"/>
    </row>
    <row r="95">
      <c r="A95" s="377"/>
      <c r="B95" s="378"/>
      <c r="C95" s="378"/>
      <c r="D95" s="378"/>
      <c r="E95" s="379"/>
      <c r="F95" s="378"/>
    </row>
    <row r="96">
      <c r="A96" s="375"/>
      <c r="B96" s="99"/>
      <c r="C96" s="99"/>
      <c r="D96" s="99"/>
      <c r="E96" s="376"/>
      <c r="F96" s="99"/>
    </row>
    <row r="97">
      <c r="A97" s="377"/>
      <c r="B97" s="378"/>
      <c r="C97" s="378"/>
      <c r="D97" s="378"/>
      <c r="E97" s="379"/>
      <c r="F97" s="378"/>
    </row>
    <row r="98">
      <c r="A98" s="375"/>
      <c r="B98" s="99"/>
      <c r="C98" s="99"/>
      <c r="D98" s="99"/>
      <c r="E98" s="376"/>
      <c r="F98" s="99"/>
    </row>
    <row r="99">
      <c r="A99" s="377"/>
      <c r="B99" s="378"/>
      <c r="C99" s="378"/>
      <c r="D99" s="378"/>
      <c r="E99" s="379"/>
      <c r="F99" s="378"/>
    </row>
    <row r="100">
      <c r="A100" s="375"/>
      <c r="B100" s="99"/>
      <c r="C100" s="99"/>
      <c r="D100" s="99"/>
      <c r="E100" s="376"/>
      <c r="F100" s="99"/>
    </row>
    <row r="101">
      <c r="A101" s="377"/>
      <c r="B101" s="378"/>
      <c r="C101" s="378"/>
      <c r="D101" s="378"/>
      <c r="E101" s="379"/>
      <c r="F101" s="378"/>
    </row>
    <row r="102">
      <c r="A102" s="375"/>
      <c r="B102" s="99"/>
      <c r="C102" s="99"/>
      <c r="D102" s="99"/>
      <c r="E102" s="376"/>
      <c r="F102" s="99"/>
    </row>
    <row r="103">
      <c r="A103" s="377"/>
      <c r="B103" s="378"/>
      <c r="C103" s="378"/>
      <c r="D103" s="378"/>
      <c r="E103" s="379"/>
      <c r="F103" s="378"/>
    </row>
    <row r="104">
      <c r="A104" s="375"/>
      <c r="B104" s="99"/>
      <c r="C104" s="99"/>
      <c r="D104" s="99"/>
      <c r="E104" s="376"/>
      <c r="F104" s="99"/>
    </row>
    <row r="105">
      <c r="A105" s="377"/>
      <c r="B105" s="378"/>
      <c r="C105" s="378"/>
      <c r="D105" s="378"/>
      <c r="E105" s="379"/>
      <c r="F105" s="378"/>
    </row>
    <row r="106">
      <c r="A106" s="375"/>
      <c r="B106" s="99"/>
      <c r="C106" s="99"/>
      <c r="D106" s="99"/>
      <c r="E106" s="376"/>
      <c r="F106" s="99"/>
    </row>
    <row r="107">
      <c r="A107" s="377"/>
      <c r="B107" s="378"/>
      <c r="C107" s="378"/>
      <c r="D107" s="378"/>
      <c r="E107" s="379"/>
      <c r="F107" s="378"/>
    </row>
    <row r="108">
      <c r="A108" s="375"/>
      <c r="B108" s="99"/>
      <c r="C108" s="99"/>
      <c r="D108" s="99"/>
      <c r="E108" s="376"/>
      <c r="F108" s="99"/>
    </row>
    <row r="109">
      <c r="A109" s="377"/>
      <c r="B109" s="378"/>
      <c r="C109" s="378"/>
      <c r="D109" s="378"/>
      <c r="E109" s="379"/>
      <c r="F109" s="378"/>
    </row>
    <row r="110">
      <c r="A110" s="375"/>
      <c r="B110" s="99"/>
      <c r="C110" s="99"/>
      <c r="D110" s="99"/>
      <c r="E110" s="376"/>
      <c r="F110" s="99"/>
    </row>
    <row r="111">
      <c r="A111" s="377"/>
      <c r="B111" s="378"/>
      <c r="C111" s="378"/>
      <c r="D111" s="378"/>
      <c r="E111" s="379"/>
      <c r="F111" s="378"/>
    </row>
    <row r="112">
      <c r="A112" s="375"/>
      <c r="B112" s="99"/>
      <c r="C112" s="99"/>
      <c r="D112" s="99"/>
      <c r="E112" s="376"/>
      <c r="F112" s="99"/>
    </row>
    <row r="113">
      <c r="A113" s="377"/>
      <c r="B113" s="378"/>
      <c r="C113" s="378"/>
      <c r="D113" s="378"/>
      <c r="E113" s="379"/>
      <c r="F113" s="378"/>
    </row>
    <row r="114">
      <c r="A114" s="375"/>
      <c r="B114" s="99"/>
      <c r="C114" s="99"/>
      <c r="D114" s="99"/>
      <c r="E114" s="376"/>
      <c r="F114" s="99"/>
    </row>
    <row r="115">
      <c r="A115" s="377"/>
      <c r="B115" s="378"/>
      <c r="C115" s="378"/>
      <c r="D115" s="378"/>
      <c r="E115" s="379"/>
      <c r="F115" s="378"/>
    </row>
    <row r="116">
      <c r="A116" s="375"/>
      <c r="B116" s="99"/>
      <c r="C116" s="99"/>
      <c r="D116" s="99"/>
      <c r="E116" s="376"/>
      <c r="F116" s="99"/>
    </row>
    <row r="117">
      <c r="A117" s="377"/>
      <c r="B117" s="378"/>
      <c r="C117" s="378"/>
      <c r="D117" s="378"/>
      <c r="E117" s="379"/>
      <c r="F117" s="378"/>
    </row>
    <row r="118">
      <c r="A118" s="375"/>
      <c r="B118" s="99"/>
      <c r="C118" s="99"/>
      <c r="D118" s="99"/>
      <c r="E118" s="376"/>
      <c r="F118" s="99"/>
    </row>
    <row r="119">
      <c r="A119" s="377"/>
      <c r="B119" s="378"/>
      <c r="C119" s="378"/>
      <c r="D119" s="378"/>
      <c r="E119" s="379"/>
      <c r="F119" s="378"/>
    </row>
    <row r="120">
      <c r="A120" s="375"/>
      <c r="B120" s="99"/>
      <c r="C120" s="99"/>
      <c r="D120" s="99"/>
      <c r="E120" s="376"/>
      <c r="F120" s="99"/>
    </row>
    <row r="121">
      <c r="A121" s="377"/>
      <c r="B121" s="378"/>
      <c r="C121" s="378"/>
      <c r="D121" s="378"/>
      <c r="E121" s="379"/>
      <c r="F121" s="378"/>
    </row>
    <row r="122">
      <c r="A122" s="375"/>
      <c r="B122" s="99"/>
      <c r="C122" s="99"/>
      <c r="D122" s="99"/>
      <c r="E122" s="376"/>
      <c r="F122" s="99"/>
    </row>
    <row r="123">
      <c r="A123" s="377"/>
      <c r="B123" s="378"/>
      <c r="C123" s="378"/>
      <c r="D123" s="378"/>
      <c r="E123" s="379"/>
      <c r="F123" s="378"/>
    </row>
    <row r="124">
      <c r="A124" s="375"/>
      <c r="B124" s="99"/>
      <c r="C124" s="99"/>
      <c r="D124" s="99"/>
      <c r="E124" s="376"/>
      <c r="F124" s="99"/>
    </row>
    <row r="125">
      <c r="A125" s="377"/>
      <c r="B125" s="378"/>
      <c r="C125" s="378"/>
      <c r="D125" s="378"/>
      <c r="E125" s="379"/>
      <c r="F125" s="378"/>
    </row>
    <row r="126">
      <c r="A126" s="375"/>
      <c r="B126" s="99"/>
      <c r="C126" s="99"/>
      <c r="D126" s="99"/>
      <c r="E126" s="376"/>
      <c r="F126" s="99"/>
    </row>
    <row r="127">
      <c r="A127" s="377"/>
      <c r="B127" s="378"/>
      <c r="C127" s="378"/>
      <c r="D127" s="378"/>
      <c r="E127" s="379"/>
      <c r="F127" s="378"/>
    </row>
    <row r="128">
      <c r="A128" s="375"/>
      <c r="B128" s="99"/>
      <c r="C128" s="99"/>
      <c r="D128" s="99"/>
      <c r="E128" s="376"/>
      <c r="F128" s="99"/>
    </row>
    <row r="129">
      <c r="A129" s="377"/>
      <c r="B129" s="378"/>
      <c r="C129" s="378"/>
      <c r="D129" s="378"/>
      <c r="E129" s="379"/>
      <c r="F129" s="378"/>
    </row>
    <row r="130">
      <c r="A130" s="375"/>
      <c r="B130" s="99"/>
      <c r="C130" s="99"/>
      <c r="D130" s="99"/>
      <c r="E130" s="376"/>
      <c r="F130" s="99"/>
    </row>
    <row r="131">
      <c r="A131" s="377"/>
      <c r="B131" s="378"/>
      <c r="C131" s="378"/>
      <c r="D131" s="378"/>
      <c r="E131" s="379"/>
      <c r="F131" s="378"/>
    </row>
    <row r="132">
      <c r="A132" s="375"/>
      <c r="B132" s="99"/>
      <c r="C132" s="99"/>
      <c r="D132" s="99"/>
      <c r="E132" s="376"/>
      <c r="F132" s="99"/>
    </row>
    <row r="133">
      <c r="A133" s="377"/>
      <c r="B133" s="378"/>
      <c r="C133" s="378"/>
      <c r="D133" s="378"/>
      <c r="E133" s="379"/>
      <c r="F133" s="378"/>
    </row>
    <row r="134">
      <c r="A134" s="375"/>
      <c r="B134" s="99"/>
      <c r="C134" s="99"/>
      <c r="D134" s="99"/>
      <c r="E134" s="376"/>
      <c r="F134" s="99"/>
    </row>
    <row r="135">
      <c r="A135" s="377"/>
      <c r="B135" s="378"/>
      <c r="C135" s="378"/>
      <c r="D135" s="378"/>
      <c r="E135" s="379"/>
      <c r="F135" s="378"/>
    </row>
    <row r="136">
      <c r="A136" s="375"/>
      <c r="B136" s="99"/>
      <c r="C136" s="99"/>
      <c r="D136" s="99"/>
      <c r="E136" s="376"/>
      <c r="F136" s="99"/>
    </row>
    <row r="137">
      <c r="A137" s="377"/>
      <c r="B137" s="378"/>
      <c r="C137" s="378"/>
      <c r="D137" s="378"/>
      <c r="E137" s="379"/>
      <c r="F137" s="378"/>
    </row>
    <row r="138">
      <c r="A138" s="375"/>
      <c r="B138" s="99"/>
      <c r="C138" s="99"/>
      <c r="D138" s="99"/>
      <c r="E138" s="376"/>
      <c r="F138" s="99"/>
    </row>
    <row r="139">
      <c r="A139" s="377"/>
      <c r="B139" s="378"/>
      <c r="C139" s="378"/>
      <c r="D139" s="378"/>
      <c r="E139" s="379"/>
      <c r="F139" s="378"/>
    </row>
    <row r="140">
      <c r="A140" s="375"/>
      <c r="B140" s="99"/>
      <c r="C140" s="99"/>
      <c r="D140" s="99"/>
      <c r="E140" s="376"/>
      <c r="F140" s="99"/>
    </row>
    <row r="141">
      <c r="A141" s="377"/>
      <c r="B141" s="378"/>
      <c r="C141" s="378"/>
      <c r="D141" s="378"/>
      <c r="E141" s="379"/>
      <c r="F141" s="378"/>
    </row>
    <row r="142">
      <c r="A142" s="375"/>
      <c r="B142" s="99"/>
      <c r="C142" s="99"/>
      <c r="D142" s="99"/>
      <c r="E142" s="376"/>
      <c r="F142" s="99"/>
    </row>
    <row r="143">
      <c r="A143" s="377"/>
      <c r="B143" s="378"/>
      <c r="C143" s="378"/>
      <c r="D143" s="378"/>
      <c r="E143" s="379"/>
      <c r="F143" s="378"/>
    </row>
    <row r="144">
      <c r="A144" s="375"/>
      <c r="B144" s="99"/>
      <c r="C144" s="99"/>
      <c r="D144" s="99"/>
      <c r="E144" s="376"/>
      <c r="F144" s="99"/>
    </row>
    <row r="145">
      <c r="A145" s="377"/>
      <c r="B145" s="378"/>
      <c r="C145" s="378"/>
      <c r="D145" s="378"/>
      <c r="E145" s="379"/>
      <c r="F145" s="378"/>
    </row>
    <row r="146">
      <c r="A146" s="375"/>
      <c r="B146" s="99"/>
      <c r="C146" s="99"/>
      <c r="D146" s="99"/>
      <c r="E146" s="376"/>
      <c r="F146" s="99"/>
    </row>
    <row r="147">
      <c r="A147" s="377"/>
      <c r="B147" s="378"/>
      <c r="C147" s="378"/>
      <c r="D147" s="378"/>
      <c r="E147" s="379"/>
      <c r="F147" s="378"/>
    </row>
    <row r="148">
      <c r="A148" s="375"/>
      <c r="B148" s="99"/>
      <c r="C148" s="99"/>
      <c r="D148" s="99"/>
      <c r="E148" s="376"/>
      <c r="F148" s="99"/>
    </row>
    <row r="149">
      <c r="A149" s="377"/>
      <c r="B149" s="378"/>
      <c r="C149" s="378"/>
      <c r="D149" s="378"/>
      <c r="E149" s="379"/>
      <c r="F149" s="378"/>
    </row>
    <row r="150">
      <c r="A150" s="375"/>
      <c r="B150" s="99"/>
      <c r="C150" s="99"/>
      <c r="D150" s="99"/>
      <c r="E150" s="376"/>
      <c r="F150" s="99"/>
    </row>
    <row r="151">
      <c r="A151" s="377"/>
      <c r="B151" s="378"/>
      <c r="C151" s="378"/>
      <c r="D151" s="378"/>
      <c r="E151" s="379"/>
      <c r="F151" s="378"/>
    </row>
    <row r="152">
      <c r="A152" s="375"/>
      <c r="B152" s="99"/>
      <c r="C152" s="99"/>
      <c r="D152" s="99"/>
      <c r="E152" s="376"/>
      <c r="F152" s="99"/>
    </row>
    <row r="153">
      <c r="A153" s="377"/>
      <c r="B153" s="378"/>
      <c r="C153" s="378"/>
      <c r="D153" s="378"/>
      <c r="E153" s="379"/>
      <c r="F153" s="378"/>
    </row>
    <row r="154">
      <c r="A154" s="375"/>
      <c r="B154" s="99"/>
      <c r="C154" s="99"/>
      <c r="D154" s="99"/>
      <c r="E154" s="376"/>
      <c r="F154" s="99"/>
    </row>
    <row r="155">
      <c r="A155" s="377"/>
      <c r="B155" s="378"/>
      <c r="C155" s="378"/>
      <c r="D155" s="378"/>
      <c r="E155" s="379"/>
      <c r="F155" s="378"/>
    </row>
    <row r="156">
      <c r="A156" s="375"/>
      <c r="B156" s="99"/>
      <c r="C156" s="99"/>
      <c r="D156" s="99"/>
      <c r="E156" s="376"/>
      <c r="F156" s="99"/>
    </row>
    <row r="157">
      <c r="A157" s="377"/>
      <c r="B157" s="378"/>
      <c r="C157" s="378"/>
      <c r="D157" s="378"/>
      <c r="E157" s="379"/>
      <c r="F157" s="378"/>
    </row>
    <row r="158">
      <c r="A158" s="375"/>
      <c r="B158" s="99"/>
      <c r="C158" s="99"/>
      <c r="D158" s="99"/>
      <c r="E158" s="376"/>
      <c r="F158" s="99"/>
    </row>
    <row r="159">
      <c r="A159" s="377"/>
      <c r="B159" s="378"/>
      <c r="C159" s="378"/>
      <c r="D159" s="378"/>
      <c r="E159" s="379"/>
      <c r="F159" s="378"/>
    </row>
    <row r="160">
      <c r="A160" s="375"/>
      <c r="B160" s="99"/>
      <c r="C160" s="99"/>
      <c r="D160" s="99"/>
      <c r="E160" s="376"/>
      <c r="F160" s="99"/>
    </row>
    <row r="161">
      <c r="A161" s="377"/>
      <c r="B161" s="378"/>
      <c r="C161" s="378"/>
      <c r="D161" s="378"/>
      <c r="E161" s="379"/>
      <c r="F161" s="378"/>
    </row>
    <row r="162">
      <c r="A162" s="375"/>
      <c r="B162" s="99"/>
      <c r="C162" s="99"/>
      <c r="D162" s="99"/>
      <c r="E162" s="376"/>
      <c r="F162" s="99"/>
    </row>
    <row r="163">
      <c r="A163" s="377"/>
      <c r="B163" s="378"/>
      <c r="C163" s="378"/>
      <c r="D163" s="378"/>
      <c r="E163" s="379"/>
      <c r="F163" s="378"/>
    </row>
    <row r="164">
      <c r="A164" s="375"/>
      <c r="B164" s="99"/>
      <c r="C164" s="99"/>
      <c r="D164" s="99"/>
      <c r="E164" s="376"/>
      <c r="F164" s="99"/>
    </row>
    <row r="165">
      <c r="A165" s="377"/>
      <c r="B165" s="378"/>
      <c r="C165" s="378"/>
      <c r="D165" s="378"/>
      <c r="E165" s="379"/>
      <c r="F165" s="378"/>
    </row>
    <row r="166">
      <c r="A166" s="375"/>
      <c r="B166" s="99"/>
      <c r="C166" s="99"/>
      <c r="D166" s="99"/>
      <c r="E166" s="376"/>
      <c r="F166" s="99"/>
    </row>
    <row r="167">
      <c r="A167" s="377"/>
      <c r="B167" s="378"/>
      <c r="C167" s="378"/>
      <c r="D167" s="378"/>
      <c r="E167" s="379"/>
      <c r="F167" s="378"/>
    </row>
    <row r="168">
      <c r="A168" s="375"/>
      <c r="B168" s="99"/>
      <c r="C168" s="99"/>
      <c r="D168" s="99"/>
      <c r="E168" s="376"/>
      <c r="F168" s="99"/>
    </row>
    <row r="169">
      <c r="A169" s="377"/>
      <c r="B169" s="378"/>
      <c r="C169" s="378"/>
      <c r="D169" s="378"/>
      <c r="E169" s="379"/>
      <c r="F169" s="378"/>
    </row>
    <row r="170">
      <c r="A170" s="375"/>
      <c r="B170" s="99"/>
      <c r="C170" s="99"/>
      <c r="D170" s="99"/>
      <c r="E170" s="376"/>
      <c r="F170" s="99"/>
    </row>
    <row r="171">
      <c r="A171" s="377"/>
      <c r="B171" s="378"/>
      <c r="C171" s="378"/>
      <c r="D171" s="378"/>
      <c r="E171" s="379"/>
      <c r="F171" s="378"/>
    </row>
    <row r="172">
      <c r="A172" s="375"/>
      <c r="B172" s="99"/>
      <c r="C172" s="99"/>
      <c r="D172" s="99"/>
      <c r="E172" s="376"/>
      <c r="F172" s="99"/>
    </row>
    <row r="173">
      <c r="A173" s="377"/>
      <c r="B173" s="378"/>
      <c r="C173" s="378"/>
      <c r="D173" s="378"/>
      <c r="E173" s="379"/>
      <c r="F173" s="378"/>
    </row>
    <row r="174">
      <c r="A174" s="375"/>
      <c r="B174" s="99"/>
      <c r="C174" s="99"/>
      <c r="D174" s="99"/>
      <c r="E174" s="376"/>
      <c r="F174" s="99"/>
    </row>
    <row r="175">
      <c r="A175" s="377"/>
      <c r="B175" s="378"/>
      <c r="C175" s="378"/>
      <c r="D175" s="378"/>
      <c r="E175" s="379"/>
      <c r="F175" s="378"/>
    </row>
    <row r="176">
      <c r="A176" s="375"/>
      <c r="B176" s="99"/>
      <c r="C176" s="99"/>
      <c r="D176" s="99"/>
      <c r="E176" s="376"/>
      <c r="F176" s="99"/>
    </row>
    <row r="177">
      <c r="A177" s="377"/>
      <c r="B177" s="378"/>
      <c r="C177" s="378"/>
      <c r="D177" s="378"/>
      <c r="E177" s="379"/>
      <c r="F177" s="378"/>
    </row>
    <row r="178">
      <c r="A178" s="375"/>
      <c r="B178" s="99"/>
      <c r="C178" s="99"/>
      <c r="D178" s="99"/>
      <c r="E178" s="376"/>
      <c r="F178" s="99"/>
    </row>
    <row r="179">
      <c r="A179" s="377"/>
      <c r="B179" s="378"/>
      <c r="C179" s="378"/>
      <c r="D179" s="378"/>
      <c r="E179" s="379"/>
      <c r="F179" s="378"/>
    </row>
    <row r="180">
      <c r="A180" s="375"/>
      <c r="B180" s="99"/>
      <c r="C180" s="99"/>
      <c r="D180" s="99"/>
      <c r="E180" s="376"/>
      <c r="F180" s="99"/>
    </row>
    <row r="181">
      <c r="A181" s="377"/>
      <c r="B181" s="378"/>
      <c r="C181" s="378"/>
      <c r="D181" s="378"/>
      <c r="E181" s="379"/>
      <c r="F181" s="378"/>
    </row>
    <row r="182">
      <c r="A182" s="375"/>
      <c r="B182" s="99"/>
      <c r="C182" s="99"/>
      <c r="D182" s="99"/>
      <c r="E182" s="376"/>
      <c r="F182" s="99"/>
    </row>
    <row r="183">
      <c r="A183" s="377"/>
      <c r="B183" s="378"/>
      <c r="C183" s="378"/>
      <c r="D183" s="378"/>
      <c r="E183" s="379"/>
      <c r="F183" s="378"/>
    </row>
    <row r="184">
      <c r="A184" s="375"/>
      <c r="B184" s="99"/>
      <c r="C184" s="99"/>
      <c r="D184" s="99"/>
      <c r="E184" s="376"/>
      <c r="F184" s="99"/>
    </row>
    <row r="185">
      <c r="A185" s="377"/>
      <c r="B185" s="378"/>
      <c r="C185" s="378"/>
      <c r="D185" s="378"/>
      <c r="E185" s="379"/>
      <c r="F185" s="378"/>
    </row>
    <row r="186">
      <c r="A186" s="375"/>
      <c r="B186" s="99"/>
      <c r="C186" s="99"/>
      <c r="D186" s="99"/>
      <c r="E186" s="376"/>
      <c r="F186" s="99"/>
    </row>
    <row r="187">
      <c r="A187" s="377"/>
      <c r="B187" s="378"/>
      <c r="C187" s="378"/>
      <c r="D187" s="378"/>
      <c r="E187" s="379"/>
      <c r="F187" s="378"/>
    </row>
    <row r="188">
      <c r="A188" s="375"/>
      <c r="B188" s="99"/>
      <c r="C188" s="99"/>
      <c r="D188" s="99"/>
      <c r="E188" s="376"/>
      <c r="F188" s="99"/>
    </row>
    <row r="189">
      <c r="A189" s="377"/>
      <c r="B189" s="378"/>
      <c r="C189" s="378"/>
      <c r="D189" s="378"/>
      <c r="E189" s="379"/>
      <c r="F189" s="378"/>
    </row>
    <row r="190">
      <c r="A190" s="375"/>
      <c r="B190" s="99"/>
      <c r="C190" s="99"/>
      <c r="D190" s="99"/>
      <c r="E190" s="376"/>
      <c r="F190" s="99"/>
    </row>
    <row r="191">
      <c r="A191" s="377"/>
      <c r="B191" s="378"/>
      <c r="C191" s="378"/>
      <c r="D191" s="378"/>
      <c r="E191" s="379"/>
      <c r="F191" s="378"/>
    </row>
    <row r="192">
      <c r="A192" s="375"/>
      <c r="B192" s="99"/>
      <c r="C192" s="99"/>
      <c r="D192" s="99"/>
      <c r="E192" s="376"/>
      <c r="F192" s="99"/>
    </row>
    <row r="193">
      <c r="A193" s="377"/>
      <c r="B193" s="378"/>
      <c r="C193" s="378"/>
      <c r="D193" s="378"/>
      <c r="E193" s="379"/>
      <c r="F193" s="378"/>
    </row>
    <row r="194">
      <c r="A194" s="375"/>
      <c r="B194" s="99"/>
      <c r="C194" s="99"/>
      <c r="D194" s="99"/>
      <c r="E194" s="376"/>
      <c r="F194" s="99"/>
    </row>
    <row r="195">
      <c r="A195" s="377"/>
      <c r="B195" s="378"/>
      <c r="C195" s="378"/>
      <c r="D195" s="378"/>
      <c r="E195" s="379"/>
      <c r="F195" s="378"/>
    </row>
    <row r="196">
      <c r="A196" s="375"/>
      <c r="B196" s="99"/>
      <c r="C196" s="99"/>
      <c r="D196" s="99"/>
      <c r="E196" s="376"/>
      <c r="F196" s="99"/>
    </row>
    <row r="197">
      <c r="A197" s="377"/>
      <c r="B197" s="378"/>
      <c r="C197" s="378"/>
      <c r="D197" s="378"/>
      <c r="E197" s="379"/>
      <c r="F197" s="378"/>
    </row>
    <row r="198">
      <c r="A198" s="375"/>
      <c r="B198" s="99"/>
      <c r="C198" s="99"/>
      <c r="D198" s="99"/>
      <c r="E198" s="376"/>
      <c r="F198" s="99"/>
    </row>
    <row r="199">
      <c r="A199" s="377"/>
      <c r="B199" s="378"/>
      <c r="C199" s="378"/>
      <c r="D199" s="378"/>
      <c r="E199" s="379"/>
      <c r="F199" s="378"/>
    </row>
    <row r="200">
      <c r="A200" s="375"/>
      <c r="B200" s="99"/>
      <c r="C200" s="99"/>
      <c r="D200" s="99"/>
      <c r="E200" s="376"/>
      <c r="F200" s="99"/>
    </row>
    <row r="201">
      <c r="A201" s="377"/>
      <c r="B201" s="378"/>
      <c r="C201" s="378"/>
      <c r="D201" s="378"/>
      <c r="E201" s="379"/>
      <c r="F201" s="378"/>
    </row>
    <row r="202">
      <c r="A202" s="375"/>
      <c r="B202" s="99"/>
      <c r="C202" s="99"/>
      <c r="D202" s="99"/>
      <c r="E202" s="376"/>
      <c r="F202" s="99"/>
    </row>
    <row r="203">
      <c r="A203" s="377"/>
      <c r="B203" s="378"/>
      <c r="C203" s="378"/>
      <c r="D203" s="378"/>
      <c r="E203" s="379"/>
      <c r="F203" s="378"/>
    </row>
    <row r="204">
      <c r="A204" s="375"/>
      <c r="B204" s="99"/>
      <c r="C204" s="99"/>
      <c r="D204" s="99"/>
      <c r="E204" s="376"/>
      <c r="F204" s="99"/>
    </row>
    <row r="205">
      <c r="A205" s="377"/>
      <c r="B205" s="378"/>
      <c r="C205" s="378"/>
      <c r="D205" s="378"/>
      <c r="E205" s="379"/>
      <c r="F205" s="378"/>
    </row>
    <row r="206">
      <c r="A206" s="375"/>
      <c r="B206" s="99"/>
      <c r="C206" s="99"/>
      <c r="D206" s="99"/>
      <c r="E206" s="376"/>
      <c r="F206" s="99"/>
    </row>
    <row r="207">
      <c r="A207" s="377"/>
      <c r="B207" s="378"/>
      <c r="C207" s="378"/>
      <c r="D207" s="378"/>
      <c r="E207" s="379"/>
      <c r="F207" s="378"/>
    </row>
    <row r="208">
      <c r="A208" s="375"/>
      <c r="B208" s="99"/>
      <c r="C208" s="99"/>
      <c r="D208" s="99"/>
      <c r="E208" s="376"/>
      <c r="F208" s="99"/>
    </row>
    <row r="209">
      <c r="A209" s="377"/>
      <c r="B209" s="378"/>
      <c r="C209" s="378"/>
      <c r="D209" s="378"/>
      <c r="E209" s="379"/>
      <c r="F209" s="378"/>
    </row>
    <row r="210">
      <c r="A210" s="375"/>
      <c r="B210" s="99"/>
      <c r="C210" s="99"/>
      <c r="D210" s="99"/>
      <c r="E210" s="376"/>
      <c r="F210" s="99"/>
    </row>
    <row r="211">
      <c r="A211" s="377"/>
      <c r="B211" s="378"/>
      <c r="C211" s="378"/>
      <c r="D211" s="378"/>
      <c r="E211" s="379"/>
      <c r="F211" s="378"/>
    </row>
    <row r="212">
      <c r="A212" s="375"/>
      <c r="B212" s="99"/>
      <c r="C212" s="99"/>
      <c r="D212" s="99"/>
      <c r="E212" s="376"/>
      <c r="F212" s="99"/>
    </row>
    <row r="213">
      <c r="A213" s="377"/>
      <c r="B213" s="378"/>
      <c r="C213" s="378"/>
      <c r="D213" s="378"/>
      <c r="E213" s="379"/>
      <c r="F213" s="378"/>
    </row>
    <row r="214">
      <c r="A214" s="375"/>
      <c r="B214" s="99"/>
      <c r="C214" s="99"/>
      <c r="D214" s="99"/>
      <c r="E214" s="376"/>
      <c r="F214" s="99"/>
    </row>
    <row r="215">
      <c r="A215" s="377"/>
      <c r="B215" s="378"/>
      <c r="C215" s="378"/>
      <c r="D215" s="378"/>
      <c r="E215" s="379"/>
      <c r="F215" s="378"/>
    </row>
    <row r="216">
      <c r="A216" s="375"/>
      <c r="B216" s="99"/>
      <c r="C216" s="99"/>
      <c r="D216" s="99"/>
      <c r="E216" s="376"/>
      <c r="F216" s="99"/>
    </row>
    <row r="217">
      <c r="A217" s="377"/>
      <c r="B217" s="378"/>
      <c r="C217" s="378"/>
      <c r="D217" s="378"/>
      <c r="E217" s="379"/>
      <c r="F217" s="378"/>
    </row>
    <row r="218">
      <c r="A218" s="375"/>
      <c r="B218" s="99"/>
      <c r="C218" s="99"/>
      <c r="D218" s="99"/>
      <c r="E218" s="376"/>
      <c r="F218" s="99"/>
    </row>
    <row r="219">
      <c r="A219" s="377"/>
      <c r="B219" s="378"/>
      <c r="C219" s="378"/>
      <c r="D219" s="378"/>
      <c r="E219" s="379"/>
      <c r="F219" s="378"/>
    </row>
    <row r="220">
      <c r="A220" s="375"/>
      <c r="B220" s="99"/>
      <c r="C220" s="99"/>
      <c r="D220" s="99"/>
      <c r="E220" s="376"/>
      <c r="F220" s="99"/>
    </row>
    <row r="221">
      <c r="A221" s="377"/>
      <c r="B221" s="378"/>
      <c r="C221" s="378"/>
      <c r="D221" s="378"/>
      <c r="E221" s="379"/>
      <c r="F221" s="378"/>
    </row>
    <row r="222">
      <c r="A222" s="375"/>
      <c r="B222" s="99"/>
      <c r="C222" s="99"/>
      <c r="D222" s="99"/>
      <c r="E222" s="376"/>
      <c r="F222" s="99"/>
    </row>
    <row r="223">
      <c r="A223" s="377"/>
      <c r="B223" s="378"/>
      <c r="C223" s="378"/>
      <c r="D223" s="378"/>
      <c r="E223" s="379"/>
      <c r="F223" s="378"/>
    </row>
    <row r="224">
      <c r="A224" s="375"/>
      <c r="B224" s="99"/>
      <c r="C224" s="99"/>
      <c r="D224" s="99"/>
      <c r="E224" s="376"/>
      <c r="F224" s="99"/>
    </row>
    <row r="225">
      <c r="A225" s="377"/>
      <c r="B225" s="378"/>
      <c r="C225" s="378"/>
      <c r="D225" s="378"/>
      <c r="E225" s="379"/>
      <c r="F225" s="378"/>
    </row>
    <row r="226">
      <c r="A226" s="375"/>
      <c r="B226" s="99"/>
      <c r="C226" s="99"/>
      <c r="D226" s="99"/>
      <c r="E226" s="376"/>
      <c r="F226" s="99"/>
    </row>
    <row r="227">
      <c r="A227" s="377"/>
      <c r="B227" s="378"/>
      <c r="C227" s="378"/>
      <c r="D227" s="378"/>
      <c r="E227" s="379"/>
      <c r="F227" s="378"/>
    </row>
    <row r="228">
      <c r="A228" s="375"/>
      <c r="B228" s="99"/>
      <c r="C228" s="99"/>
      <c r="D228" s="99"/>
      <c r="E228" s="376"/>
      <c r="F228" s="99"/>
    </row>
    <row r="229">
      <c r="A229" s="377"/>
      <c r="B229" s="378"/>
      <c r="C229" s="378"/>
      <c r="D229" s="378"/>
      <c r="E229" s="379"/>
      <c r="F229" s="378"/>
    </row>
    <row r="230">
      <c r="A230" s="375"/>
      <c r="B230" s="99"/>
      <c r="C230" s="99"/>
      <c r="D230" s="99"/>
      <c r="E230" s="376"/>
      <c r="F230" s="99"/>
    </row>
    <row r="231">
      <c r="A231" s="377"/>
      <c r="B231" s="378"/>
      <c r="C231" s="378"/>
      <c r="D231" s="378"/>
      <c r="E231" s="379"/>
      <c r="F231" s="378"/>
    </row>
    <row r="232">
      <c r="A232" s="375"/>
      <c r="B232" s="99"/>
      <c r="C232" s="99"/>
      <c r="D232" s="99"/>
      <c r="E232" s="376"/>
      <c r="F232" s="99"/>
    </row>
    <row r="233">
      <c r="A233" s="377"/>
      <c r="B233" s="378"/>
      <c r="C233" s="378"/>
      <c r="D233" s="378"/>
      <c r="E233" s="379"/>
      <c r="F233" s="378"/>
    </row>
    <row r="234">
      <c r="A234" s="375"/>
      <c r="B234" s="99"/>
      <c r="C234" s="99"/>
      <c r="D234" s="99"/>
      <c r="E234" s="376"/>
      <c r="F234" s="99"/>
    </row>
    <row r="235">
      <c r="A235" s="377"/>
      <c r="B235" s="378"/>
      <c r="C235" s="378"/>
      <c r="D235" s="378"/>
      <c r="E235" s="379"/>
      <c r="F235" s="378"/>
    </row>
    <row r="236">
      <c r="A236" s="375"/>
      <c r="B236" s="99"/>
      <c r="C236" s="99"/>
      <c r="D236" s="99"/>
      <c r="E236" s="376"/>
      <c r="F236" s="99"/>
    </row>
    <row r="237">
      <c r="A237" s="377"/>
      <c r="B237" s="378"/>
      <c r="C237" s="378"/>
      <c r="D237" s="378"/>
      <c r="E237" s="379"/>
      <c r="F237" s="378"/>
    </row>
    <row r="238">
      <c r="A238" s="375"/>
      <c r="B238" s="99"/>
      <c r="C238" s="99"/>
      <c r="D238" s="99"/>
      <c r="E238" s="376"/>
      <c r="F238" s="99"/>
    </row>
    <row r="239">
      <c r="A239" s="377"/>
      <c r="B239" s="378"/>
      <c r="C239" s="378"/>
      <c r="D239" s="378"/>
      <c r="E239" s="379"/>
      <c r="F239" s="378"/>
    </row>
    <row r="240">
      <c r="A240" s="375"/>
      <c r="B240" s="99"/>
      <c r="C240" s="99"/>
      <c r="D240" s="99"/>
      <c r="E240" s="376"/>
      <c r="F240" s="99"/>
    </row>
    <row r="241">
      <c r="A241" s="377"/>
      <c r="B241" s="378"/>
      <c r="C241" s="378"/>
      <c r="D241" s="378"/>
      <c r="E241" s="379"/>
      <c r="F241" s="378"/>
    </row>
    <row r="242">
      <c r="A242" s="375"/>
      <c r="B242" s="99"/>
      <c r="C242" s="99"/>
      <c r="D242" s="99"/>
      <c r="E242" s="376"/>
      <c r="F242" s="99"/>
    </row>
    <row r="243">
      <c r="A243" s="377"/>
      <c r="B243" s="378"/>
      <c r="C243" s="378"/>
      <c r="D243" s="378"/>
      <c r="E243" s="379"/>
      <c r="F243" s="378"/>
    </row>
    <row r="244">
      <c r="A244" s="375"/>
      <c r="B244" s="99"/>
      <c r="C244" s="99"/>
      <c r="D244" s="99"/>
      <c r="E244" s="376"/>
      <c r="F244" s="99"/>
    </row>
    <row r="245">
      <c r="A245" s="377"/>
      <c r="B245" s="378"/>
      <c r="C245" s="378"/>
      <c r="D245" s="378"/>
      <c r="E245" s="379"/>
      <c r="F245" s="378"/>
    </row>
    <row r="246">
      <c r="A246" s="375"/>
      <c r="B246" s="99"/>
      <c r="C246" s="99"/>
      <c r="D246" s="99"/>
      <c r="E246" s="376"/>
      <c r="F246" s="99"/>
    </row>
    <row r="247">
      <c r="A247" s="377"/>
      <c r="B247" s="378"/>
      <c r="C247" s="378"/>
      <c r="D247" s="378"/>
      <c r="E247" s="379"/>
      <c r="F247" s="378"/>
    </row>
    <row r="248">
      <c r="A248" s="375"/>
      <c r="B248" s="99"/>
      <c r="C248" s="99"/>
      <c r="D248" s="99"/>
      <c r="E248" s="376"/>
      <c r="F248" s="99"/>
    </row>
    <row r="249">
      <c r="A249" s="377"/>
      <c r="B249" s="378"/>
      <c r="C249" s="378"/>
      <c r="D249" s="378"/>
      <c r="E249" s="379"/>
      <c r="F249" s="378"/>
    </row>
    <row r="250">
      <c r="A250" s="375"/>
      <c r="B250" s="99"/>
      <c r="C250" s="99"/>
      <c r="D250" s="99"/>
      <c r="E250" s="376"/>
      <c r="F250" s="99"/>
    </row>
    <row r="251">
      <c r="A251" s="377"/>
      <c r="B251" s="378"/>
      <c r="C251" s="378"/>
      <c r="D251" s="378"/>
      <c r="E251" s="379"/>
      <c r="F251" s="378"/>
    </row>
    <row r="252">
      <c r="A252" s="375"/>
      <c r="B252" s="99"/>
      <c r="C252" s="99"/>
      <c r="D252" s="99"/>
      <c r="E252" s="376"/>
      <c r="F252" s="99"/>
    </row>
    <row r="253">
      <c r="A253" s="377"/>
      <c r="B253" s="378"/>
      <c r="C253" s="378"/>
      <c r="D253" s="378"/>
      <c r="E253" s="379"/>
      <c r="F253" s="378"/>
    </row>
    <row r="254">
      <c r="A254" s="375"/>
      <c r="B254" s="99"/>
      <c r="C254" s="99"/>
      <c r="D254" s="99"/>
      <c r="E254" s="376"/>
      <c r="F254" s="99"/>
    </row>
    <row r="255">
      <c r="A255" s="377"/>
      <c r="B255" s="378"/>
      <c r="C255" s="378"/>
      <c r="D255" s="378"/>
      <c r="E255" s="379"/>
      <c r="F255" s="378"/>
    </row>
    <row r="256">
      <c r="A256" s="375"/>
      <c r="B256" s="99"/>
      <c r="C256" s="99"/>
      <c r="D256" s="99"/>
      <c r="E256" s="376"/>
      <c r="F256" s="99"/>
    </row>
    <row r="257">
      <c r="A257" s="377"/>
      <c r="B257" s="378"/>
      <c r="C257" s="378"/>
      <c r="D257" s="378"/>
      <c r="E257" s="379"/>
      <c r="F257" s="378"/>
    </row>
    <row r="258">
      <c r="A258" s="375"/>
      <c r="B258" s="99"/>
      <c r="C258" s="99"/>
      <c r="D258" s="99"/>
      <c r="E258" s="376"/>
      <c r="F258" s="99"/>
    </row>
    <row r="259">
      <c r="A259" s="377"/>
      <c r="B259" s="378"/>
      <c r="C259" s="378"/>
      <c r="D259" s="378"/>
      <c r="E259" s="379"/>
      <c r="F259" s="378"/>
    </row>
    <row r="260">
      <c r="A260" s="375"/>
      <c r="B260" s="99"/>
      <c r="C260" s="99"/>
      <c r="D260" s="99"/>
      <c r="E260" s="376"/>
      <c r="F260" s="99"/>
    </row>
    <row r="261">
      <c r="A261" s="377"/>
      <c r="B261" s="378"/>
      <c r="C261" s="378"/>
      <c r="D261" s="378"/>
      <c r="E261" s="379"/>
      <c r="F261" s="378"/>
    </row>
    <row r="262">
      <c r="A262" s="375"/>
      <c r="B262" s="99"/>
      <c r="C262" s="99"/>
      <c r="D262" s="99"/>
      <c r="E262" s="376"/>
      <c r="F262" s="99"/>
    </row>
    <row r="263">
      <c r="A263" s="377"/>
      <c r="B263" s="378"/>
      <c r="C263" s="378"/>
      <c r="D263" s="378"/>
      <c r="E263" s="379"/>
      <c r="F263" s="378"/>
    </row>
    <row r="264">
      <c r="A264" s="375"/>
      <c r="B264" s="99"/>
      <c r="C264" s="99"/>
      <c r="D264" s="99"/>
      <c r="E264" s="376"/>
      <c r="F264" s="99"/>
    </row>
    <row r="265">
      <c r="A265" s="377"/>
      <c r="B265" s="378"/>
      <c r="C265" s="378"/>
      <c r="D265" s="378"/>
      <c r="E265" s="379"/>
      <c r="F265" s="378"/>
    </row>
    <row r="266">
      <c r="A266" s="375"/>
      <c r="B266" s="99"/>
      <c r="C266" s="99"/>
      <c r="D266" s="99"/>
      <c r="E266" s="376"/>
      <c r="F266" s="99"/>
    </row>
    <row r="267">
      <c r="A267" s="377"/>
      <c r="B267" s="378"/>
      <c r="C267" s="378"/>
      <c r="D267" s="378"/>
      <c r="E267" s="379"/>
      <c r="F267" s="378"/>
    </row>
    <row r="268">
      <c r="A268" s="375"/>
      <c r="B268" s="99"/>
      <c r="C268" s="99"/>
      <c r="D268" s="99"/>
      <c r="E268" s="376"/>
      <c r="F268" s="99"/>
    </row>
    <row r="269">
      <c r="A269" s="377"/>
      <c r="B269" s="378"/>
      <c r="C269" s="378"/>
      <c r="D269" s="378"/>
      <c r="E269" s="379"/>
      <c r="F269" s="378"/>
    </row>
    <row r="270">
      <c r="A270" s="375"/>
      <c r="B270" s="99"/>
      <c r="C270" s="99"/>
      <c r="D270" s="99"/>
      <c r="E270" s="376"/>
      <c r="F270" s="99"/>
    </row>
    <row r="271">
      <c r="A271" s="377"/>
      <c r="B271" s="378"/>
      <c r="C271" s="378"/>
      <c r="D271" s="378"/>
      <c r="E271" s="379"/>
      <c r="F271" s="378"/>
    </row>
    <row r="272">
      <c r="A272" s="375"/>
      <c r="B272" s="99"/>
      <c r="C272" s="99"/>
      <c r="D272" s="99"/>
      <c r="E272" s="376"/>
      <c r="F272" s="99"/>
    </row>
    <row r="273">
      <c r="A273" s="377"/>
      <c r="B273" s="378"/>
      <c r="C273" s="378"/>
      <c r="D273" s="378"/>
      <c r="E273" s="379"/>
      <c r="F273" s="378"/>
    </row>
    <row r="274">
      <c r="A274" s="375"/>
      <c r="B274" s="99"/>
      <c r="C274" s="99"/>
      <c r="D274" s="99"/>
      <c r="E274" s="376"/>
      <c r="F274" s="99"/>
    </row>
    <row r="275">
      <c r="A275" s="377"/>
      <c r="B275" s="378"/>
      <c r="C275" s="378"/>
      <c r="D275" s="378"/>
      <c r="E275" s="379"/>
      <c r="F275" s="378"/>
    </row>
    <row r="276">
      <c r="A276" s="375"/>
      <c r="B276" s="99"/>
      <c r="C276" s="99"/>
      <c r="D276" s="99"/>
      <c r="E276" s="376"/>
      <c r="F276" s="99"/>
    </row>
    <row r="277">
      <c r="A277" s="377"/>
      <c r="B277" s="378"/>
      <c r="C277" s="378"/>
      <c r="D277" s="378"/>
      <c r="E277" s="379"/>
      <c r="F277" s="378"/>
    </row>
    <row r="278">
      <c r="A278" s="375"/>
      <c r="B278" s="99"/>
      <c r="C278" s="99"/>
      <c r="D278" s="99"/>
      <c r="E278" s="376"/>
      <c r="F278" s="99"/>
    </row>
    <row r="279">
      <c r="A279" s="377"/>
      <c r="B279" s="378"/>
      <c r="C279" s="378"/>
      <c r="D279" s="378"/>
      <c r="E279" s="379"/>
      <c r="F279" s="378"/>
    </row>
    <row r="280">
      <c r="A280" s="375"/>
      <c r="B280" s="99"/>
      <c r="C280" s="99"/>
      <c r="D280" s="99"/>
      <c r="E280" s="376"/>
      <c r="F280" s="99"/>
    </row>
    <row r="281">
      <c r="A281" s="377"/>
      <c r="B281" s="378"/>
      <c r="C281" s="378"/>
      <c r="D281" s="378"/>
      <c r="E281" s="379"/>
      <c r="F281" s="378"/>
    </row>
    <row r="282">
      <c r="A282" s="375"/>
      <c r="B282" s="99"/>
      <c r="C282" s="99"/>
      <c r="D282" s="99"/>
      <c r="E282" s="376"/>
      <c r="F282" s="99"/>
    </row>
    <row r="283">
      <c r="A283" s="377"/>
      <c r="B283" s="378"/>
      <c r="C283" s="378"/>
      <c r="D283" s="378"/>
      <c r="E283" s="379"/>
      <c r="F283" s="378"/>
    </row>
    <row r="284">
      <c r="A284" s="375"/>
      <c r="B284" s="99"/>
      <c r="C284" s="99"/>
      <c r="D284" s="99"/>
      <c r="E284" s="376"/>
      <c r="F284" s="99"/>
    </row>
    <row r="285">
      <c r="A285" s="377"/>
      <c r="B285" s="378"/>
      <c r="C285" s="378"/>
      <c r="D285" s="378"/>
      <c r="E285" s="379"/>
      <c r="F285" s="378"/>
    </row>
    <row r="286">
      <c r="A286" s="375"/>
      <c r="B286" s="99"/>
      <c r="C286" s="99"/>
      <c r="D286" s="99"/>
      <c r="E286" s="376"/>
      <c r="F286" s="99"/>
    </row>
    <row r="287">
      <c r="A287" s="377"/>
      <c r="B287" s="378"/>
      <c r="C287" s="378"/>
      <c r="D287" s="378"/>
      <c r="E287" s="379"/>
      <c r="F287" s="378"/>
    </row>
    <row r="288">
      <c r="A288" s="375"/>
      <c r="B288" s="99"/>
      <c r="C288" s="99"/>
      <c r="D288" s="99"/>
      <c r="E288" s="376"/>
      <c r="F288" s="99"/>
    </row>
    <row r="289">
      <c r="A289" s="377"/>
      <c r="B289" s="378"/>
      <c r="C289" s="378"/>
      <c r="D289" s="378"/>
      <c r="E289" s="379"/>
      <c r="F289" s="378"/>
    </row>
    <row r="290">
      <c r="A290" s="375"/>
      <c r="B290" s="99"/>
      <c r="C290" s="99"/>
      <c r="D290" s="99"/>
      <c r="E290" s="376"/>
      <c r="F290" s="99"/>
    </row>
    <row r="291">
      <c r="A291" s="377"/>
      <c r="B291" s="378"/>
      <c r="C291" s="378"/>
      <c r="D291" s="378"/>
      <c r="E291" s="379"/>
      <c r="F291" s="378"/>
    </row>
    <row r="292">
      <c r="A292" s="375"/>
      <c r="B292" s="99"/>
      <c r="C292" s="99"/>
      <c r="D292" s="99"/>
      <c r="E292" s="376"/>
      <c r="F292" s="99"/>
    </row>
    <row r="293">
      <c r="A293" s="377"/>
      <c r="B293" s="378"/>
      <c r="C293" s="378"/>
      <c r="D293" s="378"/>
      <c r="E293" s="379"/>
      <c r="F293" s="378"/>
    </row>
    <row r="294">
      <c r="A294" s="375"/>
      <c r="B294" s="99"/>
      <c r="C294" s="99"/>
      <c r="D294" s="99"/>
      <c r="E294" s="376"/>
      <c r="F294" s="99"/>
    </row>
    <row r="295">
      <c r="A295" s="377"/>
      <c r="B295" s="378"/>
      <c r="C295" s="378"/>
      <c r="D295" s="378"/>
      <c r="E295" s="379"/>
      <c r="F295" s="378"/>
    </row>
    <row r="296">
      <c r="A296" s="375"/>
      <c r="B296" s="99"/>
      <c r="C296" s="99"/>
      <c r="D296" s="99"/>
      <c r="E296" s="376"/>
      <c r="F296" s="99"/>
    </row>
    <row r="297">
      <c r="A297" s="377"/>
      <c r="B297" s="378"/>
      <c r="C297" s="378"/>
      <c r="D297" s="378"/>
      <c r="E297" s="379"/>
      <c r="F297" s="378"/>
    </row>
    <row r="298">
      <c r="A298" s="375"/>
      <c r="B298" s="99"/>
      <c r="C298" s="99"/>
      <c r="D298" s="99"/>
      <c r="E298" s="376"/>
      <c r="F298" s="99"/>
    </row>
    <row r="299">
      <c r="A299" s="377"/>
      <c r="B299" s="378"/>
      <c r="C299" s="378"/>
      <c r="D299" s="378"/>
      <c r="E299" s="379"/>
      <c r="F299" s="378"/>
    </row>
    <row r="300">
      <c r="A300" s="375"/>
      <c r="B300" s="99"/>
      <c r="C300" s="99"/>
      <c r="D300" s="99"/>
      <c r="E300" s="376"/>
      <c r="F300" s="99"/>
    </row>
    <row r="301">
      <c r="A301" s="377"/>
      <c r="B301" s="378"/>
      <c r="C301" s="378"/>
      <c r="D301" s="378"/>
      <c r="E301" s="379"/>
      <c r="F301" s="378"/>
    </row>
    <row r="302">
      <c r="A302" s="375"/>
      <c r="B302" s="99"/>
      <c r="C302" s="99"/>
      <c r="D302" s="99"/>
      <c r="E302" s="376"/>
      <c r="F302" s="99"/>
    </row>
    <row r="303">
      <c r="A303" s="377"/>
      <c r="B303" s="378"/>
      <c r="C303" s="378"/>
      <c r="D303" s="378"/>
      <c r="E303" s="379"/>
      <c r="F303" s="378"/>
    </row>
    <row r="304">
      <c r="A304" s="375"/>
      <c r="B304" s="99"/>
      <c r="C304" s="99"/>
      <c r="D304" s="99"/>
      <c r="E304" s="376"/>
      <c r="F304" s="99"/>
    </row>
    <row r="305">
      <c r="A305" s="377"/>
      <c r="B305" s="378"/>
      <c r="C305" s="378"/>
      <c r="D305" s="378"/>
      <c r="E305" s="379"/>
      <c r="F305" s="378"/>
    </row>
    <row r="306">
      <c r="A306" s="375"/>
      <c r="B306" s="99"/>
      <c r="C306" s="99"/>
      <c r="D306" s="99"/>
      <c r="E306" s="376"/>
      <c r="F306" s="99"/>
    </row>
    <row r="307">
      <c r="A307" s="377"/>
      <c r="B307" s="378"/>
      <c r="C307" s="378"/>
      <c r="D307" s="378"/>
      <c r="E307" s="379"/>
      <c r="F307" s="378"/>
    </row>
    <row r="308">
      <c r="A308" s="375"/>
      <c r="B308" s="99"/>
      <c r="C308" s="99"/>
      <c r="D308" s="99"/>
      <c r="E308" s="376"/>
      <c r="F308" s="99"/>
    </row>
    <row r="309">
      <c r="A309" s="377"/>
      <c r="B309" s="378"/>
      <c r="C309" s="378"/>
      <c r="D309" s="378"/>
      <c r="E309" s="379"/>
      <c r="F309" s="378"/>
    </row>
    <row r="310">
      <c r="A310" s="375"/>
      <c r="B310" s="99"/>
      <c r="C310" s="99"/>
      <c r="D310" s="99"/>
      <c r="E310" s="376"/>
      <c r="F310" s="99"/>
    </row>
    <row r="311">
      <c r="A311" s="377"/>
      <c r="B311" s="378"/>
      <c r="C311" s="378"/>
      <c r="D311" s="378"/>
      <c r="E311" s="379"/>
      <c r="F311" s="378"/>
    </row>
    <row r="312">
      <c r="A312" s="375"/>
      <c r="B312" s="99"/>
      <c r="C312" s="99"/>
      <c r="D312" s="99"/>
      <c r="E312" s="376"/>
      <c r="F312" s="99"/>
    </row>
    <row r="313">
      <c r="A313" s="377"/>
      <c r="B313" s="378"/>
      <c r="C313" s="378"/>
      <c r="D313" s="378"/>
      <c r="E313" s="379"/>
      <c r="F313" s="378"/>
    </row>
    <row r="314">
      <c r="A314" s="375"/>
      <c r="B314" s="99"/>
      <c r="C314" s="99"/>
      <c r="D314" s="99"/>
      <c r="E314" s="376"/>
      <c r="F314" s="99"/>
    </row>
    <row r="315">
      <c r="A315" s="377"/>
      <c r="B315" s="378"/>
      <c r="C315" s="378"/>
      <c r="D315" s="378"/>
      <c r="E315" s="379"/>
      <c r="F315" s="378"/>
    </row>
    <row r="316">
      <c r="A316" s="375"/>
      <c r="B316" s="99"/>
      <c r="C316" s="99"/>
      <c r="D316" s="99"/>
      <c r="E316" s="376"/>
      <c r="F316" s="99"/>
    </row>
    <row r="317">
      <c r="A317" s="377"/>
      <c r="B317" s="378"/>
      <c r="C317" s="378"/>
      <c r="D317" s="378"/>
      <c r="E317" s="379"/>
      <c r="F317" s="378"/>
    </row>
    <row r="318">
      <c r="A318" s="375"/>
      <c r="B318" s="99"/>
      <c r="C318" s="99"/>
      <c r="D318" s="99"/>
      <c r="E318" s="376"/>
      <c r="F318" s="99"/>
    </row>
    <row r="319">
      <c r="A319" s="377"/>
      <c r="B319" s="378"/>
      <c r="C319" s="378"/>
      <c r="D319" s="378"/>
      <c r="E319" s="379"/>
      <c r="F319" s="378"/>
    </row>
    <row r="320">
      <c r="A320" s="375"/>
      <c r="B320" s="99"/>
      <c r="C320" s="99"/>
      <c r="D320" s="99"/>
      <c r="E320" s="376"/>
      <c r="F320" s="99"/>
    </row>
    <row r="321">
      <c r="A321" s="377"/>
      <c r="B321" s="378"/>
      <c r="C321" s="378"/>
      <c r="D321" s="378"/>
      <c r="E321" s="379"/>
      <c r="F321" s="378"/>
    </row>
    <row r="322">
      <c r="A322" s="375"/>
      <c r="B322" s="99"/>
      <c r="C322" s="99"/>
      <c r="D322" s="99"/>
      <c r="E322" s="376"/>
      <c r="F322" s="99"/>
    </row>
    <row r="323">
      <c r="A323" s="377"/>
      <c r="B323" s="378"/>
      <c r="C323" s="378"/>
      <c r="D323" s="378"/>
      <c r="E323" s="379"/>
      <c r="F323" s="378"/>
    </row>
    <row r="324">
      <c r="A324" s="375"/>
      <c r="B324" s="99"/>
      <c r="C324" s="99"/>
      <c r="D324" s="99"/>
      <c r="E324" s="376"/>
      <c r="F324" s="99"/>
    </row>
    <row r="325">
      <c r="A325" s="377"/>
      <c r="B325" s="378"/>
      <c r="C325" s="378"/>
      <c r="D325" s="378"/>
      <c r="E325" s="379"/>
      <c r="F325" s="378"/>
    </row>
    <row r="326">
      <c r="A326" s="375"/>
      <c r="B326" s="99"/>
      <c r="C326" s="99"/>
      <c r="D326" s="99"/>
      <c r="E326" s="376"/>
      <c r="F326" s="99"/>
    </row>
    <row r="327">
      <c r="A327" s="377"/>
      <c r="B327" s="378"/>
      <c r="C327" s="378"/>
      <c r="D327" s="378"/>
      <c r="E327" s="379"/>
      <c r="F327" s="378"/>
    </row>
    <row r="328">
      <c r="A328" s="375"/>
      <c r="B328" s="99"/>
      <c r="C328" s="99"/>
      <c r="D328" s="99"/>
      <c r="E328" s="376"/>
      <c r="F328" s="99"/>
    </row>
    <row r="329">
      <c r="A329" s="377"/>
      <c r="B329" s="378"/>
      <c r="C329" s="378"/>
      <c r="D329" s="378"/>
      <c r="E329" s="379"/>
      <c r="F329" s="378"/>
    </row>
    <row r="330">
      <c r="A330" s="375"/>
      <c r="B330" s="99"/>
      <c r="C330" s="99"/>
      <c r="D330" s="99"/>
      <c r="E330" s="376"/>
      <c r="F330" s="99"/>
    </row>
    <row r="331">
      <c r="A331" s="377"/>
      <c r="B331" s="378"/>
      <c r="C331" s="378"/>
      <c r="D331" s="378"/>
      <c r="E331" s="379"/>
      <c r="F331" s="378"/>
    </row>
    <row r="332">
      <c r="A332" s="375"/>
      <c r="B332" s="99"/>
      <c r="C332" s="99"/>
      <c r="D332" s="99"/>
      <c r="E332" s="376"/>
      <c r="F332" s="99"/>
    </row>
    <row r="333">
      <c r="A333" s="377"/>
      <c r="B333" s="378"/>
      <c r="C333" s="378"/>
      <c r="D333" s="378"/>
      <c r="E333" s="379"/>
      <c r="F333" s="378"/>
    </row>
    <row r="334">
      <c r="A334" s="375"/>
      <c r="B334" s="99"/>
      <c r="C334" s="99"/>
      <c r="D334" s="99"/>
      <c r="E334" s="376"/>
      <c r="F334" s="99"/>
    </row>
    <row r="335">
      <c r="A335" s="377"/>
      <c r="B335" s="378"/>
      <c r="C335" s="378"/>
      <c r="D335" s="378"/>
      <c r="E335" s="379"/>
      <c r="F335" s="378"/>
    </row>
    <row r="336">
      <c r="A336" s="375"/>
      <c r="B336" s="99"/>
      <c r="C336" s="99"/>
      <c r="D336" s="99"/>
      <c r="E336" s="376"/>
      <c r="F336" s="99"/>
    </row>
    <row r="337">
      <c r="A337" s="377"/>
      <c r="B337" s="378"/>
      <c r="C337" s="378"/>
      <c r="D337" s="378"/>
      <c r="E337" s="379"/>
      <c r="F337" s="378"/>
    </row>
    <row r="338">
      <c r="A338" s="375"/>
      <c r="B338" s="99"/>
      <c r="C338" s="99"/>
      <c r="D338" s="99"/>
      <c r="E338" s="376"/>
      <c r="F338" s="99"/>
    </row>
    <row r="339">
      <c r="A339" s="377"/>
      <c r="B339" s="378"/>
      <c r="C339" s="378"/>
      <c r="D339" s="378"/>
      <c r="E339" s="379"/>
      <c r="F339" s="378"/>
    </row>
    <row r="340">
      <c r="A340" s="375"/>
      <c r="B340" s="99"/>
      <c r="C340" s="99"/>
      <c r="D340" s="99"/>
      <c r="E340" s="376"/>
      <c r="F340" s="99"/>
    </row>
    <row r="341">
      <c r="A341" s="377"/>
      <c r="B341" s="378"/>
      <c r="C341" s="378"/>
      <c r="D341" s="378"/>
      <c r="E341" s="379"/>
      <c r="F341" s="378"/>
    </row>
    <row r="342">
      <c r="A342" s="375"/>
      <c r="B342" s="99"/>
      <c r="C342" s="99"/>
      <c r="D342" s="99"/>
      <c r="E342" s="376"/>
      <c r="F342" s="99"/>
    </row>
    <row r="343">
      <c r="A343" s="377"/>
      <c r="B343" s="378"/>
      <c r="C343" s="378"/>
      <c r="D343" s="378"/>
      <c r="E343" s="379"/>
      <c r="F343" s="378"/>
    </row>
    <row r="344">
      <c r="A344" s="375"/>
      <c r="B344" s="99"/>
      <c r="C344" s="99"/>
      <c r="D344" s="99"/>
      <c r="E344" s="376"/>
      <c r="F344" s="99"/>
    </row>
    <row r="345">
      <c r="A345" s="377"/>
      <c r="B345" s="378"/>
      <c r="C345" s="378"/>
      <c r="D345" s="378"/>
      <c r="E345" s="379"/>
      <c r="F345" s="378"/>
    </row>
    <row r="346">
      <c r="A346" s="375"/>
      <c r="B346" s="99"/>
      <c r="C346" s="99"/>
      <c r="D346" s="99"/>
      <c r="E346" s="376"/>
      <c r="F346" s="99"/>
    </row>
    <row r="347">
      <c r="A347" s="377"/>
      <c r="B347" s="378"/>
      <c r="C347" s="378"/>
      <c r="D347" s="378"/>
      <c r="E347" s="379"/>
      <c r="F347" s="378"/>
    </row>
    <row r="348">
      <c r="A348" s="375"/>
      <c r="B348" s="99"/>
      <c r="C348" s="99"/>
      <c r="D348" s="99"/>
      <c r="E348" s="376"/>
      <c r="F348" s="99"/>
    </row>
    <row r="349">
      <c r="A349" s="377"/>
      <c r="B349" s="378"/>
      <c r="C349" s="378"/>
      <c r="D349" s="378"/>
      <c r="E349" s="379"/>
      <c r="F349" s="378"/>
    </row>
    <row r="350">
      <c r="A350" s="375"/>
      <c r="B350" s="99"/>
      <c r="C350" s="99"/>
      <c r="D350" s="99"/>
      <c r="E350" s="376"/>
      <c r="F350" s="99"/>
    </row>
    <row r="351">
      <c r="A351" s="377"/>
      <c r="B351" s="378"/>
      <c r="C351" s="378"/>
      <c r="D351" s="378"/>
      <c r="E351" s="379"/>
      <c r="F351" s="378"/>
    </row>
    <row r="352">
      <c r="A352" s="375"/>
      <c r="B352" s="99"/>
      <c r="C352" s="99"/>
      <c r="D352" s="99"/>
      <c r="E352" s="376"/>
      <c r="F352" s="99"/>
    </row>
    <row r="353">
      <c r="A353" s="377"/>
      <c r="B353" s="378"/>
      <c r="C353" s="378"/>
      <c r="D353" s="378"/>
      <c r="E353" s="379"/>
      <c r="F353" s="378"/>
    </row>
    <row r="354">
      <c r="A354" s="375"/>
      <c r="B354" s="99"/>
      <c r="C354" s="99"/>
      <c r="D354" s="99"/>
      <c r="E354" s="376"/>
      <c r="F354" s="99"/>
    </row>
    <row r="355">
      <c r="A355" s="377"/>
      <c r="B355" s="378"/>
      <c r="C355" s="378"/>
      <c r="D355" s="378"/>
      <c r="E355" s="379"/>
      <c r="F355" s="378"/>
    </row>
    <row r="356">
      <c r="A356" s="375"/>
      <c r="B356" s="99"/>
      <c r="C356" s="99"/>
      <c r="D356" s="99"/>
      <c r="E356" s="376"/>
      <c r="F356" s="99"/>
    </row>
    <row r="357">
      <c r="A357" s="377"/>
      <c r="B357" s="378"/>
      <c r="C357" s="378"/>
      <c r="D357" s="378"/>
      <c r="E357" s="379"/>
      <c r="F357" s="378"/>
    </row>
    <row r="358">
      <c r="A358" s="375"/>
      <c r="B358" s="99"/>
      <c r="C358" s="99"/>
      <c r="D358" s="99"/>
      <c r="E358" s="376"/>
      <c r="F358" s="99"/>
    </row>
    <row r="359">
      <c r="A359" s="377"/>
      <c r="B359" s="378"/>
      <c r="C359" s="378"/>
      <c r="D359" s="378"/>
      <c r="E359" s="379"/>
      <c r="F359" s="378"/>
    </row>
    <row r="360">
      <c r="A360" s="375"/>
      <c r="B360" s="99"/>
      <c r="C360" s="99"/>
      <c r="D360" s="99"/>
      <c r="E360" s="376"/>
      <c r="F360" s="99"/>
    </row>
    <row r="361">
      <c r="A361" s="377"/>
      <c r="B361" s="378"/>
      <c r="C361" s="378"/>
      <c r="D361" s="378"/>
      <c r="E361" s="379"/>
      <c r="F361" s="378"/>
    </row>
    <row r="362">
      <c r="A362" s="375"/>
      <c r="B362" s="99"/>
      <c r="C362" s="99"/>
      <c r="D362" s="99"/>
      <c r="E362" s="376"/>
      <c r="F362" s="99"/>
    </row>
    <row r="363">
      <c r="A363" s="377"/>
      <c r="B363" s="378"/>
      <c r="C363" s="378"/>
      <c r="D363" s="378"/>
      <c r="E363" s="379"/>
      <c r="F363" s="378"/>
    </row>
    <row r="364">
      <c r="A364" s="375"/>
      <c r="B364" s="99"/>
      <c r="C364" s="99"/>
      <c r="D364" s="99"/>
      <c r="E364" s="376"/>
      <c r="F364" s="99"/>
    </row>
    <row r="365">
      <c r="A365" s="377"/>
      <c r="B365" s="378"/>
      <c r="C365" s="378"/>
      <c r="D365" s="378"/>
      <c r="E365" s="379"/>
      <c r="F365" s="378"/>
    </row>
    <row r="366">
      <c r="A366" s="375"/>
      <c r="B366" s="99"/>
      <c r="C366" s="99"/>
      <c r="D366" s="99"/>
      <c r="E366" s="376"/>
      <c r="F366" s="99"/>
    </row>
    <row r="367">
      <c r="A367" s="377"/>
      <c r="B367" s="378"/>
      <c r="C367" s="378"/>
      <c r="D367" s="378"/>
      <c r="E367" s="379"/>
      <c r="F367" s="378"/>
    </row>
    <row r="368">
      <c r="A368" s="375"/>
      <c r="B368" s="99"/>
      <c r="C368" s="99"/>
      <c r="D368" s="99"/>
      <c r="E368" s="376"/>
      <c r="F368" s="99"/>
    </row>
    <row r="369">
      <c r="A369" s="377"/>
      <c r="B369" s="378"/>
      <c r="C369" s="378"/>
      <c r="D369" s="378"/>
      <c r="E369" s="379"/>
      <c r="F369" s="378"/>
    </row>
    <row r="370">
      <c r="A370" s="375"/>
      <c r="B370" s="99"/>
      <c r="C370" s="99"/>
      <c r="D370" s="99"/>
      <c r="E370" s="376"/>
      <c r="F370" s="99"/>
    </row>
    <row r="371">
      <c r="A371" s="377"/>
      <c r="B371" s="378"/>
      <c r="C371" s="378"/>
      <c r="D371" s="378"/>
      <c r="E371" s="379"/>
      <c r="F371" s="378"/>
    </row>
    <row r="372">
      <c r="A372" s="375"/>
      <c r="B372" s="99"/>
      <c r="C372" s="99"/>
      <c r="D372" s="99"/>
      <c r="E372" s="376"/>
      <c r="F372" s="99"/>
    </row>
    <row r="373">
      <c r="A373" s="377"/>
      <c r="B373" s="378"/>
      <c r="C373" s="378"/>
      <c r="D373" s="378"/>
      <c r="E373" s="379"/>
      <c r="F373" s="378"/>
    </row>
    <row r="374">
      <c r="A374" s="375"/>
      <c r="B374" s="99"/>
      <c r="C374" s="99"/>
      <c r="D374" s="99"/>
      <c r="E374" s="376"/>
      <c r="F374" s="99"/>
    </row>
    <row r="375">
      <c r="A375" s="377"/>
      <c r="B375" s="378"/>
      <c r="C375" s="378"/>
      <c r="D375" s="378"/>
      <c r="E375" s="379"/>
      <c r="F375" s="378"/>
    </row>
    <row r="376">
      <c r="A376" s="375"/>
      <c r="B376" s="99"/>
      <c r="C376" s="99"/>
      <c r="D376" s="99"/>
      <c r="E376" s="376"/>
      <c r="F376" s="99"/>
    </row>
    <row r="377">
      <c r="A377" s="377"/>
      <c r="B377" s="378"/>
      <c r="C377" s="378"/>
      <c r="D377" s="378"/>
      <c r="E377" s="379"/>
      <c r="F377" s="378"/>
    </row>
    <row r="378">
      <c r="A378" s="375"/>
      <c r="B378" s="99"/>
      <c r="C378" s="99"/>
      <c r="D378" s="99"/>
      <c r="E378" s="376"/>
      <c r="F378" s="99"/>
    </row>
    <row r="379">
      <c r="A379" s="377"/>
      <c r="B379" s="378"/>
      <c r="C379" s="378"/>
      <c r="D379" s="378"/>
      <c r="E379" s="379"/>
      <c r="F379" s="378"/>
    </row>
    <row r="380">
      <c r="A380" s="375"/>
      <c r="B380" s="99"/>
      <c r="C380" s="99"/>
      <c r="D380" s="99"/>
      <c r="E380" s="376"/>
      <c r="F380" s="99"/>
    </row>
    <row r="381">
      <c r="A381" s="377"/>
      <c r="B381" s="378"/>
      <c r="C381" s="378"/>
      <c r="D381" s="378"/>
      <c r="E381" s="379"/>
      <c r="F381" s="378"/>
    </row>
    <row r="382">
      <c r="A382" s="375"/>
      <c r="B382" s="99"/>
      <c r="C382" s="99"/>
      <c r="D382" s="99"/>
      <c r="E382" s="376"/>
      <c r="F382" s="99"/>
    </row>
    <row r="383">
      <c r="A383" s="377"/>
      <c r="B383" s="378"/>
      <c r="C383" s="378"/>
      <c r="D383" s="378"/>
      <c r="E383" s="379"/>
      <c r="F383" s="378"/>
    </row>
    <row r="384">
      <c r="A384" s="375"/>
      <c r="B384" s="99"/>
      <c r="C384" s="99"/>
      <c r="D384" s="99"/>
      <c r="E384" s="376"/>
      <c r="F384" s="99"/>
    </row>
    <row r="385">
      <c r="A385" s="377"/>
      <c r="B385" s="378"/>
      <c r="C385" s="378"/>
      <c r="D385" s="378"/>
      <c r="E385" s="379"/>
      <c r="F385" s="378"/>
    </row>
    <row r="386">
      <c r="A386" s="375"/>
      <c r="B386" s="99"/>
      <c r="C386" s="99"/>
      <c r="D386" s="99"/>
      <c r="E386" s="376"/>
      <c r="F386" s="99"/>
    </row>
    <row r="387">
      <c r="A387" s="377"/>
      <c r="B387" s="378"/>
      <c r="C387" s="378"/>
      <c r="D387" s="378"/>
      <c r="E387" s="379"/>
      <c r="F387" s="378"/>
    </row>
    <row r="388">
      <c r="A388" s="375"/>
      <c r="B388" s="99"/>
      <c r="C388" s="99"/>
      <c r="D388" s="99"/>
      <c r="E388" s="376"/>
      <c r="F388" s="99"/>
    </row>
    <row r="389">
      <c r="A389" s="377"/>
      <c r="B389" s="378"/>
      <c r="C389" s="378"/>
      <c r="D389" s="378"/>
      <c r="E389" s="379"/>
      <c r="F389" s="378"/>
    </row>
    <row r="390">
      <c r="A390" s="375"/>
      <c r="B390" s="99"/>
      <c r="C390" s="99"/>
      <c r="D390" s="99"/>
      <c r="E390" s="376"/>
      <c r="F390" s="99"/>
    </row>
    <row r="391">
      <c r="A391" s="377"/>
      <c r="B391" s="378"/>
      <c r="C391" s="378"/>
      <c r="D391" s="378"/>
      <c r="E391" s="379"/>
      <c r="F391" s="378"/>
    </row>
    <row r="392">
      <c r="A392" s="375"/>
      <c r="B392" s="99"/>
      <c r="C392" s="99"/>
      <c r="D392" s="99"/>
      <c r="E392" s="376"/>
      <c r="F392" s="99"/>
    </row>
    <row r="393">
      <c r="A393" s="377"/>
      <c r="B393" s="378"/>
      <c r="C393" s="378"/>
      <c r="D393" s="378"/>
      <c r="E393" s="379"/>
      <c r="F393" s="378"/>
    </row>
    <row r="394">
      <c r="A394" s="375"/>
      <c r="B394" s="99"/>
      <c r="C394" s="99"/>
      <c r="D394" s="99"/>
      <c r="E394" s="376"/>
      <c r="F394" s="99"/>
    </row>
    <row r="395">
      <c r="A395" s="377"/>
      <c r="B395" s="378"/>
      <c r="C395" s="378"/>
      <c r="D395" s="378"/>
      <c r="E395" s="379"/>
      <c r="F395" s="378"/>
    </row>
    <row r="396">
      <c r="A396" s="375"/>
      <c r="B396" s="99"/>
      <c r="C396" s="99"/>
      <c r="D396" s="99"/>
      <c r="E396" s="376"/>
      <c r="F396" s="99"/>
    </row>
    <row r="397">
      <c r="A397" s="377"/>
      <c r="B397" s="378"/>
      <c r="C397" s="378"/>
      <c r="D397" s="378"/>
      <c r="E397" s="379"/>
      <c r="F397" s="378"/>
    </row>
    <row r="398">
      <c r="A398" s="375"/>
      <c r="B398" s="99"/>
      <c r="C398" s="99"/>
      <c r="D398" s="99"/>
      <c r="E398" s="376"/>
      <c r="F398" s="99"/>
    </row>
    <row r="399">
      <c r="A399" s="377"/>
      <c r="B399" s="378"/>
      <c r="C399" s="378"/>
      <c r="D399" s="378"/>
      <c r="E399" s="379"/>
      <c r="F399" s="378"/>
    </row>
    <row r="400">
      <c r="A400" s="375"/>
      <c r="B400" s="99"/>
      <c r="C400" s="99"/>
      <c r="D400" s="99"/>
      <c r="E400" s="376"/>
      <c r="F400" s="99"/>
    </row>
    <row r="401">
      <c r="A401" s="377"/>
      <c r="B401" s="378"/>
      <c r="C401" s="378"/>
      <c r="D401" s="378"/>
      <c r="E401" s="379"/>
      <c r="F401" s="378"/>
    </row>
    <row r="402">
      <c r="A402" s="375"/>
      <c r="B402" s="99"/>
      <c r="C402" s="99"/>
      <c r="D402" s="99"/>
      <c r="E402" s="376"/>
      <c r="F402" s="99"/>
    </row>
    <row r="403">
      <c r="A403" s="377"/>
      <c r="B403" s="378"/>
      <c r="C403" s="378"/>
      <c r="D403" s="378"/>
      <c r="E403" s="379"/>
      <c r="F403" s="378"/>
    </row>
    <row r="404">
      <c r="A404" s="375"/>
      <c r="B404" s="99"/>
      <c r="C404" s="99"/>
      <c r="D404" s="99"/>
      <c r="E404" s="376"/>
      <c r="F404" s="99"/>
    </row>
    <row r="405">
      <c r="A405" s="377"/>
      <c r="B405" s="378"/>
      <c r="C405" s="378"/>
      <c r="D405" s="378"/>
      <c r="E405" s="379"/>
      <c r="F405" s="378"/>
    </row>
    <row r="406">
      <c r="A406" s="375"/>
      <c r="B406" s="99"/>
      <c r="C406" s="99"/>
      <c r="D406" s="99"/>
      <c r="E406" s="376"/>
      <c r="F406" s="99"/>
    </row>
    <row r="407">
      <c r="A407" s="377"/>
      <c r="B407" s="378"/>
      <c r="C407" s="378"/>
      <c r="D407" s="378"/>
      <c r="E407" s="379"/>
      <c r="F407" s="378"/>
    </row>
    <row r="408">
      <c r="A408" s="375"/>
      <c r="B408" s="99"/>
      <c r="C408" s="99"/>
      <c r="D408" s="99"/>
      <c r="E408" s="376"/>
      <c r="F408" s="99"/>
    </row>
    <row r="409">
      <c r="A409" s="377"/>
      <c r="B409" s="378"/>
      <c r="C409" s="378"/>
      <c r="D409" s="378"/>
      <c r="E409" s="379"/>
      <c r="F409" s="378"/>
    </row>
    <row r="410">
      <c r="A410" s="375"/>
      <c r="B410" s="99"/>
      <c r="C410" s="99"/>
      <c r="D410" s="99"/>
      <c r="E410" s="376"/>
      <c r="F410" s="99"/>
    </row>
    <row r="411">
      <c r="A411" s="377"/>
      <c r="B411" s="378"/>
      <c r="C411" s="378"/>
      <c r="D411" s="378"/>
      <c r="E411" s="379"/>
      <c r="F411" s="378"/>
    </row>
    <row r="412">
      <c r="A412" s="375"/>
      <c r="B412" s="99"/>
      <c r="C412" s="99"/>
      <c r="D412" s="99"/>
      <c r="E412" s="376"/>
      <c r="F412" s="99"/>
    </row>
    <row r="413">
      <c r="A413" s="377"/>
      <c r="B413" s="378"/>
      <c r="C413" s="378"/>
      <c r="D413" s="378"/>
      <c r="E413" s="379"/>
      <c r="F413" s="378"/>
    </row>
    <row r="414">
      <c r="A414" s="375"/>
      <c r="B414" s="99"/>
      <c r="C414" s="99"/>
      <c r="D414" s="99"/>
      <c r="E414" s="376"/>
      <c r="F414" s="99"/>
    </row>
    <row r="415">
      <c r="A415" s="377"/>
      <c r="B415" s="378"/>
      <c r="C415" s="378"/>
      <c r="D415" s="378"/>
      <c r="E415" s="379"/>
      <c r="F415" s="378"/>
    </row>
    <row r="416">
      <c r="A416" s="375"/>
      <c r="B416" s="99"/>
      <c r="C416" s="99"/>
      <c r="D416" s="99"/>
      <c r="E416" s="376"/>
      <c r="F416" s="99"/>
    </row>
    <row r="417">
      <c r="A417" s="377"/>
      <c r="B417" s="378"/>
      <c r="C417" s="378"/>
      <c r="D417" s="378"/>
      <c r="E417" s="379"/>
      <c r="F417" s="378"/>
    </row>
    <row r="418">
      <c r="A418" s="375"/>
      <c r="B418" s="99"/>
      <c r="C418" s="99"/>
      <c r="D418" s="99"/>
      <c r="E418" s="376"/>
      <c r="F418" s="99"/>
    </row>
    <row r="419">
      <c r="A419" s="377"/>
      <c r="B419" s="378"/>
      <c r="C419" s="378"/>
      <c r="D419" s="378"/>
      <c r="E419" s="379"/>
      <c r="F419" s="378"/>
    </row>
    <row r="420">
      <c r="A420" s="375"/>
      <c r="B420" s="99"/>
      <c r="C420" s="99"/>
      <c r="D420" s="99"/>
      <c r="E420" s="376"/>
      <c r="F420" s="99"/>
    </row>
    <row r="421">
      <c r="A421" s="377"/>
      <c r="B421" s="378"/>
      <c r="C421" s="378"/>
      <c r="D421" s="378"/>
      <c r="E421" s="379"/>
      <c r="F421" s="378"/>
    </row>
    <row r="422">
      <c r="A422" s="375"/>
      <c r="B422" s="99"/>
      <c r="C422" s="99"/>
      <c r="D422" s="99"/>
      <c r="E422" s="376"/>
      <c r="F422" s="99"/>
    </row>
    <row r="423">
      <c r="A423" s="377"/>
      <c r="B423" s="378"/>
      <c r="C423" s="378"/>
      <c r="D423" s="378"/>
      <c r="E423" s="379"/>
      <c r="F423" s="378"/>
    </row>
    <row r="424">
      <c r="A424" s="375"/>
      <c r="B424" s="99"/>
      <c r="C424" s="99"/>
      <c r="D424" s="99"/>
      <c r="E424" s="376"/>
      <c r="F424" s="99"/>
    </row>
    <row r="425">
      <c r="A425" s="377"/>
      <c r="B425" s="378"/>
      <c r="C425" s="378"/>
      <c r="D425" s="378"/>
      <c r="E425" s="379"/>
      <c r="F425" s="378"/>
    </row>
    <row r="426">
      <c r="A426" s="375"/>
      <c r="B426" s="99"/>
      <c r="C426" s="99"/>
      <c r="D426" s="99"/>
      <c r="E426" s="376"/>
      <c r="F426" s="99"/>
    </row>
    <row r="427">
      <c r="A427" s="377"/>
      <c r="B427" s="378"/>
      <c r="C427" s="378"/>
      <c r="D427" s="378"/>
      <c r="E427" s="379"/>
      <c r="F427" s="378"/>
    </row>
    <row r="428">
      <c r="A428" s="375"/>
      <c r="B428" s="99"/>
      <c r="C428" s="99"/>
      <c r="D428" s="99"/>
      <c r="E428" s="376"/>
      <c r="F428" s="99"/>
    </row>
    <row r="429">
      <c r="A429" s="377"/>
      <c r="B429" s="378"/>
      <c r="C429" s="378"/>
      <c r="D429" s="378"/>
      <c r="E429" s="379"/>
      <c r="F429" s="378"/>
    </row>
    <row r="430">
      <c r="A430" s="375"/>
      <c r="B430" s="99"/>
      <c r="C430" s="99"/>
      <c r="D430" s="99"/>
      <c r="E430" s="376"/>
      <c r="F430" s="99"/>
    </row>
    <row r="431">
      <c r="A431" s="377"/>
      <c r="B431" s="378"/>
      <c r="C431" s="378"/>
      <c r="D431" s="378"/>
      <c r="E431" s="379"/>
      <c r="F431" s="378"/>
    </row>
    <row r="432">
      <c r="A432" s="375"/>
      <c r="B432" s="99"/>
      <c r="C432" s="99"/>
      <c r="D432" s="99"/>
      <c r="E432" s="376"/>
      <c r="F432" s="99"/>
    </row>
    <row r="433">
      <c r="A433" s="377"/>
      <c r="B433" s="378"/>
      <c r="C433" s="378"/>
      <c r="D433" s="378"/>
      <c r="E433" s="379"/>
      <c r="F433" s="378"/>
    </row>
    <row r="434">
      <c r="A434" s="375"/>
      <c r="B434" s="99"/>
      <c r="C434" s="99"/>
      <c r="D434" s="99"/>
      <c r="E434" s="376"/>
      <c r="F434" s="99"/>
    </row>
    <row r="435">
      <c r="A435" s="377"/>
      <c r="B435" s="378"/>
      <c r="C435" s="378"/>
      <c r="D435" s="378"/>
      <c r="E435" s="379"/>
      <c r="F435" s="378"/>
    </row>
    <row r="436">
      <c r="A436" s="375"/>
      <c r="B436" s="99"/>
      <c r="C436" s="99"/>
      <c r="D436" s="99"/>
      <c r="E436" s="376"/>
      <c r="F436" s="99"/>
    </row>
    <row r="437">
      <c r="A437" s="377"/>
      <c r="B437" s="378"/>
      <c r="C437" s="378"/>
      <c r="D437" s="378"/>
      <c r="E437" s="379"/>
      <c r="F437" s="378"/>
    </row>
    <row r="438">
      <c r="A438" s="375"/>
      <c r="B438" s="99"/>
      <c r="C438" s="99"/>
      <c r="D438" s="99"/>
      <c r="E438" s="376"/>
      <c r="F438" s="99"/>
    </row>
    <row r="439">
      <c r="A439" s="377"/>
      <c r="B439" s="378"/>
      <c r="C439" s="378"/>
      <c r="D439" s="378"/>
      <c r="E439" s="379"/>
      <c r="F439" s="378"/>
    </row>
    <row r="440">
      <c r="A440" s="375"/>
      <c r="B440" s="99"/>
      <c r="C440" s="99"/>
      <c r="D440" s="99"/>
      <c r="E440" s="376"/>
      <c r="F440" s="99"/>
    </row>
    <row r="441">
      <c r="A441" s="377"/>
      <c r="B441" s="378"/>
      <c r="C441" s="378"/>
      <c r="D441" s="378"/>
      <c r="E441" s="379"/>
      <c r="F441" s="378"/>
    </row>
    <row r="442">
      <c r="A442" s="375"/>
      <c r="B442" s="99"/>
      <c r="C442" s="99"/>
      <c r="D442" s="99"/>
      <c r="E442" s="376"/>
      <c r="F442" s="99"/>
    </row>
    <row r="443">
      <c r="A443" s="377"/>
      <c r="B443" s="378"/>
      <c r="C443" s="378"/>
      <c r="D443" s="378"/>
      <c r="E443" s="379"/>
      <c r="F443" s="378"/>
    </row>
    <row r="444">
      <c r="A444" s="375"/>
      <c r="B444" s="99"/>
      <c r="C444" s="99"/>
      <c r="D444" s="99"/>
      <c r="E444" s="376"/>
      <c r="F444" s="99"/>
    </row>
    <row r="445">
      <c r="A445" s="377"/>
      <c r="B445" s="378"/>
      <c r="C445" s="378"/>
      <c r="D445" s="378"/>
      <c r="E445" s="379"/>
      <c r="F445" s="378"/>
    </row>
    <row r="446">
      <c r="A446" s="375"/>
      <c r="B446" s="99"/>
      <c r="C446" s="99"/>
      <c r="D446" s="99"/>
      <c r="E446" s="376"/>
      <c r="F446" s="99"/>
    </row>
    <row r="447">
      <c r="A447" s="377"/>
      <c r="B447" s="378"/>
      <c r="C447" s="378"/>
      <c r="D447" s="378"/>
      <c r="E447" s="379"/>
      <c r="F447" s="378"/>
    </row>
    <row r="448">
      <c r="A448" s="375"/>
      <c r="B448" s="99"/>
      <c r="C448" s="99"/>
      <c r="D448" s="99"/>
      <c r="E448" s="376"/>
      <c r="F448" s="99"/>
    </row>
    <row r="449">
      <c r="A449" s="377"/>
      <c r="B449" s="378"/>
      <c r="C449" s="378"/>
      <c r="D449" s="378"/>
      <c r="E449" s="379"/>
      <c r="F449" s="378"/>
    </row>
    <row r="450">
      <c r="A450" s="375"/>
      <c r="B450" s="99"/>
      <c r="C450" s="99"/>
      <c r="D450" s="99"/>
      <c r="E450" s="376"/>
      <c r="F450" s="99"/>
    </row>
    <row r="451">
      <c r="A451" s="377"/>
      <c r="B451" s="378"/>
      <c r="C451" s="378"/>
      <c r="D451" s="378"/>
      <c r="E451" s="379"/>
      <c r="F451" s="378"/>
    </row>
    <row r="452">
      <c r="A452" s="375"/>
      <c r="B452" s="99"/>
      <c r="C452" s="99"/>
      <c r="D452" s="99"/>
      <c r="E452" s="376"/>
      <c r="F452" s="99"/>
    </row>
    <row r="453">
      <c r="A453" s="377"/>
      <c r="B453" s="378"/>
      <c r="C453" s="378"/>
      <c r="D453" s="378"/>
      <c r="E453" s="379"/>
      <c r="F453" s="378"/>
    </row>
    <row r="454">
      <c r="A454" s="375"/>
      <c r="B454" s="99"/>
      <c r="C454" s="99"/>
      <c r="D454" s="99"/>
      <c r="E454" s="376"/>
      <c r="F454" s="99"/>
    </row>
    <row r="455">
      <c r="A455" s="377"/>
      <c r="B455" s="378"/>
      <c r="C455" s="378"/>
      <c r="D455" s="378"/>
      <c r="E455" s="379"/>
      <c r="F455" s="378"/>
    </row>
    <row r="456">
      <c r="A456" s="375"/>
      <c r="B456" s="99"/>
      <c r="C456" s="99"/>
      <c r="D456" s="99"/>
      <c r="E456" s="376"/>
      <c r="F456" s="99"/>
    </row>
    <row r="457">
      <c r="A457" s="377"/>
      <c r="B457" s="378"/>
      <c r="C457" s="378"/>
      <c r="D457" s="378"/>
      <c r="E457" s="379"/>
      <c r="F457" s="378"/>
    </row>
    <row r="458">
      <c r="A458" s="375"/>
      <c r="B458" s="99"/>
      <c r="C458" s="99"/>
      <c r="D458" s="99"/>
      <c r="E458" s="376"/>
      <c r="F458" s="99"/>
    </row>
    <row r="459">
      <c r="A459" s="377"/>
      <c r="B459" s="378"/>
      <c r="C459" s="378"/>
      <c r="D459" s="378"/>
      <c r="E459" s="379"/>
      <c r="F459" s="378"/>
    </row>
    <row r="460">
      <c r="A460" s="375"/>
      <c r="B460" s="99"/>
      <c r="C460" s="99"/>
      <c r="D460" s="99"/>
      <c r="E460" s="376"/>
      <c r="F460" s="99"/>
    </row>
    <row r="461">
      <c r="A461" s="377"/>
      <c r="B461" s="378"/>
      <c r="C461" s="378"/>
      <c r="D461" s="378"/>
      <c r="E461" s="379"/>
      <c r="F461" s="378"/>
    </row>
    <row r="462">
      <c r="A462" s="375"/>
      <c r="B462" s="99"/>
      <c r="C462" s="99"/>
      <c r="D462" s="99"/>
      <c r="E462" s="376"/>
      <c r="F462" s="99"/>
    </row>
    <row r="463">
      <c r="A463" s="377"/>
      <c r="B463" s="378"/>
      <c r="C463" s="378"/>
      <c r="D463" s="378"/>
      <c r="E463" s="379"/>
      <c r="F463" s="378"/>
    </row>
    <row r="464">
      <c r="A464" s="375"/>
      <c r="B464" s="99"/>
      <c r="C464" s="99"/>
      <c r="D464" s="99"/>
      <c r="E464" s="376"/>
      <c r="F464" s="99"/>
    </row>
    <row r="465">
      <c r="A465" s="377"/>
      <c r="B465" s="378"/>
      <c r="C465" s="378"/>
      <c r="D465" s="378"/>
      <c r="E465" s="379"/>
      <c r="F465" s="378"/>
    </row>
    <row r="466">
      <c r="A466" s="375"/>
      <c r="B466" s="99"/>
      <c r="C466" s="99"/>
      <c r="D466" s="99"/>
      <c r="E466" s="376"/>
      <c r="F466" s="99"/>
    </row>
    <row r="467">
      <c r="A467" s="377"/>
      <c r="B467" s="378"/>
      <c r="C467" s="378"/>
      <c r="D467" s="378"/>
      <c r="E467" s="379"/>
      <c r="F467" s="378"/>
    </row>
    <row r="468">
      <c r="A468" s="375"/>
      <c r="B468" s="99"/>
      <c r="C468" s="99"/>
      <c r="D468" s="99"/>
      <c r="E468" s="376"/>
      <c r="F468" s="99"/>
    </row>
    <row r="469">
      <c r="A469" s="377"/>
      <c r="B469" s="378"/>
      <c r="C469" s="378"/>
      <c r="D469" s="378"/>
      <c r="E469" s="379"/>
      <c r="F469" s="378"/>
    </row>
    <row r="470">
      <c r="A470" s="375"/>
      <c r="B470" s="99"/>
      <c r="C470" s="99"/>
      <c r="D470" s="99"/>
      <c r="E470" s="376"/>
      <c r="F470" s="99"/>
    </row>
    <row r="471">
      <c r="A471" s="377"/>
      <c r="B471" s="378"/>
      <c r="C471" s="378"/>
      <c r="D471" s="378"/>
      <c r="E471" s="379"/>
      <c r="F471" s="378"/>
    </row>
    <row r="472">
      <c r="A472" s="375"/>
      <c r="B472" s="99"/>
      <c r="C472" s="99"/>
      <c r="D472" s="99"/>
      <c r="E472" s="376"/>
      <c r="F472" s="99"/>
    </row>
    <row r="473">
      <c r="A473" s="377"/>
      <c r="B473" s="378"/>
      <c r="C473" s="378"/>
      <c r="D473" s="378"/>
      <c r="E473" s="379"/>
      <c r="F473" s="378"/>
    </row>
    <row r="474">
      <c r="A474" s="375"/>
      <c r="B474" s="99"/>
      <c r="C474" s="99"/>
      <c r="D474" s="99"/>
      <c r="E474" s="376"/>
      <c r="F474" s="99"/>
    </row>
    <row r="475">
      <c r="A475" s="377"/>
      <c r="B475" s="378"/>
      <c r="C475" s="378"/>
      <c r="D475" s="378"/>
      <c r="E475" s="379"/>
      <c r="F475" s="378"/>
    </row>
    <row r="476">
      <c r="A476" s="375"/>
      <c r="B476" s="99"/>
      <c r="C476" s="99"/>
      <c r="D476" s="99"/>
      <c r="E476" s="376"/>
      <c r="F476" s="99"/>
    </row>
    <row r="477">
      <c r="A477" s="377"/>
      <c r="B477" s="378"/>
      <c r="C477" s="378"/>
      <c r="D477" s="378"/>
      <c r="E477" s="379"/>
      <c r="F477" s="378"/>
    </row>
    <row r="478">
      <c r="A478" s="375"/>
      <c r="B478" s="99"/>
      <c r="C478" s="99"/>
      <c r="D478" s="99"/>
      <c r="E478" s="376"/>
      <c r="F478" s="99"/>
    </row>
    <row r="479">
      <c r="A479" s="377"/>
      <c r="B479" s="378"/>
      <c r="C479" s="378"/>
      <c r="D479" s="378"/>
      <c r="E479" s="379"/>
      <c r="F479" s="378"/>
    </row>
    <row r="480">
      <c r="A480" s="375"/>
      <c r="B480" s="99"/>
      <c r="C480" s="99"/>
      <c r="D480" s="99"/>
      <c r="E480" s="376"/>
      <c r="F480" s="99"/>
    </row>
    <row r="481">
      <c r="A481" s="377"/>
      <c r="B481" s="378"/>
      <c r="C481" s="378"/>
      <c r="D481" s="378"/>
      <c r="E481" s="379"/>
      <c r="F481" s="378"/>
    </row>
    <row r="482">
      <c r="A482" s="375"/>
      <c r="B482" s="99"/>
      <c r="C482" s="99"/>
      <c r="D482" s="99"/>
      <c r="E482" s="376"/>
      <c r="F482" s="99"/>
    </row>
    <row r="483">
      <c r="A483" s="377"/>
      <c r="B483" s="378"/>
      <c r="C483" s="378"/>
      <c r="D483" s="378"/>
      <c r="E483" s="379"/>
      <c r="F483" s="378"/>
    </row>
    <row r="484">
      <c r="A484" s="375"/>
      <c r="B484" s="99"/>
      <c r="C484" s="99"/>
      <c r="D484" s="99"/>
      <c r="E484" s="376"/>
      <c r="F484" s="99"/>
    </row>
    <row r="485">
      <c r="A485" s="377"/>
      <c r="B485" s="378"/>
      <c r="C485" s="378"/>
      <c r="D485" s="378"/>
      <c r="E485" s="379"/>
      <c r="F485" s="378"/>
    </row>
    <row r="486">
      <c r="A486" s="375"/>
      <c r="B486" s="99"/>
      <c r="C486" s="99"/>
      <c r="D486" s="99"/>
      <c r="E486" s="376"/>
      <c r="F486" s="99"/>
    </row>
    <row r="487">
      <c r="A487" s="377"/>
      <c r="B487" s="378"/>
      <c r="C487" s="378"/>
      <c r="D487" s="378"/>
      <c r="E487" s="379"/>
      <c r="F487" s="378"/>
    </row>
    <row r="488">
      <c r="A488" s="375"/>
      <c r="B488" s="99"/>
      <c r="C488" s="99"/>
      <c r="D488" s="99"/>
      <c r="E488" s="376"/>
      <c r="F488" s="99"/>
    </row>
    <row r="489">
      <c r="A489" s="377"/>
      <c r="B489" s="378"/>
      <c r="C489" s="378"/>
      <c r="D489" s="378"/>
      <c r="E489" s="379"/>
      <c r="F489" s="378"/>
    </row>
    <row r="490">
      <c r="A490" s="375"/>
      <c r="B490" s="99"/>
      <c r="C490" s="99"/>
      <c r="D490" s="99"/>
      <c r="E490" s="376"/>
      <c r="F490" s="99"/>
    </row>
    <row r="491">
      <c r="A491" s="377"/>
      <c r="B491" s="378"/>
      <c r="C491" s="378"/>
      <c r="D491" s="378"/>
      <c r="E491" s="379"/>
      <c r="F491" s="378"/>
    </row>
    <row r="492">
      <c r="A492" s="375"/>
      <c r="B492" s="99"/>
      <c r="C492" s="99"/>
      <c r="D492" s="99"/>
      <c r="E492" s="376"/>
      <c r="F492" s="99"/>
    </row>
    <row r="493">
      <c r="A493" s="377"/>
      <c r="B493" s="378"/>
      <c r="C493" s="378"/>
      <c r="D493" s="378"/>
      <c r="E493" s="379"/>
      <c r="F493" s="378"/>
    </row>
    <row r="494">
      <c r="A494" s="375"/>
      <c r="B494" s="99"/>
      <c r="C494" s="99"/>
      <c r="D494" s="99"/>
      <c r="E494" s="376"/>
      <c r="F494" s="99"/>
    </row>
    <row r="495">
      <c r="A495" s="377"/>
      <c r="B495" s="378"/>
      <c r="C495" s="378"/>
      <c r="D495" s="378"/>
      <c r="E495" s="379"/>
      <c r="F495" s="378"/>
    </row>
    <row r="496">
      <c r="A496" s="375"/>
      <c r="B496" s="99"/>
      <c r="C496" s="99"/>
      <c r="D496" s="99"/>
      <c r="E496" s="376"/>
      <c r="F496" s="99"/>
    </row>
    <row r="497">
      <c r="A497" s="377"/>
      <c r="B497" s="378"/>
      <c r="C497" s="378"/>
      <c r="D497" s="378"/>
      <c r="E497" s="379"/>
      <c r="F497" s="378"/>
    </row>
    <row r="498">
      <c r="A498" s="375"/>
      <c r="B498" s="99"/>
      <c r="C498" s="99"/>
      <c r="D498" s="99"/>
      <c r="E498" s="376"/>
      <c r="F498" s="99"/>
    </row>
    <row r="499">
      <c r="A499" s="377"/>
      <c r="B499" s="378"/>
      <c r="C499" s="378"/>
      <c r="D499" s="378"/>
      <c r="E499" s="379"/>
      <c r="F499" s="378"/>
    </row>
    <row r="500">
      <c r="A500" s="375"/>
      <c r="B500" s="99"/>
      <c r="C500" s="99"/>
      <c r="D500" s="99"/>
      <c r="E500" s="376"/>
      <c r="F500" s="99"/>
    </row>
  </sheetData>
  <autoFilter ref="$A$13:$F$500"/>
  <mergeCells count="10">
    <mergeCell ref="I15:J15"/>
    <mergeCell ref="I16:J16"/>
    <mergeCell ref="H17:J18"/>
    <mergeCell ref="A1:J1"/>
    <mergeCell ref="A2:J2"/>
    <mergeCell ref="A4:G4"/>
    <mergeCell ref="H4:J4"/>
    <mergeCell ref="A12:F12"/>
    <mergeCell ref="H13:J13"/>
    <mergeCell ref="I14:J14"/>
  </mergeCells>
  <conditionalFormatting sqref="I16:J16">
    <cfRule type="cellIs" dxfId="11" priority="1" stopIfTrue="1" operator="greaterThanOrEqual">
      <formula>0</formula>
    </cfRule>
  </conditionalFormatting>
  <conditionalFormatting sqref="I16:J16">
    <cfRule type="cellIs" dxfId="12" priority="2" stopIfTrue="1" operator="lessThan">
      <formula>0</formula>
    </cfRule>
  </conditionalFormatting>
  <conditionalFormatting sqref="F6:F10">
    <cfRule type="cellIs" dxfId="16" priority="3" stopIfTrue="1" operator="lessThan">
      <formula>0</formula>
    </cfRule>
  </conditionalFormatting>
  <dataValidations>
    <dataValidation type="list" allowBlank="1" showErrorMessage="1" sqref="C14:C500">
      <formula1>"DIGITAL,CAJA DIARIA,EFECTIVO MÖOV,IVA TRASLADADO"</formula1>
    </dataValidation>
    <dataValidation type="list" allowBlank="1" showErrorMessage="1" sqref="D14:D500">
      <formula1>"DIGITAL,CAJA DIARIA,EFECTIVO MÖOV,IVA TRASLADADO,SAT"</formula1>
    </dataValidation>
    <dataValidation type="list" allowBlank="1" showErrorMessage="1" sqref="B14:B500">
      <formula1>"TRASPASO,AJUSTE,PAGO IVA"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11.78"/>
    <col customWidth="1" min="2" max="2" width="14.56"/>
    <col customWidth="1" min="3" max="3" width="25.67"/>
    <col customWidth="1" min="4" max="4" width="18.44"/>
    <col customWidth="1" min="5" max="5" width="13.44"/>
    <col customWidth="1" min="6" max="6" width="33.44"/>
  </cols>
  <sheetData>
    <row r="1" ht="25.5" customHeight="1">
      <c r="A1" s="381" t="s">
        <v>672</v>
      </c>
    </row>
    <row r="2" ht="34.5" customHeight="1">
      <c r="A2" s="382" t="s">
        <v>673</v>
      </c>
    </row>
    <row r="3" ht="22.5" customHeight="1">
      <c r="A3" s="383" t="s">
        <v>674</v>
      </c>
      <c r="B3" s="384">
        <f>SUM(E5:E500)</f>
        <v>12912</v>
      </c>
      <c r="C3" s="385"/>
      <c r="D3" s="383" t="s">
        <v>675</v>
      </c>
      <c r="E3" s="384">
        <f>SUMIFS(E5:E500,A5:A500,"&gt;="&amp;EOMONTH(TODAY(),-1)+1,A5:A500,"&lt;"&amp;EOMONTH(TODAY(),0)+1)</f>
        <v>1250</v>
      </c>
    </row>
    <row r="4" ht="22.5" customHeight="1">
      <c r="A4" s="386" t="s">
        <v>111</v>
      </c>
      <c r="B4" s="386" t="s">
        <v>113</v>
      </c>
      <c r="C4" s="386" t="s">
        <v>114</v>
      </c>
      <c r="D4" s="386" t="s">
        <v>676</v>
      </c>
      <c r="E4" s="386" t="s">
        <v>117</v>
      </c>
      <c r="F4" s="386" t="s">
        <v>116</v>
      </c>
    </row>
    <row r="5">
      <c r="A5" s="387">
        <v>46271.0</v>
      </c>
      <c r="B5" s="388" t="str">
        <f t="shared" ref="B5:B500" si="1">IF(A5="","",UPPER(TEXT(A5,"MMMM YYYY")))</f>
        <v>SEPTIEMBRE 2026</v>
      </c>
      <c r="C5" s="389" t="s">
        <v>677</v>
      </c>
      <c r="D5" s="389" t="s">
        <v>465</v>
      </c>
      <c r="E5" s="390">
        <v>1818.0</v>
      </c>
      <c r="F5" s="391"/>
    </row>
    <row r="6">
      <c r="A6" s="387">
        <v>46270.0</v>
      </c>
      <c r="B6" s="388" t="str">
        <f t="shared" si="1"/>
        <v>SEPTIEMBRE 2026</v>
      </c>
      <c r="C6" s="389" t="s">
        <v>677</v>
      </c>
      <c r="D6" s="389" t="s">
        <v>222</v>
      </c>
      <c r="E6" s="390">
        <v>9844.0</v>
      </c>
      <c r="F6" s="391"/>
    </row>
    <row r="7">
      <c r="A7" s="387">
        <v>46307.0</v>
      </c>
      <c r="B7" s="388" t="str">
        <f t="shared" si="1"/>
        <v>OCTUBRE 2026</v>
      </c>
      <c r="C7" s="389" t="s">
        <v>678</v>
      </c>
      <c r="D7" s="389" t="s">
        <v>465</v>
      </c>
      <c r="E7" s="390">
        <v>1250.0</v>
      </c>
      <c r="F7" s="391"/>
    </row>
    <row r="8">
      <c r="A8" s="392"/>
      <c r="B8" s="388" t="str">
        <f t="shared" si="1"/>
        <v/>
      </c>
      <c r="C8" s="391"/>
      <c r="D8" s="391"/>
      <c r="E8" s="393"/>
      <c r="F8" s="391"/>
    </row>
    <row r="9">
      <c r="A9" s="392"/>
      <c r="B9" s="388" t="str">
        <f t="shared" si="1"/>
        <v/>
      </c>
      <c r="C9" s="391"/>
      <c r="D9" s="391"/>
      <c r="E9" s="393"/>
      <c r="F9" s="391"/>
    </row>
    <row r="10">
      <c r="A10" s="392"/>
      <c r="B10" s="388" t="str">
        <f t="shared" si="1"/>
        <v/>
      </c>
      <c r="C10" s="391"/>
      <c r="D10" s="391"/>
      <c r="E10" s="393"/>
      <c r="F10" s="391"/>
    </row>
    <row r="11">
      <c r="A11" s="392"/>
      <c r="B11" s="388" t="str">
        <f t="shared" si="1"/>
        <v/>
      </c>
      <c r="C11" s="391"/>
      <c r="D11" s="391"/>
      <c r="E11" s="393"/>
      <c r="F11" s="391"/>
    </row>
    <row r="12">
      <c r="A12" s="392"/>
      <c r="B12" s="388" t="str">
        <f t="shared" si="1"/>
        <v/>
      </c>
      <c r="C12" s="391"/>
      <c r="D12" s="391"/>
      <c r="E12" s="393"/>
      <c r="F12" s="391"/>
    </row>
    <row r="13">
      <c r="A13" s="392"/>
      <c r="B13" s="388" t="str">
        <f t="shared" si="1"/>
        <v/>
      </c>
      <c r="C13" s="391"/>
      <c r="D13" s="391"/>
      <c r="E13" s="393"/>
      <c r="F13" s="391"/>
    </row>
    <row r="14">
      <c r="A14" s="392"/>
      <c r="B14" s="388" t="str">
        <f t="shared" si="1"/>
        <v/>
      </c>
      <c r="C14" s="391"/>
      <c r="D14" s="391"/>
      <c r="E14" s="393"/>
      <c r="F14" s="391"/>
    </row>
    <row r="15">
      <c r="A15" s="392"/>
      <c r="B15" s="388" t="str">
        <f t="shared" si="1"/>
        <v/>
      </c>
      <c r="C15" s="391"/>
      <c r="D15" s="391"/>
      <c r="E15" s="393"/>
      <c r="F15" s="391"/>
    </row>
    <row r="16">
      <c r="A16" s="392"/>
      <c r="B16" s="388" t="str">
        <f t="shared" si="1"/>
        <v/>
      </c>
      <c r="C16" s="391"/>
      <c r="D16" s="391"/>
      <c r="E16" s="393"/>
      <c r="F16" s="391"/>
    </row>
    <row r="17">
      <c r="A17" s="392"/>
      <c r="B17" s="388" t="str">
        <f t="shared" si="1"/>
        <v/>
      </c>
      <c r="C17" s="391"/>
      <c r="D17" s="391"/>
      <c r="E17" s="393"/>
      <c r="F17" s="391"/>
    </row>
    <row r="18">
      <c r="A18" s="392"/>
      <c r="B18" s="388" t="str">
        <f t="shared" si="1"/>
        <v/>
      </c>
      <c r="C18" s="391"/>
      <c r="D18" s="391"/>
      <c r="E18" s="393"/>
      <c r="F18" s="391"/>
    </row>
    <row r="19">
      <c r="A19" s="392"/>
      <c r="B19" s="388" t="str">
        <f t="shared" si="1"/>
        <v/>
      </c>
      <c r="C19" s="391"/>
      <c r="D19" s="391"/>
      <c r="E19" s="393"/>
      <c r="F19" s="391"/>
    </row>
    <row r="20">
      <c r="A20" s="392"/>
      <c r="B20" s="388" t="str">
        <f t="shared" si="1"/>
        <v/>
      </c>
      <c r="C20" s="391"/>
      <c r="D20" s="391"/>
      <c r="E20" s="393"/>
      <c r="F20" s="391"/>
    </row>
    <row r="21">
      <c r="A21" s="392"/>
      <c r="B21" s="388" t="str">
        <f t="shared" si="1"/>
        <v/>
      </c>
      <c r="C21" s="391"/>
      <c r="D21" s="391"/>
      <c r="E21" s="393"/>
      <c r="F21" s="391"/>
    </row>
    <row r="22">
      <c r="A22" s="392"/>
      <c r="B22" s="388" t="str">
        <f t="shared" si="1"/>
        <v/>
      </c>
      <c r="C22" s="391"/>
      <c r="D22" s="391"/>
      <c r="E22" s="393"/>
      <c r="F22" s="391"/>
    </row>
    <row r="23">
      <c r="A23" s="392"/>
      <c r="B23" s="388" t="str">
        <f t="shared" si="1"/>
        <v/>
      </c>
      <c r="C23" s="391"/>
      <c r="D23" s="391"/>
      <c r="E23" s="393"/>
      <c r="F23" s="391"/>
    </row>
    <row r="24">
      <c r="A24" s="392"/>
      <c r="B24" s="388" t="str">
        <f t="shared" si="1"/>
        <v/>
      </c>
      <c r="C24" s="391"/>
      <c r="D24" s="391"/>
      <c r="E24" s="393"/>
      <c r="F24" s="391"/>
    </row>
    <row r="25">
      <c r="A25" s="392"/>
      <c r="B25" s="388" t="str">
        <f t="shared" si="1"/>
        <v/>
      </c>
      <c r="C25" s="391"/>
      <c r="D25" s="391"/>
      <c r="E25" s="393"/>
      <c r="F25" s="391"/>
    </row>
    <row r="26">
      <c r="A26" s="392"/>
      <c r="B26" s="388" t="str">
        <f t="shared" si="1"/>
        <v/>
      </c>
      <c r="C26" s="391"/>
      <c r="D26" s="391"/>
      <c r="E26" s="393"/>
      <c r="F26" s="391"/>
    </row>
    <row r="27">
      <c r="A27" s="392"/>
      <c r="B27" s="388" t="str">
        <f t="shared" si="1"/>
        <v/>
      </c>
      <c r="C27" s="391"/>
      <c r="D27" s="391"/>
      <c r="E27" s="393"/>
      <c r="F27" s="391"/>
    </row>
    <row r="28">
      <c r="A28" s="392"/>
      <c r="B28" s="388" t="str">
        <f t="shared" si="1"/>
        <v/>
      </c>
      <c r="C28" s="391"/>
      <c r="D28" s="391"/>
      <c r="E28" s="393"/>
      <c r="F28" s="391"/>
    </row>
    <row r="29">
      <c r="A29" s="392"/>
      <c r="B29" s="388" t="str">
        <f t="shared" si="1"/>
        <v/>
      </c>
      <c r="C29" s="391"/>
      <c r="D29" s="391"/>
      <c r="E29" s="393"/>
      <c r="F29" s="391"/>
    </row>
    <row r="30">
      <c r="A30" s="392"/>
      <c r="B30" s="388" t="str">
        <f t="shared" si="1"/>
        <v/>
      </c>
      <c r="C30" s="391"/>
      <c r="D30" s="391"/>
      <c r="E30" s="393"/>
      <c r="F30" s="391"/>
    </row>
    <row r="31">
      <c r="A31" s="392"/>
      <c r="B31" s="388" t="str">
        <f t="shared" si="1"/>
        <v/>
      </c>
      <c r="C31" s="391"/>
      <c r="D31" s="391"/>
      <c r="E31" s="393"/>
      <c r="F31" s="391"/>
    </row>
    <row r="32">
      <c r="A32" s="392"/>
      <c r="B32" s="388" t="str">
        <f t="shared" si="1"/>
        <v/>
      </c>
      <c r="C32" s="391"/>
      <c r="D32" s="391"/>
      <c r="E32" s="393"/>
      <c r="F32" s="391"/>
    </row>
    <row r="33">
      <c r="A33" s="392"/>
      <c r="B33" s="388" t="str">
        <f t="shared" si="1"/>
        <v/>
      </c>
      <c r="C33" s="391"/>
      <c r="D33" s="391"/>
      <c r="E33" s="393"/>
      <c r="F33" s="391"/>
    </row>
    <row r="34">
      <c r="A34" s="392"/>
      <c r="B34" s="388" t="str">
        <f t="shared" si="1"/>
        <v/>
      </c>
      <c r="C34" s="391"/>
      <c r="D34" s="391"/>
      <c r="E34" s="393"/>
      <c r="F34" s="391"/>
    </row>
    <row r="35">
      <c r="A35" s="392"/>
      <c r="B35" s="388" t="str">
        <f t="shared" si="1"/>
        <v/>
      </c>
      <c r="C35" s="391"/>
      <c r="D35" s="391"/>
      <c r="E35" s="393"/>
      <c r="F35" s="391"/>
    </row>
    <row r="36">
      <c r="A36" s="392"/>
      <c r="B36" s="388" t="str">
        <f t="shared" si="1"/>
        <v/>
      </c>
      <c r="C36" s="391"/>
      <c r="D36" s="391"/>
      <c r="E36" s="393"/>
      <c r="F36" s="391"/>
    </row>
    <row r="37">
      <c r="A37" s="392"/>
      <c r="B37" s="388" t="str">
        <f t="shared" si="1"/>
        <v/>
      </c>
      <c r="C37" s="391"/>
      <c r="D37" s="391"/>
      <c r="E37" s="393"/>
      <c r="F37" s="391"/>
    </row>
    <row r="38">
      <c r="A38" s="392"/>
      <c r="B38" s="388" t="str">
        <f t="shared" si="1"/>
        <v/>
      </c>
      <c r="C38" s="391"/>
      <c r="D38" s="391"/>
      <c r="E38" s="393"/>
      <c r="F38" s="391"/>
    </row>
    <row r="39">
      <c r="A39" s="392"/>
      <c r="B39" s="388" t="str">
        <f t="shared" si="1"/>
        <v/>
      </c>
      <c r="C39" s="391"/>
      <c r="D39" s="391"/>
      <c r="E39" s="393"/>
      <c r="F39" s="391"/>
    </row>
    <row r="40">
      <c r="A40" s="392"/>
      <c r="B40" s="388" t="str">
        <f t="shared" si="1"/>
        <v/>
      </c>
      <c r="C40" s="391"/>
      <c r="D40" s="391"/>
      <c r="E40" s="393"/>
      <c r="F40" s="391"/>
    </row>
    <row r="41">
      <c r="A41" s="392"/>
      <c r="B41" s="388" t="str">
        <f t="shared" si="1"/>
        <v/>
      </c>
      <c r="C41" s="391"/>
      <c r="D41" s="391"/>
      <c r="E41" s="393"/>
      <c r="F41" s="391"/>
    </row>
    <row r="42">
      <c r="A42" s="392"/>
      <c r="B42" s="388" t="str">
        <f t="shared" si="1"/>
        <v/>
      </c>
      <c r="C42" s="391"/>
      <c r="D42" s="391"/>
      <c r="E42" s="393"/>
      <c r="F42" s="391"/>
    </row>
    <row r="43">
      <c r="A43" s="392"/>
      <c r="B43" s="388" t="str">
        <f t="shared" si="1"/>
        <v/>
      </c>
      <c r="C43" s="391"/>
      <c r="D43" s="391"/>
      <c r="E43" s="393"/>
      <c r="F43" s="391"/>
    </row>
    <row r="44">
      <c r="A44" s="392"/>
      <c r="B44" s="388" t="str">
        <f t="shared" si="1"/>
        <v/>
      </c>
      <c r="C44" s="391"/>
      <c r="D44" s="391"/>
      <c r="E44" s="393"/>
      <c r="F44" s="391"/>
    </row>
    <row r="45">
      <c r="A45" s="392"/>
      <c r="B45" s="388" t="str">
        <f t="shared" si="1"/>
        <v/>
      </c>
      <c r="C45" s="391"/>
      <c r="D45" s="391"/>
      <c r="E45" s="393"/>
      <c r="F45" s="391"/>
    </row>
    <row r="46">
      <c r="A46" s="392"/>
      <c r="B46" s="388" t="str">
        <f t="shared" si="1"/>
        <v/>
      </c>
      <c r="C46" s="391"/>
      <c r="D46" s="391"/>
      <c r="E46" s="393"/>
      <c r="F46" s="391"/>
    </row>
    <row r="47">
      <c r="A47" s="392"/>
      <c r="B47" s="388" t="str">
        <f t="shared" si="1"/>
        <v/>
      </c>
      <c r="C47" s="391"/>
      <c r="D47" s="391"/>
      <c r="E47" s="393"/>
      <c r="F47" s="391"/>
    </row>
    <row r="48">
      <c r="A48" s="392"/>
      <c r="B48" s="388" t="str">
        <f t="shared" si="1"/>
        <v/>
      </c>
      <c r="C48" s="391"/>
      <c r="D48" s="391"/>
      <c r="E48" s="393"/>
      <c r="F48" s="391"/>
    </row>
    <row r="49">
      <c r="A49" s="392"/>
      <c r="B49" s="388" t="str">
        <f t="shared" si="1"/>
        <v/>
      </c>
      <c r="C49" s="391"/>
      <c r="D49" s="391"/>
      <c r="E49" s="393"/>
      <c r="F49" s="391"/>
    </row>
    <row r="50">
      <c r="A50" s="392"/>
      <c r="B50" s="388" t="str">
        <f t="shared" si="1"/>
        <v/>
      </c>
      <c r="C50" s="391"/>
      <c r="D50" s="391"/>
      <c r="E50" s="393"/>
      <c r="F50" s="391"/>
    </row>
    <row r="51">
      <c r="A51" s="392"/>
      <c r="B51" s="388" t="str">
        <f t="shared" si="1"/>
        <v/>
      </c>
      <c r="C51" s="391"/>
      <c r="D51" s="391"/>
      <c r="E51" s="393"/>
      <c r="F51" s="391"/>
    </row>
    <row r="52">
      <c r="A52" s="392"/>
      <c r="B52" s="388" t="str">
        <f t="shared" si="1"/>
        <v/>
      </c>
      <c r="C52" s="391"/>
      <c r="D52" s="391"/>
      <c r="E52" s="393"/>
      <c r="F52" s="391"/>
    </row>
    <row r="53">
      <c r="A53" s="392"/>
      <c r="B53" s="388" t="str">
        <f t="shared" si="1"/>
        <v/>
      </c>
      <c r="C53" s="391"/>
      <c r="D53" s="391"/>
      <c r="E53" s="393"/>
      <c r="F53" s="391"/>
    </row>
    <row r="54">
      <c r="A54" s="392"/>
      <c r="B54" s="388" t="str">
        <f t="shared" si="1"/>
        <v/>
      </c>
      <c r="C54" s="391"/>
      <c r="D54" s="391"/>
      <c r="E54" s="393"/>
      <c r="F54" s="391"/>
    </row>
    <row r="55">
      <c r="A55" s="392"/>
      <c r="B55" s="388" t="str">
        <f t="shared" si="1"/>
        <v/>
      </c>
      <c r="C55" s="391"/>
      <c r="D55" s="391"/>
      <c r="E55" s="393"/>
      <c r="F55" s="391"/>
    </row>
    <row r="56">
      <c r="A56" s="392"/>
      <c r="B56" s="388" t="str">
        <f t="shared" si="1"/>
        <v/>
      </c>
      <c r="C56" s="391"/>
      <c r="D56" s="391"/>
      <c r="E56" s="393"/>
      <c r="F56" s="391"/>
    </row>
    <row r="57">
      <c r="A57" s="392"/>
      <c r="B57" s="388" t="str">
        <f t="shared" si="1"/>
        <v/>
      </c>
      <c r="C57" s="391"/>
      <c r="D57" s="391"/>
      <c r="E57" s="393"/>
      <c r="F57" s="391"/>
    </row>
    <row r="58">
      <c r="A58" s="392"/>
      <c r="B58" s="388" t="str">
        <f t="shared" si="1"/>
        <v/>
      </c>
      <c r="C58" s="391"/>
      <c r="D58" s="391"/>
      <c r="E58" s="393"/>
      <c r="F58" s="391"/>
    </row>
    <row r="59">
      <c r="A59" s="392"/>
      <c r="B59" s="388" t="str">
        <f t="shared" si="1"/>
        <v/>
      </c>
      <c r="C59" s="391"/>
      <c r="D59" s="391"/>
      <c r="E59" s="393"/>
      <c r="F59" s="391"/>
    </row>
    <row r="60">
      <c r="A60" s="392"/>
      <c r="B60" s="388" t="str">
        <f t="shared" si="1"/>
        <v/>
      </c>
      <c r="C60" s="391"/>
      <c r="D60" s="391"/>
      <c r="E60" s="393"/>
      <c r="F60" s="391"/>
    </row>
    <row r="61">
      <c r="A61" s="392"/>
      <c r="B61" s="388" t="str">
        <f t="shared" si="1"/>
        <v/>
      </c>
      <c r="C61" s="391"/>
      <c r="D61" s="391"/>
      <c r="E61" s="393"/>
      <c r="F61" s="391"/>
    </row>
    <row r="62">
      <c r="A62" s="392"/>
      <c r="B62" s="388" t="str">
        <f t="shared" si="1"/>
        <v/>
      </c>
      <c r="C62" s="391"/>
      <c r="D62" s="391"/>
      <c r="E62" s="393"/>
      <c r="F62" s="391"/>
    </row>
    <row r="63">
      <c r="A63" s="392"/>
      <c r="B63" s="388" t="str">
        <f t="shared" si="1"/>
        <v/>
      </c>
      <c r="C63" s="391"/>
      <c r="D63" s="391"/>
      <c r="E63" s="393"/>
      <c r="F63" s="391"/>
    </row>
    <row r="64">
      <c r="A64" s="392"/>
      <c r="B64" s="388" t="str">
        <f t="shared" si="1"/>
        <v/>
      </c>
      <c r="C64" s="391"/>
      <c r="D64" s="391"/>
      <c r="E64" s="393"/>
      <c r="F64" s="391"/>
    </row>
    <row r="65">
      <c r="A65" s="392"/>
      <c r="B65" s="388" t="str">
        <f t="shared" si="1"/>
        <v/>
      </c>
      <c r="C65" s="391"/>
      <c r="D65" s="391"/>
      <c r="E65" s="393"/>
      <c r="F65" s="391"/>
    </row>
    <row r="66">
      <c r="A66" s="392"/>
      <c r="B66" s="388" t="str">
        <f t="shared" si="1"/>
        <v/>
      </c>
      <c r="C66" s="391"/>
      <c r="D66" s="391"/>
      <c r="E66" s="393"/>
      <c r="F66" s="391"/>
    </row>
    <row r="67">
      <c r="A67" s="392"/>
      <c r="B67" s="388" t="str">
        <f t="shared" si="1"/>
        <v/>
      </c>
      <c r="C67" s="391"/>
      <c r="D67" s="391"/>
      <c r="E67" s="393"/>
      <c r="F67" s="391"/>
    </row>
    <row r="68">
      <c r="A68" s="392"/>
      <c r="B68" s="388" t="str">
        <f t="shared" si="1"/>
        <v/>
      </c>
      <c r="C68" s="391"/>
      <c r="D68" s="391"/>
      <c r="E68" s="393"/>
      <c r="F68" s="391"/>
    </row>
    <row r="69">
      <c r="A69" s="392"/>
      <c r="B69" s="388" t="str">
        <f t="shared" si="1"/>
        <v/>
      </c>
      <c r="C69" s="391"/>
      <c r="D69" s="391"/>
      <c r="E69" s="393"/>
      <c r="F69" s="391"/>
    </row>
    <row r="70">
      <c r="A70" s="392"/>
      <c r="B70" s="388" t="str">
        <f t="shared" si="1"/>
        <v/>
      </c>
      <c r="C70" s="391"/>
      <c r="D70" s="391"/>
      <c r="E70" s="393"/>
      <c r="F70" s="391"/>
    </row>
    <row r="71">
      <c r="A71" s="392"/>
      <c r="B71" s="388" t="str">
        <f t="shared" si="1"/>
        <v/>
      </c>
      <c r="C71" s="391"/>
      <c r="D71" s="391"/>
      <c r="E71" s="393"/>
      <c r="F71" s="391"/>
    </row>
    <row r="72">
      <c r="A72" s="392"/>
      <c r="B72" s="388" t="str">
        <f t="shared" si="1"/>
        <v/>
      </c>
      <c r="C72" s="391"/>
      <c r="D72" s="391"/>
      <c r="E72" s="393"/>
      <c r="F72" s="391"/>
    </row>
    <row r="73">
      <c r="A73" s="392"/>
      <c r="B73" s="388" t="str">
        <f t="shared" si="1"/>
        <v/>
      </c>
      <c r="C73" s="391"/>
      <c r="D73" s="391"/>
      <c r="E73" s="393"/>
      <c r="F73" s="391"/>
    </row>
    <row r="74">
      <c r="A74" s="392"/>
      <c r="B74" s="388" t="str">
        <f t="shared" si="1"/>
        <v/>
      </c>
      <c r="C74" s="391"/>
      <c r="D74" s="391"/>
      <c r="E74" s="393"/>
      <c r="F74" s="391"/>
    </row>
    <row r="75">
      <c r="A75" s="392"/>
      <c r="B75" s="388" t="str">
        <f t="shared" si="1"/>
        <v/>
      </c>
      <c r="C75" s="391"/>
      <c r="D75" s="391"/>
      <c r="E75" s="393"/>
      <c r="F75" s="391"/>
    </row>
    <row r="76">
      <c r="A76" s="392"/>
      <c r="B76" s="388" t="str">
        <f t="shared" si="1"/>
        <v/>
      </c>
      <c r="C76" s="391"/>
      <c r="D76" s="391"/>
      <c r="E76" s="393"/>
      <c r="F76" s="391"/>
    </row>
    <row r="77">
      <c r="A77" s="392"/>
      <c r="B77" s="388" t="str">
        <f t="shared" si="1"/>
        <v/>
      </c>
      <c r="C77" s="391"/>
      <c r="D77" s="391"/>
      <c r="E77" s="393"/>
      <c r="F77" s="391"/>
    </row>
    <row r="78">
      <c r="A78" s="392"/>
      <c r="B78" s="388" t="str">
        <f t="shared" si="1"/>
        <v/>
      </c>
      <c r="C78" s="391"/>
      <c r="D78" s="391"/>
      <c r="E78" s="393"/>
      <c r="F78" s="391"/>
    </row>
    <row r="79">
      <c r="A79" s="392"/>
      <c r="B79" s="388" t="str">
        <f t="shared" si="1"/>
        <v/>
      </c>
      <c r="C79" s="391"/>
      <c r="D79" s="391"/>
      <c r="E79" s="393"/>
      <c r="F79" s="391"/>
    </row>
    <row r="80">
      <c r="A80" s="392"/>
      <c r="B80" s="388" t="str">
        <f t="shared" si="1"/>
        <v/>
      </c>
      <c r="C80" s="391"/>
      <c r="D80" s="391"/>
      <c r="E80" s="393"/>
      <c r="F80" s="391"/>
    </row>
    <row r="81">
      <c r="A81" s="392"/>
      <c r="B81" s="388" t="str">
        <f t="shared" si="1"/>
        <v/>
      </c>
      <c r="C81" s="391"/>
      <c r="D81" s="391"/>
      <c r="E81" s="393"/>
      <c r="F81" s="391"/>
    </row>
    <row r="82">
      <c r="A82" s="392"/>
      <c r="B82" s="388" t="str">
        <f t="shared" si="1"/>
        <v/>
      </c>
      <c r="C82" s="391"/>
      <c r="D82" s="391"/>
      <c r="E82" s="393"/>
      <c r="F82" s="391"/>
    </row>
    <row r="83">
      <c r="A83" s="392"/>
      <c r="B83" s="388" t="str">
        <f t="shared" si="1"/>
        <v/>
      </c>
      <c r="C83" s="391"/>
      <c r="D83" s="391"/>
      <c r="E83" s="393"/>
      <c r="F83" s="391"/>
    </row>
    <row r="84">
      <c r="A84" s="392"/>
      <c r="B84" s="388" t="str">
        <f t="shared" si="1"/>
        <v/>
      </c>
      <c r="C84" s="391"/>
      <c r="D84" s="391"/>
      <c r="E84" s="393"/>
      <c r="F84" s="391"/>
    </row>
    <row r="85">
      <c r="A85" s="392"/>
      <c r="B85" s="388" t="str">
        <f t="shared" si="1"/>
        <v/>
      </c>
      <c r="C85" s="391"/>
      <c r="D85" s="391"/>
      <c r="E85" s="393"/>
      <c r="F85" s="391"/>
    </row>
    <row r="86">
      <c r="A86" s="392"/>
      <c r="B86" s="388" t="str">
        <f t="shared" si="1"/>
        <v/>
      </c>
      <c r="C86" s="391"/>
      <c r="D86" s="391"/>
      <c r="E86" s="393"/>
      <c r="F86" s="391"/>
    </row>
    <row r="87">
      <c r="A87" s="392"/>
      <c r="B87" s="388" t="str">
        <f t="shared" si="1"/>
        <v/>
      </c>
      <c r="C87" s="391"/>
      <c r="D87" s="391"/>
      <c r="E87" s="393"/>
      <c r="F87" s="391"/>
    </row>
    <row r="88">
      <c r="A88" s="392"/>
      <c r="B88" s="388" t="str">
        <f t="shared" si="1"/>
        <v/>
      </c>
      <c r="C88" s="391"/>
      <c r="D88" s="391"/>
      <c r="E88" s="393"/>
      <c r="F88" s="391"/>
    </row>
    <row r="89">
      <c r="A89" s="392"/>
      <c r="B89" s="388" t="str">
        <f t="shared" si="1"/>
        <v/>
      </c>
      <c r="C89" s="391"/>
      <c r="D89" s="391"/>
      <c r="E89" s="393"/>
      <c r="F89" s="391"/>
    </row>
    <row r="90">
      <c r="A90" s="392"/>
      <c r="B90" s="388" t="str">
        <f t="shared" si="1"/>
        <v/>
      </c>
      <c r="C90" s="391"/>
      <c r="D90" s="391"/>
      <c r="E90" s="393"/>
      <c r="F90" s="391"/>
    </row>
    <row r="91">
      <c r="A91" s="392"/>
      <c r="B91" s="388" t="str">
        <f t="shared" si="1"/>
        <v/>
      </c>
      <c r="C91" s="391"/>
      <c r="D91" s="391"/>
      <c r="E91" s="393"/>
      <c r="F91" s="391"/>
    </row>
    <row r="92">
      <c r="A92" s="392"/>
      <c r="B92" s="388" t="str">
        <f t="shared" si="1"/>
        <v/>
      </c>
      <c r="C92" s="391"/>
      <c r="D92" s="391"/>
      <c r="E92" s="393"/>
      <c r="F92" s="391"/>
    </row>
    <row r="93">
      <c r="A93" s="392"/>
      <c r="B93" s="388" t="str">
        <f t="shared" si="1"/>
        <v/>
      </c>
      <c r="C93" s="391"/>
      <c r="D93" s="391"/>
      <c r="E93" s="393"/>
      <c r="F93" s="391"/>
    </row>
    <row r="94">
      <c r="A94" s="392"/>
      <c r="B94" s="388" t="str">
        <f t="shared" si="1"/>
        <v/>
      </c>
      <c r="C94" s="391"/>
      <c r="D94" s="391"/>
      <c r="E94" s="393"/>
      <c r="F94" s="391"/>
    </row>
    <row r="95">
      <c r="A95" s="392"/>
      <c r="B95" s="388" t="str">
        <f t="shared" si="1"/>
        <v/>
      </c>
      <c r="C95" s="391"/>
      <c r="D95" s="391"/>
      <c r="E95" s="393"/>
      <c r="F95" s="391"/>
    </row>
    <row r="96">
      <c r="A96" s="392"/>
      <c r="B96" s="388" t="str">
        <f t="shared" si="1"/>
        <v/>
      </c>
      <c r="C96" s="391"/>
      <c r="D96" s="391"/>
      <c r="E96" s="393"/>
      <c r="F96" s="391"/>
    </row>
    <row r="97">
      <c r="A97" s="392"/>
      <c r="B97" s="388" t="str">
        <f t="shared" si="1"/>
        <v/>
      </c>
      <c r="C97" s="391"/>
      <c r="D97" s="391"/>
      <c r="E97" s="393"/>
      <c r="F97" s="391"/>
    </row>
    <row r="98">
      <c r="A98" s="392"/>
      <c r="B98" s="388" t="str">
        <f t="shared" si="1"/>
        <v/>
      </c>
      <c r="C98" s="391"/>
      <c r="D98" s="391"/>
      <c r="E98" s="393"/>
      <c r="F98" s="391"/>
    </row>
    <row r="99">
      <c r="A99" s="392"/>
      <c r="B99" s="388" t="str">
        <f t="shared" si="1"/>
        <v/>
      </c>
      <c r="C99" s="391"/>
      <c r="D99" s="391"/>
      <c r="E99" s="393"/>
      <c r="F99" s="391"/>
    </row>
    <row r="100">
      <c r="A100" s="392"/>
      <c r="B100" s="388" t="str">
        <f t="shared" si="1"/>
        <v/>
      </c>
      <c r="C100" s="391"/>
      <c r="D100" s="391"/>
      <c r="E100" s="393"/>
      <c r="F100" s="391"/>
    </row>
    <row r="101">
      <c r="A101" s="392"/>
      <c r="B101" s="388" t="str">
        <f t="shared" si="1"/>
        <v/>
      </c>
      <c r="C101" s="391"/>
      <c r="D101" s="391"/>
      <c r="E101" s="393"/>
      <c r="F101" s="391"/>
    </row>
    <row r="102">
      <c r="A102" s="392"/>
      <c r="B102" s="388" t="str">
        <f t="shared" si="1"/>
        <v/>
      </c>
      <c r="C102" s="391"/>
      <c r="D102" s="391"/>
      <c r="E102" s="393"/>
      <c r="F102" s="391"/>
    </row>
    <row r="103">
      <c r="A103" s="392"/>
      <c r="B103" s="388" t="str">
        <f t="shared" si="1"/>
        <v/>
      </c>
      <c r="C103" s="391"/>
      <c r="D103" s="391"/>
      <c r="E103" s="393"/>
      <c r="F103" s="391"/>
    </row>
    <row r="104">
      <c r="A104" s="392"/>
      <c r="B104" s="388" t="str">
        <f t="shared" si="1"/>
        <v/>
      </c>
      <c r="C104" s="391"/>
      <c r="D104" s="391"/>
      <c r="E104" s="393"/>
      <c r="F104" s="391"/>
    </row>
    <row r="105">
      <c r="A105" s="392"/>
      <c r="B105" s="388" t="str">
        <f t="shared" si="1"/>
        <v/>
      </c>
      <c r="C105" s="391"/>
      <c r="D105" s="391"/>
      <c r="E105" s="393"/>
      <c r="F105" s="391"/>
    </row>
    <row r="106">
      <c r="A106" s="392"/>
      <c r="B106" s="388" t="str">
        <f t="shared" si="1"/>
        <v/>
      </c>
      <c r="C106" s="391"/>
      <c r="D106" s="391"/>
      <c r="E106" s="393"/>
      <c r="F106" s="391"/>
    </row>
    <row r="107">
      <c r="A107" s="392"/>
      <c r="B107" s="388" t="str">
        <f t="shared" si="1"/>
        <v/>
      </c>
      <c r="C107" s="391"/>
      <c r="D107" s="391"/>
      <c r="E107" s="393"/>
      <c r="F107" s="391"/>
    </row>
    <row r="108">
      <c r="A108" s="392"/>
      <c r="B108" s="388" t="str">
        <f t="shared" si="1"/>
        <v/>
      </c>
      <c r="C108" s="391"/>
      <c r="D108" s="391"/>
      <c r="E108" s="393"/>
      <c r="F108" s="391"/>
    </row>
    <row r="109">
      <c r="A109" s="392"/>
      <c r="B109" s="388" t="str">
        <f t="shared" si="1"/>
        <v/>
      </c>
      <c r="C109" s="391"/>
      <c r="D109" s="391"/>
      <c r="E109" s="393"/>
      <c r="F109" s="391"/>
    </row>
    <row r="110">
      <c r="A110" s="392"/>
      <c r="B110" s="388" t="str">
        <f t="shared" si="1"/>
        <v/>
      </c>
      <c r="C110" s="391"/>
      <c r="D110" s="391"/>
      <c r="E110" s="393"/>
      <c r="F110" s="391"/>
    </row>
    <row r="111">
      <c r="A111" s="392"/>
      <c r="B111" s="388" t="str">
        <f t="shared" si="1"/>
        <v/>
      </c>
      <c r="C111" s="391"/>
      <c r="D111" s="391"/>
      <c r="E111" s="393"/>
      <c r="F111" s="391"/>
    </row>
    <row r="112">
      <c r="A112" s="392"/>
      <c r="B112" s="388" t="str">
        <f t="shared" si="1"/>
        <v/>
      </c>
      <c r="C112" s="391"/>
      <c r="D112" s="391"/>
      <c r="E112" s="393"/>
      <c r="F112" s="391"/>
    </row>
    <row r="113">
      <c r="A113" s="392"/>
      <c r="B113" s="388" t="str">
        <f t="shared" si="1"/>
        <v/>
      </c>
      <c r="C113" s="391"/>
      <c r="D113" s="391"/>
      <c r="E113" s="393"/>
      <c r="F113" s="391"/>
    </row>
    <row r="114">
      <c r="A114" s="392"/>
      <c r="B114" s="388" t="str">
        <f t="shared" si="1"/>
        <v/>
      </c>
      <c r="C114" s="391"/>
      <c r="D114" s="391"/>
      <c r="E114" s="393"/>
      <c r="F114" s="391"/>
    </row>
    <row r="115">
      <c r="A115" s="392"/>
      <c r="B115" s="388" t="str">
        <f t="shared" si="1"/>
        <v/>
      </c>
      <c r="C115" s="391"/>
      <c r="D115" s="391"/>
      <c r="E115" s="393"/>
      <c r="F115" s="391"/>
    </row>
    <row r="116">
      <c r="A116" s="392"/>
      <c r="B116" s="388" t="str">
        <f t="shared" si="1"/>
        <v/>
      </c>
      <c r="C116" s="391"/>
      <c r="D116" s="391"/>
      <c r="E116" s="393"/>
      <c r="F116" s="391"/>
    </row>
    <row r="117">
      <c r="A117" s="392"/>
      <c r="B117" s="388" t="str">
        <f t="shared" si="1"/>
        <v/>
      </c>
      <c r="C117" s="391"/>
      <c r="D117" s="391"/>
      <c r="E117" s="393"/>
      <c r="F117" s="391"/>
    </row>
    <row r="118">
      <c r="A118" s="392"/>
      <c r="B118" s="388" t="str">
        <f t="shared" si="1"/>
        <v/>
      </c>
      <c r="C118" s="391"/>
      <c r="D118" s="391"/>
      <c r="E118" s="393"/>
      <c r="F118" s="391"/>
    </row>
    <row r="119">
      <c r="A119" s="392"/>
      <c r="B119" s="388" t="str">
        <f t="shared" si="1"/>
        <v/>
      </c>
      <c r="C119" s="391"/>
      <c r="D119" s="391"/>
      <c r="E119" s="393"/>
      <c r="F119" s="391"/>
    </row>
    <row r="120">
      <c r="A120" s="392"/>
      <c r="B120" s="388" t="str">
        <f t="shared" si="1"/>
        <v/>
      </c>
      <c r="C120" s="391"/>
      <c r="D120" s="391"/>
      <c r="E120" s="393"/>
      <c r="F120" s="391"/>
    </row>
    <row r="121">
      <c r="A121" s="392"/>
      <c r="B121" s="388" t="str">
        <f t="shared" si="1"/>
        <v/>
      </c>
      <c r="C121" s="391"/>
      <c r="D121" s="391"/>
      <c r="E121" s="393"/>
      <c r="F121" s="391"/>
    </row>
    <row r="122">
      <c r="A122" s="392"/>
      <c r="B122" s="388" t="str">
        <f t="shared" si="1"/>
        <v/>
      </c>
      <c r="C122" s="391"/>
      <c r="D122" s="391"/>
      <c r="E122" s="393"/>
      <c r="F122" s="391"/>
    </row>
    <row r="123">
      <c r="A123" s="392"/>
      <c r="B123" s="388" t="str">
        <f t="shared" si="1"/>
        <v/>
      </c>
      <c r="C123" s="391"/>
      <c r="D123" s="391"/>
      <c r="E123" s="393"/>
      <c r="F123" s="391"/>
    </row>
    <row r="124">
      <c r="A124" s="392"/>
      <c r="B124" s="388" t="str">
        <f t="shared" si="1"/>
        <v/>
      </c>
      <c r="C124" s="391"/>
      <c r="D124" s="391"/>
      <c r="E124" s="393"/>
      <c r="F124" s="391"/>
    </row>
    <row r="125">
      <c r="A125" s="392"/>
      <c r="B125" s="388" t="str">
        <f t="shared" si="1"/>
        <v/>
      </c>
      <c r="C125" s="391"/>
      <c r="D125" s="391"/>
      <c r="E125" s="393"/>
      <c r="F125" s="391"/>
    </row>
    <row r="126">
      <c r="A126" s="392"/>
      <c r="B126" s="388" t="str">
        <f t="shared" si="1"/>
        <v/>
      </c>
      <c r="C126" s="391"/>
      <c r="D126" s="391"/>
      <c r="E126" s="393"/>
      <c r="F126" s="391"/>
    </row>
    <row r="127">
      <c r="A127" s="392"/>
      <c r="B127" s="388" t="str">
        <f t="shared" si="1"/>
        <v/>
      </c>
      <c r="C127" s="391"/>
      <c r="D127" s="391"/>
      <c r="E127" s="393"/>
      <c r="F127" s="391"/>
    </row>
    <row r="128">
      <c r="A128" s="392"/>
      <c r="B128" s="388" t="str">
        <f t="shared" si="1"/>
        <v/>
      </c>
      <c r="C128" s="391"/>
      <c r="D128" s="391"/>
      <c r="E128" s="393"/>
      <c r="F128" s="391"/>
    </row>
    <row r="129">
      <c r="A129" s="392"/>
      <c r="B129" s="388" t="str">
        <f t="shared" si="1"/>
        <v/>
      </c>
      <c r="C129" s="391"/>
      <c r="D129" s="391"/>
      <c r="E129" s="393"/>
      <c r="F129" s="391"/>
    </row>
    <row r="130">
      <c r="A130" s="392"/>
      <c r="B130" s="388" t="str">
        <f t="shared" si="1"/>
        <v/>
      </c>
      <c r="C130" s="391"/>
      <c r="D130" s="391"/>
      <c r="E130" s="393"/>
      <c r="F130" s="391"/>
    </row>
    <row r="131">
      <c r="A131" s="392"/>
      <c r="B131" s="388" t="str">
        <f t="shared" si="1"/>
        <v/>
      </c>
      <c r="C131" s="391"/>
      <c r="D131" s="391"/>
      <c r="E131" s="393"/>
      <c r="F131" s="391"/>
    </row>
    <row r="132">
      <c r="A132" s="392"/>
      <c r="B132" s="388" t="str">
        <f t="shared" si="1"/>
        <v/>
      </c>
      <c r="C132" s="391"/>
      <c r="D132" s="391"/>
      <c r="E132" s="393"/>
      <c r="F132" s="391"/>
    </row>
    <row r="133">
      <c r="A133" s="392"/>
      <c r="B133" s="388" t="str">
        <f t="shared" si="1"/>
        <v/>
      </c>
      <c r="C133" s="391"/>
      <c r="D133" s="391"/>
      <c r="E133" s="393"/>
      <c r="F133" s="391"/>
    </row>
    <row r="134">
      <c r="A134" s="392"/>
      <c r="B134" s="388" t="str">
        <f t="shared" si="1"/>
        <v/>
      </c>
      <c r="C134" s="391"/>
      <c r="D134" s="391"/>
      <c r="E134" s="393"/>
      <c r="F134" s="391"/>
    </row>
    <row r="135">
      <c r="A135" s="392"/>
      <c r="B135" s="388" t="str">
        <f t="shared" si="1"/>
        <v/>
      </c>
      <c r="C135" s="391"/>
      <c r="D135" s="391"/>
      <c r="E135" s="393"/>
      <c r="F135" s="391"/>
    </row>
    <row r="136">
      <c r="A136" s="392"/>
      <c r="B136" s="388" t="str">
        <f t="shared" si="1"/>
        <v/>
      </c>
      <c r="C136" s="391"/>
      <c r="D136" s="391"/>
      <c r="E136" s="393"/>
      <c r="F136" s="391"/>
    </row>
    <row r="137">
      <c r="A137" s="392"/>
      <c r="B137" s="388" t="str">
        <f t="shared" si="1"/>
        <v/>
      </c>
      <c r="C137" s="391"/>
      <c r="D137" s="391"/>
      <c r="E137" s="393"/>
      <c r="F137" s="391"/>
    </row>
    <row r="138">
      <c r="A138" s="392"/>
      <c r="B138" s="388" t="str">
        <f t="shared" si="1"/>
        <v/>
      </c>
      <c r="C138" s="391"/>
      <c r="D138" s="391"/>
      <c r="E138" s="393"/>
      <c r="F138" s="391"/>
    </row>
    <row r="139">
      <c r="A139" s="392"/>
      <c r="B139" s="388" t="str">
        <f t="shared" si="1"/>
        <v/>
      </c>
      <c r="C139" s="391"/>
      <c r="D139" s="391"/>
      <c r="E139" s="393"/>
      <c r="F139" s="391"/>
    </row>
    <row r="140">
      <c r="A140" s="392"/>
      <c r="B140" s="388" t="str">
        <f t="shared" si="1"/>
        <v/>
      </c>
      <c r="C140" s="391"/>
      <c r="D140" s="391"/>
      <c r="E140" s="393"/>
      <c r="F140" s="391"/>
    </row>
    <row r="141">
      <c r="A141" s="392"/>
      <c r="B141" s="388" t="str">
        <f t="shared" si="1"/>
        <v/>
      </c>
      <c r="C141" s="391"/>
      <c r="D141" s="391"/>
      <c r="E141" s="393"/>
      <c r="F141" s="391"/>
    </row>
    <row r="142">
      <c r="A142" s="392"/>
      <c r="B142" s="388" t="str">
        <f t="shared" si="1"/>
        <v/>
      </c>
      <c r="C142" s="391"/>
      <c r="D142" s="391"/>
      <c r="E142" s="393"/>
      <c r="F142" s="391"/>
    </row>
    <row r="143">
      <c r="A143" s="392"/>
      <c r="B143" s="388" t="str">
        <f t="shared" si="1"/>
        <v/>
      </c>
      <c r="C143" s="391"/>
      <c r="D143" s="391"/>
      <c r="E143" s="393"/>
      <c r="F143" s="391"/>
    </row>
    <row r="144">
      <c r="A144" s="392"/>
      <c r="B144" s="388" t="str">
        <f t="shared" si="1"/>
        <v/>
      </c>
      <c r="C144" s="391"/>
      <c r="D144" s="391"/>
      <c r="E144" s="393"/>
      <c r="F144" s="391"/>
    </row>
    <row r="145">
      <c r="A145" s="392"/>
      <c r="B145" s="388" t="str">
        <f t="shared" si="1"/>
        <v/>
      </c>
      <c r="C145" s="391"/>
      <c r="D145" s="391"/>
      <c r="E145" s="393"/>
      <c r="F145" s="391"/>
    </row>
    <row r="146">
      <c r="A146" s="392"/>
      <c r="B146" s="388" t="str">
        <f t="shared" si="1"/>
        <v/>
      </c>
      <c r="C146" s="391"/>
      <c r="D146" s="391"/>
      <c r="E146" s="393"/>
      <c r="F146" s="391"/>
    </row>
    <row r="147">
      <c r="A147" s="392"/>
      <c r="B147" s="388" t="str">
        <f t="shared" si="1"/>
        <v/>
      </c>
      <c r="C147" s="391"/>
      <c r="D147" s="391"/>
      <c r="E147" s="393"/>
      <c r="F147" s="391"/>
    </row>
    <row r="148">
      <c r="A148" s="392"/>
      <c r="B148" s="388" t="str">
        <f t="shared" si="1"/>
        <v/>
      </c>
      <c r="C148" s="391"/>
      <c r="D148" s="391"/>
      <c r="E148" s="393"/>
      <c r="F148" s="391"/>
    </row>
    <row r="149">
      <c r="A149" s="392"/>
      <c r="B149" s="388" t="str">
        <f t="shared" si="1"/>
        <v/>
      </c>
      <c r="C149" s="391"/>
      <c r="D149" s="391"/>
      <c r="E149" s="393"/>
      <c r="F149" s="391"/>
    </row>
    <row r="150">
      <c r="A150" s="392"/>
      <c r="B150" s="388" t="str">
        <f t="shared" si="1"/>
        <v/>
      </c>
      <c r="C150" s="391"/>
      <c r="D150" s="391"/>
      <c r="E150" s="393"/>
      <c r="F150" s="391"/>
    </row>
    <row r="151">
      <c r="A151" s="392"/>
      <c r="B151" s="388" t="str">
        <f t="shared" si="1"/>
        <v/>
      </c>
      <c r="C151" s="391"/>
      <c r="D151" s="391"/>
      <c r="E151" s="393"/>
      <c r="F151" s="391"/>
    </row>
    <row r="152">
      <c r="A152" s="392"/>
      <c r="B152" s="388" t="str">
        <f t="shared" si="1"/>
        <v/>
      </c>
      <c r="C152" s="391"/>
      <c r="D152" s="391"/>
      <c r="E152" s="393"/>
      <c r="F152" s="391"/>
    </row>
    <row r="153">
      <c r="A153" s="392"/>
      <c r="B153" s="388" t="str">
        <f t="shared" si="1"/>
        <v/>
      </c>
      <c r="C153" s="391"/>
      <c r="D153" s="391"/>
      <c r="E153" s="393"/>
      <c r="F153" s="391"/>
    </row>
    <row r="154">
      <c r="A154" s="392"/>
      <c r="B154" s="388" t="str">
        <f t="shared" si="1"/>
        <v/>
      </c>
      <c r="C154" s="391"/>
      <c r="D154" s="391"/>
      <c r="E154" s="393"/>
      <c r="F154" s="391"/>
    </row>
    <row r="155">
      <c r="A155" s="392"/>
      <c r="B155" s="388" t="str">
        <f t="shared" si="1"/>
        <v/>
      </c>
      <c r="C155" s="391"/>
      <c r="D155" s="391"/>
      <c r="E155" s="393"/>
      <c r="F155" s="391"/>
    </row>
    <row r="156">
      <c r="A156" s="392"/>
      <c r="B156" s="388" t="str">
        <f t="shared" si="1"/>
        <v/>
      </c>
      <c r="C156" s="391"/>
      <c r="D156" s="391"/>
      <c r="E156" s="393"/>
      <c r="F156" s="391"/>
    </row>
    <row r="157">
      <c r="A157" s="392"/>
      <c r="B157" s="388" t="str">
        <f t="shared" si="1"/>
        <v/>
      </c>
      <c r="C157" s="391"/>
      <c r="D157" s="391"/>
      <c r="E157" s="393"/>
      <c r="F157" s="391"/>
    </row>
    <row r="158">
      <c r="A158" s="392"/>
      <c r="B158" s="388" t="str">
        <f t="shared" si="1"/>
        <v/>
      </c>
      <c r="C158" s="391"/>
      <c r="D158" s="391"/>
      <c r="E158" s="393"/>
      <c r="F158" s="391"/>
    </row>
    <row r="159">
      <c r="A159" s="392"/>
      <c r="B159" s="388" t="str">
        <f t="shared" si="1"/>
        <v/>
      </c>
      <c r="C159" s="391"/>
      <c r="D159" s="391"/>
      <c r="E159" s="393"/>
      <c r="F159" s="391"/>
    </row>
    <row r="160">
      <c r="A160" s="392"/>
      <c r="B160" s="388" t="str">
        <f t="shared" si="1"/>
        <v/>
      </c>
      <c r="C160" s="391"/>
      <c r="D160" s="391"/>
      <c r="E160" s="393"/>
      <c r="F160" s="391"/>
    </row>
    <row r="161">
      <c r="A161" s="392"/>
      <c r="B161" s="388" t="str">
        <f t="shared" si="1"/>
        <v/>
      </c>
      <c r="C161" s="391"/>
      <c r="D161" s="391"/>
      <c r="E161" s="393"/>
      <c r="F161" s="391"/>
    </row>
    <row r="162">
      <c r="A162" s="392"/>
      <c r="B162" s="388" t="str">
        <f t="shared" si="1"/>
        <v/>
      </c>
      <c r="C162" s="391"/>
      <c r="D162" s="391"/>
      <c r="E162" s="393"/>
      <c r="F162" s="391"/>
    </row>
    <row r="163">
      <c r="A163" s="392"/>
      <c r="B163" s="388" t="str">
        <f t="shared" si="1"/>
        <v/>
      </c>
      <c r="C163" s="391"/>
      <c r="D163" s="391"/>
      <c r="E163" s="393"/>
      <c r="F163" s="391"/>
    </row>
    <row r="164">
      <c r="A164" s="392"/>
      <c r="B164" s="388" t="str">
        <f t="shared" si="1"/>
        <v/>
      </c>
      <c r="C164" s="391"/>
      <c r="D164" s="391"/>
      <c r="E164" s="393"/>
      <c r="F164" s="391"/>
    </row>
    <row r="165">
      <c r="A165" s="392"/>
      <c r="B165" s="388" t="str">
        <f t="shared" si="1"/>
        <v/>
      </c>
      <c r="C165" s="391"/>
      <c r="D165" s="391"/>
      <c r="E165" s="393"/>
      <c r="F165" s="391"/>
    </row>
    <row r="166">
      <c r="A166" s="392"/>
      <c r="B166" s="388" t="str">
        <f t="shared" si="1"/>
        <v/>
      </c>
      <c r="C166" s="391"/>
      <c r="D166" s="391"/>
      <c r="E166" s="393"/>
      <c r="F166" s="391"/>
    </row>
    <row r="167">
      <c r="A167" s="392"/>
      <c r="B167" s="388" t="str">
        <f t="shared" si="1"/>
        <v/>
      </c>
      <c r="C167" s="391"/>
      <c r="D167" s="391"/>
      <c r="E167" s="393"/>
      <c r="F167" s="391"/>
    </row>
    <row r="168">
      <c r="A168" s="392"/>
      <c r="B168" s="388" t="str">
        <f t="shared" si="1"/>
        <v/>
      </c>
      <c r="C168" s="391"/>
      <c r="D168" s="391"/>
      <c r="E168" s="393"/>
      <c r="F168" s="391"/>
    </row>
    <row r="169">
      <c r="A169" s="392"/>
      <c r="B169" s="388" t="str">
        <f t="shared" si="1"/>
        <v/>
      </c>
      <c r="C169" s="391"/>
      <c r="D169" s="391"/>
      <c r="E169" s="393"/>
      <c r="F169" s="391"/>
    </row>
    <row r="170">
      <c r="A170" s="392"/>
      <c r="B170" s="388" t="str">
        <f t="shared" si="1"/>
        <v/>
      </c>
      <c r="C170" s="391"/>
      <c r="D170" s="391"/>
      <c r="E170" s="393"/>
      <c r="F170" s="391"/>
    </row>
    <row r="171">
      <c r="A171" s="392"/>
      <c r="B171" s="388" t="str">
        <f t="shared" si="1"/>
        <v/>
      </c>
      <c r="C171" s="391"/>
      <c r="D171" s="391"/>
      <c r="E171" s="393"/>
      <c r="F171" s="391"/>
    </row>
    <row r="172">
      <c r="A172" s="392"/>
      <c r="B172" s="388" t="str">
        <f t="shared" si="1"/>
        <v/>
      </c>
      <c r="C172" s="391"/>
      <c r="D172" s="391"/>
      <c r="E172" s="393"/>
      <c r="F172" s="391"/>
    </row>
    <row r="173">
      <c r="A173" s="392"/>
      <c r="B173" s="388" t="str">
        <f t="shared" si="1"/>
        <v/>
      </c>
      <c r="C173" s="391"/>
      <c r="D173" s="391"/>
      <c r="E173" s="393"/>
      <c r="F173" s="391"/>
    </row>
    <row r="174">
      <c r="A174" s="392"/>
      <c r="B174" s="388" t="str">
        <f t="shared" si="1"/>
        <v/>
      </c>
      <c r="C174" s="391"/>
      <c r="D174" s="391"/>
      <c r="E174" s="393"/>
      <c r="F174" s="391"/>
    </row>
    <row r="175">
      <c r="A175" s="392"/>
      <c r="B175" s="388" t="str">
        <f t="shared" si="1"/>
        <v/>
      </c>
      <c r="C175" s="391"/>
      <c r="D175" s="391"/>
      <c r="E175" s="393"/>
      <c r="F175" s="391"/>
    </row>
    <row r="176">
      <c r="A176" s="392"/>
      <c r="B176" s="388" t="str">
        <f t="shared" si="1"/>
        <v/>
      </c>
      <c r="C176" s="391"/>
      <c r="D176" s="391"/>
      <c r="E176" s="393"/>
      <c r="F176" s="391"/>
    </row>
    <row r="177">
      <c r="A177" s="392"/>
      <c r="B177" s="388" t="str">
        <f t="shared" si="1"/>
        <v/>
      </c>
      <c r="C177" s="391"/>
      <c r="D177" s="391"/>
      <c r="E177" s="393"/>
      <c r="F177" s="391"/>
    </row>
    <row r="178">
      <c r="A178" s="392"/>
      <c r="B178" s="388" t="str">
        <f t="shared" si="1"/>
        <v/>
      </c>
      <c r="C178" s="391"/>
      <c r="D178" s="391"/>
      <c r="E178" s="393"/>
      <c r="F178" s="391"/>
    </row>
    <row r="179">
      <c r="A179" s="392"/>
      <c r="B179" s="388" t="str">
        <f t="shared" si="1"/>
        <v/>
      </c>
      <c r="C179" s="391"/>
      <c r="D179" s="391"/>
      <c r="E179" s="393"/>
      <c r="F179" s="391"/>
    </row>
    <row r="180">
      <c r="A180" s="392"/>
      <c r="B180" s="388" t="str">
        <f t="shared" si="1"/>
        <v/>
      </c>
      <c r="C180" s="391"/>
      <c r="D180" s="391"/>
      <c r="E180" s="393"/>
      <c r="F180" s="391"/>
    </row>
    <row r="181">
      <c r="A181" s="392"/>
      <c r="B181" s="388" t="str">
        <f t="shared" si="1"/>
        <v/>
      </c>
      <c r="C181" s="391"/>
      <c r="D181" s="391"/>
      <c r="E181" s="393"/>
      <c r="F181" s="391"/>
    </row>
    <row r="182">
      <c r="A182" s="392"/>
      <c r="B182" s="388" t="str">
        <f t="shared" si="1"/>
        <v/>
      </c>
      <c r="C182" s="391"/>
      <c r="D182" s="391"/>
      <c r="E182" s="393"/>
      <c r="F182" s="391"/>
    </row>
    <row r="183">
      <c r="A183" s="392"/>
      <c r="B183" s="388" t="str">
        <f t="shared" si="1"/>
        <v/>
      </c>
      <c r="C183" s="391"/>
      <c r="D183" s="391"/>
      <c r="E183" s="393"/>
      <c r="F183" s="391"/>
    </row>
    <row r="184">
      <c r="A184" s="392"/>
      <c r="B184" s="388" t="str">
        <f t="shared" si="1"/>
        <v/>
      </c>
      <c r="C184" s="391"/>
      <c r="D184" s="391"/>
      <c r="E184" s="393"/>
      <c r="F184" s="391"/>
    </row>
    <row r="185">
      <c r="A185" s="392"/>
      <c r="B185" s="388" t="str">
        <f t="shared" si="1"/>
        <v/>
      </c>
      <c r="C185" s="391"/>
      <c r="D185" s="391"/>
      <c r="E185" s="393"/>
      <c r="F185" s="391"/>
    </row>
    <row r="186">
      <c r="A186" s="392"/>
      <c r="B186" s="388" t="str">
        <f t="shared" si="1"/>
        <v/>
      </c>
      <c r="C186" s="391"/>
      <c r="D186" s="391"/>
      <c r="E186" s="393"/>
      <c r="F186" s="391"/>
    </row>
    <row r="187">
      <c r="A187" s="392"/>
      <c r="B187" s="388" t="str">
        <f t="shared" si="1"/>
        <v/>
      </c>
      <c r="C187" s="391"/>
      <c r="D187" s="391"/>
      <c r="E187" s="393"/>
      <c r="F187" s="391"/>
    </row>
    <row r="188">
      <c r="A188" s="392"/>
      <c r="B188" s="388" t="str">
        <f t="shared" si="1"/>
        <v/>
      </c>
      <c r="C188" s="391"/>
      <c r="D188" s="391"/>
      <c r="E188" s="393"/>
      <c r="F188" s="391"/>
    </row>
    <row r="189">
      <c r="A189" s="392"/>
      <c r="B189" s="388" t="str">
        <f t="shared" si="1"/>
        <v/>
      </c>
      <c r="C189" s="391"/>
      <c r="D189" s="391"/>
      <c r="E189" s="393"/>
      <c r="F189" s="391"/>
    </row>
    <row r="190">
      <c r="A190" s="392"/>
      <c r="B190" s="388" t="str">
        <f t="shared" si="1"/>
        <v/>
      </c>
      <c r="C190" s="391"/>
      <c r="D190" s="391"/>
      <c r="E190" s="393"/>
      <c r="F190" s="391"/>
    </row>
    <row r="191">
      <c r="A191" s="392"/>
      <c r="B191" s="388" t="str">
        <f t="shared" si="1"/>
        <v/>
      </c>
      <c r="C191" s="391"/>
      <c r="D191" s="391"/>
      <c r="E191" s="393"/>
      <c r="F191" s="391"/>
    </row>
    <row r="192">
      <c r="A192" s="392"/>
      <c r="B192" s="388" t="str">
        <f t="shared" si="1"/>
        <v/>
      </c>
      <c r="C192" s="391"/>
      <c r="D192" s="391"/>
      <c r="E192" s="393"/>
      <c r="F192" s="391"/>
    </row>
    <row r="193">
      <c r="A193" s="392"/>
      <c r="B193" s="388" t="str">
        <f t="shared" si="1"/>
        <v/>
      </c>
      <c r="C193" s="391"/>
      <c r="D193" s="391"/>
      <c r="E193" s="393"/>
      <c r="F193" s="391"/>
    </row>
    <row r="194">
      <c r="A194" s="392"/>
      <c r="B194" s="388" t="str">
        <f t="shared" si="1"/>
        <v/>
      </c>
      <c r="C194" s="391"/>
      <c r="D194" s="391"/>
      <c r="E194" s="393"/>
      <c r="F194" s="391"/>
    </row>
    <row r="195">
      <c r="A195" s="392"/>
      <c r="B195" s="388" t="str">
        <f t="shared" si="1"/>
        <v/>
      </c>
      <c r="C195" s="391"/>
      <c r="D195" s="391"/>
      <c r="E195" s="393"/>
      <c r="F195" s="391"/>
    </row>
    <row r="196">
      <c r="A196" s="392"/>
      <c r="B196" s="388" t="str">
        <f t="shared" si="1"/>
        <v/>
      </c>
      <c r="C196" s="391"/>
      <c r="D196" s="391"/>
      <c r="E196" s="393"/>
      <c r="F196" s="391"/>
    </row>
    <row r="197">
      <c r="A197" s="392"/>
      <c r="B197" s="388" t="str">
        <f t="shared" si="1"/>
        <v/>
      </c>
      <c r="C197" s="391"/>
      <c r="D197" s="391"/>
      <c r="E197" s="393"/>
      <c r="F197" s="391"/>
    </row>
    <row r="198">
      <c r="A198" s="392"/>
      <c r="B198" s="388" t="str">
        <f t="shared" si="1"/>
        <v/>
      </c>
      <c r="C198" s="391"/>
      <c r="D198" s="391"/>
      <c r="E198" s="393"/>
      <c r="F198" s="391"/>
    </row>
    <row r="199">
      <c r="A199" s="392"/>
      <c r="B199" s="388" t="str">
        <f t="shared" si="1"/>
        <v/>
      </c>
      <c r="C199" s="391"/>
      <c r="D199" s="391"/>
      <c r="E199" s="393"/>
      <c r="F199" s="391"/>
    </row>
    <row r="200">
      <c r="A200" s="392"/>
      <c r="B200" s="388" t="str">
        <f t="shared" si="1"/>
        <v/>
      </c>
      <c r="C200" s="391"/>
      <c r="D200" s="391"/>
      <c r="E200" s="393"/>
      <c r="F200" s="391"/>
    </row>
    <row r="201">
      <c r="A201" s="392"/>
      <c r="B201" s="388" t="str">
        <f t="shared" si="1"/>
        <v/>
      </c>
      <c r="C201" s="391"/>
      <c r="D201" s="391"/>
      <c r="E201" s="393"/>
      <c r="F201" s="391"/>
    </row>
    <row r="202">
      <c r="A202" s="392"/>
      <c r="B202" s="388" t="str">
        <f t="shared" si="1"/>
        <v/>
      </c>
      <c r="C202" s="391"/>
      <c r="D202" s="391"/>
      <c r="E202" s="393"/>
      <c r="F202" s="391"/>
    </row>
    <row r="203">
      <c r="A203" s="392"/>
      <c r="B203" s="388" t="str">
        <f t="shared" si="1"/>
        <v/>
      </c>
      <c r="C203" s="391"/>
      <c r="D203" s="391"/>
      <c r="E203" s="393"/>
      <c r="F203" s="391"/>
    </row>
    <row r="204">
      <c r="A204" s="392"/>
      <c r="B204" s="388" t="str">
        <f t="shared" si="1"/>
        <v/>
      </c>
      <c r="C204" s="391"/>
      <c r="D204" s="391"/>
      <c r="E204" s="393"/>
      <c r="F204" s="391"/>
    </row>
    <row r="205">
      <c r="A205" s="392"/>
      <c r="B205" s="388" t="str">
        <f t="shared" si="1"/>
        <v/>
      </c>
      <c r="C205" s="391"/>
      <c r="D205" s="391"/>
      <c r="E205" s="393"/>
      <c r="F205" s="391"/>
    </row>
    <row r="206">
      <c r="A206" s="392"/>
      <c r="B206" s="388" t="str">
        <f t="shared" si="1"/>
        <v/>
      </c>
      <c r="C206" s="391"/>
      <c r="D206" s="391"/>
      <c r="E206" s="393"/>
      <c r="F206" s="391"/>
    </row>
    <row r="207">
      <c r="A207" s="392"/>
      <c r="B207" s="388" t="str">
        <f t="shared" si="1"/>
        <v/>
      </c>
      <c r="C207" s="391"/>
      <c r="D207" s="391"/>
      <c r="E207" s="393"/>
      <c r="F207" s="391"/>
    </row>
    <row r="208">
      <c r="A208" s="392"/>
      <c r="B208" s="388" t="str">
        <f t="shared" si="1"/>
        <v/>
      </c>
      <c r="C208" s="391"/>
      <c r="D208" s="391"/>
      <c r="E208" s="393"/>
      <c r="F208" s="391"/>
    </row>
    <row r="209">
      <c r="A209" s="392"/>
      <c r="B209" s="388" t="str">
        <f t="shared" si="1"/>
        <v/>
      </c>
      <c r="C209" s="391"/>
      <c r="D209" s="391"/>
      <c r="E209" s="393"/>
      <c r="F209" s="391"/>
    </row>
    <row r="210">
      <c r="A210" s="392"/>
      <c r="B210" s="388" t="str">
        <f t="shared" si="1"/>
        <v/>
      </c>
      <c r="C210" s="391"/>
      <c r="D210" s="391"/>
      <c r="E210" s="393"/>
      <c r="F210" s="391"/>
    </row>
    <row r="211">
      <c r="A211" s="392"/>
      <c r="B211" s="388" t="str">
        <f t="shared" si="1"/>
        <v/>
      </c>
      <c r="C211" s="391"/>
      <c r="D211" s="391"/>
      <c r="E211" s="393"/>
      <c r="F211" s="391"/>
    </row>
    <row r="212">
      <c r="A212" s="392"/>
      <c r="B212" s="388" t="str">
        <f t="shared" si="1"/>
        <v/>
      </c>
      <c r="C212" s="391"/>
      <c r="D212" s="391"/>
      <c r="E212" s="393"/>
      <c r="F212" s="391"/>
    </row>
    <row r="213">
      <c r="A213" s="392"/>
      <c r="B213" s="388" t="str">
        <f t="shared" si="1"/>
        <v/>
      </c>
      <c r="C213" s="391"/>
      <c r="D213" s="391"/>
      <c r="E213" s="393"/>
      <c r="F213" s="391"/>
    </row>
    <row r="214">
      <c r="A214" s="392"/>
      <c r="B214" s="388" t="str">
        <f t="shared" si="1"/>
        <v/>
      </c>
      <c r="C214" s="391"/>
      <c r="D214" s="391"/>
      <c r="E214" s="393"/>
      <c r="F214" s="391"/>
    </row>
    <row r="215">
      <c r="A215" s="392"/>
      <c r="B215" s="388" t="str">
        <f t="shared" si="1"/>
        <v/>
      </c>
      <c r="C215" s="391"/>
      <c r="D215" s="391"/>
      <c r="E215" s="393"/>
      <c r="F215" s="391"/>
    </row>
    <row r="216">
      <c r="A216" s="392"/>
      <c r="B216" s="388" t="str">
        <f t="shared" si="1"/>
        <v/>
      </c>
      <c r="C216" s="391"/>
      <c r="D216" s="391"/>
      <c r="E216" s="393"/>
      <c r="F216" s="391"/>
    </row>
    <row r="217">
      <c r="A217" s="392"/>
      <c r="B217" s="388" t="str">
        <f t="shared" si="1"/>
        <v/>
      </c>
      <c r="C217" s="391"/>
      <c r="D217" s="391"/>
      <c r="E217" s="393"/>
      <c r="F217" s="391"/>
    </row>
    <row r="218">
      <c r="A218" s="392"/>
      <c r="B218" s="388" t="str">
        <f t="shared" si="1"/>
        <v/>
      </c>
      <c r="C218" s="391"/>
      <c r="D218" s="391"/>
      <c r="E218" s="393"/>
      <c r="F218" s="391"/>
    </row>
    <row r="219">
      <c r="A219" s="392"/>
      <c r="B219" s="388" t="str">
        <f t="shared" si="1"/>
        <v/>
      </c>
      <c r="C219" s="391"/>
      <c r="D219" s="391"/>
      <c r="E219" s="393"/>
      <c r="F219" s="391"/>
    </row>
    <row r="220">
      <c r="A220" s="392"/>
      <c r="B220" s="388" t="str">
        <f t="shared" si="1"/>
        <v/>
      </c>
      <c r="C220" s="391"/>
      <c r="D220" s="391"/>
      <c r="E220" s="393"/>
      <c r="F220" s="391"/>
    </row>
    <row r="221">
      <c r="A221" s="392"/>
      <c r="B221" s="388" t="str">
        <f t="shared" si="1"/>
        <v/>
      </c>
      <c r="C221" s="391"/>
      <c r="D221" s="391"/>
      <c r="E221" s="393"/>
      <c r="F221" s="391"/>
    </row>
    <row r="222">
      <c r="A222" s="392"/>
      <c r="B222" s="388" t="str">
        <f t="shared" si="1"/>
        <v/>
      </c>
      <c r="C222" s="391"/>
      <c r="D222" s="391"/>
      <c r="E222" s="393"/>
      <c r="F222" s="391"/>
    </row>
    <row r="223">
      <c r="A223" s="392"/>
      <c r="B223" s="388" t="str">
        <f t="shared" si="1"/>
        <v/>
      </c>
      <c r="C223" s="391"/>
      <c r="D223" s="391"/>
      <c r="E223" s="393"/>
      <c r="F223" s="391"/>
    </row>
    <row r="224">
      <c r="A224" s="392"/>
      <c r="B224" s="388" t="str">
        <f t="shared" si="1"/>
        <v/>
      </c>
      <c r="C224" s="391"/>
      <c r="D224" s="391"/>
      <c r="E224" s="393"/>
      <c r="F224" s="391"/>
    </row>
    <row r="225">
      <c r="A225" s="392"/>
      <c r="B225" s="388" t="str">
        <f t="shared" si="1"/>
        <v/>
      </c>
      <c r="C225" s="391"/>
      <c r="D225" s="391"/>
      <c r="E225" s="393"/>
      <c r="F225" s="391"/>
    </row>
    <row r="226">
      <c r="A226" s="392"/>
      <c r="B226" s="388" t="str">
        <f t="shared" si="1"/>
        <v/>
      </c>
      <c r="C226" s="391"/>
      <c r="D226" s="391"/>
      <c r="E226" s="393"/>
      <c r="F226" s="391"/>
    </row>
    <row r="227">
      <c r="A227" s="392"/>
      <c r="B227" s="388" t="str">
        <f t="shared" si="1"/>
        <v/>
      </c>
      <c r="C227" s="391"/>
      <c r="D227" s="391"/>
      <c r="E227" s="393"/>
      <c r="F227" s="391"/>
    </row>
    <row r="228">
      <c r="A228" s="392"/>
      <c r="B228" s="388" t="str">
        <f t="shared" si="1"/>
        <v/>
      </c>
      <c r="C228" s="391"/>
      <c r="D228" s="391"/>
      <c r="E228" s="393"/>
      <c r="F228" s="391"/>
    </row>
    <row r="229">
      <c r="A229" s="392"/>
      <c r="B229" s="388" t="str">
        <f t="shared" si="1"/>
        <v/>
      </c>
      <c r="C229" s="391"/>
      <c r="D229" s="391"/>
      <c r="E229" s="393"/>
      <c r="F229" s="391"/>
    </row>
    <row r="230">
      <c r="A230" s="392"/>
      <c r="B230" s="388" t="str">
        <f t="shared" si="1"/>
        <v/>
      </c>
      <c r="C230" s="391"/>
      <c r="D230" s="391"/>
      <c r="E230" s="393"/>
      <c r="F230" s="391"/>
    </row>
    <row r="231">
      <c r="A231" s="392"/>
      <c r="B231" s="388" t="str">
        <f t="shared" si="1"/>
        <v/>
      </c>
      <c r="C231" s="391"/>
      <c r="D231" s="391"/>
      <c r="E231" s="393"/>
      <c r="F231" s="391"/>
    </row>
    <row r="232">
      <c r="A232" s="392"/>
      <c r="B232" s="388" t="str">
        <f t="shared" si="1"/>
        <v/>
      </c>
      <c r="C232" s="391"/>
      <c r="D232" s="391"/>
      <c r="E232" s="393"/>
      <c r="F232" s="391"/>
    </row>
    <row r="233">
      <c r="A233" s="392"/>
      <c r="B233" s="388" t="str">
        <f t="shared" si="1"/>
        <v/>
      </c>
      <c r="C233" s="391"/>
      <c r="D233" s="391"/>
      <c r="E233" s="393"/>
      <c r="F233" s="391"/>
    </row>
    <row r="234">
      <c r="A234" s="392"/>
      <c r="B234" s="388" t="str">
        <f t="shared" si="1"/>
        <v/>
      </c>
      <c r="C234" s="391"/>
      <c r="D234" s="391"/>
      <c r="E234" s="393"/>
      <c r="F234" s="391"/>
    </row>
    <row r="235">
      <c r="A235" s="392"/>
      <c r="B235" s="388" t="str">
        <f t="shared" si="1"/>
        <v/>
      </c>
      <c r="C235" s="391"/>
      <c r="D235" s="391"/>
      <c r="E235" s="393"/>
      <c r="F235" s="391"/>
    </row>
    <row r="236">
      <c r="A236" s="392"/>
      <c r="B236" s="388" t="str">
        <f t="shared" si="1"/>
        <v/>
      </c>
      <c r="C236" s="391"/>
      <c r="D236" s="391"/>
      <c r="E236" s="393"/>
      <c r="F236" s="391"/>
    </row>
    <row r="237">
      <c r="A237" s="392"/>
      <c r="B237" s="388" t="str">
        <f t="shared" si="1"/>
        <v/>
      </c>
      <c r="C237" s="391"/>
      <c r="D237" s="391"/>
      <c r="E237" s="393"/>
      <c r="F237" s="391"/>
    </row>
    <row r="238">
      <c r="A238" s="392"/>
      <c r="B238" s="388" t="str">
        <f t="shared" si="1"/>
        <v/>
      </c>
      <c r="C238" s="391"/>
      <c r="D238" s="391"/>
      <c r="E238" s="393"/>
      <c r="F238" s="391"/>
    </row>
    <row r="239">
      <c r="A239" s="392"/>
      <c r="B239" s="388" t="str">
        <f t="shared" si="1"/>
        <v/>
      </c>
      <c r="C239" s="391"/>
      <c r="D239" s="391"/>
      <c r="E239" s="393"/>
      <c r="F239" s="391"/>
    </row>
    <row r="240">
      <c r="A240" s="392"/>
      <c r="B240" s="388" t="str">
        <f t="shared" si="1"/>
        <v/>
      </c>
      <c r="C240" s="391"/>
      <c r="D240" s="391"/>
      <c r="E240" s="393"/>
      <c r="F240" s="391"/>
    </row>
    <row r="241">
      <c r="A241" s="392"/>
      <c r="B241" s="388" t="str">
        <f t="shared" si="1"/>
        <v/>
      </c>
      <c r="C241" s="391"/>
      <c r="D241" s="391"/>
      <c r="E241" s="393"/>
      <c r="F241" s="391"/>
    </row>
    <row r="242">
      <c r="A242" s="392"/>
      <c r="B242" s="388" t="str">
        <f t="shared" si="1"/>
        <v/>
      </c>
      <c r="C242" s="391"/>
      <c r="D242" s="391"/>
      <c r="E242" s="393"/>
      <c r="F242" s="391"/>
    </row>
    <row r="243">
      <c r="A243" s="392"/>
      <c r="B243" s="388" t="str">
        <f t="shared" si="1"/>
        <v/>
      </c>
      <c r="C243" s="391"/>
      <c r="D243" s="391"/>
      <c r="E243" s="393"/>
      <c r="F243" s="391"/>
    </row>
    <row r="244">
      <c r="A244" s="392"/>
      <c r="B244" s="388" t="str">
        <f t="shared" si="1"/>
        <v/>
      </c>
      <c r="C244" s="391"/>
      <c r="D244" s="391"/>
      <c r="E244" s="393"/>
      <c r="F244" s="391"/>
    </row>
    <row r="245">
      <c r="A245" s="392"/>
      <c r="B245" s="388" t="str">
        <f t="shared" si="1"/>
        <v/>
      </c>
      <c r="C245" s="391"/>
      <c r="D245" s="391"/>
      <c r="E245" s="393"/>
      <c r="F245" s="391"/>
    </row>
    <row r="246">
      <c r="A246" s="392"/>
      <c r="B246" s="388" t="str">
        <f t="shared" si="1"/>
        <v/>
      </c>
      <c r="C246" s="391"/>
      <c r="D246" s="391"/>
      <c r="E246" s="393"/>
      <c r="F246" s="391"/>
    </row>
    <row r="247">
      <c r="A247" s="392"/>
      <c r="B247" s="388" t="str">
        <f t="shared" si="1"/>
        <v/>
      </c>
      <c r="C247" s="391"/>
      <c r="D247" s="391"/>
      <c r="E247" s="393"/>
      <c r="F247" s="391"/>
    </row>
    <row r="248">
      <c r="A248" s="392"/>
      <c r="B248" s="388" t="str">
        <f t="shared" si="1"/>
        <v/>
      </c>
      <c r="C248" s="391"/>
      <c r="D248" s="391"/>
      <c r="E248" s="393"/>
      <c r="F248" s="391"/>
    </row>
    <row r="249">
      <c r="A249" s="392"/>
      <c r="B249" s="388" t="str">
        <f t="shared" si="1"/>
        <v/>
      </c>
      <c r="C249" s="391"/>
      <c r="D249" s="391"/>
      <c r="E249" s="393"/>
      <c r="F249" s="391"/>
    </row>
    <row r="250">
      <c r="A250" s="392"/>
      <c r="B250" s="388" t="str">
        <f t="shared" si="1"/>
        <v/>
      </c>
      <c r="C250" s="391"/>
      <c r="D250" s="391"/>
      <c r="E250" s="393"/>
      <c r="F250" s="391"/>
    </row>
    <row r="251">
      <c r="A251" s="392"/>
      <c r="B251" s="388" t="str">
        <f t="shared" si="1"/>
        <v/>
      </c>
      <c r="C251" s="391"/>
      <c r="D251" s="391"/>
      <c r="E251" s="393"/>
      <c r="F251" s="391"/>
    </row>
    <row r="252">
      <c r="A252" s="392"/>
      <c r="B252" s="388" t="str">
        <f t="shared" si="1"/>
        <v/>
      </c>
      <c r="C252" s="391"/>
      <c r="D252" s="391"/>
      <c r="E252" s="393"/>
      <c r="F252" s="391"/>
    </row>
    <row r="253">
      <c r="A253" s="392"/>
      <c r="B253" s="388" t="str">
        <f t="shared" si="1"/>
        <v/>
      </c>
      <c r="C253" s="391"/>
      <c r="D253" s="391"/>
      <c r="E253" s="393"/>
      <c r="F253" s="391"/>
    </row>
    <row r="254">
      <c r="A254" s="392"/>
      <c r="B254" s="388" t="str">
        <f t="shared" si="1"/>
        <v/>
      </c>
      <c r="C254" s="391"/>
      <c r="D254" s="391"/>
      <c r="E254" s="393"/>
      <c r="F254" s="391"/>
    </row>
    <row r="255">
      <c r="A255" s="392"/>
      <c r="B255" s="388" t="str">
        <f t="shared" si="1"/>
        <v/>
      </c>
      <c r="C255" s="391"/>
      <c r="D255" s="391"/>
      <c r="E255" s="393"/>
      <c r="F255" s="391"/>
    </row>
    <row r="256">
      <c r="A256" s="392"/>
      <c r="B256" s="388" t="str">
        <f t="shared" si="1"/>
        <v/>
      </c>
      <c r="C256" s="391"/>
      <c r="D256" s="391"/>
      <c r="E256" s="393"/>
      <c r="F256" s="391"/>
    </row>
    <row r="257">
      <c r="A257" s="392"/>
      <c r="B257" s="388" t="str">
        <f t="shared" si="1"/>
        <v/>
      </c>
      <c r="C257" s="391"/>
      <c r="D257" s="391"/>
      <c r="E257" s="393"/>
      <c r="F257" s="391"/>
    </row>
    <row r="258">
      <c r="A258" s="392"/>
      <c r="B258" s="388" t="str">
        <f t="shared" si="1"/>
        <v/>
      </c>
      <c r="C258" s="391"/>
      <c r="D258" s="391"/>
      <c r="E258" s="393"/>
      <c r="F258" s="391"/>
    </row>
    <row r="259">
      <c r="A259" s="392"/>
      <c r="B259" s="388" t="str">
        <f t="shared" si="1"/>
        <v/>
      </c>
      <c r="C259" s="391"/>
      <c r="D259" s="391"/>
      <c r="E259" s="393"/>
      <c r="F259" s="391"/>
    </row>
    <row r="260">
      <c r="A260" s="392"/>
      <c r="B260" s="388" t="str">
        <f t="shared" si="1"/>
        <v/>
      </c>
      <c r="C260" s="391"/>
      <c r="D260" s="391"/>
      <c r="E260" s="393"/>
      <c r="F260" s="391"/>
    </row>
    <row r="261">
      <c r="A261" s="392"/>
      <c r="B261" s="388" t="str">
        <f t="shared" si="1"/>
        <v/>
      </c>
      <c r="C261" s="391"/>
      <c r="D261" s="391"/>
      <c r="E261" s="393"/>
      <c r="F261" s="391"/>
    </row>
    <row r="262">
      <c r="A262" s="392"/>
      <c r="B262" s="388" t="str">
        <f t="shared" si="1"/>
        <v/>
      </c>
      <c r="C262" s="391"/>
      <c r="D262" s="391"/>
      <c r="E262" s="393"/>
      <c r="F262" s="391"/>
    </row>
    <row r="263">
      <c r="A263" s="392"/>
      <c r="B263" s="388" t="str">
        <f t="shared" si="1"/>
        <v/>
      </c>
      <c r="C263" s="391"/>
      <c r="D263" s="391"/>
      <c r="E263" s="393"/>
      <c r="F263" s="391"/>
    </row>
    <row r="264">
      <c r="A264" s="392"/>
      <c r="B264" s="388" t="str">
        <f t="shared" si="1"/>
        <v/>
      </c>
      <c r="C264" s="391"/>
      <c r="D264" s="391"/>
      <c r="E264" s="393"/>
      <c r="F264" s="391"/>
    </row>
    <row r="265">
      <c r="A265" s="392"/>
      <c r="B265" s="388" t="str">
        <f t="shared" si="1"/>
        <v/>
      </c>
      <c r="C265" s="391"/>
      <c r="D265" s="391"/>
      <c r="E265" s="393"/>
      <c r="F265" s="391"/>
    </row>
    <row r="266">
      <c r="A266" s="392"/>
      <c r="B266" s="388" t="str">
        <f t="shared" si="1"/>
        <v/>
      </c>
      <c r="C266" s="391"/>
      <c r="D266" s="391"/>
      <c r="E266" s="393"/>
      <c r="F266" s="391"/>
    </row>
    <row r="267">
      <c r="A267" s="392"/>
      <c r="B267" s="388" t="str">
        <f t="shared" si="1"/>
        <v/>
      </c>
      <c r="C267" s="391"/>
      <c r="D267" s="391"/>
      <c r="E267" s="393"/>
      <c r="F267" s="391"/>
    </row>
    <row r="268">
      <c r="A268" s="392"/>
      <c r="B268" s="388" t="str">
        <f t="shared" si="1"/>
        <v/>
      </c>
      <c r="C268" s="391"/>
      <c r="D268" s="391"/>
      <c r="E268" s="393"/>
      <c r="F268" s="391"/>
    </row>
    <row r="269">
      <c r="A269" s="392"/>
      <c r="B269" s="388" t="str">
        <f t="shared" si="1"/>
        <v/>
      </c>
      <c r="C269" s="391"/>
      <c r="D269" s="391"/>
      <c r="E269" s="393"/>
      <c r="F269" s="391"/>
    </row>
    <row r="270">
      <c r="A270" s="392"/>
      <c r="B270" s="388" t="str">
        <f t="shared" si="1"/>
        <v/>
      </c>
      <c r="C270" s="391"/>
      <c r="D270" s="391"/>
      <c r="E270" s="393"/>
      <c r="F270" s="391"/>
    </row>
    <row r="271">
      <c r="A271" s="392"/>
      <c r="B271" s="388" t="str">
        <f t="shared" si="1"/>
        <v/>
      </c>
      <c r="C271" s="391"/>
      <c r="D271" s="391"/>
      <c r="E271" s="393"/>
      <c r="F271" s="391"/>
    </row>
    <row r="272">
      <c r="A272" s="392"/>
      <c r="B272" s="388" t="str">
        <f t="shared" si="1"/>
        <v/>
      </c>
      <c r="C272" s="391"/>
      <c r="D272" s="391"/>
      <c r="E272" s="393"/>
      <c r="F272" s="391"/>
    </row>
    <row r="273">
      <c r="A273" s="392"/>
      <c r="B273" s="388" t="str">
        <f t="shared" si="1"/>
        <v/>
      </c>
      <c r="C273" s="391"/>
      <c r="D273" s="391"/>
      <c r="E273" s="393"/>
      <c r="F273" s="391"/>
    </row>
    <row r="274">
      <c r="A274" s="392"/>
      <c r="B274" s="388" t="str">
        <f t="shared" si="1"/>
        <v/>
      </c>
      <c r="C274" s="391"/>
      <c r="D274" s="391"/>
      <c r="E274" s="393"/>
      <c r="F274" s="391"/>
    </row>
    <row r="275">
      <c r="A275" s="392"/>
      <c r="B275" s="388" t="str">
        <f t="shared" si="1"/>
        <v/>
      </c>
      <c r="C275" s="391"/>
      <c r="D275" s="391"/>
      <c r="E275" s="393"/>
      <c r="F275" s="391"/>
    </row>
    <row r="276">
      <c r="A276" s="392"/>
      <c r="B276" s="388" t="str">
        <f t="shared" si="1"/>
        <v/>
      </c>
      <c r="C276" s="391"/>
      <c r="D276" s="391"/>
      <c r="E276" s="393"/>
      <c r="F276" s="391"/>
    </row>
    <row r="277">
      <c r="A277" s="392"/>
      <c r="B277" s="388" t="str">
        <f t="shared" si="1"/>
        <v/>
      </c>
      <c r="C277" s="391"/>
      <c r="D277" s="391"/>
      <c r="E277" s="393"/>
      <c r="F277" s="391"/>
    </row>
    <row r="278">
      <c r="A278" s="392"/>
      <c r="B278" s="388" t="str">
        <f t="shared" si="1"/>
        <v/>
      </c>
      <c r="C278" s="391"/>
      <c r="D278" s="391"/>
      <c r="E278" s="393"/>
      <c r="F278" s="391"/>
    </row>
    <row r="279">
      <c r="A279" s="392"/>
      <c r="B279" s="388" t="str">
        <f t="shared" si="1"/>
        <v/>
      </c>
      <c r="C279" s="391"/>
      <c r="D279" s="391"/>
      <c r="E279" s="393"/>
      <c r="F279" s="391"/>
    </row>
    <row r="280">
      <c r="A280" s="392"/>
      <c r="B280" s="388" t="str">
        <f t="shared" si="1"/>
        <v/>
      </c>
      <c r="C280" s="391"/>
      <c r="D280" s="391"/>
      <c r="E280" s="393"/>
      <c r="F280" s="391"/>
    </row>
    <row r="281">
      <c r="A281" s="392"/>
      <c r="B281" s="388" t="str">
        <f t="shared" si="1"/>
        <v/>
      </c>
      <c r="C281" s="391"/>
      <c r="D281" s="391"/>
      <c r="E281" s="393"/>
      <c r="F281" s="391"/>
    </row>
    <row r="282">
      <c r="A282" s="392"/>
      <c r="B282" s="388" t="str">
        <f t="shared" si="1"/>
        <v/>
      </c>
      <c r="C282" s="391"/>
      <c r="D282" s="391"/>
      <c r="E282" s="393"/>
      <c r="F282" s="391"/>
    </row>
    <row r="283">
      <c r="A283" s="392"/>
      <c r="B283" s="388" t="str">
        <f t="shared" si="1"/>
        <v/>
      </c>
      <c r="C283" s="391"/>
      <c r="D283" s="391"/>
      <c r="E283" s="393"/>
      <c r="F283" s="391"/>
    </row>
    <row r="284">
      <c r="A284" s="392"/>
      <c r="B284" s="388" t="str">
        <f t="shared" si="1"/>
        <v/>
      </c>
      <c r="C284" s="391"/>
      <c r="D284" s="391"/>
      <c r="E284" s="393"/>
      <c r="F284" s="391"/>
    </row>
    <row r="285">
      <c r="A285" s="392"/>
      <c r="B285" s="388" t="str">
        <f t="shared" si="1"/>
        <v/>
      </c>
      <c r="C285" s="391"/>
      <c r="D285" s="391"/>
      <c r="E285" s="393"/>
      <c r="F285" s="391"/>
    </row>
    <row r="286">
      <c r="A286" s="392"/>
      <c r="B286" s="388" t="str">
        <f t="shared" si="1"/>
        <v/>
      </c>
      <c r="C286" s="391"/>
      <c r="D286" s="391"/>
      <c r="E286" s="393"/>
      <c r="F286" s="391"/>
    </row>
    <row r="287">
      <c r="A287" s="392"/>
      <c r="B287" s="388" t="str">
        <f t="shared" si="1"/>
        <v/>
      </c>
      <c r="C287" s="391"/>
      <c r="D287" s="391"/>
      <c r="E287" s="393"/>
      <c r="F287" s="391"/>
    </row>
    <row r="288">
      <c r="A288" s="392"/>
      <c r="B288" s="388" t="str">
        <f t="shared" si="1"/>
        <v/>
      </c>
      <c r="C288" s="391"/>
      <c r="D288" s="391"/>
      <c r="E288" s="393"/>
      <c r="F288" s="391"/>
    </row>
    <row r="289">
      <c r="A289" s="392"/>
      <c r="B289" s="388" t="str">
        <f t="shared" si="1"/>
        <v/>
      </c>
      <c r="C289" s="391"/>
      <c r="D289" s="391"/>
      <c r="E289" s="393"/>
      <c r="F289" s="391"/>
    </row>
    <row r="290">
      <c r="A290" s="392"/>
      <c r="B290" s="388" t="str">
        <f t="shared" si="1"/>
        <v/>
      </c>
      <c r="C290" s="391"/>
      <c r="D290" s="391"/>
      <c r="E290" s="393"/>
      <c r="F290" s="391"/>
    </row>
    <row r="291">
      <c r="A291" s="392"/>
      <c r="B291" s="388" t="str">
        <f t="shared" si="1"/>
        <v/>
      </c>
      <c r="C291" s="391"/>
      <c r="D291" s="391"/>
      <c r="E291" s="393"/>
      <c r="F291" s="391"/>
    </row>
    <row r="292">
      <c r="A292" s="392"/>
      <c r="B292" s="388" t="str">
        <f t="shared" si="1"/>
        <v/>
      </c>
      <c r="C292" s="391"/>
      <c r="D292" s="391"/>
      <c r="E292" s="393"/>
      <c r="F292" s="391"/>
    </row>
    <row r="293">
      <c r="A293" s="392"/>
      <c r="B293" s="388" t="str">
        <f t="shared" si="1"/>
        <v/>
      </c>
      <c r="C293" s="391"/>
      <c r="D293" s="391"/>
      <c r="E293" s="393"/>
      <c r="F293" s="391"/>
    </row>
    <row r="294">
      <c r="A294" s="392"/>
      <c r="B294" s="388" t="str">
        <f t="shared" si="1"/>
        <v/>
      </c>
      <c r="C294" s="391"/>
      <c r="D294" s="391"/>
      <c r="E294" s="393"/>
      <c r="F294" s="391"/>
    </row>
    <row r="295">
      <c r="A295" s="392"/>
      <c r="B295" s="388" t="str">
        <f t="shared" si="1"/>
        <v/>
      </c>
      <c r="C295" s="391"/>
      <c r="D295" s="391"/>
      <c r="E295" s="393"/>
      <c r="F295" s="391"/>
    </row>
    <row r="296">
      <c r="A296" s="392"/>
      <c r="B296" s="388" t="str">
        <f t="shared" si="1"/>
        <v/>
      </c>
      <c r="C296" s="391"/>
      <c r="D296" s="391"/>
      <c r="E296" s="393"/>
      <c r="F296" s="391"/>
    </row>
    <row r="297">
      <c r="A297" s="392"/>
      <c r="B297" s="388" t="str">
        <f t="shared" si="1"/>
        <v/>
      </c>
      <c r="C297" s="391"/>
      <c r="D297" s="391"/>
      <c r="E297" s="393"/>
      <c r="F297" s="391"/>
    </row>
    <row r="298">
      <c r="A298" s="392"/>
      <c r="B298" s="388" t="str">
        <f t="shared" si="1"/>
        <v/>
      </c>
      <c r="C298" s="391"/>
      <c r="D298" s="391"/>
      <c r="E298" s="393"/>
      <c r="F298" s="391"/>
    </row>
    <row r="299">
      <c r="A299" s="392"/>
      <c r="B299" s="388" t="str">
        <f t="shared" si="1"/>
        <v/>
      </c>
      <c r="C299" s="391"/>
      <c r="D299" s="391"/>
      <c r="E299" s="393"/>
      <c r="F299" s="391"/>
    </row>
    <row r="300">
      <c r="A300" s="392"/>
      <c r="B300" s="388" t="str">
        <f t="shared" si="1"/>
        <v/>
      </c>
      <c r="C300" s="391"/>
      <c r="D300" s="391"/>
      <c r="E300" s="393"/>
      <c r="F300" s="391"/>
    </row>
    <row r="301">
      <c r="A301" s="392"/>
      <c r="B301" s="388" t="str">
        <f t="shared" si="1"/>
        <v/>
      </c>
      <c r="C301" s="391"/>
      <c r="D301" s="391"/>
      <c r="E301" s="393"/>
      <c r="F301" s="391"/>
    </row>
    <row r="302">
      <c r="A302" s="392"/>
      <c r="B302" s="388" t="str">
        <f t="shared" si="1"/>
        <v/>
      </c>
      <c r="C302" s="391"/>
      <c r="D302" s="391"/>
      <c r="E302" s="393"/>
      <c r="F302" s="391"/>
    </row>
    <row r="303">
      <c r="A303" s="392"/>
      <c r="B303" s="388" t="str">
        <f t="shared" si="1"/>
        <v/>
      </c>
      <c r="C303" s="391"/>
      <c r="D303" s="391"/>
      <c r="E303" s="393"/>
      <c r="F303" s="391"/>
    </row>
    <row r="304">
      <c r="A304" s="392"/>
      <c r="B304" s="388" t="str">
        <f t="shared" si="1"/>
        <v/>
      </c>
      <c r="C304" s="391"/>
      <c r="D304" s="391"/>
      <c r="E304" s="393"/>
      <c r="F304" s="391"/>
    </row>
    <row r="305">
      <c r="A305" s="392"/>
      <c r="B305" s="388" t="str">
        <f t="shared" si="1"/>
        <v/>
      </c>
      <c r="C305" s="391"/>
      <c r="D305" s="391"/>
      <c r="E305" s="393"/>
      <c r="F305" s="391"/>
    </row>
    <row r="306">
      <c r="A306" s="392"/>
      <c r="B306" s="388" t="str">
        <f t="shared" si="1"/>
        <v/>
      </c>
      <c r="C306" s="391"/>
      <c r="D306" s="391"/>
      <c r="E306" s="393"/>
      <c r="F306" s="391"/>
    </row>
    <row r="307">
      <c r="A307" s="392"/>
      <c r="B307" s="388" t="str">
        <f t="shared" si="1"/>
        <v/>
      </c>
      <c r="C307" s="391"/>
      <c r="D307" s="391"/>
      <c r="E307" s="393"/>
      <c r="F307" s="391"/>
    </row>
    <row r="308">
      <c r="A308" s="392"/>
      <c r="B308" s="388" t="str">
        <f t="shared" si="1"/>
        <v/>
      </c>
      <c r="C308" s="391"/>
      <c r="D308" s="391"/>
      <c r="E308" s="393"/>
      <c r="F308" s="391"/>
    </row>
    <row r="309">
      <c r="A309" s="392"/>
      <c r="B309" s="388" t="str">
        <f t="shared" si="1"/>
        <v/>
      </c>
      <c r="C309" s="391"/>
      <c r="D309" s="391"/>
      <c r="E309" s="393"/>
      <c r="F309" s="391"/>
    </row>
    <row r="310">
      <c r="A310" s="392"/>
      <c r="B310" s="388" t="str">
        <f t="shared" si="1"/>
        <v/>
      </c>
      <c r="C310" s="391"/>
      <c r="D310" s="391"/>
      <c r="E310" s="393"/>
      <c r="F310" s="391"/>
    </row>
    <row r="311">
      <c r="A311" s="392"/>
      <c r="B311" s="388" t="str">
        <f t="shared" si="1"/>
        <v/>
      </c>
      <c r="C311" s="391"/>
      <c r="D311" s="391"/>
      <c r="E311" s="393"/>
      <c r="F311" s="391"/>
    </row>
    <row r="312">
      <c r="A312" s="392"/>
      <c r="B312" s="388" t="str">
        <f t="shared" si="1"/>
        <v/>
      </c>
      <c r="C312" s="391"/>
      <c r="D312" s="391"/>
      <c r="E312" s="393"/>
      <c r="F312" s="391"/>
    </row>
    <row r="313">
      <c r="A313" s="392"/>
      <c r="B313" s="388" t="str">
        <f t="shared" si="1"/>
        <v/>
      </c>
      <c r="C313" s="391"/>
      <c r="D313" s="391"/>
      <c r="E313" s="393"/>
      <c r="F313" s="391"/>
    </row>
    <row r="314">
      <c r="A314" s="392"/>
      <c r="B314" s="388" t="str">
        <f t="shared" si="1"/>
        <v/>
      </c>
      <c r="C314" s="391"/>
      <c r="D314" s="391"/>
      <c r="E314" s="393"/>
      <c r="F314" s="391"/>
    </row>
    <row r="315">
      <c r="A315" s="392"/>
      <c r="B315" s="388" t="str">
        <f t="shared" si="1"/>
        <v/>
      </c>
      <c r="C315" s="391"/>
      <c r="D315" s="391"/>
      <c r="E315" s="393"/>
      <c r="F315" s="391"/>
    </row>
    <row r="316">
      <c r="A316" s="392"/>
      <c r="B316" s="388" t="str">
        <f t="shared" si="1"/>
        <v/>
      </c>
      <c r="C316" s="391"/>
      <c r="D316" s="391"/>
      <c r="E316" s="393"/>
      <c r="F316" s="391"/>
    </row>
    <row r="317">
      <c r="A317" s="392"/>
      <c r="B317" s="388" t="str">
        <f t="shared" si="1"/>
        <v/>
      </c>
      <c r="C317" s="391"/>
      <c r="D317" s="391"/>
      <c r="E317" s="393"/>
      <c r="F317" s="391"/>
    </row>
    <row r="318">
      <c r="A318" s="392"/>
      <c r="B318" s="388" t="str">
        <f t="shared" si="1"/>
        <v/>
      </c>
      <c r="C318" s="391"/>
      <c r="D318" s="391"/>
      <c r="E318" s="393"/>
      <c r="F318" s="391"/>
    </row>
    <row r="319">
      <c r="A319" s="392"/>
      <c r="B319" s="388" t="str">
        <f t="shared" si="1"/>
        <v/>
      </c>
      <c r="C319" s="391"/>
      <c r="D319" s="391"/>
      <c r="E319" s="393"/>
      <c r="F319" s="391"/>
    </row>
    <row r="320">
      <c r="A320" s="392"/>
      <c r="B320" s="388" t="str">
        <f t="shared" si="1"/>
        <v/>
      </c>
      <c r="C320" s="391"/>
      <c r="D320" s="391"/>
      <c r="E320" s="393"/>
      <c r="F320" s="391"/>
    </row>
    <row r="321">
      <c r="A321" s="392"/>
      <c r="B321" s="388" t="str">
        <f t="shared" si="1"/>
        <v/>
      </c>
      <c r="C321" s="391"/>
      <c r="D321" s="391"/>
      <c r="E321" s="393"/>
      <c r="F321" s="391"/>
    </row>
    <row r="322">
      <c r="A322" s="392"/>
      <c r="B322" s="388" t="str">
        <f t="shared" si="1"/>
        <v/>
      </c>
      <c r="C322" s="391"/>
      <c r="D322" s="391"/>
      <c r="E322" s="393"/>
      <c r="F322" s="391"/>
    </row>
    <row r="323">
      <c r="A323" s="392"/>
      <c r="B323" s="388" t="str">
        <f t="shared" si="1"/>
        <v/>
      </c>
      <c r="C323" s="391"/>
      <c r="D323" s="391"/>
      <c r="E323" s="393"/>
      <c r="F323" s="391"/>
    </row>
    <row r="324">
      <c r="A324" s="392"/>
      <c r="B324" s="388" t="str">
        <f t="shared" si="1"/>
        <v/>
      </c>
      <c r="C324" s="391"/>
      <c r="D324" s="391"/>
      <c r="E324" s="393"/>
      <c r="F324" s="391"/>
    </row>
    <row r="325">
      <c r="A325" s="392"/>
      <c r="B325" s="388" t="str">
        <f t="shared" si="1"/>
        <v/>
      </c>
      <c r="C325" s="391"/>
      <c r="D325" s="391"/>
      <c r="E325" s="393"/>
      <c r="F325" s="391"/>
    </row>
    <row r="326">
      <c r="A326" s="392"/>
      <c r="B326" s="388" t="str">
        <f t="shared" si="1"/>
        <v/>
      </c>
      <c r="C326" s="391"/>
      <c r="D326" s="391"/>
      <c r="E326" s="393"/>
      <c r="F326" s="391"/>
    </row>
    <row r="327">
      <c r="A327" s="392"/>
      <c r="B327" s="388" t="str">
        <f t="shared" si="1"/>
        <v/>
      </c>
      <c r="C327" s="391"/>
      <c r="D327" s="391"/>
      <c r="E327" s="393"/>
      <c r="F327" s="391"/>
    </row>
    <row r="328">
      <c r="A328" s="392"/>
      <c r="B328" s="388" t="str">
        <f t="shared" si="1"/>
        <v/>
      </c>
      <c r="C328" s="391"/>
      <c r="D328" s="391"/>
      <c r="E328" s="393"/>
      <c r="F328" s="391"/>
    </row>
    <row r="329">
      <c r="A329" s="392"/>
      <c r="B329" s="388" t="str">
        <f t="shared" si="1"/>
        <v/>
      </c>
      <c r="C329" s="391"/>
      <c r="D329" s="391"/>
      <c r="E329" s="393"/>
      <c r="F329" s="391"/>
    </row>
    <row r="330">
      <c r="A330" s="392"/>
      <c r="B330" s="388" t="str">
        <f t="shared" si="1"/>
        <v/>
      </c>
      <c r="C330" s="391"/>
      <c r="D330" s="391"/>
      <c r="E330" s="393"/>
      <c r="F330" s="391"/>
    </row>
    <row r="331">
      <c r="A331" s="392"/>
      <c r="B331" s="388" t="str">
        <f t="shared" si="1"/>
        <v/>
      </c>
      <c r="C331" s="391"/>
      <c r="D331" s="391"/>
      <c r="E331" s="393"/>
      <c r="F331" s="391"/>
    </row>
    <row r="332">
      <c r="A332" s="392"/>
      <c r="B332" s="388" t="str">
        <f t="shared" si="1"/>
        <v/>
      </c>
      <c r="C332" s="391"/>
      <c r="D332" s="391"/>
      <c r="E332" s="393"/>
      <c r="F332" s="391"/>
    </row>
    <row r="333">
      <c r="A333" s="392"/>
      <c r="B333" s="388" t="str">
        <f t="shared" si="1"/>
        <v/>
      </c>
      <c r="C333" s="391"/>
      <c r="D333" s="391"/>
      <c r="E333" s="393"/>
      <c r="F333" s="391"/>
    </row>
    <row r="334">
      <c r="A334" s="392"/>
      <c r="B334" s="388" t="str">
        <f t="shared" si="1"/>
        <v/>
      </c>
      <c r="C334" s="391"/>
      <c r="D334" s="391"/>
      <c r="E334" s="393"/>
      <c r="F334" s="391"/>
    </row>
    <row r="335">
      <c r="A335" s="392"/>
      <c r="B335" s="388" t="str">
        <f t="shared" si="1"/>
        <v/>
      </c>
      <c r="C335" s="391"/>
      <c r="D335" s="391"/>
      <c r="E335" s="393"/>
      <c r="F335" s="391"/>
    </row>
    <row r="336">
      <c r="A336" s="392"/>
      <c r="B336" s="388" t="str">
        <f t="shared" si="1"/>
        <v/>
      </c>
      <c r="C336" s="391"/>
      <c r="D336" s="391"/>
      <c r="E336" s="393"/>
      <c r="F336" s="391"/>
    </row>
    <row r="337">
      <c r="A337" s="392"/>
      <c r="B337" s="388" t="str">
        <f t="shared" si="1"/>
        <v/>
      </c>
      <c r="C337" s="391"/>
      <c r="D337" s="391"/>
      <c r="E337" s="393"/>
      <c r="F337" s="391"/>
    </row>
    <row r="338">
      <c r="A338" s="392"/>
      <c r="B338" s="388" t="str">
        <f t="shared" si="1"/>
        <v/>
      </c>
      <c r="C338" s="391"/>
      <c r="D338" s="391"/>
      <c r="E338" s="393"/>
      <c r="F338" s="391"/>
    </row>
    <row r="339">
      <c r="A339" s="392"/>
      <c r="B339" s="388" t="str">
        <f t="shared" si="1"/>
        <v/>
      </c>
      <c r="C339" s="391"/>
      <c r="D339" s="391"/>
      <c r="E339" s="393"/>
      <c r="F339" s="391"/>
    </row>
    <row r="340">
      <c r="A340" s="392"/>
      <c r="B340" s="388" t="str">
        <f t="shared" si="1"/>
        <v/>
      </c>
      <c r="C340" s="391"/>
      <c r="D340" s="391"/>
      <c r="E340" s="393"/>
      <c r="F340" s="391"/>
    </row>
    <row r="341">
      <c r="A341" s="392"/>
      <c r="B341" s="388" t="str">
        <f t="shared" si="1"/>
        <v/>
      </c>
      <c r="C341" s="391"/>
      <c r="D341" s="391"/>
      <c r="E341" s="393"/>
      <c r="F341" s="391"/>
    </row>
    <row r="342">
      <c r="A342" s="392"/>
      <c r="B342" s="388" t="str">
        <f t="shared" si="1"/>
        <v/>
      </c>
      <c r="C342" s="391"/>
      <c r="D342" s="391"/>
      <c r="E342" s="393"/>
      <c r="F342" s="391"/>
    </row>
    <row r="343">
      <c r="A343" s="392"/>
      <c r="B343" s="388" t="str">
        <f t="shared" si="1"/>
        <v/>
      </c>
      <c r="C343" s="391"/>
      <c r="D343" s="391"/>
      <c r="E343" s="393"/>
      <c r="F343" s="391"/>
    </row>
    <row r="344">
      <c r="A344" s="392"/>
      <c r="B344" s="388" t="str">
        <f t="shared" si="1"/>
        <v/>
      </c>
      <c r="C344" s="391"/>
      <c r="D344" s="391"/>
      <c r="E344" s="393"/>
      <c r="F344" s="391"/>
    </row>
    <row r="345">
      <c r="A345" s="392"/>
      <c r="B345" s="388" t="str">
        <f t="shared" si="1"/>
        <v/>
      </c>
      <c r="C345" s="391"/>
      <c r="D345" s="391"/>
      <c r="E345" s="393"/>
      <c r="F345" s="391"/>
    </row>
    <row r="346">
      <c r="A346" s="392"/>
      <c r="B346" s="388" t="str">
        <f t="shared" si="1"/>
        <v/>
      </c>
      <c r="C346" s="391"/>
      <c r="D346" s="391"/>
      <c r="E346" s="393"/>
      <c r="F346" s="391"/>
    </row>
    <row r="347">
      <c r="A347" s="392"/>
      <c r="B347" s="388" t="str">
        <f t="shared" si="1"/>
        <v/>
      </c>
      <c r="C347" s="391"/>
      <c r="D347" s="391"/>
      <c r="E347" s="393"/>
      <c r="F347" s="391"/>
    </row>
    <row r="348">
      <c r="A348" s="392"/>
      <c r="B348" s="388" t="str">
        <f t="shared" si="1"/>
        <v/>
      </c>
      <c r="C348" s="391"/>
      <c r="D348" s="391"/>
      <c r="E348" s="393"/>
      <c r="F348" s="391"/>
    </row>
    <row r="349">
      <c r="A349" s="392"/>
      <c r="B349" s="388" t="str">
        <f t="shared" si="1"/>
        <v/>
      </c>
      <c r="C349" s="391"/>
      <c r="D349" s="391"/>
      <c r="E349" s="393"/>
      <c r="F349" s="391"/>
    </row>
    <row r="350">
      <c r="A350" s="392"/>
      <c r="B350" s="388" t="str">
        <f t="shared" si="1"/>
        <v/>
      </c>
      <c r="C350" s="391"/>
      <c r="D350" s="391"/>
      <c r="E350" s="393"/>
      <c r="F350" s="391"/>
    </row>
    <row r="351">
      <c r="A351" s="392"/>
      <c r="B351" s="388" t="str">
        <f t="shared" si="1"/>
        <v/>
      </c>
      <c r="C351" s="391"/>
      <c r="D351" s="391"/>
      <c r="E351" s="393"/>
      <c r="F351" s="391"/>
    </row>
    <row r="352">
      <c r="A352" s="392"/>
      <c r="B352" s="388" t="str">
        <f t="shared" si="1"/>
        <v/>
      </c>
      <c r="C352" s="391"/>
      <c r="D352" s="391"/>
      <c r="E352" s="393"/>
      <c r="F352" s="391"/>
    </row>
    <row r="353">
      <c r="A353" s="392"/>
      <c r="B353" s="388" t="str">
        <f t="shared" si="1"/>
        <v/>
      </c>
      <c r="C353" s="391"/>
      <c r="D353" s="391"/>
      <c r="E353" s="393"/>
      <c r="F353" s="391"/>
    </row>
    <row r="354">
      <c r="A354" s="392"/>
      <c r="B354" s="388" t="str">
        <f t="shared" si="1"/>
        <v/>
      </c>
      <c r="C354" s="391"/>
      <c r="D354" s="391"/>
      <c r="E354" s="393"/>
      <c r="F354" s="391"/>
    </row>
    <row r="355">
      <c r="A355" s="392"/>
      <c r="B355" s="388" t="str">
        <f t="shared" si="1"/>
        <v/>
      </c>
      <c r="C355" s="391"/>
      <c r="D355" s="391"/>
      <c r="E355" s="393"/>
      <c r="F355" s="391"/>
    </row>
    <row r="356">
      <c r="A356" s="392"/>
      <c r="B356" s="388" t="str">
        <f t="shared" si="1"/>
        <v/>
      </c>
      <c r="C356" s="391"/>
      <c r="D356" s="391"/>
      <c r="E356" s="393"/>
      <c r="F356" s="391"/>
    </row>
    <row r="357">
      <c r="A357" s="392"/>
      <c r="B357" s="388" t="str">
        <f t="shared" si="1"/>
        <v/>
      </c>
      <c r="C357" s="391"/>
      <c r="D357" s="391"/>
      <c r="E357" s="393"/>
      <c r="F357" s="391"/>
    </row>
    <row r="358">
      <c r="A358" s="392"/>
      <c r="B358" s="388" t="str">
        <f t="shared" si="1"/>
        <v/>
      </c>
      <c r="C358" s="391"/>
      <c r="D358" s="391"/>
      <c r="E358" s="393"/>
      <c r="F358" s="391"/>
    </row>
    <row r="359">
      <c r="A359" s="392"/>
      <c r="B359" s="388" t="str">
        <f t="shared" si="1"/>
        <v/>
      </c>
      <c r="C359" s="391"/>
      <c r="D359" s="391"/>
      <c r="E359" s="393"/>
      <c r="F359" s="391"/>
    </row>
    <row r="360">
      <c r="A360" s="392"/>
      <c r="B360" s="388" t="str">
        <f t="shared" si="1"/>
        <v/>
      </c>
      <c r="C360" s="391"/>
      <c r="D360" s="391"/>
      <c r="E360" s="393"/>
      <c r="F360" s="391"/>
    </row>
    <row r="361">
      <c r="A361" s="392"/>
      <c r="B361" s="388" t="str">
        <f t="shared" si="1"/>
        <v/>
      </c>
      <c r="C361" s="391"/>
      <c r="D361" s="391"/>
      <c r="E361" s="393"/>
      <c r="F361" s="391"/>
    </row>
    <row r="362">
      <c r="A362" s="392"/>
      <c r="B362" s="388" t="str">
        <f t="shared" si="1"/>
        <v/>
      </c>
      <c r="C362" s="391"/>
      <c r="D362" s="391"/>
      <c r="E362" s="393"/>
      <c r="F362" s="391"/>
    </row>
    <row r="363">
      <c r="A363" s="392"/>
      <c r="B363" s="388" t="str">
        <f t="shared" si="1"/>
        <v/>
      </c>
      <c r="C363" s="391"/>
      <c r="D363" s="391"/>
      <c r="E363" s="393"/>
      <c r="F363" s="391"/>
    </row>
    <row r="364">
      <c r="A364" s="392"/>
      <c r="B364" s="388" t="str">
        <f t="shared" si="1"/>
        <v/>
      </c>
      <c r="C364" s="391"/>
      <c r="D364" s="391"/>
      <c r="E364" s="393"/>
      <c r="F364" s="391"/>
    </row>
    <row r="365">
      <c r="A365" s="392"/>
      <c r="B365" s="388" t="str">
        <f t="shared" si="1"/>
        <v/>
      </c>
      <c r="C365" s="391"/>
      <c r="D365" s="391"/>
      <c r="E365" s="393"/>
      <c r="F365" s="391"/>
    </row>
    <row r="366">
      <c r="A366" s="392"/>
      <c r="B366" s="388" t="str">
        <f t="shared" si="1"/>
        <v/>
      </c>
      <c r="C366" s="391"/>
      <c r="D366" s="391"/>
      <c r="E366" s="393"/>
      <c r="F366" s="391"/>
    </row>
    <row r="367">
      <c r="A367" s="392"/>
      <c r="B367" s="388" t="str">
        <f t="shared" si="1"/>
        <v/>
      </c>
      <c r="C367" s="391"/>
      <c r="D367" s="391"/>
      <c r="E367" s="393"/>
      <c r="F367" s="391"/>
    </row>
    <row r="368">
      <c r="A368" s="392"/>
      <c r="B368" s="388" t="str">
        <f t="shared" si="1"/>
        <v/>
      </c>
      <c r="C368" s="391"/>
      <c r="D368" s="391"/>
      <c r="E368" s="393"/>
      <c r="F368" s="391"/>
    </row>
    <row r="369">
      <c r="A369" s="392"/>
      <c r="B369" s="388" t="str">
        <f t="shared" si="1"/>
        <v/>
      </c>
      <c r="C369" s="391"/>
      <c r="D369" s="391"/>
      <c r="E369" s="393"/>
      <c r="F369" s="391"/>
    </row>
    <row r="370">
      <c r="A370" s="392"/>
      <c r="B370" s="388" t="str">
        <f t="shared" si="1"/>
        <v/>
      </c>
      <c r="C370" s="391"/>
      <c r="D370" s="391"/>
      <c r="E370" s="393"/>
      <c r="F370" s="391"/>
    </row>
    <row r="371">
      <c r="A371" s="392"/>
      <c r="B371" s="388" t="str">
        <f t="shared" si="1"/>
        <v/>
      </c>
      <c r="C371" s="391"/>
      <c r="D371" s="391"/>
      <c r="E371" s="393"/>
      <c r="F371" s="391"/>
    </row>
    <row r="372">
      <c r="A372" s="392"/>
      <c r="B372" s="388" t="str">
        <f t="shared" si="1"/>
        <v/>
      </c>
      <c r="C372" s="391"/>
      <c r="D372" s="391"/>
      <c r="E372" s="393"/>
      <c r="F372" s="391"/>
    </row>
    <row r="373">
      <c r="A373" s="392"/>
      <c r="B373" s="388" t="str">
        <f t="shared" si="1"/>
        <v/>
      </c>
      <c r="C373" s="391"/>
      <c r="D373" s="391"/>
      <c r="E373" s="393"/>
      <c r="F373" s="391"/>
    </row>
    <row r="374">
      <c r="A374" s="392"/>
      <c r="B374" s="388" t="str">
        <f t="shared" si="1"/>
        <v/>
      </c>
      <c r="C374" s="391"/>
      <c r="D374" s="391"/>
      <c r="E374" s="393"/>
      <c r="F374" s="391"/>
    </row>
    <row r="375">
      <c r="A375" s="392"/>
      <c r="B375" s="388" t="str">
        <f t="shared" si="1"/>
        <v/>
      </c>
      <c r="C375" s="391"/>
      <c r="D375" s="391"/>
      <c r="E375" s="393"/>
      <c r="F375" s="391"/>
    </row>
    <row r="376">
      <c r="A376" s="392"/>
      <c r="B376" s="388" t="str">
        <f t="shared" si="1"/>
        <v/>
      </c>
      <c r="C376" s="391"/>
      <c r="D376" s="391"/>
      <c r="E376" s="393"/>
      <c r="F376" s="391"/>
    </row>
    <row r="377">
      <c r="A377" s="392"/>
      <c r="B377" s="388" t="str">
        <f t="shared" si="1"/>
        <v/>
      </c>
      <c r="C377" s="391"/>
      <c r="D377" s="391"/>
      <c r="E377" s="393"/>
      <c r="F377" s="391"/>
    </row>
    <row r="378">
      <c r="A378" s="392"/>
      <c r="B378" s="388" t="str">
        <f t="shared" si="1"/>
        <v/>
      </c>
      <c r="C378" s="391"/>
      <c r="D378" s="391"/>
      <c r="E378" s="393"/>
      <c r="F378" s="391"/>
    </row>
    <row r="379">
      <c r="A379" s="392"/>
      <c r="B379" s="388" t="str">
        <f t="shared" si="1"/>
        <v/>
      </c>
      <c r="C379" s="391"/>
      <c r="D379" s="391"/>
      <c r="E379" s="393"/>
      <c r="F379" s="391"/>
    </row>
    <row r="380">
      <c r="A380" s="392"/>
      <c r="B380" s="388" t="str">
        <f t="shared" si="1"/>
        <v/>
      </c>
      <c r="C380" s="391"/>
      <c r="D380" s="391"/>
      <c r="E380" s="393"/>
      <c r="F380" s="391"/>
    </row>
    <row r="381">
      <c r="A381" s="392"/>
      <c r="B381" s="388" t="str">
        <f t="shared" si="1"/>
        <v/>
      </c>
      <c r="C381" s="391"/>
      <c r="D381" s="391"/>
      <c r="E381" s="393"/>
      <c r="F381" s="391"/>
    </row>
    <row r="382">
      <c r="A382" s="392"/>
      <c r="B382" s="388" t="str">
        <f t="shared" si="1"/>
        <v/>
      </c>
      <c r="C382" s="391"/>
      <c r="D382" s="391"/>
      <c r="E382" s="393"/>
      <c r="F382" s="391"/>
    </row>
    <row r="383">
      <c r="A383" s="392"/>
      <c r="B383" s="388" t="str">
        <f t="shared" si="1"/>
        <v/>
      </c>
      <c r="C383" s="391"/>
      <c r="D383" s="391"/>
      <c r="E383" s="393"/>
      <c r="F383" s="391"/>
    </row>
    <row r="384">
      <c r="A384" s="392"/>
      <c r="B384" s="388" t="str">
        <f t="shared" si="1"/>
        <v/>
      </c>
      <c r="C384" s="391"/>
      <c r="D384" s="391"/>
      <c r="E384" s="393"/>
      <c r="F384" s="391"/>
    </row>
    <row r="385">
      <c r="A385" s="392"/>
      <c r="B385" s="388" t="str">
        <f t="shared" si="1"/>
        <v/>
      </c>
      <c r="C385" s="391"/>
      <c r="D385" s="391"/>
      <c r="E385" s="393"/>
      <c r="F385" s="391"/>
    </row>
    <row r="386">
      <c r="A386" s="392"/>
      <c r="B386" s="388" t="str">
        <f t="shared" si="1"/>
        <v/>
      </c>
      <c r="C386" s="391"/>
      <c r="D386" s="391"/>
      <c r="E386" s="393"/>
      <c r="F386" s="391"/>
    </row>
    <row r="387">
      <c r="A387" s="392"/>
      <c r="B387" s="388" t="str">
        <f t="shared" si="1"/>
        <v/>
      </c>
      <c r="C387" s="391"/>
      <c r="D387" s="391"/>
      <c r="E387" s="393"/>
      <c r="F387" s="391"/>
    </row>
    <row r="388">
      <c r="A388" s="392"/>
      <c r="B388" s="388" t="str">
        <f t="shared" si="1"/>
        <v/>
      </c>
      <c r="C388" s="391"/>
      <c r="D388" s="391"/>
      <c r="E388" s="393"/>
      <c r="F388" s="391"/>
    </row>
    <row r="389">
      <c r="A389" s="392"/>
      <c r="B389" s="388" t="str">
        <f t="shared" si="1"/>
        <v/>
      </c>
      <c r="C389" s="391"/>
      <c r="D389" s="391"/>
      <c r="E389" s="393"/>
      <c r="F389" s="391"/>
    </row>
    <row r="390">
      <c r="A390" s="392"/>
      <c r="B390" s="388" t="str">
        <f t="shared" si="1"/>
        <v/>
      </c>
      <c r="C390" s="391"/>
      <c r="D390" s="391"/>
      <c r="E390" s="393"/>
      <c r="F390" s="391"/>
    </row>
    <row r="391">
      <c r="A391" s="392"/>
      <c r="B391" s="388" t="str">
        <f t="shared" si="1"/>
        <v/>
      </c>
      <c r="C391" s="391"/>
      <c r="D391" s="391"/>
      <c r="E391" s="393"/>
      <c r="F391" s="391"/>
    </row>
    <row r="392">
      <c r="A392" s="392"/>
      <c r="B392" s="388" t="str">
        <f t="shared" si="1"/>
        <v/>
      </c>
      <c r="C392" s="391"/>
      <c r="D392" s="391"/>
      <c r="E392" s="393"/>
      <c r="F392" s="391"/>
    </row>
    <row r="393">
      <c r="A393" s="392"/>
      <c r="B393" s="388" t="str">
        <f t="shared" si="1"/>
        <v/>
      </c>
      <c r="C393" s="391"/>
      <c r="D393" s="391"/>
      <c r="E393" s="393"/>
      <c r="F393" s="391"/>
    </row>
    <row r="394">
      <c r="A394" s="392"/>
      <c r="B394" s="388" t="str">
        <f t="shared" si="1"/>
        <v/>
      </c>
      <c r="C394" s="391"/>
      <c r="D394" s="391"/>
      <c r="E394" s="393"/>
      <c r="F394" s="391"/>
    </row>
    <row r="395">
      <c r="A395" s="392"/>
      <c r="B395" s="388" t="str">
        <f t="shared" si="1"/>
        <v/>
      </c>
      <c r="C395" s="391"/>
      <c r="D395" s="391"/>
      <c r="E395" s="393"/>
      <c r="F395" s="391"/>
    </row>
    <row r="396">
      <c r="A396" s="392"/>
      <c r="B396" s="388" t="str">
        <f t="shared" si="1"/>
        <v/>
      </c>
      <c r="C396" s="391"/>
      <c r="D396" s="391"/>
      <c r="E396" s="393"/>
      <c r="F396" s="391"/>
    </row>
    <row r="397">
      <c r="A397" s="392"/>
      <c r="B397" s="388" t="str">
        <f t="shared" si="1"/>
        <v/>
      </c>
      <c r="C397" s="391"/>
      <c r="D397" s="391"/>
      <c r="E397" s="393"/>
      <c r="F397" s="391"/>
    </row>
    <row r="398">
      <c r="A398" s="392"/>
      <c r="B398" s="388" t="str">
        <f t="shared" si="1"/>
        <v/>
      </c>
      <c r="C398" s="391"/>
      <c r="D398" s="391"/>
      <c r="E398" s="393"/>
      <c r="F398" s="391"/>
    </row>
    <row r="399">
      <c r="A399" s="392"/>
      <c r="B399" s="388" t="str">
        <f t="shared" si="1"/>
        <v/>
      </c>
      <c r="C399" s="391"/>
      <c r="D399" s="391"/>
      <c r="E399" s="393"/>
      <c r="F399" s="391"/>
    </row>
    <row r="400">
      <c r="A400" s="392"/>
      <c r="B400" s="388" t="str">
        <f t="shared" si="1"/>
        <v/>
      </c>
      <c r="C400" s="391"/>
      <c r="D400" s="391"/>
      <c r="E400" s="393"/>
      <c r="F400" s="391"/>
    </row>
    <row r="401">
      <c r="A401" s="392"/>
      <c r="B401" s="388" t="str">
        <f t="shared" si="1"/>
        <v/>
      </c>
      <c r="C401" s="391"/>
      <c r="D401" s="391"/>
      <c r="E401" s="393"/>
      <c r="F401" s="391"/>
    </row>
    <row r="402">
      <c r="A402" s="392"/>
      <c r="B402" s="388" t="str">
        <f t="shared" si="1"/>
        <v/>
      </c>
      <c r="C402" s="391"/>
      <c r="D402" s="391"/>
      <c r="E402" s="393"/>
      <c r="F402" s="391"/>
    </row>
    <row r="403">
      <c r="A403" s="392"/>
      <c r="B403" s="388" t="str">
        <f t="shared" si="1"/>
        <v/>
      </c>
      <c r="C403" s="391"/>
      <c r="D403" s="391"/>
      <c r="E403" s="393"/>
      <c r="F403" s="391"/>
    </row>
    <row r="404">
      <c r="A404" s="392"/>
      <c r="B404" s="388" t="str">
        <f t="shared" si="1"/>
        <v/>
      </c>
      <c r="C404" s="391"/>
      <c r="D404" s="391"/>
      <c r="E404" s="393"/>
      <c r="F404" s="391"/>
    </row>
    <row r="405">
      <c r="A405" s="392"/>
      <c r="B405" s="388" t="str">
        <f t="shared" si="1"/>
        <v/>
      </c>
      <c r="C405" s="391"/>
      <c r="D405" s="391"/>
      <c r="E405" s="393"/>
      <c r="F405" s="391"/>
    </row>
    <row r="406">
      <c r="A406" s="392"/>
      <c r="B406" s="388" t="str">
        <f t="shared" si="1"/>
        <v/>
      </c>
      <c r="C406" s="391"/>
      <c r="D406" s="391"/>
      <c r="E406" s="393"/>
      <c r="F406" s="391"/>
    </row>
    <row r="407">
      <c r="A407" s="392"/>
      <c r="B407" s="388" t="str">
        <f t="shared" si="1"/>
        <v/>
      </c>
      <c r="C407" s="391"/>
      <c r="D407" s="391"/>
      <c r="E407" s="393"/>
      <c r="F407" s="391"/>
    </row>
    <row r="408">
      <c r="A408" s="392"/>
      <c r="B408" s="388" t="str">
        <f t="shared" si="1"/>
        <v/>
      </c>
      <c r="C408" s="391"/>
      <c r="D408" s="391"/>
      <c r="E408" s="393"/>
      <c r="F408" s="391"/>
    </row>
    <row r="409">
      <c r="A409" s="392"/>
      <c r="B409" s="388" t="str">
        <f t="shared" si="1"/>
        <v/>
      </c>
      <c r="C409" s="391"/>
      <c r="D409" s="391"/>
      <c r="E409" s="393"/>
      <c r="F409" s="391"/>
    </row>
    <row r="410">
      <c r="A410" s="392"/>
      <c r="B410" s="388" t="str">
        <f t="shared" si="1"/>
        <v/>
      </c>
      <c r="C410" s="391"/>
      <c r="D410" s="391"/>
      <c r="E410" s="393"/>
      <c r="F410" s="391"/>
    </row>
    <row r="411">
      <c r="A411" s="392"/>
      <c r="B411" s="388" t="str">
        <f t="shared" si="1"/>
        <v/>
      </c>
      <c r="C411" s="391"/>
      <c r="D411" s="391"/>
      <c r="E411" s="393"/>
      <c r="F411" s="391"/>
    </row>
    <row r="412">
      <c r="A412" s="392"/>
      <c r="B412" s="388" t="str">
        <f t="shared" si="1"/>
        <v/>
      </c>
      <c r="C412" s="391"/>
      <c r="D412" s="391"/>
      <c r="E412" s="393"/>
      <c r="F412" s="391"/>
    </row>
    <row r="413">
      <c r="A413" s="392"/>
      <c r="B413" s="388" t="str">
        <f t="shared" si="1"/>
        <v/>
      </c>
      <c r="C413" s="391"/>
      <c r="D413" s="391"/>
      <c r="E413" s="393"/>
      <c r="F413" s="391"/>
    </row>
    <row r="414">
      <c r="A414" s="392"/>
      <c r="B414" s="388" t="str">
        <f t="shared" si="1"/>
        <v/>
      </c>
      <c r="C414" s="391"/>
      <c r="D414" s="391"/>
      <c r="E414" s="393"/>
      <c r="F414" s="391"/>
    </row>
    <row r="415">
      <c r="A415" s="392"/>
      <c r="B415" s="388" t="str">
        <f t="shared" si="1"/>
        <v/>
      </c>
      <c r="C415" s="391"/>
      <c r="D415" s="391"/>
      <c r="E415" s="393"/>
      <c r="F415" s="391"/>
    </row>
    <row r="416">
      <c r="A416" s="392"/>
      <c r="B416" s="388" t="str">
        <f t="shared" si="1"/>
        <v/>
      </c>
      <c r="C416" s="391"/>
      <c r="D416" s="391"/>
      <c r="E416" s="393"/>
      <c r="F416" s="391"/>
    </row>
    <row r="417">
      <c r="A417" s="392"/>
      <c r="B417" s="388" t="str">
        <f t="shared" si="1"/>
        <v/>
      </c>
      <c r="C417" s="391"/>
      <c r="D417" s="391"/>
      <c r="E417" s="393"/>
      <c r="F417" s="391"/>
    </row>
    <row r="418">
      <c r="A418" s="392"/>
      <c r="B418" s="388" t="str">
        <f t="shared" si="1"/>
        <v/>
      </c>
      <c r="C418" s="391"/>
      <c r="D418" s="391"/>
      <c r="E418" s="393"/>
      <c r="F418" s="391"/>
    </row>
    <row r="419">
      <c r="A419" s="392"/>
      <c r="B419" s="388" t="str">
        <f t="shared" si="1"/>
        <v/>
      </c>
      <c r="C419" s="391"/>
      <c r="D419" s="391"/>
      <c r="E419" s="393"/>
      <c r="F419" s="391"/>
    </row>
    <row r="420">
      <c r="A420" s="392"/>
      <c r="B420" s="388" t="str">
        <f t="shared" si="1"/>
        <v/>
      </c>
      <c r="C420" s="391"/>
      <c r="D420" s="391"/>
      <c r="E420" s="393"/>
      <c r="F420" s="391"/>
    </row>
    <row r="421">
      <c r="A421" s="392"/>
      <c r="B421" s="388" t="str">
        <f t="shared" si="1"/>
        <v/>
      </c>
      <c r="C421" s="391"/>
      <c r="D421" s="391"/>
      <c r="E421" s="393"/>
      <c r="F421" s="391"/>
    </row>
    <row r="422">
      <c r="A422" s="392"/>
      <c r="B422" s="388" t="str">
        <f t="shared" si="1"/>
        <v/>
      </c>
      <c r="C422" s="391"/>
      <c r="D422" s="391"/>
      <c r="E422" s="393"/>
      <c r="F422" s="391"/>
    </row>
    <row r="423">
      <c r="A423" s="392"/>
      <c r="B423" s="388" t="str">
        <f t="shared" si="1"/>
        <v/>
      </c>
      <c r="C423" s="391"/>
      <c r="D423" s="391"/>
      <c r="E423" s="393"/>
      <c r="F423" s="391"/>
    </row>
    <row r="424">
      <c r="A424" s="392"/>
      <c r="B424" s="388" t="str">
        <f t="shared" si="1"/>
        <v/>
      </c>
      <c r="C424" s="391"/>
      <c r="D424" s="391"/>
      <c r="E424" s="393"/>
      <c r="F424" s="391"/>
    </row>
    <row r="425">
      <c r="A425" s="392"/>
      <c r="B425" s="388" t="str">
        <f t="shared" si="1"/>
        <v/>
      </c>
      <c r="C425" s="391"/>
      <c r="D425" s="391"/>
      <c r="E425" s="393"/>
      <c r="F425" s="391"/>
    </row>
    <row r="426">
      <c r="A426" s="392"/>
      <c r="B426" s="388" t="str">
        <f t="shared" si="1"/>
        <v/>
      </c>
      <c r="C426" s="391"/>
      <c r="D426" s="391"/>
      <c r="E426" s="393"/>
      <c r="F426" s="391"/>
    </row>
    <row r="427">
      <c r="A427" s="392"/>
      <c r="B427" s="388" t="str">
        <f t="shared" si="1"/>
        <v/>
      </c>
      <c r="C427" s="391"/>
      <c r="D427" s="391"/>
      <c r="E427" s="393"/>
      <c r="F427" s="391"/>
    </row>
    <row r="428">
      <c r="A428" s="392"/>
      <c r="B428" s="388" t="str">
        <f t="shared" si="1"/>
        <v/>
      </c>
      <c r="C428" s="391"/>
      <c r="D428" s="391"/>
      <c r="E428" s="393"/>
      <c r="F428" s="391"/>
    </row>
    <row r="429">
      <c r="A429" s="392"/>
      <c r="B429" s="388" t="str">
        <f t="shared" si="1"/>
        <v/>
      </c>
      <c r="C429" s="391"/>
      <c r="D429" s="391"/>
      <c r="E429" s="393"/>
      <c r="F429" s="391"/>
    </row>
    <row r="430">
      <c r="A430" s="392"/>
      <c r="B430" s="388" t="str">
        <f t="shared" si="1"/>
        <v/>
      </c>
      <c r="C430" s="391"/>
      <c r="D430" s="391"/>
      <c r="E430" s="393"/>
      <c r="F430" s="391"/>
    </row>
    <row r="431">
      <c r="A431" s="392"/>
      <c r="B431" s="388" t="str">
        <f t="shared" si="1"/>
        <v/>
      </c>
      <c r="C431" s="391"/>
      <c r="D431" s="391"/>
      <c r="E431" s="393"/>
      <c r="F431" s="391"/>
    </row>
    <row r="432">
      <c r="A432" s="392"/>
      <c r="B432" s="388" t="str">
        <f t="shared" si="1"/>
        <v/>
      </c>
      <c r="C432" s="391"/>
      <c r="D432" s="391"/>
      <c r="E432" s="393"/>
      <c r="F432" s="391"/>
    </row>
    <row r="433">
      <c r="A433" s="392"/>
      <c r="B433" s="388" t="str">
        <f t="shared" si="1"/>
        <v/>
      </c>
      <c r="C433" s="391"/>
      <c r="D433" s="391"/>
      <c r="E433" s="393"/>
      <c r="F433" s="391"/>
    </row>
    <row r="434">
      <c r="A434" s="392"/>
      <c r="B434" s="388" t="str">
        <f t="shared" si="1"/>
        <v/>
      </c>
      <c r="C434" s="391"/>
      <c r="D434" s="391"/>
      <c r="E434" s="393"/>
      <c r="F434" s="391"/>
    </row>
    <row r="435">
      <c r="A435" s="392"/>
      <c r="B435" s="388" t="str">
        <f t="shared" si="1"/>
        <v/>
      </c>
      <c r="C435" s="391"/>
      <c r="D435" s="391"/>
      <c r="E435" s="393"/>
      <c r="F435" s="391"/>
    </row>
    <row r="436">
      <c r="A436" s="392"/>
      <c r="B436" s="388" t="str">
        <f t="shared" si="1"/>
        <v/>
      </c>
      <c r="C436" s="391"/>
      <c r="D436" s="391"/>
      <c r="E436" s="393"/>
      <c r="F436" s="391"/>
    </row>
    <row r="437">
      <c r="A437" s="392"/>
      <c r="B437" s="388" t="str">
        <f t="shared" si="1"/>
        <v/>
      </c>
      <c r="C437" s="391"/>
      <c r="D437" s="391"/>
      <c r="E437" s="393"/>
      <c r="F437" s="391"/>
    </row>
    <row r="438">
      <c r="A438" s="392"/>
      <c r="B438" s="388" t="str">
        <f t="shared" si="1"/>
        <v/>
      </c>
      <c r="C438" s="391"/>
      <c r="D438" s="391"/>
      <c r="E438" s="393"/>
      <c r="F438" s="391"/>
    </row>
    <row r="439">
      <c r="A439" s="392"/>
      <c r="B439" s="388" t="str">
        <f t="shared" si="1"/>
        <v/>
      </c>
      <c r="C439" s="391"/>
      <c r="D439" s="391"/>
      <c r="E439" s="393"/>
      <c r="F439" s="391"/>
    </row>
    <row r="440">
      <c r="A440" s="392"/>
      <c r="B440" s="388" t="str">
        <f t="shared" si="1"/>
        <v/>
      </c>
      <c r="C440" s="391"/>
      <c r="D440" s="391"/>
      <c r="E440" s="393"/>
      <c r="F440" s="391"/>
    </row>
    <row r="441">
      <c r="A441" s="392"/>
      <c r="B441" s="388" t="str">
        <f t="shared" si="1"/>
        <v/>
      </c>
      <c r="C441" s="391"/>
      <c r="D441" s="391"/>
      <c r="E441" s="393"/>
      <c r="F441" s="391"/>
    </row>
    <row r="442">
      <c r="A442" s="392"/>
      <c r="B442" s="388" t="str">
        <f t="shared" si="1"/>
        <v/>
      </c>
      <c r="C442" s="391"/>
      <c r="D442" s="391"/>
      <c r="E442" s="393"/>
      <c r="F442" s="391"/>
    </row>
    <row r="443">
      <c r="A443" s="392"/>
      <c r="B443" s="388" t="str">
        <f t="shared" si="1"/>
        <v/>
      </c>
      <c r="C443" s="391"/>
      <c r="D443" s="391"/>
      <c r="E443" s="393"/>
      <c r="F443" s="391"/>
    </row>
    <row r="444">
      <c r="A444" s="392"/>
      <c r="B444" s="388" t="str">
        <f t="shared" si="1"/>
        <v/>
      </c>
      <c r="C444" s="391"/>
      <c r="D444" s="391"/>
      <c r="E444" s="393"/>
      <c r="F444" s="391"/>
    </row>
    <row r="445">
      <c r="A445" s="392"/>
      <c r="B445" s="388" t="str">
        <f t="shared" si="1"/>
        <v/>
      </c>
      <c r="C445" s="391"/>
      <c r="D445" s="391"/>
      <c r="E445" s="393"/>
      <c r="F445" s="391"/>
    </row>
    <row r="446">
      <c r="A446" s="392"/>
      <c r="B446" s="388" t="str">
        <f t="shared" si="1"/>
        <v/>
      </c>
      <c r="C446" s="391"/>
      <c r="D446" s="391"/>
      <c r="E446" s="393"/>
      <c r="F446" s="391"/>
    </row>
    <row r="447">
      <c r="A447" s="392"/>
      <c r="B447" s="388" t="str">
        <f t="shared" si="1"/>
        <v/>
      </c>
      <c r="C447" s="391"/>
      <c r="D447" s="391"/>
      <c r="E447" s="393"/>
      <c r="F447" s="391"/>
    </row>
    <row r="448">
      <c r="A448" s="392"/>
      <c r="B448" s="388" t="str">
        <f t="shared" si="1"/>
        <v/>
      </c>
      <c r="C448" s="391"/>
      <c r="D448" s="391"/>
      <c r="E448" s="393"/>
      <c r="F448" s="391"/>
    </row>
    <row r="449">
      <c r="A449" s="392"/>
      <c r="B449" s="388" t="str">
        <f t="shared" si="1"/>
        <v/>
      </c>
      <c r="C449" s="391"/>
      <c r="D449" s="391"/>
      <c r="E449" s="393"/>
      <c r="F449" s="391"/>
    </row>
    <row r="450">
      <c r="A450" s="392"/>
      <c r="B450" s="388" t="str">
        <f t="shared" si="1"/>
        <v/>
      </c>
      <c r="C450" s="391"/>
      <c r="D450" s="391"/>
      <c r="E450" s="393"/>
      <c r="F450" s="391"/>
    </row>
    <row r="451">
      <c r="A451" s="392"/>
      <c r="B451" s="388" t="str">
        <f t="shared" si="1"/>
        <v/>
      </c>
      <c r="C451" s="391"/>
      <c r="D451" s="391"/>
      <c r="E451" s="393"/>
      <c r="F451" s="391"/>
    </row>
    <row r="452">
      <c r="A452" s="392"/>
      <c r="B452" s="388" t="str">
        <f t="shared" si="1"/>
        <v/>
      </c>
      <c r="C452" s="391"/>
      <c r="D452" s="391"/>
      <c r="E452" s="393"/>
      <c r="F452" s="391"/>
    </row>
    <row r="453">
      <c r="A453" s="392"/>
      <c r="B453" s="388" t="str">
        <f t="shared" si="1"/>
        <v/>
      </c>
      <c r="C453" s="391"/>
      <c r="D453" s="391"/>
      <c r="E453" s="393"/>
      <c r="F453" s="391"/>
    </row>
    <row r="454">
      <c r="A454" s="392"/>
      <c r="B454" s="388" t="str">
        <f t="shared" si="1"/>
        <v/>
      </c>
      <c r="C454" s="391"/>
      <c r="D454" s="391"/>
      <c r="E454" s="393"/>
      <c r="F454" s="391"/>
    </row>
    <row r="455">
      <c r="A455" s="392"/>
      <c r="B455" s="388" t="str">
        <f t="shared" si="1"/>
        <v/>
      </c>
      <c r="C455" s="391"/>
      <c r="D455" s="391"/>
      <c r="E455" s="393"/>
      <c r="F455" s="391"/>
    </row>
    <row r="456">
      <c r="A456" s="392"/>
      <c r="B456" s="388" t="str">
        <f t="shared" si="1"/>
        <v/>
      </c>
      <c r="C456" s="391"/>
      <c r="D456" s="391"/>
      <c r="E456" s="393"/>
      <c r="F456" s="391"/>
    </row>
    <row r="457">
      <c r="A457" s="392"/>
      <c r="B457" s="388" t="str">
        <f t="shared" si="1"/>
        <v/>
      </c>
      <c r="C457" s="391"/>
      <c r="D457" s="391"/>
      <c r="E457" s="393"/>
      <c r="F457" s="391"/>
    </row>
    <row r="458">
      <c r="A458" s="392"/>
      <c r="B458" s="388" t="str">
        <f t="shared" si="1"/>
        <v/>
      </c>
      <c r="C458" s="391"/>
      <c r="D458" s="391"/>
      <c r="E458" s="393"/>
      <c r="F458" s="391"/>
    </row>
    <row r="459">
      <c r="A459" s="392"/>
      <c r="B459" s="388" t="str">
        <f t="shared" si="1"/>
        <v/>
      </c>
      <c r="C459" s="391"/>
      <c r="D459" s="391"/>
      <c r="E459" s="393"/>
      <c r="F459" s="391"/>
    </row>
    <row r="460">
      <c r="A460" s="392"/>
      <c r="B460" s="388" t="str">
        <f t="shared" si="1"/>
        <v/>
      </c>
      <c r="C460" s="391"/>
      <c r="D460" s="391"/>
      <c r="E460" s="393"/>
      <c r="F460" s="391"/>
    </row>
    <row r="461">
      <c r="A461" s="392"/>
      <c r="B461" s="388" t="str">
        <f t="shared" si="1"/>
        <v/>
      </c>
      <c r="C461" s="391"/>
      <c r="D461" s="391"/>
      <c r="E461" s="393"/>
      <c r="F461" s="391"/>
    </row>
    <row r="462">
      <c r="A462" s="392"/>
      <c r="B462" s="388" t="str">
        <f t="shared" si="1"/>
        <v/>
      </c>
      <c r="C462" s="391"/>
      <c r="D462" s="391"/>
      <c r="E462" s="393"/>
      <c r="F462" s="391"/>
    </row>
    <row r="463">
      <c r="A463" s="392"/>
      <c r="B463" s="388" t="str">
        <f t="shared" si="1"/>
        <v/>
      </c>
      <c r="C463" s="391"/>
      <c r="D463" s="391"/>
      <c r="E463" s="393"/>
      <c r="F463" s="391"/>
    </row>
    <row r="464">
      <c r="A464" s="392"/>
      <c r="B464" s="388" t="str">
        <f t="shared" si="1"/>
        <v/>
      </c>
      <c r="C464" s="391"/>
      <c r="D464" s="391"/>
      <c r="E464" s="393"/>
      <c r="F464" s="391"/>
    </row>
    <row r="465">
      <c r="A465" s="392"/>
      <c r="B465" s="388" t="str">
        <f t="shared" si="1"/>
        <v/>
      </c>
      <c r="C465" s="391"/>
      <c r="D465" s="391"/>
      <c r="E465" s="393"/>
      <c r="F465" s="391"/>
    </row>
    <row r="466">
      <c r="A466" s="392"/>
      <c r="B466" s="388" t="str">
        <f t="shared" si="1"/>
        <v/>
      </c>
      <c r="C466" s="391"/>
      <c r="D466" s="391"/>
      <c r="E466" s="393"/>
      <c r="F466" s="391"/>
    </row>
    <row r="467">
      <c r="A467" s="392"/>
      <c r="B467" s="388" t="str">
        <f t="shared" si="1"/>
        <v/>
      </c>
      <c r="C467" s="391"/>
      <c r="D467" s="391"/>
      <c r="E467" s="393"/>
      <c r="F467" s="391"/>
    </row>
    <row r="468">
      <c r="A468" s="392"/>
      <c r="B468" s="388" t="str">
        <f t="shared" si="1"/>
        <v/>
      </c>
      <c r="C468" s="391"/>
      <c r="D468" s="391"/>
      <c r="E468" s="393"/>
      <c r="F468" s="391"/>
    </row>
    <row r="469">
      <c r="A469" s="392"/>
      <c r="B469" s="388" t="str">
        <f t="shared" si="1"/>
        <v/>
      </c>
      <c r="C469" s="391"/>
      <c r="D469" s="391"/>
      <c r="E469" s="393"/>
      <c r="F469" s="391"/>
    </row>
    <row r="470">
      <c r="A470" s="392"/>
      <c r="B470" s="388" t="str">
        <f t="shared" si="1"/>
        <v/>
      </c>
      <c r="C470" s="391"/>
      <c r="D470" s="391"/>
      <c r="E470" s="393"/>
      <c r="F470" s="391"/>
    </row>
    <row r="471">
      <c r="A471" s="392"/>
      <c r="B471" s="388" t="str">
        <f t="shared" si="1"/>
        <v/>
      </c>
      <c r="C471" s="391"/>
      <c r="D471" s="391"/>
      <c r="E471" s="393"/>
      <c r="F471" s="391"/>
    </row>
    <row r="472">
      <c r="A472" s="392"/>
      <c r="B472" s="388" t="str">
        <f t="shared" si="1"/>
        <v/>
      </c>
      <c r="C472" s="391"/>
      <c r="D472" s="391"/>
      <c r="E472" s="393"/>
      <c r="F472" s="391"/>
    </row>
    <row r="473">
      <c r="A473" s="392"/>
      <c r="B473" s="388" t="str">
        <f t="shared" si="1"/>
        <v/>
      </c>
      <c r="C473" s="391"/>
      <c r="D473" s="391"/>
      <c r="E473" s="393"/>
      <c r="F473" s="391"/>
    </row>
    <row r="474">
      <c r="A474" s="392"/>
      <c r="B474" s="388" t="str">
        <f t="shared" si="1"/>
        <v/>
      </c>
      <c r="C474" s="391"/>
      <c r="D474" s="391"/>
      <c r="E474" s="393"/>
      <c r="F474" s="391"/>
    </row>
    <row r="475">
      <c r="A475" s="392"/>
      <c r="B475" s="388" t="str">
        <f t="shared" si="1"/>
        <v/>
      </c>
      <c r="C475" s="391"/>
      <c r="D475" s="391"/>
      <c r="E475" s="393"/>
      <c r="F475" s="391"/>
    </row>
    <row r="476">
      <c r="A476" s="392"/>
      <c r="B476" s="388" t="str">
        <f t="shared" si="1"/>
        <v/>
      </c>
      <c r="C476" s="391"/>
      <c r="D476" s="391"/>
      <c r="E476" s="393"/>
      <c r="F476" s="391"/>
    </row>
    <row r="477">
      <c r="A477" s="392"/>
      <c r="B477" s="388" t="str">
        <f t="shared" si="1"/>
        <v/>
      </c>
      <c r="C477" s="391"/>
      <c r="D477" s="391"/>
      <c r="E477" s="393"/>
      <c r="F477" s="391"/>
    </row>
    <row r="478">
      <c r="A478" s="392"/>
      <c r="B478" s="388" t="str">
        <f t="shared" si="1"/>
        <v/>
      </c>
      <c r="C478" s="391"/>
      <c r="D478" s="391"/>
      <c r="E478" s="393"/>
      <c r="F478" s="391"/>
    </row>
    <row r="479">
      <c r="A479" s="392"/>
      <c r="B479" s="388" t="str">
        <f t="shared" si="1"/>
        <v/>
      </c>
      <c r="C479" s="391"/>
      <c r="D479" s="391"/>
      <c r="E479" s="393"/>
      <c r="F479" s="391"/>
    </row>
    <row r="480">
      <c r="A480" s="392"/>
      <c r="B480" s="388" t="str">
        <f t="shared" si="1"/>
        <v/>
      </c>
      <c r="C480" s="391"/>
      <c r="D480" s="391"/>
      <c r="E480" s="393"/>
      <c r="F480" s="391"/>
    </row>
    <row r="481">
      <c r="A481" s="392"/>
      <c r="B481" s="388" t="str">
        <f t="shared" si="1"/>
        <v/>
      </c>
      <c r="C481" s="391"/>
      <c r="D481" s="391"/>
      <c r="E481" s="393"/>
      <c r="F481" s="391"/>
    </row>
    <row r="482">
      <c r="A482" s="392"/>
      <c r="B482" s="388" t="str">
        <f t="shared" si="1"/>
        <v/>
      </c>
      <c r="C482" s="391"/>
      <c r="D482" s="391"/>
      <c r="E482" s="393"/>
      <c r="F482" s="391"/>
    </row>
    <row r="483">
      <c r="A483" s="392"/>
      <c r="B483" s="388" t="str">
        <f t="shared" si="1"/>
        <v/>
      </c>
      <c r="C483" s="391"/>
      <c r="D483" s="391"/>
      <c r="E483" s="393"/>
      <c r="F483" s="391"/>
    </row>
    <row r="484">
      <c r="A484" s="392"/>
      <c r="B484" s="388" t="str">
        <f t="shared" si="1"/>
        <v/>
      </c>
      <c r="C484" s="391"/>
      <c r="D484" s="391"/>
      <c r="E484" s="393"/>
      <c r="F484" s="391"/>
    </row>
    <row r="485">
      <c r="A485" s="392"/>
      <c r="B485" s="388" t="str">
        <f t="shared" si="1"/>
        <v/>
      </c>
      <c r="C485" s="391"/>
      <c r="D485" s="391"/>
      <c r="E485" s="393"/>
      <c r="F485" s="391"/>
    </row>
    <row r="486">
      <c r="A486" s="392"/>
      <c r="B486" s="388" t="str">
        <f t="shared" si="1"/>
        <v/>
      </c>
      <c r="C486" s="391"/>
      <c r="D486" s="391"/>
      <c r="E486" s="393"/>
      <c r="F486" s="391"/>
    </row>
    <row r="487">
      <c r="A487" s="392"/>
      <c r="B487" s="388" t="str">
        <f t="shared" si="1"/>
        <v/>
      </c>
      <c r="C487" s="391"/>
      <c r="D487" s="391"/>
      <c r="E487" s="393"/>
      <c r="F487" s="391"/>
    </row>
    <row r="488">
      <c r="A488" s="392"/>
      <c r="B488" s="388" t="str">
        <f t="shared" si="1"/>
        <v/>
      </c>
      <c r="C488" s="391"/>
      <c r="D488" s="391"/>
      <c r="E488" s="393"/>
      <c r="F488" s="391"/>
    </row>
    <row r="489">
      <c r="A489" s="392"/>
      <c r="B489" s="388" t="str">
        <f t="shared" si="1"/>
        <v/>
      </c>
      <c r="C489" s="391"/>
      <c r="D489" s="391"/>
      <c r="E489" s="393"/>
      <c r="F489" s="391"/>
    </row>
    <row r="490">
      <c r="A490" s="392"/>
      <c r="B490" s="388" t="str">
        <f t="shared" si="1"/>
        <v/>
      </c>
      <c r="C490" s="391"/>
      <c r="D490" s="391"/>
      <c r="E490" s="393"/>
      <c r="F490" s="391"/>
    </row>
    <row r="491">
      <c r="A491" s="392"/>
      <c r="B491" s="388" t="str">
        <f t="shared" si="1"/>
        <v/>
      </c>
      <c r="C491" s="391"/>
      <c r="D491" s="391"/>
      <c r="E491" s="393"/>
      <c r="F491" s="391"/>
    </row>
    <row r="492">
      <c r="A492" s="392"/>
      <c r="B492" s="388" t="str">
        <f t="shared" si="1"/>
        <v/>
      </c>
      <c r="C492" s="391"/>
      <c r="D492" s="391"/>
      <c r="E492" s="393"/>
      <c r="F492" s="391"/>
    </row>
    <row r="493">
      <c r="A493" s="392"/>
      <c r="B493" s="388" t="str">
        <f t="shared" si="1"/>
        <v/>
      </c>
      <c r="C493" s="391"/>
      <c r="D493" s="391"/>
      <c r="E493" s="393"/>
      <c r="F493" s="391"/>
    </row>
    <row r="494">
      <c r="A494" s="392"/>
      <c r="B494" s="388" t="str">
        <f t="shared" si="1"/>
        <v/>
      </c>
      <c r="C494" s="391"/>
      <c r="D494" s="391"/>
      <c r="E494" s="393"/>
      <c r="F494" s="391"/>
    </row>
    <row r="495">
      <c r="A495" s="392"/>
      <c r="B495" s="388" t="str">
        <f t="shared" si="1"/>
        <v/>
      </c>
      <c r="C495" s="391"/>
      <c r="D495" s="391"/>
      <c r="E495" s="393"/>
      <c r="F495" s="391"/>
    </row>
    <row r="496">
      <c r="A496" s="392"/>
      <c r="B496" s="388" t="str">
        <f t="shared" si="1"/>
        <v/>
      </c>
      <c r="C496" s="391"/>
      <c r="D496" s="391"/>
      <c r="E496" s="393"/>
      <c r="F496" s="391"/>
    </row>
    <row r="497">
      <c r="A497" s="392"/>
      <c r="B497" s="388" t="str">
        <f t="shared" si="1"/>
        <v/>
      </c>
      <c r="C497" s="391"/>
      <c r="D497" s="391"/>
      <c r="E497" s="393"/>
      <c r="F497" s="391"/>
    </row>
    <row r="498">
      <c r="A498" s="392"/>
      <c r="B498" s="388" t="str">
        <f t="shared" si="1"/>
        <v/>
      </c>
      <c r="C498" s="391"/>
      <c r="D498" s="391"/>
      <c r="E498" s="393"/>
      <c r="F498" s="391"/>
    </row>
    <row r="499">
      <c r="A499" s="392"/>
      <c r="B499" s="388" t="str">
        <f t="shared" si="1"/>
        <v/>
      </c>
      <c r="C499" s="391"/>
      <c r="D499" s="391"/>
      <c r="E499" s="393"/>
      <c r="F499" s="391"/>
    </row>
    <row r="500">
      <c r="A500" s="392"/>
      <c r="B500" s="388" t="str">
        <f t="shared" si="1"/>
        <v/>
      </c>
      <c r="C500" s="391"/>
      <c r="D500" s="391"/>
      <c r="E500" s="393"/>
      <c r="F500" s="391"/>
    </row>
  </sheetData>
  <autoFilter ref="$A$4:$F$500"/>
  <mergeCells count="2">
    <mergeCell ref="A1:F1"/>
    <mergeCell ref="A2:F2"/>
  </mergeCells>
  <dataValidations>
    <dataValidation type="custom" allowBlank="1" showErrorMessage="1" sqref="A5:A500">
      <formula1>OR(NOT(ISERROR(DATEVALUE(A5))), AND(ISNUMBER(A5), LEFT(CELL("format", A5))="D"))</formula1>
    </dataValidation>
    <dataValidation type="list" allowBlank="1" showErrorMessage="1" sqref="D5:D500">
      <formula1>"DIGITAL,CAJA DIARIA,EFECTIVO MÖOV"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61A8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11.22"/>
    <col customWidth="1" min="2" max="8" width="14.0"/>
    <col customWidth="1" min="9" max="9" width="19.0"/>
    <col customWidth="1" min="10" max="10" width="9.56"/>
    <col customWidth="1" min="11" max="11" width="31.22"/>
  </cols>
  <sheetData>
    <row r="1" ht="25.5" customHeight="1">
      <c r="A1" s="345" t="s">
        <v>679</v>
      </c>
    </row>
    <row r="2" ht="31.5" customHeight="1">
      <c r="A2" s="215" t="s">
        <v>680</v>
      </c>
    </row>
    <row r="3">
      <c r="A3" s="216" t="s">
        <v>472</v>
      </c>
      <c r="B3" s="216" t="s">
        <v>472</v>
      </c>
      <c r="C3" s="216" t="s">
        <v>472</v>
      </c>
      <c r="D3" s="216" t="s">
        <v>472</v>
      </c>
      <c r="E3" s="216" t="s">
        <v>472</v>
      </c>
      <c r="F3" s="216" t="s">
        <v>472</v>
      </c>
      <c r="G3" s="216" t="s">
        <v>472</v>
      </c>
      <c r="H3" s="216" t="s">
        <v>472</v>
      </c>
      <c r="I3" s="216" t="s">
        <v>472</v>
      </c>
      <c r="J3" s="216" t="s">
        <v>472</v>
      </c>
      <c r="K3" s="216" t="s">
        <v>472</v>
      </c>
    </row>
    <row r="4">
      <c r="A4" s="396" t="s">
        <v>681</v>
      </c>
      <c r="B4" s="396" t="s">
        <v>682</v>
      </c>
      <c r="C4" s="396" t="s">
        <v>137</v>
      </c>
      <c r="D4" s="396" t="s">
        <v>683</v>
      </c>
      <c r="E4" s="397" t="s">
        <v>684</v>
      </c>
      <c r="F4" s="397" t="s">
        <v>685</v>
      </c>
      <c r="G4" s="396" t="s">
        <v>686</v>
      </c>
      <c r="H4" s="397" t="s">
        <v>687</v>
      </c>
      <c r="I4" s="396" t="s">
        <v>688</v>
      </c>
      <c r="J4" s="396" t="s">
        <v>689</v>
      </c>
      <c r="K4" s="397" t="s">
        <v>116</v>
      </c>
    </row>
    <row r="5">
      <c r="A5" s="398">
        <v>45505.0</v>
      </c>
      <c r="B5" s="360">
        <v>42084.0</v>
      </c>
      <c r="C5" s="360">
        <v>18871.0</v>
      </c>
      <c r="D5" s="360">
        <v>23213.0</v>
      </c>
      <c r="E5" s="360">
        <v>3201.793103448275</v>
      </c>
      <c r="F5" s="360">
        <v>38882.206896551725</v>
      </c>
      <c r="G5" s="360">
        <v>19344.010000000002</v>
      </c>
      <c r="H5" s="360">
        <f t="shared" ref="H5:H29" si="1">B5-G5</f>
        <v>22739.99</v>
      </c>
      <c r="I5" s="399">
        <v>1.0</v>
      </c>
      <c r="J5" s="102" t="s">
        <v>690</v>
      </c>
      <c r="K5" s="400" t="s">
        <v>691</v>
      </c>
    </row>
    <row r="6">
      <c r="A6" s="401">
        <v>45536.0</v>
      </c>
      <c r="B6" s="366">
        <v>25995.0</v>
      </c>
      <c r="C6" s="366">
        <v>15532.0</v>
      </c>
      <c r="D6" s="366">
        <v>10463.0</v>
      </c>
      <c r="E6" s="366">
        <v>1443.1724137931024</v>
      </c>
      <c r="F6" s="366">
        <v>24551.8275862069</v>
      </c>
      <c r="G6" s="366">
        <v>15538.99</v>
      </c>
      <c r="H6" s="366">
        <f t="shared" si="1"/>
        <v>10456.01</v>
      </c>
      <c r="I6" s="402">
        <v>18.0</v>
      </c>
      <c r="J6" s="403" t="s">
        <v>690</v>
      </c>
      <c r="K6" s="404" t="s">
        <v>691</v>
      </c>
    </row>
    <row r="7">
      <c r="A7" s="398">
        <v>45566.0</v>
      </c>
      <c r="B7" s="360">
        <v>29998.0</v>
      </c>
      <c r="C7" s="360">
        <v>15262.0</v>
      </c>
      <c r="D7" s="360">
        <v>14736.0</v>
      </c>
      <c r="E7" s="360">
        <v>2032.5517241379298</v>
      </c>
      <c r="F7" s="360">
        <v>27965.448275862065</v>
      </c>
      <c r="G7" s="360">
        <v>28522.0</v>
      </c>
      <c r="H7" s="360">
        <f t="shared" si="1"/>
        <v>1476</v>
      </c>
      <c r="I7" s="399">
        <v>22.0</v>
      </c>
      <c r="J7" s="102" t="s">
        <v>690</v>
      </c>
      <c r="K7" s="400" t="s">
        <v>691</v>
      </c>
    </row>
    <row r="8">
      <c r="A8" s="401">
        <v>45597.0</v>
      </c>
      <c r="B8" s="366">
        <v>28525.0</v>
      </c>
      <c r="C8" s="366">
        <v>11061.0</v>
      </c>
      <c r="D8" s="366">
        <v>17464.0</v>
      </c>
      <c r="E8" s="366">
        <v>2408.8275862068954</v>
      </c>
      <c r="F8" s="366">
        <v>26116.17241379311</v>
      </c>
      <c r="G8" s="366">
        <v>20810.0</v>
      </c>
      <c r="H8" s="366">
        <f t="shared" si="1"/>
        <v>7715</v>
      </c>
      <c r="I8" s="402">
        <v>24.0</v>
      </c>
      <c r="J8" s="403" t="s">
        <v>690</v>
      </c>
      <c r="K8" s="404" t="s">
        <v>691</v>
      </c>
    </row>
    <row r="9">
      <c r="A9" s="398">
        <v>45627.0</v>
      </c>
      <c r="B9" s="360">
        <v>16726.0</v>
      </c>
      <c r="C9" s="360">
        <v>6696.0</v>
      </c>
      <c r="D9" s="360">
        <v>10030.0</v>
      </c>
      <c r="E9" s="360">
        <v>1383.4482758620686</v>
      </c>
      <c r="F9" s="360">
        <v>15342.551724137933</v>
      </c>
      <c r="G9" s="360">
        <v>19750.0</v>
      </c>
      <c r="H9" s="360">
        <f t="shared" si="1"/>
        <v>-3024</v>
      </c>
      <c r="I9" s="399">
        <v>18.0</v>
      </c>
      <c r="J9" s="102" t="s">
        <v>690</v>
      </c>
      <c r="K9" s="400" t="s">
        <v>691</v>
      </c>
    </row>
    <row r="10">
      <c r="A10" s="401">
        <v>45658.0</v>
      </c>
      <c r="B10" s="366">
        <v>29100.95</v>
      </c>
      <c r="C10" s="366">
        <v>14525.0</v>
      </c>
      <c r="D10" s="366">
        <v>14575.95</v>
      </c>
      <c r="E10" s="366">
        <v>2010.475862068964</v>
      </c>
      <c r="F10" s="366">
        <v>27090.47413793103</v>
      </c>
      <c r="G10" s="366">
        <v>25408.0</v>
      </c>
      <c r="H10" s="366">
        <f t="shared" si="1"/>
        <v>3692.95</v>
      </c>
      <c r="I10" s="402">
        <v>27.0</v>
      </c>
      <c r="J10" s="403" t="s">
        <v>690</v>
      </c>
      <c r="K10" s="404" t="s">
        <v>691</v>
      </c>
    </row>
    <row r="11">
      <c r="A11" s="398">
        <v>45689.0</v>
      </c>
      <c r="B11" s="360">
        <v>30760.0</v>
      </c>
      <c r="C11" s="360">
        <v>13709.0</v>
      </c>
      <c r="D11" s="360">
        <v>17051.0</v>
      </c>
      <c r="E11" s="360">
        <v>2351.862068965516</v>
      </c>
      <c r="F11" s="360">
        <v>28408.137931034486</v>
      </c>
      <c r="G11" s="360">
        <v>24629.0</v>
      </c>
      <c r="H11" s="360">
        <f t="shared" si="1"/>
        <v>6131</v>
      </c>
      <c r="I11" s="399">
        <v>28.0</v>
      </c>
      <c r="J11" s="102" t="s">
        <v>690</v>
      </c>
      <c r="K11" s="400" t="s">
        <v>691</v>
      </c>
    </row>
    <row r="12">
      <c r="A12" s="401">
        <v>45717.0</v>
      </c>
      <c r="B12" s="366">
        <v>27054.0</v>
      </c>
      <c r="C12" s="366">
        <v>13130.0</v>
      </c>
      <c r="D12" s="366">
        <v>13924.0</v>
      </c>
      <c r="E12" s="366">
        <v>1920.5517241379298</v>
      </c>
      <c r="F12" s="366">
        <v>25133.44827586207</v>
      </c>
      <c r="G12" s="366">
        <v>23014.0</v>
      </c>
      <c r="H12" s="366">
        <f t="shared" si="1"/>
        <v>4040</v>
      </c>
      <c r="I12" s="402">
        <v>29.0</v>
      </c>
      <c r="J12" s="403" t="s">
        <v>690</v>
      </c>
      <c r="K12" s="404" t="s">
        <v>691</v>
      </c>
    </row>
    <row r="13">
      <c r="A13" s="398">
        <v>45748.0</v>
      </c>
      <c r="B13" s="360">
        <v>27632.0</v>
      </c>
      <c r="C13" s="360">
        <v>12441.0</v>
      </c>
      <c r="D13" s="360">
        <v>15191.0</v>
      </c>
      <c r="E13" s="360">
        <v>2095.310344827585</v>
      </c>
      <c r="F13" s="360">
        <v>25536.689655172417</v>
      </c>
      <c r="G13" s="360">
        <v>35810.0</v>
      </c>
      <c r="H13" s="360">
        <f t="shared" si="1"/>
        <v>-8178</v>
      </c>
      <c r="I13" s="399">
        <v>29.0</v>
      </c>
      <c r="J13" s="102" t="s">
        <v>690</v>
      </c>
      <c r="K13" s="400" t="s">
        <v>691</v>
      </c>
    </row>
    <row r="14">
      <c r="A14" s="401">
        <v>45778.0</v>
      </c>
      <c r="B14" s="366">
        <v>28724.0</v>
      </c>
      <c r="C14" s="366">
        <v>10352.0</v>
      </c>
      <c r="D14" s="366">
        <v>18372.0</v>
      </c>
      <c r="E14" s="366">
        <v>2534.0689655172405</v>
      </c>
      <c r="F14" s="366">
        <v>26189.931034482765</v>
      </c>
      <c r="G14" s="366">
        <v>41410.0</v>
      </c>
      <c r="H14" s="366">
        <f t="shared" si="1"/>
        <v>-12686</v>
      </c>
      <c r="I14" s="402">
        <v>26.0</v>
      </c>
      <c r="J14" s="403" t="s">
        <v>690</v>
      </c>
      <c r="K14" s="404" t="s">
        <v>691</v>
      </c>
    </row>
    <row r="15">
      <c r="A15" s="398">
        <v>45809.0</v>
      </c>
      <c r="B15" s="360">
        <v>25657.0</v>
      </c>
      <c r="C15" s="360">
        <v>11512.0</v>
      </c>
      <c r="D15" s="360">
        <v>14145.0</v>
      </c>
      <c r="E15" s="360">
        <v>1951.0344827586198</v>
      </c>
      <c r="F15" s="360">
        <v>23705.96551724138</v>
      </c>
      <c r="G15" s="360">
        <v>20485.0</v>
      </c>
      <c r="H15" s="360">
        <f t="shared" si="1"/>
        <v>5172</v>
      </c>
      <c r="I15" s="399">
        <v>24.0</v>
      </c>
      <c r="J15" s="102" t="s">
        <v>690</v>
      </c>
      <c r="K15" s="400" t="s">
        <v>691</v>
      </c>
    </row>
    <row r="16">
      <c r="A16" s="401">
        <v>45839.0</v>
      </c>
      <c r="B16" s="366">
        <v>23371.0</v>
      </c>
      <c r="C16" s="366">
        <v>9956.0</v>
      </c>
      <c r="D16" s="366">
        <v>13415.0</v>
      </c>
      <c r="E16" s="366">
        <v>1850.344827586206</v>
      </c>
      <c r="F16" s="366">
        <v>21520.655172413797</v>
      </c>
      <c r="G16" s="366">
        <v>19957.0</v>
      </c>
      <c r="H16" s="366">
        <f t="shared" si="1"/>
        <v>3414</v>
      </c>
      <c r="I16" s="402">
        <v>21.0</v>
      </c>
      <c r="J16" s="403" t="s">
        <v>690</v>
      </c>
      <c r="K16" s="404" t="s">
        <v>691</v>
      </c>
    </row>
    <row r="17">
      <c r="A17" s="398">
        <v>45870.0</v>
      </c>
      <c r="B17" s="360">
        <v>26121.0</v>
      </c>
      <c r="C17" s="360">
        <v>8345.0</v>
      </c>
      <c r="D17" s="360">
        <v>17776.0</v>
      </c>
      <c r="E17" s="360">
        <v>2451.8620689655168</v>
      </c>
      <c r="F17" s="360">
        <v>23669.137931034482</v>
      </c>
      <c r="G17" s="360">
        <v>21375.0</v>
      </c>
      <c r="H17" s="360">
        <f t="shared" si="1"/>
        <v>4746</v>
      </c>
      <c r="I17" s="399">
        <v>27.0</v>
      </c>
      <c r="J17" s="102" t="s">
        <v>690</v>
      </c>
      <c r="K17" s="400" t="s">
        <v>691</v>
      </c>
    </row>
    <row r="18">
      <c r="A18" s="401">
        <v>45901.0</v>
      </c>
      <c r="B18" s="366">
        <v>29323.0</v>
      </c>
      <c r="C18" s="366">
        <v>11948.0</v>
      </c>
      <c r="D18" s="366">
        <v>17375.0</v>
      </c>
      <c r="E18" s="366">
        <v>2396.5517241379293</v>
      </c>
      <c r="F18" s="366">
        <v>26926.44827586208</v>
      </c>
      <c r="G18" s="366">
        <v>22226.0</v>
      </c>
      <c r="H18" s="366">
        <f t="shared" si="1"/>
        <v>7097</v>
      </c>
      <c r="I18" s="402">
        <v>35.0</v>
      </c>
      <c r="J18" s="403" t="s">
        <v>690</v>
      </c>
      <c r="K18" s="404" t="s">
        <v>691</v>
      </c>
    </row>
    <row r="19">
      <c r="A19" s="398">
        <v>45931.0</v>
      </c>
      <c r="B19" s="360">
        <v>35133.0</v>
      </c>
      <c r="C19" s="360">
        <v>17158.0</v>
      </c>
      <c r="D19" s="360">
        <v>17975.0</v>
      </c>
      <c r="E19" s="360">
        <v>2479.3103448275847</v>
      </c>
      <c r="F19" s="360">
        <v>32653.68965517243</v>
      </c>
      <c r="G19" s="360">
        <v>33561.0</v>
      </c>
      <c r="H19" s="360">
        <f t="shared" si="1"/>
        <v>1572</v>
      </c>
      <c r="I19" s="399">
        <v>43.0</v>
      </c>
      <c r="J19" s="102" t="s">
        <v>690</v>
      </c>
      <c r="K19" s="400" t="s">
        <v>691</v>
      </c>
    </row>
    <row r="20">
      <c r="A20" s="401">
        <v>45962.0</v>
      </c>
      <c r="B20" s="366">
        <v>32435.0</v>
      </c>
      <c r="C20" s="366">
        <v>14694.0</v>
      </c>
      <c r="D20" s="366">
        <v>17741.0</v>
      </c>
      <c r="E20" s="366">
        <v>2447.0344827586196</v>
      </c>
      <c r="F20" s="366">
        <v>29987.96551724139</v>
      </c>
      <c r="G20" s="366">
        <v>30163.0</v>
      </c>
      <c r="H20" s="366">
        <f t="shared" si="1"/>
        <v>2272</v>
      </c>
      <c r="I20" s="402">
        <v>36.0</v>
      </c>
      <c r="J20" s="403" t="s">
        <v>690</v>
      </c>
      <c r="K20" s="404" t="s">
        <v>691</v>
      </c>
    </row>
    <row r="21">
      <c r="A21" s="398">
        <v>45992.0</v>
      </c>
      <c r="B21" s="360">
        <v>42258.0</v>
      </c>
      <c r="C21" s="360">
        <v>25137.0</v>
      </c>
      <c r="D21" s="360">
        <v>17121.0</v>
      </c>
      <c r="E21" s="360">
        <v>2361.5172413793093</v>
      </c>
      <c r="F21" s="360">
        <v>39896.48275862069</v>
      </c>
      <c r="G21" s="360">
        <v>57231.0</v>
      </c>
      <c r="H21" s="360">
        <f t="shared" si="1"/>
        <v>-14973</v>
      </c>
      <c r="I21" s="399">
        <v>36.0</v>
      </c>
      <c r="J21" s="102" t="s">
        <v>690</v>
      </c>
      <c r="K21" s="400" t="s">
        <v>691</v>
      </c>
    </row>
    <row r="22">
      <c r="A22" s="401">
        <v>46023.0</v>
      </c>
      <c r="B22" s="366">
        <v>40635.31</v>
      </c>
      <c r="C22" s="366">
        <v>19949.0</v>
      </c>
      <c r="D22" s="366">
        <v>20686.309999999998</v>
      </c>
      <c r="E22" s="366">
        <v>2853.2841379310335</v>
      </c>
      <c r="F22" s="366">
        <v>37782.02586206897</v>
      </c>
      <c r="G22" s="366">
        <v>29934.0</v>
      </c>
      <c r="H22" s="366">
        <f t="shared" si="1"/>
        <v>10701.31</v>
      </c>
      <c r="I22" s="402">
        <v>43.0</v>
      </c>
      <c r="J22" s="403" t="s">
        <v>690</v>
      </c>
      <c r="K22" s="404" t="s">
        <v>691</v>
      </c>
    </row>
    <row r="23">
      <c r="A23" s="398">
        <v>46054.0</v>
      </c>
      <c r="B23" s="360">
        <v>39270.0</v>
      </c>
      <c r="C23" s="360">
        <v>14014.0</v>
      </c>
      <c r="D23" s="360">
        <v>25256.0</v>
      </c>
      <c r="E23" s="360">
        <v>3483.58620689655</v>
      </c>
      <c r="F23" s="360">
        <v>35786.41379310344</v>
      </c>
      <c r="G23" s="360">
        <v>31110.6</v>
      </c>
      <c r="H23" s="360">
        <f t="shared" si="1"/>
        <v>8159.4</v>
      </c>
      <c r="I23" s="399">
        <v>42.0</v>
      </c>
      <c r="J23" s="102" t="s">
        <v>690</v>
      </c>
      <c r="K23" s="400" t="s">
        <v>691</v>
      </c>
    </row>
    <row r="24">
      <c r="A24" s="401">
        <v>46082.0</v>
      </c>
      <c r="B24" s="366">
        <v>37737.34</v>
      </c>
      <c r="C24" s="366">
        <v>12469.0</v>
      </c>
      <c r="D24" s="366">
        <v>25268.34</v>
      </c>
      <c r="E24" s="366">
        <v>3485.288275862068</v>
      </c>
      <c r="F24" s="366">
        <v>34252.05172413793</v>
      </c>
      <c r="G24" s="366">
        <v>39986.0</v>
      </c>
      <c r="H24" s="366">
        <f t="shared" si="1"/>
        <v>-2248.66</v>
      </c>
      <c r="I24" s="402">
        <v>41.0</v>
      </c>
      <c r="J24" s="403" t="s">
        <v>690</v>
      </c>
      <c r="K24" s="404" t="s">
        <v>691</v>
      </c>
    </row>
    <row r="25">
      <c r="A25" s="398">
        <v>46113.0</v>
      </c>
      <c r="B25" s="360">
        <v>43743.22</v>
      </c>
      <c r="C25" s="360">
        <v>11213.0</v>
      </c>
      <c r="D25" s="360">
        <v>32530.22</v>
      </c>
      <c r="E25" s="360">
        <v>4486.926896551722</v>
      </c>
      <c r="F25" s="360">
        <v>39256.29310344828</v>
      </c>
      <c r="G25" s="360">
        <v>35497.0</v>
      </c>
      <c r="H25" s="360">
        <f t="shared" si="1"/>
        <v>8246.22</v>
      </c>
      <c r="I25" s="399">
        <v>42.0</v>
      </c>
      <c r="J25" s="102" t="s">
        <v>690</v>
      </c>
      <c r="K25" s="400" t="s">
        <v>691</v>
      </c>
    </row>
    <row r="26">
      <c r="A26" s="401">
        <v>46143.0</v>
      </c>
      <c r="B26" s="366">
        <v>46183.22</v>
      </c>
      <c r="C26" s="366">
        <v>17546.0</v>
      </c>
      <c r="D26" s="366">
        <v>28637.22</v>
      </c>
      <c r="E26" s="366">
        <v>3949.9613793103426</v>
      </c>
      <c r="F26" s="366">
        <v>42233.25862068966</v>
      </c>
      <c r="G26" s="366">
        <v>40679.0</v>
      </c>
      <c r="H26" s="366">
        <f t="shared" si="1"/>
        <v>5504.22</v>
      </c>
      <c r="I26" s="402">
        <v>45.0</v>
      </c>
      <c r="J26" s="403" t="s">
        <v>690</v>
      </c>
      <c r="K26" s="404" t="s">
        <v>691</v>
      </c>
    </row>
    <row r="27">
      <c r="A27" s="398">
        <v>46174.0</v>
      </c>
      <c r="B27" s="360">
        <v>52953.0</v>
      </c>
      <c r="C27" s="360">
        <v>23763.0</v>
      </c>
      <c r="D27" s="360">
        <v>29190.0</v>
      </c>
      <c r="E27" s="360">
        <v>4026.206896551722</v>
      </c>
      <c r="F27" s="360">
        <v>48926.793103448275</v>
      </c>
      <c r="G27" s="360">
        <v>41317.61</v>
      </c>
      <c r="H27" s="360">
        <f t="shared" si="1"/>
        <v>11635.39</v>
      </c>
      <c r="I27" s="399">
        <v>53.0</v>
      </c>
      <c r="J27" s="102" t="s">
        <v>690</v>
      </c>
      <c r="K27" s="400" t="s">
        <v>691</v>
      </c>
    </row>
    <row r="28">
      <c r="A28" s="401">
        <v>46204.0</v>
      </c>
      <c r="B28" s="366">
        <v>52402.79</v>
      </c>
      <c r="C28" s="366">
        <v>18846.0</v>
      </c>
      <c r="D28" s="366">
        <v>33556.78999999999</v>
      </c>
      <c r="E28" s="366">
        <v>4628.5227586206875</v>
      </c>
      <c r="F28" s="366">
        <v>47774.267241379304</v>
      </c>
      <c r="G28" s="366">
        <v>43426.0</v>
      </c>
      <c r="H28" s="366">
        <f t="shared" si="1"/>
        <v>8976.79</v>
      </c>
      <c r="I28" s="402">
        <v>51.0</v>
      </c>
      <c r="J28" s="403" t="s">
        <v>690</v>
      </c>
      <c r="K28" s="404" t="s">
        <v>691</v>
      </c>
    </row>
    <row r="29">
      <c r="A29" s="398">
        <v>46235.0</v>
      </c>
      <c r="B29" s="360">
        <v>65816.29999999999</v>
      </c>
      <c r="C29" s="360">
        <v>21092.0</v>
      </c>
      <c r="D29" s="360">
        <v>44724.299999999996</v>
      </c>
      <c r="E29" s="360">
        <v>6168.8689655172375</v>
      </c>
      <c r="F29" s="360">
        <v>59647.43103448274</v>
      </c>
      <c r="G29" s="360">
        <v>54839.0</v>
      </c>
      <c r="H29" s="360">
        <f t="shared" si="1"/>
        <v>10977.3</v>
      </c>
      <c r="I29" s="399">
        <v>57.0</v>
      </c>
      <c r="J29" s="102" t="s">
        <v>690</v>
      </c>
      <c r="K29" s="400" t="s">
        <v>691</v>
      </c>
    </row>
    <row r="30">
      <c r="A30" s="401">
        <v>46266.0</v>
      </c>
      <c r="B30" s="379">
        <f>IF($A30&gt;DATE(YEAR(TODAY()),MONTH(TODAY()),1),"",'ESTADO CONTABLE'!B13)</f>
        <v>71208</v>
      </c>
      <c r="C30" s="379">
        <f>IF($A30&gt;DATE(YEAR(TODAY()),MONTH(TODAY()),1),"",'ESTADO CONTABLE'!C13)</f>
        <v>30615</v>
      </c>
      <c r="D30" s="379">
        <f>IF($A30&gt;DATE(YEAR(TODAY()),MONTH(TODAY()),1),"",'ESTADO CONTABLE'!D13+'ESTADO CONTABLE'!F13)</f>
        <v>40593</v>
      </c>
      <c r="E30" s="379">
        <f>IF($A30&gt;DATE(YEAR(TODAY()),MONTH(TODAY()),1),"",'ESTADO CONTABLE'!I13)</f>
        <v>5231.034483</v>
      </c>
      <c r="F30" s="379">
        <f>IF($A30&gt;DATE(YEAR(TODAY()),MONTH(TODAY()),1),"",'ESTADO CONTABLE'!J13)</f>
        <v>65976.96552</v>
      </c>
      <c r="G30" s="379">
        <f>IF($A30&gt;DATE(YEAR(TODAY()),MONTH(TODAY()),1),"",'ESTADO CONTABLE'!K13)</f>
        <v>54935.55</v>
      </c>
      <c r="H30" s="379">
        <f>IF($A30&gt;DATE(YEAR(TODAY()),MONTH(TODAY()),1),"",B30-G30-E30)</f>
        <v>11041.41552</v>
      </c>
      <c r="I30" s="405">
        <f>IF($A30&gt;DATE(YEAR(TODAY()),MONTH(TODAY()),1),"",COUNTIF(PAGOS!$AB$2:$AB$1014,"&gt;0"))</f>
        <v>75</v>
      </c>
      <c r="J30" s="403" t="s">
        <v>692</v>
      </c>
      <c r="K30" s="404" t="s">
        <v>693</v>
      </c>
    </row>
    <row r="31">
      <c r="A31" s="398">
        <v>46296.0</v>
      </c>
      <c r="B31" s="376">
        <f>IF($A31&gt;DATE(YEAR(TODAY()),MONTH(TODAY()),1),"",'ESTADO CONTABLE'!B14)</f>
        <v>66356</v>
      </c>
      <c r="C31" s="376">
        <f>IF($A31&gt;DATE(YEAR(TODAY()),MONTH(TODAY()),1),"",'ESTADO CONTABLE'!C14)</f>
        <v>27320</v>
      </c>
      <c r="D31" s="376">
        <f>IF($A31&gt;DATE(YEAR(TODAY()),MONTH(TODAY()),1),"",'ESTADO CONTABLE'!D14+'ESTADO CONTABLE'!F14)</f>
        <v>39036</v>
      </c>
      <c r="E31" s="376">
        <f>IF($A31&gt;DATE(YEAR(TODAY()),MONTH(TODAY()),1),"",'ESTADO CONTABLE'!I14)</f>
        <v>5310.344828</v>
      </c>
      <c r="F31" s="376">
        <f>IF($A31&gt;DATE(YEAR(TODAY()),MONTH(TODAY()),1),"",'ESTADO CONTABLE'!J14)</f>
        <v>61045.65517</v>
      </c>
      <c r="G31" s="376">
        <f>IF($A31&gt;DATE(YEAR(TODAY()),MONTH(TODAY()),1),"",'ESTADO CONTABLE'!K14)</f>
        <v>35596.97</v>
      </c>
      <c r="H31" s="376">
        <f t="shared" ref="H31:H33" si="2">IF($A31&gt;DATE(YEAR(TODAY()),MONTH(TODAY()),1),"",B31-G31)</f>
        <v>30759.03</v>
      </c>
      <c r="I31" s="406">
        <f>IF($A31&gt;DATE(YEAR(TODAY()),MONTH(TODAY()),1),"",COUNTIF(PAGOS!$AE$2:$AE$1014,"&gt;0"))</f>
        <v>70</v>
      </c>
      <c r="J31" s="102" t="s">
        <v>692</v>
      </c>
      <c r="K31" s="400" t="s">
        <v>693</v>
      </c>
    </row>
    <row r="32">
      <c r="A32" s="401">
        <v>46327.0</v>
      </c>
      <c r="B32" s="379" t="str">
        <f>IF($A32&gt;DATE(YEAR(TODAY()),MONTH(TODAY()),1),"",'ESTADO CONTABLE'!B15)</f>
        <v/>
      </c>
      <c r="C32" s="379" t="str">
        <f>IF($A32&gt;DATE(YEAR(TODAY()),MONTH(TODAY()),1),"",'ESTADO CONTABLE'!C15)</f>
        <v/>
      </c>
      <c r="D32" s="379" t="str">
        <f>IF($A32&gt;DATE(YEAR(TODAY()),MONTH(TODAY()),1),"",'ESTADO CONTABLE'!D15+'ESTADO CONTABLE'!F15)</f>
        <v/>
      </c>
      <c r="E32" s="379" t="str">
        <f>IF($A32&gt;DATE(YEAR(TODAY()),MONTH(TODAY()),1),"",'ESTADO CONTABLE'!I15)</f>
        <v/>
      </c>
      <c r="F32" s="379" t="str">
        <f>IF($A32&gt;DATE(YEAR(TODAY()),MONTH(TODAY()),1),"",'ESTADO CONTABLE'!J15)</f>
        <v/>
      </c>
      <c r="G32" s="379" t="str">
        <f>IF($A32&gt;DATE(YEAR(TODAY()),MONTH(TODAY()),1),"",'ESTADO CONTABLE'!K15)</f>
        <v/>
      </c>
      <c r="H32" s="379" t="str">
        <f t="shared" si="2"/>
        <v/>
      </c>
      <c r="I32" s="405" t="str">
        <f>IF($A32&gt;DATE(YEAR(TODAY()),MONTH(TODAY()),1),"",COUNTIF(PAGOS!$AH$2:$AH$1014,"&gt;0"))</f>
        <v/>
      </c>
      <c r="J32" s="403" t="s">
        <v>692</v>
      </c>
      <c r="K32" s="404" t="s">
        <v>693</v>
      </c>
    </row>
    <row r="33">
      <c r="A33" s="398">
        <v>46357.0</v>
      </c>
      <c r="B33" s="376" t="str">
        <f>IF($A33&gt;DATE(YEAR(TODAY()),MONTH(TODAY()),1),"",'ESTADO CONTABLE'!B16)</f>
        <v/>
      </c>
      <c r="C33" s="376" t="str">
        <f>IF($A33&gt;DATE(YEAR(TODAY()),MONTH(TODAY()),1),"",'ESTADO CONTABLE'!C16)</f>
        <v/>
      </c>
      <c r="D33" s="376" t="str">
        <f>IF($A33&gt;DATE(YEAR(TODAY()),MONTH(TODAY()),1),"",'ESTADO CONTABLE'!D16+'ESTADO CONTABLE'!F16)</f>
        <v/>
      </c>
      <c r="E33" s="376" t="str">
        <f>IF($A33&gt;DATE(YEAR(TODAY()),MONTH(TODAY()),1),"",'ESTADO CONTABLE'!I16)</f>
        <v/>
      </c>
      <c r="F33" s="376" t="str">
        <f>IF($A33&gt;DATE(YEAR(TODAY()),MONTH(TODAY()),1),"",'ESTADO CONTABLE'!J16)</f>
        <v/>
      </c>
      <c r="G33" s="376" t="str">
        <f>IF($A33&gt;DATE(YEAR(TODAY()),MONTH(TODAY()),1),"",'ESTADO CONTABLE'!K16)</f>
        <v/>
      </c>
      <c r="H33" s="376" t="str">
        <f t="shared" si="2"/>
        <v/>
      </c>
      <c r="I33" s="406" t="str">
        <f>IF($A33&gt;DATE(YEAR(TODAY()),MONTH(TODAY()),1),"",COUNTIF(PAGOS!$AK$2:$AK$1014,"&gt;0"))</f>
        <v/>
      </c>
      <c r="J33" s="102" t="s">
        <v>692</v>
      </c>
      <c r="K33" s="400" t="s">
        <v>693</v>
      </c>
    </row>
  </sheetData>
  <autoFilter ref="$A$4:$K$33"/>
  <mergeCells count="2">
    <mergeCell ref="A1:K1"/>
    <mergeCell ref="A2:K2"/>
  </mergeCells>
  <conditionalFormatting sqref="K5:K33">
    <cfRule type="cellIs" dxfId="15" priority="1" stopIfTrue="1" operator="lessThan">
      <formula>0</formula>
    </cfRule>
  </conditionalFormatting>
  <conditionalFormatting sqref="H5:H33">
    <cfRule type="cellIs" dxfId="16" priority="2" stopIfTrue="1" operator="lessThan">
      <formula>0</formula>
    </cfRule>
  </conditionalFormatting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63F5B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10.67"/>
    <col customWidth="1" min="2" max="3" width="9.56"/>
    <col customWidth="1" min="4" max="7" width="14.0"/>
    <col customWidth="1" min="8" max="9" width="11.78"/>
    <col customWidth="1" min="10" max="10" width="26.78"/>
    <col customWidth="1" min="11" max="12" width="12.89"/>
    <col customWidth="1" min="13" max="14" width="19.0"/>
  </cols>
  <sheetData>
    <row r="1" ht="25.5" customHeight="1">
      <c r="A1" s="407" t="s">
        <v>694</v>
      </c>
    </row>
    <row r="2" ht="28.5" customHeight="1">
      <c r="A2" s="408" t="s">
        <v>695</v>
      </c>
    </row>
    <row r="3">
      <c r="A3" s="216" t="s">
        <v>472</v>
      </c>
      <c r="B3" s="216" t="s">
        <v>472</v>
      </c>
      <c r="C3" s="216" t="s">
        <v>472</v>
      </c>
      <c r="D3" s="216" t="s">
        <v>472</v>
      </c>
      <c r="E3" s="216" t="s">
        <v>472</v>
      </c>
      <c r="F3" s="216" t="s">
        <v>472</v>
      </c>
      <c r="G3" s="216" t="s">
        <v>472</v>
      </c>
      <c r="H3" s="216" t="s">
        <v>472</v>
      </c>
      <c r="I3" s="216" t="s">
        <v>472</v>
      </c>
      <c r="J3" s="216" t="s">
        <v>472</v>
      </c>
      <c r="K3" s="216" t="s">
        <v>472</v>
      </c>
      <c r="L3" s="216" t="s">
        <v>472</v>
      </c>
      <c r="M3" s="216" t="s">
        <v>472</v>
      </c>
      <c r="N3" s="216" t="s">
        <v>472</v>
      </c>
    </row>
    <row r="4">
      <c r="A4" s="396" t="s">
        <v>111</v>
      </c>
      <c r="B4" s="396" t="s">
        <v>4</v>
      </c>
      <c r="C4" s="396" t="s">
        <v>681</v>
      </c>
      <c r="D4" s="396" t="s">
        <v>120</v>
      </c>
      <c r="E4" s="396" t="s">
        <v>696</v>
      </c>
      <c r="F4" s="396" t="s">
        <v>119</v>
      </c>
      <c r="G4" s="396" t="s">
        <v>115</v>
      </c>
      <c r="H4" s="396" t="s">
        <v>379</v>
      </c>
      <c r="I4" s="396" t="s">
        <v>697</v>
      </c>
      <c r="J4" s="396" t="s">
        <v>116</v>
      </c>
      <c r="K4" s="396" t="s">
        <v>380</v>
      </c>
      <c r="L4" s="396" t="s">
        <v>698</v>
      </c>
      <c r="M4" s="396" t="s">
        <v>699</v>
      </c>
      <c r="N4" s="396" t="s">
        <v>700</v>
      </c>
    </row>
    <row r="5">
      <c r="A5" s="409">
        <v>45507.0</v>
      </c>
      <c r="B5" s="102">
        <v>2024.0</v>
      </c>
      <c r="C5" s="410" t="s">
        <v>701</v>
      </c>
      <c r="D5" s="102" t="s">
        <v>702</v>
      </c>
      <c r="E5" s="102" t="s">
        <v>465</v>
      </c>
      <c r="F5" s="102" t="s">
        <v>703</v>
      </c>
      <c r="G5" s="102" t="s">
        <v>704</v>
      </c>
      <c r="H5" s="360">
        <v>600.0</v>
      </c>
      <c r="I5" s="411" t="b">
        <v>0</v>
      </c>
      <c r="J5" s="102" t="s">
        <v>705</v>
      </c>
      <c r="K5" s="360">
        <v>0.0</v>
      </c>
      <c r="L5" s="360">
        <v>600.0</v>
      </c>
      <c r="M5" s="102" t="s">
        <v>706</v>
      </c>
      <c r="N5" s="102" t="s">
        <v>707</v>
      </c>
    </row>
    <row r="6">
      <c r="A6" s="412">
        <v>45519.0</v>
      </c>
      <c r="B6" s="413">
        <v>2024.0</v>
      </c>
      <c r="C6" s="414" t="s">
        <v>701</v>
      </c>
      <c r="D6" s="413" t="s">
        <v>702</v>
      </c>
      <c r="E6" s="413" t="s">
        <v>465</v>
      </c>
      <c r="F6" s="413" t="s">
        <v>703</v>
      </c>
      <c r="G6" s="413" t="s">
        <v>704</v>
      </c>
      <c r="H6" s="415">
        <v>200.0</v>
      </c>
      <c r="I6" s="416" t="b">
        <v>0</v>
      </c>
      <c r="J6" s="413" t="s">
        <v>708</v>
      </c>
      <c r="K6" s="415">
        <v>0.0</v>
      </c>
      <c r="L6" s="415">
        <v>200.0</v>
      </c>
      <c r="M6" s="413" t="s">
        <v>706</v>
      </c>
      <c r="N6" s="413" t="s">
        <v>709</v>
      </c>
    </row>
    <row r="7">
      <c r="A7" s="409">
        <v>45528.0</v>
      </c>
      <c r="B7" s="102">
        <v>2024.0</v>
      </c>
      <c r="C7" s="410" t="s">
        <v>701</v>
      </c>
      <c r="D7" s="102" t="s">
        <v>710</v>
      </c>
      <c r="E7" s="102" t="s">
        <v>137</v>
      </c>
      <c r="F7" s="102" t="s">
        <v>711</v>
      </c>
      <c r="G7" s="102" t="s">
        <v>712</v>
      </c>
      <c r="H7" s="360">
        <v>16878.0</v>
      </c>
      <c r="I7" s="411" t="b">
        <v>0</v>
      </c>
      <c r="J7" s="102" t="s">
        <v>472</v>
      </c>
      <c r="K7" s="360">
        <v>0.0</v>
      </c>
      <c r="L7" s="360">
        <v>16878.0</v>
      </c>
      <c r="M7" s="102" t="s">
        <v>706</v>
      </c>
      <c r="N7" s="102" t="s">
        <v>713</v>
      </c>
    </row>
    <row r="8">
      <c r="A8" s="412">
        <v>45528.0</v>
      </c>
      <c r="B8" s="413">
        <v>2024.0</v>
      </c>
      <c r="C8" s="414" t="s">
        <v>701</v>
      </c>
      <c r="D8" s="413" t="s">
        <v>702</v>
      </c>
      <c r="E8" s="413" t="s">
        <v>465</v>
      </c>
      <c r="F8" s="413" t="s">
        <v>711</v>
      </c>
      <c r="G8" s="413" t="s">
        <v>712</v>
      </c>
      <c r="H8" s="415">
        <v>9087.0</v>
      </c>
      <c r="I8" s="416" t="b">
        <v>0</v>
      </c>
      <c r="J8" s="413" t="s">
        <v>472</v>
      </c>
      <c r="K8" s="415">
        <v>1253.379310344827</v>
      </c>
      <c r="L8" s="415">
        <v>7833.620689655173</v>
      </c>
      <c r="M8" s="413" t="s">
        <v>706</v>
      </c>
      <c r="N8" s="413" t="s">
        <v>714</v>
      </c>
    </row>
    <row r="9">
      <c r="A9" s="409">
        <v>45528.0</v>
      </c>
      <c r="B9" s="102">
        <v>2024.0</v>
      </c>
      <c r="C9" s="410" t="s">
        <v>701</v>
      </c>
      <c r="D9" s="102" t="s">
        <v>710</v>
      </c>
      <c r="E9" s="102" t="s">
        <v>137</v>
      </c>
      <c r="F9" s="102" t="s">
        <v>703</v>
      </c>
      <c r="G9" s="102" t="s">
        <v>715</v>
      </c>
      <c r="H9" s="360">
        <v>200.0</v>
      </c>
      <c r="I9" s="411" t="b">
        <v>0</v>
      </c>
      <c r="J9" s="102" t="s">
        <v>716</v>
      </c>
      <c r="K9" s="360">
        <v>0.0</v>
      </c>
      <c r="L9" s="360">
        <v>200.0</v>
      </c>
      <c r="M9" s="102" t="s">
        <v>706</v>
      </c>
      <c r="N9" s="102" t="s">
        <v>717</v>
      </c>
    </row>
    <row r="10">
      <c r="A10" s="412">
        <v>45528.0</v>
      </c>
      <c r="B10" s="413">
        <v>2024.0</v>
      </c>
      <c r="C10" s="414" t="s">
        <v>701</v>
      </c>
      <c r="D10" s="413" t="s">
        <v>710</v>
      </c>
      <c r="E10" s="413" t="s">
        <v>137</v>
      </c>
      <c r="F10" s="413" t="s">
        <v>703</v>
      </c>
      <c r="G10" s="413" t="s">
        <v>715</v>
      </c>
      <c r="H10" s="415">
        <v>39.0</v>
      </c>
      <c r="I10" s="416" t="b">
        <v>0</v>
      </c>
      <c r="J10" s="413" t="s">
        <v>718</v>
      </c>
      <c r="K10" s="415">
        <v>0.0</v>
      </c>
      <c r="L10" s="415">
        <v>39.0</v>
      </c>
      <c r="M10" s="413" t="s">
        <v>706</v>
      </c>
      <c r="N10" s="413" t="s">
        <v>717</v>
      </c>
    </row>
    <row r="11">
      <c r="A11" s="409">
        <v>45528.0</v>
      </c>
      <c r="B11" s="102">
        <v>2024.0</v>
      </c>
      <c r="C11" s="410" t="s">
        <v>701</v>
      </c>
      <c r="D11" s="102" t="s">
        <v>710</v>
      </c>
      <c r="E11" s="102" t="s">
        <v>137</v>
      </c>
      <c r="F11" s="102" t="s">
        <v>703</v>
      </c>
      <c r="G11" s="102" t="s">
        <v>715</v>
      </c>
      <c r="H11" s="360">
        <v>45.0</v>
      </c>
      <c r="I11" s="411" t="b">
        <v>0</v>
      </c>
      <c r="J11" s="102" t="s">
        <v>719</v>
      </c>
      <c r="K11" s="360">
        <v>0.0</v>
      </c>
      <c r="L11" s="360">
        <v>45.0</v>
      </c>
      <c r="M11" s="102" t="s">
        <v>706</v>
      </c>
      <c r="N11" s="102" t="s">
        <v>717</v>
      </c>
    </row>
    <row r="12">
      <c r="A12" s="412">
        <v>45528.0</v>
      </c>
      <c r="B12" s="413">
        <v>2024.0</v>
      </c>
      <c r="C12" s="414" t="s">
        <v>701</v>
      </c>
      <c r="D12" s="413" t="s">
        <v>710</v>
      </c>
      <c r="E12" s="413" t="s">
        <v>137</v>
      </c>
      <c r="F12" s="413" t="s">
        <v>703</v>
      </c>
      <c r="G12" s="413" t="s">
        <v>715</v>
      </c>
      <c r="H12" s="415">
        <v>290.0</v>
      </c>
      <c r="I12" s="416" t="b">
        <v>0</v>
      </c>
      <c r="J12" s="413" t="s">
        <v>720</v>
      </c>
      <c r="K12" s="415">
        <v>0.0</v>
      </c>
      <c r="L12" s="415">
        <v>290.0</v>
      </c>
      <c r="M12" s="413" t="s">
        <v>706</v>
      </c>
      <c r="N12" s="413" t="s">
        <v>717</v>
      </c>
    </row>
    <row r="13">
      <c r="A13" s="409">
        <v>45528.0</v>
      </c>
      <c r="B13" s="102">
        <v>2024.0</v>
      </c>
      <c r="C13" s="410" t="s">
        <v>701</v>
      </c>
      <c r="D13" s="102" t="s">
        <v>710</v>
      </c>
      <c r="E13" s="102" t="s">
        <v>137</v>
      </c>
      <c r="F13" s="102" t="s">
        <v>703</v>
      </c>
      <c r="G13" s="102" t="s">
        <v>715</v>
      </c>
      <c r="H13" s="360">
        <v>30.0</v>
      </c>
      <c r="I13" s="411" t="b">
        <v>0</v>
      </c>
      <c r="J13" s="102" t="s">
        <v>472</v>
      </c>
      <c r="K13" s="360">
        <v>0.0</v>
      </c>
      <c r="L13" s="360">
        <v>30.0</v>
      </c>
      <c r="M13" s="102" t="s">
        <v>706</v>
      </c>
      <c r="N13" s="102" t="s">
        <v>717</v>
      </c>
    </row>
    <row r="14">
      <c r="A14" s="412">
        <v>45528.0</v>
      </c>
      <c r="B14" s="413">
        <v>2024.0</v>
      </c>
      <c r="C14" s="414" t="s">
        <v>701</v>
      </c>
      <c r="D14" s="413" t="s">
        <v>710</v>
      </c>
      <c r="E14" s="413" t="s">
        <v>137</v>
      </c>
      <c r="F14" s="413" t="s">
        <v>703</v>
      </c>
      <c r="G14" s="413" t="s">
        <v>715</v>
      </c>
      <c r="H14" s="415">
        <v>654.0</v>
      </c>
      <c r="I14" s="416" t="b">
        <v>0</v>
      </c>
      <c r="J14" s="413" t="s">
        <v>721</v>
      </c>
      <c r="K14" s="415">
        <v>0.0</v>
      </c>
      <c r="L14" s="415">
        <v>654.0</v>
      </c>
      <c r="M14" s="413" t="s">
        <v>706</v>
      </c>
      <c r="N14" s="413" t="s">
        <v>717</v>
      </c>
    </row>
    <row r="15">
      <c r="A15" s="409">
        <v>45528.0</v>
      </c>
      <c r="B15" s="102">
        <v>2024.0</v>
      </c>
      <c r="C15" s="410" t="s">
        <v>701</v>
      </c>
      <c r="D15" s="102" t="s">
        <v>710</v>
      </c>
      <c r="E15" s="102" t="s">
        <v>137</v>
      </c>
      <c r="F15" s="102" t="s">
        <v>703</v>
      </c>
      <c r="G15" s="102" t="s">
        <v>715</v>
      </c>
      <c r="H15" s="360">
        <v>1170.0</v>
      </c>
      <c r="I15" s="411" t="b">
        <v>0</v>
      </c>
      <c r="J15" s="102" t="s">
        <v>722</v>
      </c>
      <c r="K15" s="360">
        <v>0.0</v>
      </c>
      <c r="L15" s="360">
        <v>1170.0</v>
      </c>
      <c r="M15" s="102" t="s">
        <v>706</v>
      </c>
      <c r="N15" s="102" t="s">
        <v>717</v>
      </c>
    </row>
    <row r="16">
      <c r="A16" s="412">
        <v>45528.0</v>
      </c>
      <c r="B16" s="413">
        <v>2024.0</v>
      </c>
      <c r="C16" s="414" t="s">
        <v>701</v>
      </c>
      <c r="D16" s="413" t="s">
        <v>723</v>
      </c>
      <c r="E16" s="413" t="s">
        <v>137</v>
      </c>
      <c r="F16" s="413" t="s">
        <v>711</v>
      </c>
      <c r="G16" s="413" t="s">
        <v>724</v>
      </c>
      <c r="H16" s="415">
        <v>1060.0</v>
      </c>
      <c r="I16" s="416" t="b">
        <v>1</v>
      </c>
      <c r="J16" s="413" t="s">
        <v>725</v>
      </c>
      <c r="K16" s="415">
        <v>0.0</v>
      </c>
      <c r="L16" s="415">
        <v>0.0</v>
      </c>
      <c r="M16" s="413" t="s">
        <v>706</v>
      </c>
      <c r="N16" s="413" t="s">
        <v>726</v>
      </c>
    </row>
    <row r="17">
      <c r="A17" s="409">
        <v>45528.0</v>
      </c>
      <c r="B17" s="102">
        <v>2024.0</v>
      </c>
      <c r="C17" s="410" t="s">
        <v>701</v>
      </c>
      <c r="D17" s="102" t="s">
        <v>710</v>
      </c>
      <c r="E17" s="102" t="s">
        <v>137</v>
      </c>
      <c r="F17" s="102" t="s">
        <v>703</v>
      </c>
      <c r="G17" s="102" t="s">
        <v>724</v>
      </c>
      <c r="H17" s="360">
        <v>1060.0</v>
      </c>
      <c r="I17" s="411" t="b">
        <v>1</v>
      </c>
      <c r="J17" s="102" t="s">
        <v>725</v>
      </c>
      <c r="K17" s="360">
        <v>0.0</v>
      </c>
      <c r="L17" s="360">
        <v>0.0</v>
      </c>
      <c r="M17" s="102" t="s">
        <v>706</v>
      </c>
      <c r="N17" s="102" t="s">
        <v>726</v>
      </c>
    </row>
    <row r="18">
      <c r="A18" s="412">
        <v>45528.0</v>
      </c>
      <c r="B18" s="413">
        <v>2024.0</v>
      </c>
      <c r="C18" s="414" t="s">
        <v>701</v>
      </c>
      <c r="D18" s="413" t="s">
        <v>702</v>
      </c>
      <c r="E18" s="413" t="s">
        <v>465</v>
      </c>
      <c r="F18" s="413" t="s">
        <v>703</v>
      </c>
      <c r="G18" s="413" t="s">
        <v>724</v>
      </c>
      <c r="H18" s="415">
        <v>5950.0</v>
      </c>
      <c r="I18" s="416" t="b">
        <v>1</v>
      </c>
      <c r="J18" s="413" t="s">
        <v>727</v>
      </c>
      <c r="K18" s="415">
        <v>0.0</v>
      </c>
      <c r="L18" s="415">
        <v>0.0</v>
      </c>
      <c r="M18" s="413" t="s">
        <v>706</v>
      </c>
      <c r="N18" s="413" t="s">
        <v>728</v>
      </c>
    </row>
    <row r="19">
      <c r="A19" s="409">
        <v>45528.0</v>
      </c>
      <c r="B19" s="102">
        <v>2024.0</v>
      </c>
      <c r="C19" s="410" t="s">
        <v>701</v>
      </c>
      <c r="D19" s="102" t="s">
        <v>702</v>
      </c>
      <c r="E19" s="102" t="s">
        <v>465</v>
      </c>
      <c r="F19" s="102" t="s">
        <v>711</v>
      </c>
      <c r="G19" s="102" t="s">
        <v>729</v>
      </c>
      <c r="H19" s="360">
        <v>8111.0</v>
      </c>
      <c r="I19" s="411" t="b">
        <v>0</v>
      </c>
      <c r="J19" s="102" t="s">
        <v>472</v>
      </c>
      <c r="K19" s="360">
        <v>1118.758620689655</v>
      </c>
      <c r="L19" s="360">
        <v>6992.241379310345</v>
      </c>
      <c r="M19" s="102" t="s">
        <v>706</v>
      </c>
      <c r="N19" s="102" t="s">
        <v>728</v>
      </c>
    </row>
    <row r="20">
      <c r="A20" s="412">
        <v>45528.0</v>
      </c>
      <c r="B20" s="413">
        <v>2024.0</v>
      </c>
      <c r="C20" s="414" t="s">
        <v>701</v>
      </c>
      <c r="D20" s="413" t="s">
        <v>702</v>
      </c>
      <c r="E20" s="413" t="s">
        <v>465</v>
      </c>
      <c r="F20" s="413" t="s">
        <v>711</v>
      </c>
      <c r="G20" s="413" t="s">
        <v>730</v>
      </c>
      <c r="H20" s="415">
        <v>48.0</v>
      </c>
      <c r="I20" s="416" t="b">
        <v>0</v>
      </c>
      <c r="J20" s="413" t="s">
        <v>472</v>
      </c>
      <c r="K20" s="415">
        <v>6.620689655172413</v>
      </c>
      <c r="L20" s="415">
        <v>41.37931034482759</v>
      </c>
      <c r="M20" s="413" t="s">
        <v>706</v>
      </c>
      <c r="N20" s="413" t="s">
        <v>731</v>
      </c>
    </row>
    <row r="21">
      <c r="A21" s="409">
        <v>45529.0</v>
      </c>
      <c r="B21" s="102">
        <v>2024.0</v>
      </c>
      <c r="C21" s="410" t="s">
        <v>701</v>
      </c>
      <c r="D21" s="102" t="s">
        <v>702</v>
      </c>
      <c r="E21" s="102" t="s">
        <v>465</v>
      </c>
      <c r="F21" s="102" t="s">
        <v>703</v>
      </c>
      <c r="G21" s="102" t="s">
        <v>732</v>
      </c>
      <c r="H21" s="360">
        <v>1014.01</v>
      </c>
      <c r="I21" s="411" t="b">
        <v>0</v>
      </c>
      <c r="J21" s="102" t="s">
        <v>163</v>
      </c>
      <c r="K21" s="360">
        <v>0.0</v>
      </c>
      <c r="L21" s="360">
        <v>1014.01</v>
      </c>
      <c r="M21" s="102" t="s">
        <v>706</v>
      </c>
      <c r="N21" s="102" t="s">
        <v>733</v>
      </c>
    </row>
    <row r="22">
      <c r="A22" s="412">
        <v>45531.0</v>
      </c>
      <c r="B22" s="413">
        <v>2024.0</v>
      </c>
      <c r="C22" s="414" t="s">
        <v>701</v>
      </c>
      <c r="D22" s="413" t="s">
        <v>723</v>
      </c>
      <c r="E22" s="413" t="s">
        <v>137</v>
      </c>
      <c r="F22" s="413" t="s">
        <v>711</v>
      </c>
      <c r="G22" s="413" t="s">
        <v>734</v>
      </c>
      <c r="H22" s="415">
        <v>120.0</v>
      </c>
      <c r="I22" s="416" t="b">
        <v>0</v>
      </c>
      <c r="J22" s="413" t="s">
        <v>735</v>
      </c>
      <c r="K22" s="415">
        <v>0.0</v>
      </c>
      <c r="L22" s="415">
        <v>120.0</v>
      </c>
      <c r="M22" s="413" t="s">
        <v>706</v>
      </c>
      <c r="N22" s="413" t="s">
        <v>736</v>
      </c>
    </row>
    <row r="23">
      <c r="A23" s="409">
        <v>45531.0</v>
      </c>
      <c r="B23" s="102">
        <v>2024.0</v>
      </c>
      <c r="C23" s="410" t="s">
        <v>701</v>
      </c>
      <c r="D23" s="102" t="s">
        <v>723</v>
      </c>
      <c r="E23" s="102" t="s">
        <v>137</v>
      </c>
      <c r="F23" s="102" t="s">
        <v>711</v>
      </c>
      <c r="G23" s="102" t="s">
        <v>737</v>
      </c>
      <c r="H23" s="360">
        <v>200.0</v>
      </c>
      <c r="I23" s="411" t="b">
        <v>0</v>
      </c>
      <c r="J23" s="102" t="s">
        <v>738</v>
      </c>
      <c r="K23" s="360">
        <v>0.0</v>
      </c>
      <c r="L23" s="360">
        <v>200.0</v>
      </c>
      <c r="M23" s="102" t="s">
        <v>706</v>
      </c>
      <c r="N23" s="102" t="s">
        <v>739</v>
      </c>
    </row>
    <row r="24">
      <c r="A24" s="412">
        <v>45531.0</v>
      </c>
      <c r="B24" s="413">
        <v>2024.0</v>
      </c>
      <c r="C24" s="414" t="s">
        <v>701</v>
      </c>
      <c r="D24" s="413" t="s">
        <v>723</v>
      </c>
      <c r="E24" s="413" t="s">
        <v>137</v>
      </c>
      <c r="F24" s="413" t="s">
        <v>711</v>
      </c>
      <c r="G24" s="413" t="s">
        <v>740</v>
      </c>
      <c r="H24" s="415">
        <v>7.0</v>
      </c>
      <c r="I24" s="416" t="b">
        <v>0</v>
      </c>
      <c r="J24" s="413" t="s">
        <v>472</v>
      </c>
      <c r="K24" s="415">
        <v>0.0</v>
      </c>
      <c r="L24" s="415">
        <v>7.0</v>
      </c>
      <c r="M24" s="413" t="s">
        <v>706</v>
      </c>
      <c r="N24" s="413" t="s">
        <v>741</v>
      </c>
    </row>
    <row r="25">
      <c r="A25" s="409">
        <v>45531.0</v>
      </c>
      <c r="B25" s="102">
        <v>2024.0</v>
      </c>
      <c r="C25" s="410" t="s">
        <v>701</v>
      </c>
      <c r="D25" s="102" t="s">
        <v>723</v>
      </c>
      <c r="E25" s="102" t="s">
        <v>137</v>
      </c>
      <c r="F25" s="102" t="s">
        <v>703</v>
      </c>
      <c r="G25" s="102" t="s">
        <v>715</v>
      </c>
      <c r="H25" s="360">
        <v>100.0</v>
      </c>
      <c r="I25" s="411" t="b">
        <v>0</v>
      </c>
      <c r="J25" s="102" t="s">
        <v>742</v>
      </c>
      <c r="K25" s="360">
        <v>0.0</v>
      </c>
      <c r="L25" s="360">
        <v>100.0</v>
      </c>
      <c r="M25" s="102" t="s">
        <v>706</v>
      </c>
      <c r="N25" s="102" t="s">
        <v>743</v>
      </c>
    </row>
    <row r="26">
      <c r="A26" s="412">
        <v>45531.0</v>
      </c>
      <c r="B26" s="413">
        <v>2024.0</v>
      </c>
      <c r="C26" s="414" t="s">
        <v>701</v>
      </c>
      <c r="D26" s="413" t="s">
        <v>702</v>
      </c>
      <c r="E26" s="413" t="s">
        <v>465</v>
      </c>
      <c r="F26" s="413" t="s">
        <v>703</v>
      </c>
      <c r="G26" s="413" t="s">
        <v>744</v>
      </c>
      <c r="H26" s="415">
        <v>1380.0</v>
      </c>
      <c r="I26" s="416" t="b">
        <v>0</v>
      </c>
      <c r="J26" s="413" t="s">
        <v>745</v>
      </c>
      <c r="K26" s="415">
        <v>0.0</v>
      </c>
      <c r="L26" s="415">
        <v>1380.0</v>
      </c>
      <c r="M26" s="413" t="s">
        <v>706</v>
      </c>
      <c r="N26" s="413" t="s">
        <v>746</v>
      </c>
    </row>
    <row r="27">
      <c r="A27" s="409">
        <v>45531.0</v>
      </c>
      <c r="B27" s="102">
        <v>2024.0</v>
      </c>
      <c r="C27" s="410" t="s">
        <v>701</v>
      </c>
      <c r="D27" s="102" t="s">
        <v>723</v>
      </c>
      <c r="E27" s="102" t="s">
        <v>137</v>
      </c>
      <c r="F27" s="102" t="s">
        <v>711</v>
      </c>
      <c r="G27" s="102" t="s">
        <v>747</v>
      </c>
      <c r="H27" s="360">
        <v>320.0</v>
      </c>
      <c r="I27" s="411" t="b">
        <v>0</v>
      </c>
      <c r="J27" s="102" t="s">
        <v>748</v>
      </c>
      <c r="K27" s="360">
        <v>0.0</v>
      </c>
      <c r="L27" s="360">
        <v>320.0</v>
      </c>
      <c r="M27" s="102" t="s">
        <v>706</v>
      </c>
      <c r="N27" s="102" t="s">
        <v>749</v>
      </c>
    </row>
    <row r="28">
      <c r="A28" s="412">
        <v>45531.0</v>
      </c>
      <c r="B28" s="413">
        <v>2024.0</v>
      </c>
      <c r="C28" s="414" t="s">
        <v>701</v>
      </c>
      <c r="D28" s="413" t="s">
        <v>723</v>
      </c>
      <c r="E28" s="413" t="s">
        <v>137</v>
      </c>
      <c r="F28" s="413" t="s">
        <v>711</v>
      </c>
      <c r="G28" s="413" t="s">
        <v>750</v>
      </c>
      <c r="H28" s="415">
        <v>7.0</v>
      </c>
      <c r="I28" s="416" t="b">
        <v>0</v>
      </c>
      <c r="J28" s="413" t="s">
        <v>751</v>
      </c>
      <c r="K28" s="415">
        <v>0.0</v>
      </c>
      <c r="L28" s="415">
        <v>7.0</v>
      </c>
      <c r="M28" s="413" t="s">
        <v>706</v>
      </c>
      <c r="N28" s="413" t="s">
        <v>752</v>
      </c>
    </row>
    <row r="29">
      <c r="A29" s="409">
        <v>45531.0</v>
      </c>
      <c r="B29" s="102">
        <v>2024.0</v>
      </c>
      <c r="C29" s="410" t="s">
        <v>701</v>
      </c>
      <c r="D29" s="102" t="s">
        <v>723</v>
      </c>
      <c r="E29" s="102" t="s">
        <v>137</v>
      </c>
      <c r="F29" s="102" t="s">
        <v>711</v>
      </c>
      <c r="G29" s="102" t="s">
        <v>740</v>
      </c>
      <c r="H29" s="360">
        <v>7.0</v>
      </c>
      <c r="I29" s="411" t="b">
        <v>0</v>
      </c>
      <c r="J29" s="102" t="s">
        <v>753</v>
      </c>
      <c r="K29" s="360">
        <v>0.0</v>
      </c>
      <c r="L29" s="360">
        <v>7.0</v>
      </c>
      <c r="M29" s="102" t="s">
        <v>706</v>
      </c>
      <c r="N29" s="102" t="s">
        <v>754</v>
      </c>
    </row>
    <row r="30">
      <c r="A30" s="412">
        <v>45531.0</v>
      </c>
      <c r="B30" s="413">
        <v>2024.0</v>
      </c>
      <c r="C30" s="414" t="s">
        <v>701</v>
      </c>
      <c r="D30" s="413" t="s">
        <v>723</v>
      </c>
      <c r="E30" s="413" t="s">
        <v>137</v>
      </c>
      <c r="F30" s="413" t="s">
        <v>711</v>
      </c>
      <c r="G30" s="413" t="s">
        <v>734</v>
      </c>
      <c r="H30" s="415">
        <v>120.0</v>
      </c>
      <c r="I30" s="416" t="b">
        <v>0</v>
      </c>
      <c r="J30" s="413" t="s">
        <v>755</v>
      </c>
      <c r="K30" s="415">
        <v>0.0</v>
      </c>
      <c r="L30" s="415">
        <v>120.0</v>
      </c>
      <c r="M30" s="413" t="s">
        <v>706</v>
      </c>
      <c r="N30" s="413" t="s">
        <v>754</v>
      </c>
    </row>
    <row r="31">
      <c r="A31" s="409">
        <v>45532.0</v>
      </c>
      <c r="B31" s="102">
        <v>2024.0</v>
      </c>
      <c r="C31" s="410" t="s">
        <v>701</v>
      </c>
      <c r="D31" s="102" t="s">
        <v>702</v>
      </c>
      <c r="E31" s="102" t="s">
        <v>465</v>
      </c>
      <c r="F31" s="102" t="s">
        <v>711</v>
      </c>
      <c r="G31" s="102" t="s">
        <v>737</v>
      </c>
      <c r="H31" s="360">
        <v>5967.0</v>
      </c>
      <c r="I31" s="411" t="b">
        <v>0</v>
      </c>
      <c r="J31" s="102" t="s">
        <v>756</v>
      </c>
      <c r="K31" s="360">
        <v>823.0344827586205</v>
      </c>
      <c r="L31" s="360">
        <v>5143.9655172413795</v>
      </c>
      <c r="M31" s="102" t="s">
        <v>706</v>
      </c>
      <c r="N31" s="102" t="s">
        <v>757</v>
      </c>
    </row>
    <row r="32">
      <c r="A32" s="412">
        <v>45533.0</v>
      </c>
      <c r="B32" s="413">
        <v>2024.0</v>
      </c>
      <c r="C32" s="414" t="s">
        <v>701</v>
      </c>
      <c r="D32" s="413" t="s">
        <v>710</v>
      </c>
      <c r="E32" s="413" t="s">
        <v>137</v>
      </c>
      <c r="F32" s="413" t="s">
        <v>703</v>
      </c>
      <c r="G32" s="413" t="s">
        <v>715</v>
      </c>
      <c r="H32" s="415">
        <v>23.0</v>
      </c>
      <c r="I32" s="416" t="b">
        <v>0</v>
      </c>
      <c r="J32" s="413" t="s">
        <v>472</v>
      </c>
      <c r="K32" s="415">
        <v>0.0</v>
      </c>
      <c r="L32" s="415">
        <v>23.0</v>
      </c>
      <c r="M32" s="413" t="s">
        <v>706</v>
      </c>
      <c r="N32" s="413" t="s">
        <v>758</v>
      </c>
    </row>
    <row r="33">
      <c r="A33" s="409">
        <v>45533.0</v>
      </c>
      <c r="B33" s="102">
        <v>2024.0</v>
      </c>
      <c r="C33" s="410" t="s">
        <v>701</v>
      </c>
      <c r="D33" s="102" t="s">
        <v>710</v>
      </c>
      <c r="E33" s="102" t="s">
        <v>137</v>
      </c>
      <c r="F33" s="102" t="s">
        <v>711</v>
      </c>
      <c r="G33" s="102" t="s">
        <v>724</v>
      </c>
      <c r="H33" s="360">
        <v>500.0</v>
      </c>
      <c r="I33" s="411" t="b">
        <v>1</v>
      </c>
      <c r="J33" s="102" t="s">
        <v>472</v>
      </c>
      <c r="K33" s="360">
        <v>0.0</v>
      </c>
      <c r="L33" s="360">
        <v>0.0</v>
      </c>
      <c r="M33" s="102" t="s">
        <v>706</v>
      </c>
      <c r="N33" s="102" t="s">
        <v>759</v>
      </c>
    </row>
    <row r="34">
      <c r="A34" s="412">
        <v>45533.0</v>
      </c>
      <c r="B34" s="413">
        <v>2024.0</v>
      </c>
      <c r="C34" s="414" t="s">
        <v>701</v>
      </c>
      <c r="D34" s="413" t="s">
        <v>702</v>
      </c>
      <c r="E34" s="413" t="s">
        <v>465</v>
      </c>
      <c r="F34" s="413" t="s">
        <v>703</v>
      </c>
      <c r="G34" s="413" t="s">
        <v>724</v>
      </c>
      <c r="H34" s="415">
        <v>500.0</v>
      </c>
      <c r="I34" s="416" t="b">
        <v>1</v>
      </c>
      <c r="J34" s="413" t="s">
        <v>472</v>
      </c>
      <c r="K34" s="415">
        <v>0.0</v>
      </c>
      <c r="L34" s="415">
        <v>0.0</v>
      </c>
      <c r="M34" s="413" t="s">
        <v>706</v>
      </c>
      <c r="N34" s="413" t="s">
        <v>759</v>
      </c>
    </row>
    <row r="35">
      <c r="A35" s="409">
        <v>45533.0</v>
      </c>
      <c r="B35" s="102">
        <v>2024.0</v>
      </c>
      <c r="C35" s="410" t="s">
        <v>701</v>
      </c>
      <c r="D35" s="102" t="s">
        <v>702</v>
      </c>
      <c r="E35" s="102" t="s">
        <v>465</v>
      </c>
      <c r="F35" s="102" t="s">
        <v>703</v>
      </c>
      <c r="G35" s="102" t="s">
        <v>704</v>
      </c>
      <c r="H35" s="360">
        <v>999.0</v>
      </c>
      <c r="I35" s="411" t="b">
        <v>0</v>
      </c>
      <c r="J35" s="102" t="s">
        <v>760</v>
      </c>
      <c r="K35" s="360">
        <v>0.0</v>
      </c>
      <c r="L35" s="360">
        <v>999.0</v>
      </c>
      <c r="M35" s="102" t="s">
        <v>706</v>
      </c>
      <c r="N35" s="102" t="s">
        <v>761</v>
      </c>
    </row>
    <row r="36">
      <c r="A36" s="412">
        <v>45533.0</v>
      </c>
      <c r="B36" s="413">
        <v>2024.0</v>
      </c>
      <c r="C36" s="414" t="s">
        <v>701</v>
      </c>
      <c r="D36" s="413" t="s">
        <v>723</v>
      </c>
      <c r="E36" s="413" t="s">
        <v>137</v>
      </c>
      <c r="F36" s="413" t="s">
        <v>711</v>
      </c>
      <c r="G36" s="413" t="s">
        <v>740</v>
      </c>
      <c r="H36" s="415">
        <v>10.0</v>
      </c>
      <c r="I36" s="416" t="b">
        <v>0</v>
      </c>
      <c r="J36" s="413" t="s">
        <v>762</v>
      </c>
      <c r="K36" s="415">
        <v>0.0</v>
      </c>
      <c r="L36" s="415">
        <v>10.0</v>
      </c>
      <c r="M36" s="413" t="s">
        <v>706</v>
      </c>
      <c r="N36" s="413" t="s">
        <v>761</v>
      </c>
    </row>
    <row r="37">
      <c r="A37" s="409">
        <v>45533.0</v>
      </c>
      <c r="B37" s="102">
        <v>2024.0</v>
      </c>
      <c r="C37" s="410" t="s">
        <v>701</v>
      </c>
      <c r="D37" s="102" t="s">
        <v>723</v>
      </c>
      <c r="E37" s="102" t="s">
        <v>137</v>
      </c>
      <c r="F37" s="102" t="s">
        <v>711</v>
      </c>
      <c r="G37" s="102" t="s">
        <v>734</v>
      </c>
      <c r="H37" s="360">
        <v>120.0</v>
      </c>
      <c r="I37" s="411" t="b">
        <v>0</v>
      </c>
      <c r="J37" s="102" t="s">
        <v>763</v>
      </c>
      <c r="K37" s="360">
        <v>0.0</v>
      </c>
      <c r="L37" s="360">
        <v>120.0</v>
      </c>
      <c r="M37" s="102" t="s">
        <v>706</v>
      </c>
      <c r="N37" s="102" t="s">
        <v>761</v>
      </c>
    </row>
    <row r="38">
      <c r="A38" s="412">
        <v>45533.0</v>
      </c>
      <c r="B38" s="413">
        <v>2024.0</v>
      </c>
      <c r="C38" s="414" t="s">
        <v>701</v>
      </c>
      <c r="D38" s="413" t="s">
        <v>723</v>
      </c>
      <c r="E38" s="413" t="s">
        <v>137</v>
      </c>
      <c r="F38" s="413" t="s">
        <v>703</v>
      </c>
      <c r="G38" s="413" t="s">
        <v>724</v>
      </c>
      <c r="H38" s="415">
        <v>1001.0</v>
      </c>
      <c r="I38" s="416" t="b">
        <v>1</v>
      </c>
      <c r="J38" s="413" t="s">
        <v>764</v>
      </c>
      <c r="K38" s="415">
        <v>0.0</v>
      </c>
      <c r="L38" s="415">
        <v>0.0</v>
      </c>
      <c r="M38" s="413" t="s">
        <v>706</v>
      </c>
      <c r="N38" s="413" t="s">
        <v>765</v>
      </c>
    </row>
    <row r="39">
      <c r="A39" s="409">
        <v>45533.0</v>
      </c>
      <c r="B39" s="102">
        <v>2024.0</v>
      </c>
      <c r="C39" s="410" t="s">
        <v>701</v>
      </c>
      <c r="D39" s="102" t="s">
        <v>710</v>
      </c>
      <c r="E39" s="102" t="s">
        <v>137</v>
      </c>
      <c r="F39" s="102" t="s">
        <v>711</v>
      </c>
      <c r="G39" s="102" t="s">
        <v>724</v>
      </c>
      <c r="H39" s="360">
        <v>1001.0</v>
      </c>
      <c r="I39" s="411" t="b">
        <v>1</v>
      </c>
      <c r="J39" s="102" t="s">
        <v>764</v>
      </c>
      <c r="K39" s="360">
        <v>0.0</v>
      </c>
      <c r="L39" s="360">
        <v>0.0</v>
      </c>
      <c r="M39" s="102" t="s">
        <v>706</v>
      </c>
      <c r="N39" s="102" t="s">
        <v>765</v>
      </c>
    </row>
    <row r="40">
      <c r="A40" s="412">
        <v>45534.0</v>
      </c>
      <c r="B40" s="413">
        <v>2024.0</v>
      </c>
      <c r="C40" s="414" t="s">
        <v>701</v>
      </c>
      <c r="D40" s="413" t="s">
        <v>723</v>
      </c>
      <c r="E40" s="413" t="s">
        <v>137</v>
      </c>
      <c r="F40" s="413" t="s">
        <v>711</v>
      </c>
      <c r="G40" s="413" t="s">
        <v>740</v>
      </c>
      <c r="H40" s="415">
        <v>7.0</v>
      </c>
      <c r="I40" s="416" t="b">
        <v>0</v>
      </c>
      <c r="J40" s="413" t="s">
        <v>472</v>
      </c>
      <c r="K40" s="415">
        <v>0.0</v>
      </c>
      <c r="L40" s="415">
        <v>7.0</v>
      </c>
      <c r="M40" s="413" t="s">
        <v>706</v>
      </c>
      <c r="N40" s="413" t="s">
        <v>766</v>
      </c>
    </row>
    <row r="41">
      <c r="A41" s="409">
        <v>45534.0</v>
      </c>
      <c r="B41" s="102">
        <v>2024.0</v>
      </c>
      <c r="C41" s="410" t="s">
        <v>701</v>
      </c>
      <c r="D41" s="102" t="s">
        <v>723</v>
      </c>
      <c r="E41" s="102" t="s">
        <v>137</v>
      </c>
      <c r="F41" s="102" t="s">
        <v>711</v>
      </c>
      <c r="G41" s="102" t="s">
        <v>767</v>
      </c>
      <c r="H41" s="360">
        <v>1000.0</v>
      </c>
      <c r="I41" s="411" t="b">
        <v>0</v>
      </c>
      <c r="J41" s="102" t="s">
        <v>768</v>
      </c>
      <c r="K41" s="360">
        <v>0.0</v>
      </c>
      <c r="L41" s="360">
        <v>1000.0</v>
      </c>
      <c r="M41" s="102" t="s">
        <v>706</v>
      </c>
      <c r="N41" s="102" t="s">
        <v>766</v>
      </c>
    </row>
    <row r="42">
      <c r="A42" s="412">
        <v>45534.0</v>
      </c>
      <c r="B42" s="413">
        <v>2024.0</v>
      </c>
      <c r="C42" s="414" t="s">
        <v>701</v>
      </c>
      <c r="D42" s="413" t="s">
        <v>710</v>
      </c>
      <c r="E42" s="413" t="s">
        <v>137</v>
      </c>
      <c r="F42" s="413" t="s">
        <v>703</v>
      </c>
      <c r="G42" s="413" t="s">
        <v>769</v>
      </c>
      <c r="H42" s="415">
        <v>8000.0</v>
      </c>
      <c r="I42" s="416" t="b">
        <v>0</v>
      </c>
      <c r="J42" s="413" t="s">
        <v>770</v>
      </c>
      <c r="K42" s="415">
        <v>0.0</v>
      </c>
      <c r="L42" s="415">
        <v>8000.0</v>
      </c>
      <c r="M42" s="413" t="s">
        <v>706</v>
      </c>
      <c r="N42" s="413" t="s">
        <v>771</v>
      </c>
    </row>
    <row r="43">
      <c r="A43" s="409">
        <v>45535.0</v>
      </c>
      <c r="B43" s="102">
        <v>2024.0</v>
      </c>
      <c r="C43" s="410" t="s">
        <v>701</v>
      </c>
      <c r="D43" s="102" t="s">
        <v>710</v>
      </c>
      <c r="E43" s="102" t="s">
        <v>137</v>
      </c>
      <c r="F43" s="102" t="s">
        <v>703</v>
      </c>
      <c r="G43" s="102" t="s">
        <v>773</v>
      </c>
      <c r="H43" s="360">
        <v>1200.0</v>
      </c>
      <c r="I43" s="411" t="b">
        <v>0</v>
      </c>
      <c r="J43" s="102" t="s">
        <v>775</v>
      </c>
      <c r="K43" s="360">
        <v>0.0</v>
      </c>
      <c r="L43" s="360">
        <v>1200.0</v>
      </c>
      <c r="M43" s="102" t="s">
        <v>706</v>
      </c>
      <c r="N43" s="102" t="s">
        <v>778</v>
      </c>
    </row>
    <row r="44">
      <c r="A44" s="412">
        <v>45535.0</v>
      </c>
      <c r="B44" s="413">
        <v>2024.0</v>
      </c>
      <c r="C44" s="414" t="s">
        <v>701</v>
      </c>
      <c r="D44" s="413" t="s">
        <v>710</v>
      </c>
      <c r="E44" s="413" t="s">
        <v>137</v>
      </c>
      <c r="F44" s="413" t="s">
        <v>711</v>
      </c>
      <c r="G44" s="413" t="s">
        <v>734</v>
      </c>
      <c r="H44" s="415">
        <v>75.0</v>
      </c>
      <c r="I44" s="416" t="b">
        <v>0</v>
      </c>
      <c r="J44" s="413" t="s">
        <v>782</v>
      </c>
      <c r="K44" s="415">
        <v>0.0</v>
      </c>
      <c r="L44" s="415">
        <v>75.0</v>
      </c>
      <c r="M44" s="413" t="s">
        <v>706</v>
      </c>
      <c r="N44" s="413" t="s">
        <v>778</v>
      </c>
    </row>
    <row r="45">
      <c r="A45" s="409">
        <v>45535.0</v>
      </c>
      <c r="B45" s="102">
        <v>2024.0</v>
      </c>
      <c r="C45" s="410" t="s">
        <v>701</v>
      </c>
      <c r="D45" s="102" t="s">
        <v>702</v>
      </c>
      <c r="E45" s="102" t="s">
        <v>465</v>
      </c>
      <c r="F45" s="102" t="s">
        <v>703</v>
      </c>
      <c r="G45" s="102" t="s">
        <v>783</v>
      </c>
      <c r="H45" s="360">
        <v>1000.0</v>
      </c>
      <c r="I45" s="411" t="b">
        <v>0</v>
      </c>
      <c r="J45" s="102" t="s">
        <v>784</v>
      </c>
      <c r="K45" s="360">
        <v>0.0</v>
      </c>
      <c r="L45" s="360">
        <v>1000.0</v>
      </c>
      <c r="M45" s="102" t="s">
        <v>706</v>
      </c>
      <c r="N45" s="102" t="s">
        <v>785</v>
      </c>
    </row>
    <row r="46">
      <c r="A46" s="412">
        <v>45535.0</v>
      </c>
      <c r="B46" s="413">
        <v>2024.0</v>
      </c>
      <c r="C46" s="414" t="s">
        <v>701</v>
      </c>
      <c r="D46" s="413" t="s">
        <v>710</v>
      </c>
      <c r="E46" s="413" t="s">
        <v>137</v>
      </c>
      <c r="F46" s="413" t="s">
        <v>703</v>
      </c>
      <c r="G46" s="413" t="s">
        <v>715</v>
      </c>
      <c r="H46" s="415">
        <v>2400.0</v>
      </c>
      <c r="I46" s="416" t="b">
        <v>0</v>
      </c>
      <c r="J46" s="413" t="s">
        <v>786</v>
      </c>
      <c r="K46" s="415">
        <v>0.0</v>
      </c>
      <c r="L46" s="415">
        <v>2400.0</v>
      </c>
      <c r="M46" s="413" t="s">
        <v>706</v>
      </c>
      <c r="N46" s="413" t="s">
        <v>785</v>
      </c>
    </row>
    <row r="47">
      <c r="A47" s="409">
        <v>45536.0</v>
      </c>
      <c r="B47" s="102">
        <v>2024.0</v>
      </c>
      <c r="C47" s="410" t="s">
        <v>788</v>
      </c>
      <c r="D47" s="102" t="s">
        <v>702</v>
      </c>
      <c r="E47" s="102" t="s">
        <v>465</v>
      </c>
      <c r="F47" s="102" t="s">
        <v>711</v>
      </c>
      <c r="G47" s="102" t="s">
        <v>730</v>
      </c>
      <c r="H47" s="360">
        <v>29.0</v>
      </c>
      <c r="I47" s="411" t="b">
        <v>0</v>
      </c>
      <c r="J47" s="102" t="s">
        <v>472</v>
      </c>
      <c r="K47" s="360">
        <v>4.0</v>
      </c>
      <c r="L47" s="360">
        <v>25.0</v>
      </c>
      <c r="M47" s="102" t="s">
        <v>706</v>
      </c>
      <c r="N47" s="102" t="s">
        <v>789</v>
      </c>
    </row>
    <row r="48">
      <c r="A48" s="412">
        <v>45536.0</v>
      </c>
      <c r="B48" s="413">
        <v>2024.0</v>
      </c>
      <c r="C48" s="414" t="s">
        <v>788</v>
      </c>
      <c r="D48" s="413" t="s">
        <v>702</v>
      </c>
      <c r="E48" s="413" t="s">
        <v>465</v>
      </c>
      <c r="F48" s="413" t="s">
        <v>703</v>
      </c>
      <c r="G48" s="413" t="s">
        <v>791</v>
      </c>
      <c r="H48" s="415">
        <v>536.06</v>
      </c>
      <c r="I48" s="416" t="b">
        <v>0</v>
      </c>
      <c r="J48" s="413" t="s">
        <v>792</v>
      </c>
      <c r="K48" s="415">
        <v>0.0</v>
      </c>
      <c r="L48" s="415">
        <v>536.06</v>
      </c>
      <c r="M48" s="413" t="s">
        <v>706</v>
      </c>
      <c r="N48" s="413" t="s">
        <v>789</v>
      </c>
    </row>
    <row r="49">
      <c r="A49" s="409">
        <v>45536.0</v>
      </c>
      <c r="B49" s="102">
        <v>2024.0</v>
      </c>
      <c r="C49" s="410" t="s">
        <v>788</v>
      </c>
      <c r="D49" s="102" t="s">
        <v>702</v>
      </c>
      <c r="E49" s="102" t="s">
        <v>465</v>
      </c>
      <c r="F49" s="102" t="s">
        <v>703</v>
      </c>
      <c r="G49" s="102" t="s">
        <v>601</v>
      </c>
      <c r="H49" s="360">
        <v>518.0</v>
      </c>
      <c r="I49" s="411" t="b">
        <v>0</v>
      </c>
      <c r="J49" s="102" t="s">
        <v>472</v>
      </c>
      <c r="K49" s="360">
        <v>0.0</v>
      </c>
      <c r="L49" s="360">
        <v>518.0</v>
      </c>
      <c r="M49" s="102" t="s">
        <v>706</v>
      </c>
      <c r="N49" s="102" t="s">
        <v>795</v>
      </c>
    </row>
    <row r="50">
      <c r="A50" s="412">
        <v>45537.0</v>
      </c>
      <c r="B50" s="413">
        <v>2024.0</v>
      </c>
      <c r="C50" s="414" t="s">
        <v>788</v>
      </c>
      <c r="D50" s="413" t="s">
        <v>702</v>
      </c>
      <c r="E50" s="413" t="s">
        <v>465</v>
      </c>
      <c r="F50" s="413" t="s">
        <v>703</v>
      </c>
      <c r="G50" s="413" t="s">
        <v>797</v>
      </c>
      <c r="H50" s="415">
        <v>3071.0</v>
      </c>
      <c r="I50" s="416" t="b">
        <v>0</v>
      </c>
      <c r="J50" s="413" t="s">
        <v>472</v>
      </c>
      <c r="K50" s="415">
        <v>0.0</v>
      </c>
      <c r="L50" s="415">
        <v>3071.0</v>
      </c>
      <c r="M50" s="413" t="s">
        <v>706</v>
      </c>
      <c r="N50" s="413" t="s">
        <v>799</v>
      </c>
    </row>
    <row r="51">
      <c r="A51" s="409">
        <v>45537.0</v>
      </c>
      <c r="B51" s="102">
        <v>2024.0</v>
      </c>
      <c r="C51" s="410" t="s">
        <v>788</v>
      </c>
      <c r="D51" s="102" t="s">
        <v>723</v>
      </c>
      <c r="E51" s="102" t="s">
        <v>137</v>
      </c>
      <c r="F51" s="102" t="s">
        <v>711</v>
      </c>
      <c r="G51" s="102" t="s">
        <v>737</v>
      </c>
      <c r="H51" s="360">
        <v>500.0</v>
      </c>
      <c r="I51" s="411" t="b">
        <v>0</v>
      </c>
      <c r="J51" s="102" t="s">
        <v>800</v>
      </c>
      <c r="K51" s="360">
        <v>0.0</v>
      </c>
      <c r="L51" s="360">
        <v>500.0</v>
      </c>
      <c r="M51" s="102" t="s">
        <v>706</v>
      </c>
      <c r="N51" s="102" t="s">
        <v>799</v>
      </c>
    </row>
    <row r="52">
      <c r="A52" s="412">
        <v>45537.0</v>
      </c>
      <c r="B52" s="413">
        <v>2024.0</v>
      </c>
      <c r="C52" s="414" t="s">
        <v>788</v>
      </c>
      <c r="D52" s="413" t="s">
        <v>702</v>
      </c>
      <c r="E52" s="413" t="s">
        <v>465</v>
      </c>
      <c r="F52" s="413" t="s">
        <v>711</v>
      </c>
      <c r="G52" s="413" t="s">
        <v>767</v>
      </c>
      <c r="H52" s="415">
        <v>950.0</v>
      </c>
      <c r="I52" s="416" t="b">
        <v>0</v>
      </c>
      <c r="J52" s="413" t="s">
        <v>803</v>
      </c>
      <c r="K52" s="415">
        <v>131.03448275862058</v>
      </c>
      <c r="L52" s="415">
        <v>818.9655172413794</v>
      </c>
      <c r="M52" s="413" t="s">
        <v>706</v>
      </c>
      <c r="N52" s="413" t="s">
        <v>805</v>
      </c>
    </row>
    <row r="53">
      <c r="A53" s="409">
        <v>45537.0</v>
      </c>
      <c r="B53" s="102">
        <v>2024.0</v>
      </c>
      <c r="C53" s="410" t="s">
        <v>788</v>
      </c>
      <c r="D53" s="102" t="s">
        <v>723</v>
      </c>
      <c r="E53" s="102" t="s">
        <v>137</v>
      </c>
      <c r="F53" s="102" t="s">
        <v>711</v>
      </c>
      <c r="G53" s="102" t="s">
        <v>806</v>
      </c>
      <c r="H53" s="360">
        <v>7.0</v>
      </c>
      <c r="I53" s="411" t="b">
        <v>0</v>
      </c>
      <c r="J53" s="102" t="s">
        <v>165</v>
      </c>
      <c r="K53" s="360">
        <v>0.0</v>
      </c>
      <c r="L53" s="360">
        <v>7.0</v>
      </c>
      <c r="M53" s="102" t="s">
        <v>706</v>
      </c>
      <c r="N53" s="102" t="s">
        <v>807</v>
      </c>
    </row>
    <row r="54">
      <c r="A54" s="412">
        <v>45537.0</v>
      </c>
      <c r="B54" s="413">
        <v>2024.0</v>
      </c>
      <c r="C54" s="414" t="s">
        <v>788</v>
      </c>
      <c r="D54" s="413" t="s">
        <v>702</v>
      </c>
      <c r="E54" s="413" t="s">
        <v>465</v>
      </c>
      <c r="F54" s="413" t="s">
        <v>711</v>
      </c>
      <c r="G54" s="413" t="s">
        <v>767</v>
      </c>
      <c r="H54" s="415">
        <v>950.0</v>
      </c>
      <c r="I54" s="416" t="b">
        <v>0</v>
      </c>
      <c r="J54" s="413" t="s">
        <v>810</v>
      </c>
      <c r="K54" s="415">
        <v>131.03448275862058</v>
      </c>
      <c r="L54" s="415">
        <v>818.9655172413794</v>
      </c>
      <c r="M54" s="413" t="s">
        <v>706</v>
      </c>
      <c r="N54" s="413" t="s">
        <v>811</v>
      </c>
    </row>
    <row r="55">
      <c r="A55" s="409">
        <v>45537.0</v>
      </c>
      <c r="B55" s="102">
        <v>2024.0</v>
      </c>
      <c r="C55" s="410" t="s">
        <v>788</v>
      </c>
      <c r="D55" s="102" t="s">
        <v>723</v>
      </c>
      <c r="E55" s="102" t="s">
        <v>137</v>
      </c>
      <c r="F55" s="102" t="s">
        <v>711</v>
      </c>
      <c r="G55" s="102" t="s">
        <v>767</v>
      </c>
      <c r="H55" s="360">
        <v>950.0</v>
      </c>
      <c r="I55" s="411" t="b">
        <v>0</v>
      </c>
      <c r="J55" s="102" t="s">
        <v>812</v>
      </c>
      <c r="K55" s="360">
        <v>0.0</v>
      </c>
      <c r="L55" s="360">
        <v>950.0</v>
      </c>
      <c r="M55" s="102" t="s">
        <v>706</v>
      </c>
      <c r="N55" s="102" t="s">
        <v>813</v>
      </c>
    </row>
    <row r="56">
      <c r="A56" s="412">
        <v>45537.0</v>
      </c>
      <c r="B56" s="413">
        <v>2024.0</v>
      </c>
      <c r="C56" s="414" t="s">
        <v>788</v>
      </c>
      <c r="D56" s="413" t="s">
        <v>702</v>
      </c>
      <c r="E56" s="413" t="s">
        <v>465</v>
      </c>
      <c r="F56" s="413" t="s">
        <v>711</v>
      </c>
      <c r="G56" s="413" t="s">
        <v>734</v>
      </c>
      <c r="H56" s="415">
        <v>150.0</v>
      </c>
      <c r="I56" s="416" t="b">
        <v>0</v>
      </c>
      <c r="J56" s="413" t="s">
        <v>814</v>
      </c>
      <c r="K56" s="415">
        <v>20.68965517241378</v>
      </c>
      <c r="L56" s="415">
        <v>129.31034482758622</v>
      </c>
      <c r="M56" s="413" t="s">
        <v>706</v>
      </c>
      <c r="N56" s="413" t="s">
        <v>813</v>
      </c>
    </row>
    <row r="57">
      <c r="A57" s="409">
        <v>45537.0</v>
      </c>
      <c r="B57" s="102">
        <v>2024.0</v>
      </c>
      <c r="C57" s="410" t="s">
        <v>788</v>
      </c>
      <c r="D57" s="102" t="s">
        <v>723</v>
      </c>
      <c r="E57" s="102" t="s">
        <v>137</v>
      </c>
      <c r="F57" s="102" t="s">
        <v>711</v>
      </c>
      <c r="G57" s="102" t="s">
        <v>715</v>
      </c>
      <c r="H57" s="360">
        <v>500.0</v>
      </c>
      <c r="I57" s="411" t="b">
        <v>0</v>
      </c>
      <c r="J57" s="102" t="s">
        <v>815</v>
      </c>
      <c r="K57" s="360">
        <v>0.0</v>
      </c>
      <c r="L57" s="360">
        <v>500.0</v>
      </c>
      <c r="M57" s="102" t="s">
        <v>706</v>
      </c>
      <c r="N57" s="102" t="s">
        <v>813</v>
      </c>
    </row>
    <row r="58">
      <c r="A58" s="412">
        <v>45537.0</v>
      </c>
      <c r="B58" s="413">
        <v>2024.0</v>
      </c>
      <c r="C58" s="414" t="s">
        <v>788</v>
      </c>
      <c r="D58" s="413" t="s">
        <v>723</v>
      </c>
      <c r="E58" s="413" t="s">
        <v>137</v>
      </c>
      <c r="F58" s="413" t="s">
        <v>711</v>
      </c>
      <c r="G58" s="413" t="s">
        <v>734</v>
      </c>
      <c r="H58" s="415">
        <v>50.0</v>
      </c>
      <c r="I58" s="416" t="b">
        <v>0</v>
      </c>
      <c r="J58" s="413" t="s">
        <v>816</v>
      </c>
      <c r="K58" s="415">
        <v>0.0</v>
      </c>
      <c r="L58" s="415">
        <v>50.0</v>
      </c>
      <c r="M58" s="413" t="s">
        <v>706</v>
      </c>
      <c r="N58" s="413" t="s">
        <v>813</v>
      </c>
    </row>
    <row r="59">
      <c r="A59" s="409">
        <v>45537.0</v>
      </c>
      <c r="B59" s="102">
        <v>2024.0</v>
      </c>
      <c r="C59" s="410" t="s">
        <v>788</v>
      </c>
      <c r="D59" s="102" t="s">
        <v>710</v>
      </c>
      <c r="E59" s="102" t="s">
        <v>137</v>
      </c>
      <c r="F59" s="102" t="s">
        <v>711</v>
      </c>
      <c r="G59" s="102" t="s">
        <v>724</v>
      </c>
      <c r="H59" s="360">
        <v>3034.0</v>
      </c>
      <c r="I59" s="411" t="b">
        <v>1</v>
      </c>
      <c r="J59" s="102" t="s">
        <v>817</v>
      </c>
      <c r="K59" s="360">
        <v>0.0</v>
      </c>
      <c r="L59" s="360">
        <v>0.0</v>
      </c>
      <c r="M59" s="102" t="s">
        <v>706</v>
      </c>
      <c r="N59" s="102" t="s">
        <v>818</v>
      </c>
    </row>
    <row r="60">
      <c r="A60" s="412">
        <v>45537.0</v>
      </c>
      <c r="B60" s="413">
        <v>2024.0</v>
      </c>
      <c r="C60" s="414" t="s">
        <v>788</v>
      </c>
      <c r="D60" s="413" t="s">
        <v>723</v>
      </c>
      <c r="E60" s="413" t="s">
        <v>137</v>
      </c>
      <c r="F60" s="413" t="s">
        <v>703</v>
      </c>
      <c r="G60" s="413" t="s">
        <v>724</v>
      </c>
      <c r="H60" s="415">
        <v>3034.0</v>
      </c>
      <c r="I60" s="416" t="b">
        <v>1</v>
      </c>
      <c r="J60" s="413" t="s">
        <v>817</v>
      </c>
      <c r="K60" s="415">
        <v>0.0</v>
      </c>
      <c r="L60" s="415">
        <v>0.0</v>
      </c>
      <c r="M60" s="413" t="s">
        <v>706</v>
      </c>
      <c r="N60" s="413" t="s">
        <v>818</v>
      </c>
    </row>
    <row r="61">
      <c r="A61" s="409">
        <v>45538.0</v>
      </c>
      <c r="B61" s="102">
        <v>2024.0</v>
      </c>
      <c r="C61" s="410" t="s">
        <v>788</v>
      </c>
      <c r="D61" s="102" t="s">
        <v>723</v>
      </c>
      <c r="E61" s="102" t="s">
        <v>137</v>
      </c>
      <c r="F61" s="102" t="s">
        <v>711</v>
      </c>
      <c r="G61" s="102" t="s">
        <v>734</v>
      </c>
      <c r="H61" s="360">
        <v>120.0</v>
      </c>
      <c r="I61" s="411" t="b">
        <v>0</v>
      </c>
      <c r="J61" s="102" t="s">
        <v>819</v>
      </c>
      <c r="K61" s="360">
        <v>0.0</v>
      </c>
      <c r="L61" s="360">
        <v>120.0</v>
      </c>
      <c r="M61" s="102" t="s">
        <v>706</v>
      </c>
      <c r="N61" s="102" t="s">
        <v>820</v>
      </c>
    </row>
    <row r="62">
      <c r="A62" s="412">
        <v>45538.0</v>
      </c>
      <c r="B62" s="413">
        <v>2024.0</v>
      </c>
      <c r="C62" s="414" t="s">
        <v>788</v>
      </c>
      <c r="D62" s="413" t="s">
        <v>723</v>
      </c>
      <c r="E62" s="413" t="s">
        <v>137</v>
      </c>
      <c r="F62" s="413" t="s">
        <v>711</v>
      </c>
      <c r="G62" s="413" t="s">
        <v>767</v>
      </c>
      <c r="H62" s="415">
        <v>800.0</v>
      </c>
      <c r="I62" s="416" t="b">
        <v>0</v>
      </c>
      <c r="J62" s="413" t="s">
        <v>821</v>
      </c>
      <c r="K62" s="415">
        <v>0.0</v>
      </c>
      <c r="L62" s="415">
        <v>800.0</v>
      </c>
      <c r="M62" s="413" t="s">
        <v>706</v>
      </c>
      <c r="N62" s="413" t="s">
        <v>820</v>
      </c>
    </row>
    <row r="63">
      <c r="A63" s="409">
        <v>45538.0</v>
      </c>
      <c r="B63" s="102">
        <v>2024.0</v>
      </c>
      <c r="C63" s="410" t="s">
        <v>788</v>
      </c>
      <c r="D63" s="102" t="s">
        <v>723</v>
      </c>
      <c r="E63" s="102" t="s">
        <v>137</v>
      </c>
      <c r="F63" s="102" t="s">
        <v>711</v>
      </c>
      <c r="G63" s="102" t="s">
        <v>737</v>
      </c>
      <c r="H63" s="360">
        <v>400.0</v>
      </c>
      <c r="I63" s="411" t="b">
        <v>0</v>
      </c>
      <c r="J63" s="102" t="s">
        <v>822</v>
      </c>
      <c r="K63" s="360">
        <v>0.0</v>
      </c>
      <c r="L63" s="360">
        <v>400.0</v>
      </c>
      <c r="M63" s="102" t="s">
        <v>706</v>
      </c>
      <c r="N63" s="102" t="s">
        <v>820</v>
      </c>
    </row>
    <row r="64">
      <c r="A64" s="412">
        <v>45538.0</v>
      </c>
      <c r="B64" s="413">
        <v>2024.0</v>
      </c>
      <c r="C64" s="414" t="s">
        <v>788</v>
      </c>
      <c r="D64" s="413" t="s">
        <v>723</v>
      </c>
      <c r="E64" s="413" t="s">
        <v>137</v>
      </c>
      <c r="F64" s="413" t="s">
        <v>711</v>
      </c>
      <c r="G64" s="413" t="s">
        <v>715</v>
      </c>
      <c r="H64" s="415">
        <v>15.0</v>
      </c>
      <c r="I64" s="416" t="b">
        <v>0</v>
      </c>
      <c r="J64" s="413" t="s">
        <v>823</v>
      </c>
      <c r="K64" s="415">
        <v>0.0</v>
      </c>
      <c r="L64" s="415">
        <v>15.0</v>
      </c>
      <c r="M64" s="413" t="s">
        <v>706</v>
      </c>
      <c r="N64" s="413" t="s">
        <v>824</v>
      </c>
    </row>
    <row r="65">
      <c r="A65" s="409">
        <v>45538.0</v>
      </c>
      <c r="B65" s="102">
        <v>2024.0</v>
      </c>
      <c r="C65" s="410" t="s">
        <v>788</v>
      </c>
      <c r="D65" s="102" t="s">
        <v>723</v>
      </c>
      <c r="E65" s="102" t="s">
        <v>137</v>
      </c>
      <c r="F65" s="102" t="s">
        <v>711</v>
      </c>
      <c r="G65" s="102" t="s">
        <v>734</v>
      </c>
      <c r="H65" s="360">
        <v>120.0</v>
      </c>
      <c r="I65" s="411" t="b">
        <v>0</v>
      </c>
      <c r="J65" s="102" t="s">
        <v>825</v>
      </c>
      <c r="K65" s="360">
        <v>0.0</v>
      </c>
      <c r="L65" s="360">
        <v>120.0</v>
      </c>
      <c r="M65" s="102" t="s">
        <v>706</v>
      </c>
      <c r="N65" s="102" t="s">
        <v>824</v>
      </c>
    </row>
    <row r="66">
      <c r="A66" s="412">
        <v>45538.0</v>
      </c>
      <c r="B66" s="413">
        <v>2024.0</v>
      </c>
      <c r="C66" s="414" t="s">
        <v>788</v>
      </c>
      <c r="D66" s="413" t="s">
        <v>723</v>
      </c>
      <c r="E66" s="413" t="s">
        <v>137</v>
      </c>
      <c r="F66" s="413" t="s">
        <v>711</v>
      </c>
      <c r="G66" s="413" t="s">
        <v>740</v>
      </c>
      <c r="H66" s="415">
        <v>7.0</v>
      </c>
      <c r="I66" s="416" t="b">
        <v>0</v>
      </c>
      <c r="J66" s="413" t="s">
        <v>753</v>
      </c>
      <c r="K66" s="415">
        <v>0.0</v>
      </c>
      <c r="L66" s="415">
        <v>7.0</v>
      </c>
      <c r="M66" s="413" t="s">
        <v>706</v>
      </c>
      <c r="N66" s="413" t="s">
        <v>824</v>
      </c>
    </row>
    <row r="67">
      <c r="A67" s="409">
        <v>45538.0</v>
      </c>
      <c r="B67" s="102">
        <v>2024.0</v>
      </c>
      <c r="C67" s="410" t="s">
        <v>788</v>
      </c>
      <c r="D67" s="102" t="s">
        <v>723</v>
      </c>
      <c r="E67" s="102" t="s">
        <v>137</v>
      </c>
      <c r="F67" s="102" t="s">
        <v>711</v>
      </c>
      <c r="G67" s="102" t="s">
        <v>740</v>
      </c>
      <c r="H67" s="360">
        <v>10.0</v>
      </c>
      <c r="I67" s="411" t="b">
        <v>0</v>
      </c>
      <c r="J67" s="102" t="s">
        <v>826</v>
      </c>
      <c r="K67" s="360">
        <v>0.0</v>
      </c>
      <c r="L67" s="360">
        <v>10.0</v>
      </c>
      <c r="M67" s="102" t="s">
        <v>706</v>
      </c>
      <c r="N67" s="102" t="s">
        <v>824</v>
      </c>
    </row>
    <row r="68">
      <c r="A68" s="412">
        <v>45538.0</v>
      </c>
      <c r="B68" s="413">
        <v>2024.0</v>
      </c>
      <c r="C68" s="414" t="s">
        <v>788</v>
      </c>
      <c r="D68" s="413" t="s">
        <v>710</v>
      </c>
      <c r="E68" s="413" t="s">
        <v>137</v>
      </c>
      <c r="F68" s="413" t="s">
        <v>711</v>
      </c>
      <c r="G68" s="413" t="s">
        <v>724</v>
      </c>
      <c r="H68" s="415">
        <v>1522.0</v>
      </c>
      <c r="I68" s="416" t="b">
        <v>1</v>
      </c>
      <c r="J68" s="413" t="s">
        <v>827</v>
      </c>
      <c r="K68" s="415">
        <v>0.0</v>
      </c>
      <c r="L68" s="415">
        <v>0.0</v>
      </c>
      <c r="M68" s="413" t="s">
        <v>706</v>
      </c>
      <c r="N68" s="413" t="s">
        <v>828</v>
      </c>
    </row>
    <row r="69">
      <c r="A69" s="409">
        <v>45538.0</v>
      </c>
      <c r="B69" s="102">
        <v>2024.0</v>
      </c>
      <c r="C69" s="410" t="s">
        <v>788</v>
      </c>
      <c r="D69" s="102" t="s">
        <v>723</v>
      </c>
      <c r="E69" s="102" t="s">
        <v>137</v>
      </c>
      <c r="F69" s="102" t="s">
        <v>703</v>
      </c>
      <c r="G69" s="102" t="s">
        <v>724</v>
      </c>
      <c r="H69" s="360">
        <v>1522.0</v>
      </c>
      <c r="I69" s="411" t="b">
        <v>1</v>
      </c>
      <c r="J69" s="102" t="s">
        <v>827</v>
      </c>
      <c r="K69" s="360">
        <v>0.0</v>
      </c>
      <c r="L69" s="360">
        <v>0.0</v>
      </c>
      <c r="M69" s="102" t="s">
        <v>706</v>
      </c>
      <c r="N69" s="102" t="s">
        <v>828</v>
      </c>
    </row>
    <row r="70">
      <c r="A70" s="412">
        <v>45539.0</v>
      </c>
      <c r="B70" s="413">
        <v>2024.0</v>
      </c>
      <c r="C70" s="414" t="s">
        <v>788</v>
      </c>
      <c r="D70" s="413" t="s">
        <v>723</v>
      </c>
      <c r="E70" s="413" t="s">
        <v>137</v>
      </c>
      <c r="F70" s="413" t="s">
        <v>711</v>
      </c>
      <c r="G70" s="413" t="s">
        <v>767</v>
      </c>
      <c r="H70" s="415">
        <v>950.0</v>
      </c>
      <c r="I70" s="416" t="b">
        <v>0</v>
      </c>
      <c r="J70" s="413" t="s">
        <v>829</v>
      </c>
      <c r="K70" s="415">
        <v>0.0</v>
      </c>
      <c r="L70" s="415">
        <v>950.0</v>
      </c>
      <c r="M70" s="413" t="s">
        <v>706</v>
      </c>
      <c r="N70" s="413" t="s">
        <v>830</v>
      </c>
    </row>
    <row r="71">
      <c r="A71" s="409">
        <v>45539.0</v>
      </c>
      <c r="B71" s="102">
        <v>2024.0</v>
      </c>
      <c r="C71" s="410" t="s">
        <v>788</v>
      </c>
      <c r="D71" s="102" t="s">
        <v>723</v>
      </c>
      <c r="E71" s="102" t="s">
        <v>137</v>
      </c>
      <c r="F71" s="102" t="s">
        <v>711</v>
      </c>
      <c r="G71" s="102" t="s">
        <v>737</v>
      </c>
      <c r="H71" s="360">
        <v>500.0</v>
      </c>
      <c r="I71" s="411" t="b">
        <v>0</v>
      </c>
      <c r="J71" s="102" t="s">
        <v>831</v>
      </c>
      <c r="K71" s="360">
        <v>0.0</v>
      </c>
      <c r="L71" s="360">
        <v>500.0</v>
      </c>
      <c r="M71" s="102" t="s">
        <v>706</v>
      </c>
      <c r="N71" s="102" t="s">
        <v>832</v>
      </c>
    </row>
    <row r="72">
      <c r="A72" s="412">
        <v>45539.0</v>
      </c>
      <c r="B72" s="413">
        <v>2024.0</v>
      </c>
      <c r="C72" s="414" t="s">
        <v>788</v>
      </c>
      <c r="D72" s="413" t="s">
        <v>723</v>
      </c>
      <c r="E72" s="413" t="s">
        <v>137</v>
      </c>
      <c r="F72" s="413" t="s">
        <v>711</v>
      </c>
      <c r="G72" s="413" t="s">
        <v>767</v>
      </c>
      <c r="H72" s="415">
        <v>1900.0</v>
      </c>
      <c r="I72" s="416" t="b">
        <v>0</v>
      </c>
      <c r="J72" s="413" t="s">
        <v>833</v>
      </c>
      <c r="K72" s="415">
        <v>0.0</v>
      </c>
      <c r="L72" s="415">
        <v>1900.0</v>
      </c>
      <c r="M72" s="413" t="s">
        <v>706</v>
      </c>
      <c r="N72" s="413" t="s">
        <v>834</v>
      </c>
    </row>
    <row r="73">
      <c r="A73" s="409">
        <v>45539.0</v>
      </c>
      <c r="B73" s="102">
        <v>2024.0</v>
      </c>
      <c r="C73" s="410" t="s">
        <v>788</v>
      </c>
      <c r="D73" s="102" t="s">
        <v>723</v>
      </c>
      <c r="E73" s="102" t="s">
        <v>137</v>
      </c>
      <c r="F73" s="102" t="s">
        <v>711</v>
      </c>
      <c r="G73" s="102" t="s">
        <v>767</v>
      </c>
      <c r="H73" s="360">
        <v>950.0</v>
      </c>
      <c r="I73" s="411" t="b">
        <v>0</v>
      </c>
      <c r="J73" s="102" t="s">
        <v>835</v>
      </c>
      <c r="K73" s="360">
        <v>0.0</v>
      </c>
      <c r="L73" s="360">
        <v>950.0</v>
      </c>
      <c r="M73" s="102" t="s">
        <v>706</v>
      </c>
      <c r="N73" s="102" t="s">
        <v>834</v>
      </c>
    </row>
    <row r="74">
      <c r="A74" s="412">
        <v>45539.0</v>
      </c>
      <c r="B74" s="413">
        <v>2024.0</v>
      </c>
      <c r="C74" s="414" t="s">
        <v>788</v>
      </c>
      <c r="D74" s="413" t="s">
        <v>723</v>
      </c>
      <c r="E74" s="413" t="s">
        <v>137</v>
      </c>
      <c r="F74" s="413" t="s">
        <v>711</v>
      </c>
      <c r="G74" s="413" t="s">
        <v>767</v>
      </c>
      <c r="H74" s="415">
        <v>1600.0</v>
      </c>
      <c r="I74" s="416" t="b">
        <v>0</v>
      </c>
      <c r="J74" s="413" t="s">
        <v>836</v>
      </c>
      <c r="K74" s="415">
        <v>0.0</v>
      </c>
      <c r="L74" s="415">
        <v>1600.0</v>
      </c>
      <c r="M74" s="413" t="s">
        <v>706</v>
      </c>
      <c r="N74" s="413" t="s">
        <v>837</v>
      </c>
    </row>
    <row r="75">
      <c r="A75" s="409">
        <v>45539.0</v>
      </c>
      <c r="B75" s="102">
        <v>2024.0</v>
      </c>
      <c r="C75" s="410" t="s">
        <v>788</v>
      </c>
      <c r="D75" s="102" t="s">
        <v>702</v>
      </c>
      <c r="E75" s="102" t="s">
        <v>465</v>
      </c>
      <c r="F75" s="102" t="s">
        <v>711</v>
      </c>
      <c r="G75" s="102" t="s">
        <v>734</v>
      </c>
      <c r="H75" s="360">
        <v>150.0</v>
      </c>
      <c r="I75" s="411" t="b">
        <v>0</v>
      </c>
      <c r="J75" s="102" t="s">
        <v>838</v>
      </c>
      <c r="K75" s="360">
        <v>20.68965517241378</v>
      </c>
      <c r="L75" s="360">
        <v>129.31034482758622</v>
      </c>
      <c r="M75" s="102" t="s">
        <v>706</v>
      </c>
      <c r="N75" s="102" t="s">
        <v>837</v>
      </c>
    </row>
    <row r="76">
      <c r="A76" s="412">
        <v>45539.0</v>
      </c>
      <c r="B76" s="413">
        <v>2024.0</v>
      </c>
      <c r="C76" s="414" t="s">
        <v>788</v>
      </c>
      <c r="D76" s="413" t="s">
        <v>702</v>
      </c>
      <c r="E76" s="413" t="s">
        <v>465</v>
      </c>
      <c r="F76" s="413" t="s">
        <v>703</v>
      </c>
      <c r="G76" s="413" t="s">
        <v>724</v>
      </c>
      <c r="H76" s="415">
        <v>250.0</v>
      </c>
      <c r="I76" s="416" t="b">
        <v>1</v>
      </c>
      <c r="J76" s="413" t="s">
        <v>472</v>
      </c>
      <c r="K76" s="415">
        <v>0.0</v>
      </c>
      <c r="L76" s="415">
        <v>0.0</v>
      </c>
      <c r="M76" s="413" t="s">
        <v>706</v>
      </c>
      <c r="N76" s="413" t="s">
        <v>837</v>
      </c>
    </row>
    <row r="77">
      <c r="A77" s="409">
        <v>45539.0</v>
      </c>
      <c r="B77" s="102">
        <v>2024.0</v>
      </c>
      <c r="C77" s="410" t="s">
        <v>788</v>
      </c>
      <c r="D77" s="102" t="s">
        <v>723</v>
      </c>
      <c r="E77" s="102" t="s">
        <v>137</v>
      </c>
      <c r="F77" s="102" t="s">
        <v>711</v>
      </c>
      <c r="G77" s="102" t="s">
        <v>715</v>
      </c>
      <c r="H77" s="360">
        <v>500.0</v>
      </c>
      <c r="I77" s="411" t="b">
        <v>0</v>
      </c>
      <c r="J77" s="102" t="s">
        <v>839</v>
      </c>
      <c r="K77" s="360">
        <v>0.0</v>
      </c>
      <c r="L77" s="360">
        <v>500.0</v>
      </c>
      <c r="M77" s="102" t="s">
        <v>706</v>
      </c>
      <c r="N77" s="102" t="s">
        <v>837</v>
      </c>
    </row>
    <row r="78">
      <c r="A78" s="412">
        <v>45539.0</v>
      </c>
      <c r="B78" s="413">
        <v>2024.0</v>
      </c>
      <c r="C78" s="414" t="s">
        <v>788</v>
      </c>
      <c r="D78" s="413" t="s">
        <v>710</v>
      </c>
      <c r="E78" s="413" t="s">
        <v>137</v>
      </c>
      <c r="F78" s="413" t="s">
        <v>711</v>
      </c>
      <c r="G78" s="413" t="s">
        <v>724</v>
      </c>
      <c r="H78" s="415">
        <v>250.0</v>
      </c>
      <c r="I78" s="416" t="b">
        <v>1</v>
      </c>
      <c r="J78" s="413" t="s">
        <v>472</v>
      </c>
      <c r="K78" s="415">
        <v>0.0</v>
      </c>
      <c r="L78" s="415">
        <v>0.0</v>
      </c>
      <c r="M78" s="413" t="s">
        <v>706</v>
      </c>
      <c r="N78" s="413" t="s">
        <v>837</v>
      </c>
    </row>
    <row r="79">
      <c r="A79" s="409">
        <v>45539.0</v>
      </c>
      <c r="B79" s="102">
        <v>2024.0</v>
      </c>
      <c r="C79" s="410" t="s">
        <v>788</v>
      </c>
      <c r="D79" s="102" t="s">
        <v>723</v>
      </c>
      <c r="E79" s="102" t="s">
        <v>137</v>
      </c>
      <c r="F79" s="102" t="s">
        <v>711</v>
      </c>
      <c r="G79" s="102" t="s">
        <v>734</v>
      </c>
      <c r="H79" s="360">
        <v>50.0</v>
      </c>
      <c r="I79" s="411" t="b">
        <v>0</v>
      </c>
      <c r="J79" s="102" t="s">
        <v>840</v>
      </c>
      <c r="K79" s="360">
        <v>0.0</v>
      </c>
      <c r="L79" s="360">
        <v>50.0</v>
      </c>
      <c r="M79" s="102" t="s">
        <v>706</v>
      </c>
      <c r="N79" s="102" t="s">
        <v>837</v>
      </c>
    </row>
    <row r="80">
      <c r="A80" s="412">
        <v>45539.0</v>
      </c>
      <c r="B80" s="413">
        <v>2024.0</v>
      </c>
      <c r="C80" s="414" t="s">
        <v>788</v>
      </c>
      <c r="D80" s="413" t="s">
        <v>702</v>
      </c>
      <c r="E80" s="413" t="s">
        <v>465</v>
      </c>
      <c r="F80" s="413" t="s">
        <v>711</v>
      </c>
      <c r="G80" s="413" t="s">
        <v>737</v>
      </c>
      <c r="H80" s="415">
        <v>200.0</v>
      </c>
      <c r="I80" s="416" t="b">
        <v>0</v>
      </c>
      <c r="J80" s="413" t="s">
        <v>841</v>
      </c>
      <c r="K80" s="415">
        <v>27.586206896551715</v>
      </c>
      <c r="L80" s="415">
        <v>172.41379310344828</v>
      </c>
      <c r="M80" s="413" t="s">
        <v>706</v>
      </c>
      <c r="N80" s="413" t="s">
        <v>837</v>
      </c>
    </row>
    <row r="81">
      <c r="A81" s="409">
        <v>45539.0</v>
      </c>
      <c r="B81" s="102">
        <v>2024.0</v>
      </c>
      <c r="C81" s="410" t="s">
        <v>788</v>
      </c>
      <c r="D81" s="102" t="s">
        <v>702</v>
      </c>
      <c r="E81" s="102" t="s">
        <v>465</v>
      </c>
      <c r="F81" s="102" t="s">
        <v>711</v>
      </c>
      <c r="G81" s="102" t="s">
        <v>767</v>
      </c>
      <c r="H81" s="360">
        <v>950.0</v>
      </c>
      <c r="I81" s="411" t="b">
        <v>0</v>
      </c>
      <c r="J81" s="102" t="s">
        <v>842</v>
      </c>
      <c r="K81" s="360">
        <v>131.03448275862058</v>
      </c>
      <c r="L81" s="360">
        <v>818.9655172413794</v>
      </c>
      <c r="M81" s="102" t="s">
        <v>706</v>
      </c>
      <c r="N81" s="102" t="s">
        <v>837</v>
      </c>
    </row>
    <row r="82">
      <c r="A82" s="412">
        <v>45539.0</v>
      </c>
      <c r="B82" s="413">
        <v>2024.0</v>
      </c>
      <c r="C82" s="414" t="s">
        <v>788</v>
      </c>
      <c r="D82" s="413" t="s">
        <v>710</v>
      </c>
      <c r="E82" s="413" t="s">
        <v>137</v>
      </c>
      <c r="F82" s="413" t="s">
        <v>703</v>
      </c>
      <c r="G82" s="413" t="s">
        <v>715</v>
      </c>
      <c r="H82" s="415">
        <v>100.0</v>
      </c>
      <c r="I82" s="416" t="b">
        <v>0</v>
      </c>
      <c r="J82" s="413" t="s">
        <v>472</v>
      </c>
      <c r="K82" s="415">
        <v>0.0</v>
      </c>
      <c r="L82" s="415">
        <v>100.0</v>
      </c>
      <c r="M82" s="413" t="s">
        <v>706</v>
      </c>
      <c r="N82" s="413" t="s">
        <v>837</v>
      </c>
    </row>
    <row r="83">
      <c r="A83" s="409">
        <v>45539.0</v>
      </c>
      <c r="B83" s="102">
        <v>2024.0</v>
      </c>
      <c r="C83" s="410" t="s">
        <v>788</v>
      </c>
      <c r="D83" s="102" t="s">
        <v>702</v>
      </c>
      <c r="E83" s="102" t="s">
        <v>465</v>
      </c>
      <c r="F83" s="102" t="s">
        <v>711</v>
      </c>
      <c r="G83" s="102" t="s">
        <v>767</v>
      </c>
      <c r="H83" s="360">
        <v>100.0</v>
      </c>
      <c r="I83" s="411" t="b">
        <v>0</v>
      </c>
      <c r="J83" s="102" t="s">
        <v>843</v>
      </c>
      <c r="K83" s="360">
        <v>13.793103448275858</v>
      </c>
      <c r="L83" s="360">
        <v>86.20689655172414</v>
      </c>
      <c r="M83" s="102" t="s">
        <v>706</v>
      </c>
      <c r="N83" s="102" t="s">
        <v>837</v>
      </c>
    </row>
    <row r="84">
      <c r="A84" s="412">
        <v>45539.0</v>
      </c>
      <c r="B84" s="413">
        <v>2024.0</v>
      </c>
      <c r="C84" s="414" t="s">
        <v>788</v>
      </c>
      <c r="D84" s="413" t="s">
        <v>702</v>
      </c>
      <c r="E84" s="413" t="s">
        <v>465</v>
      </c>
      <c r="F84" s="413" t="s">
        <v>711</v>
      </c>
      <c r="G84" s="413" t="s">
        <v>737</v>
      </c>
      <c r="H84" s="415">
        <v>200.0</v>
      </c>
      <c r="I84" s="416" t="b">
        <v>0</v>
      </c>
      <c r="J84" s="413" t="s">
        <v>844</v>
      </c>
      <c r="K84" s="415">
        <v>27.586206896551715</v>
      </c>
      <c r="L84" s="415">
        <v>172.41379310344828</v>
      </c>
      <c r="M84" s="413" t="s">
        <v>706</v>
      </c>
      <c r="N84" s="413" t="s">
        <v>837</v>
      </c>
    </row>
    <row r="85">
      <c r="A85" s="409">
        <v>45539.0</v>
      </c>
      <c r="B85" s="102">
        <v>2024.0</v>
      </c>
      <c r="C85" s="410" t="s">
        <v>788</v>
      </c>
      <c r="D85" s="102" t="s">
        <v>702</v>
      </c>
      <c r="E85" s="102" t="s">
        <v>465</v>
      </c>
      <c r="F85" s="102" t="s">
        <v>711</v>
      </c>
      <c r="G85" s="102" t="s">
        <v>715</v>
      </c>
      <c r="H85" s="360">
        <v>500.0</v>
      </c>
      <c r="I85" s="411" t="b">
        <v>0</v>
      </c>
      <c r="J85" s="102" t="s">
        <v>839</v>
      </c>
      <c r="K85" s="360">
        <v>68.9655172413793</v>
      </c>
      <c r="L85" s="360">
        <v>431.0344827586207</v>
      </c>
      <c r="M85" s="102" t="s">
        <v>706</v>
      </c>
      <c r="N85" s="102" t="s">
        <v>837</v>
      </c>
    </row>
    <row r="86">
      <c r="A86" s="412">
        <v>45539.0</v>
      </c>
      <c r="B86" s="413">
        <v>2024.0</v>
      </c>
      <c r="C86" s="414" t="s">
        <v>788</v>
      </c>
      <c r="D86" s="413" t="s">
        <v>710</v>
      </c>
      <c r="E86" s="413" t="s">
        <v>137</v>
      </c>
      <c r="F86" s="413" t="s">
        <v>711</v>
      </c>
      <c r="G86" s="413" t="s">
        <v>724</v>
      </c>
      <c r="H86" s="415">
        <v>7250.0</v>
      </c>
      <c r="I86" s="416" t="b">
        <v>1</v>
      </c>
      <c r="J86" s="413" t="s">
        <v>472</v>
      </c>
      <c r="K86" s="415">
        <v>0.0</v>
      </c>
      <c r="L86" s="415">
        <v>0.0</v>
      </c>
      <c r="M86" s="413" t="s">
        <v>706</v>
      </c>
      <c r="N86" s="413" t="s">
        <v>845</v>
      </c>
    </row>
    <row r="87">
      <c r="A87" s="409">
        <v>45539.0</v>
      </c>
      <c r="B87" s="102">
        <v>2024.0</v>
      </c>
      <c r="C87" s="410" t="s">
        <v>788</v>
      </c>
      <c r="D87" s="102" t="s">
        <v>702</v>
      </c>
      <c r="E87" s="102" t="s">
        <v>465</v>
      </c>
      <c r="F87" s="102" t="s">
        <v>711</v>
      </c>
      <c r="G87" s="102" t="s">
        <v>767</v>
      </c>
      <c r="H87" s="360">
        <v>950.0</v>
      </c>
      <c r="I87" s="411" t="b">
        <v>0</v>
      </c>
      <c r="J87" s="102" t="s">
        <v>846</v>
      </c>
      <c r="K87" s="360">
        <v>131.03448275862058</v>
      </c>
      <c r="L87" s="360">
        <v>818.9655172413794</v>
      </c>
      <c r="M87" s="102" t="s">
        <v>706</v>
      </c>
      <c r="N87" s="102" t="s">
        <v>845</v>
      </c>
    </row>
    <row r="88">
      <c r="A88" s="412">
        <v>45539.0</v>
      </c>
      <c r="B88" s="413">
        <v>2024.0</v>
      </c>
      <c r="C88" s="414" t="s">
        <v>788</v>
      </c>
      <c r="D88" s="413" t="s">
        <v>723</v>
      </c>
      <c r="E88" s="413" t="s">
        <v>137</v>
      </c>
      <c r="F88" s="413" t="s">
        <v>703</v>
      </c>
      <c r="G88" s="413" t="s">
        <v>724</v>
      </c>
      <c r="H88" s="415">
        <v>7250.0</v>
      </c>
      <c r="I88" s="416" t="b">
        <v>1</v>
      </c>
      <c r="J88" s="413" t="s">
        <v>472</v>
      </c>
      <c r="K88" s="415">
        <v>0.0</v>
      </c>
      <c r="L88" s="415">
        <v>0.0</v>
      </c>
      <c r="M88" s="413" t="s">
        <v>706</v>
      </c>
      <c r="N88" s="413" t="s">
        <v>845</v>
      </c>
    </row>
    <row r="89">
      <c r="A89" s="409">
        <v>45539.0</v>
      </c>
      <c r="B89" s="102">
        <v>2024.0</v>
      </c>
      <c r="C89" s="410" t="s">
        <v>788</v>
      </c>
      <c r="D89" s="102" t="s">
        <v>702</v>
      </c>
      <c r="E89" s="102" t="s">
        <v>465</v>
      </c>
      <c r="F89" s="102" t="s">
        <v>711</v>
      </c>
      <c r="G89" s="102" t="s">
        <v>730</v>
      </c>
      <c r="H89" s="360">
        <v>26.0</v>
      </c>
      <c r="I89" s="411" t="b">
        <v>0</v>
      </c>
      <c r="J89" s="102" t="s">
        <v>472</v>
      </c>
      <c r="K89" s="360">
        <v>3.5862068965517224</v>
      </c>
      <c r="L89" s="360">
        <v>22.413793103448278</v>
      </c>
      <c r="M89" s="102" t="s">
        <v>706</v>
      </c>
      <c r="N89" s="102" t="s">
        <v>845</v>
      </c>
    </row>
    <row r="90">
      <c r="A90" s="412">
        <v>45540.0</v>
      </c>
      <c r="B90" s="413">
        <v>2024.0</v>
      </c>
      <c r="C90" s="414" t="s">
        <v>788</v>
      </c>
      <c r="D90" s="413" t="s">
        <v>702</v>
      </c>
      <c r="E90" s="413" t="s">
        <v>465</v>
      </c>
      <c r="F90" s="413" t="s">
        <v>711</v>
      </c>
      <c r="G90" s="413" t="s">
        <v>767</v>
      </c>
      <c r="H90" s="415">
        <v>1055.0</v>
      </c>
      <c r="I90" s="416" t="b">
        <v>0</v>
      </c>
      <c r="J90" s="413" t="s">
        <v>847</v>
      </c>
      <c r="K90" s="415">
        <v>145.51724137931024</v>
      </c>
      <c r="L90" s="415">
        <v>909.4827586206898</v>
      </c>
      <c r="M90" s="413" t="s">
        <v>706</v>
      </c>
      <c r="N90" s="413" t="s">
        <v>848</v>
      </c>
    </row>
    <row r="91">
      <c r="A91" s="409">
        <v>45540.0</v>
      </c>
      <c r="B91" s="102">
        <v>2024.0</v>
      </c>
      <c r="C91" s="410" t="s">
        <v>788</v>
      </c>
      <c r="D91" s="102" t="s">
        <v>710</v>
      </c>
      <c r="E91" s="102" t="s">
        <v>137</v>
      </c>
      <c r="F91" s="102" t="s">
        <v>703</v>
      </c>
      <c r="G91" s="102" t="s">
        <v>724</v>
      </c>
      <c r="H91" s="360">
        <v>775.0</v>
      </c>
      <c r="I91" s="411" t="b">
        <v>1</v>
      </c>
      <c r="J91" s="102" t="s">
        <v>849</v>
      </c>
      <c r="K91" s="360">
        <v>0.0</v>
      </c>
      <c r="L91" s="360">
        <v>0.0</v>
      </c>
      <c r="M91" s="102" t="s">
        <v>706</v>
      </c>
      <c r="N91" s="102" t="s">
        <v>850</v>
      </c>
    </row>
    <row r="92">
      <c r="A92" s="412">
        <v>45540.0</v>
      </c>
      <c r="B92" s="413">
        <v>2024.0</v>
      </c>
      <c r="C92" s="414" t="s">
        <v>788</v>
      </c>
      <c r="D92" s="413" t="s">
        <v>723</v>
      </c>
      <c r="E92" s="413" t="s">
        <v>137</v>
      </c>
      <c r="F92" s="413" t="s">
        <v>711</v>
      </c>
      <c r="G92" s="413" t="s">
        <v>724</v>
      </c>
      <c r="H92" s="415">
        <v>775.0</v>
      </c>
      <c r="I92" s="416" t="b">
        <v>1</v>
      </c>
      <c r="J92" s="413" t="s">
        <v>849</v>
      </c>
      <c r="K92" s="415">
        <v>0.0</v>
      </c>
      <c r="L92" s="415">
        <v>0.0</v>
      </c>
      <c r="M92" s="413" t="s">
        <v>706</v>
      </c>
      <c r="N92" s="413" t="s">
        <v>850</v>
      </c>
    </row>
    <row r="93">
      <c r="A93" s="409">
        <v>45540.0</v>
      </c>
      <c r="B93" s="102">
        <v>2024.0</v>
      </c>
      <c r="C93" s="410" t="s">
        <v>788</v>
      </c>
      <c r="D93" s="102" t="s">
        <v>723</v>
      </c>
      <c r="E93" s="102" t="s">
        <v>137</v>
      </c>
      <c r="F93" s="102" t="s">
        <v>711</v>
      </c>
      <c r="G93" s="102" t="s">
        <v>734</v>
      </c>
      <c r="H93" s="360">
        <v>120.0</v>
      </c>
      <c r="I93" s="411" t="b">
        <v>0</v>
      </c>
      <c r="J93" s="102" t="s">
        <v>851</v>
      </c>
      <c r="K93" s="360">
        <v>0.0</v>
      </c>
      <c r="L93" s="360">
        <v>120.0</v>
      </c>
      <c r="M93" s="102" t="s">
        <v>706</v>
      </c>
      <c r="N93" s="102" t="s">
        <v>852</v>
      </c>
    </row>
    <row r="94">
      <c r="A94" s="412">
        <v>45540.0</v>
      </c>
      <c r="B94" s="413">
        <v>2024.0</v>
      </c>
      <c r="C94" s="414" t="s">
        <v>788</v>
      </c>
      <c r="D94" s="413" t="s">
        <v>723</v>
      </c>
      <c r="E94" s="413" t="s">
        <v>137</v>
      </c>
      <c r="F94" s="413" t="s">
        <v>711</v>
      </c>
      <c r="G94" s="413" t="s">
        <v>734</v>
      </c>
      <c r="H94" s="415">
        <v>150.0</v>
      </c>
      <c r="I94" s="416" t="b">
        <v>0</v>
      </c>
      <c r="J94" s="413" t="s">
        <v>853</v>
      </c>
      <c r="K94" s="415">
        <v>0.0</v>
      </c>
      <c r="L94" s="415">
        <v>150.0</v>
      </c>
      <c r="M94" s="413" t="s">
        <v>706</v>
      </c>
      <c r="N94" s="413" t="s">
        <v>852</v>
      </c>
    </row>
    <row r="95">
      <c r="A95" s="409">
        <v>45540.0</v>
      </c>
      <c r="B95" s="102">
        <v>2024.0</v>
      </c>
      <c r="C95" s="410" t="s">
        <v>788</v>
      </c>
      <c r="D95" s="102" t="s">
        <v>723</v>
      </c>
      <c r="E95" s="102" t="s">
        <v>137</v>
      </c>
      <c r="F95" s="102" t="s">
        <v>711</v>
      </c>
      <c r="G95" s="102" t="s">
        <v>734</v>
      </c>
      <c r="H95" s="360">
        <v>50.0</v>
      </c>
      <c r="I95" s="411" t="b">
        <v>0</v>
      </c>
      <c r="J95" s="102" t="s">
        <v>854</v>
      </c>
      <c r="K95" s="360">
        <v>0.0</v>
      </c>
      <c r="L95" s="360">
        <v>50.0</v>
      </c>
      <c r="M95" s="102" t="s">
        <v>706</v>
      </c>
      <c r="N95" s="102" t="s">
        <v>852</v>
      </c>
    </row>
    <row r="96">
      <c r="A96" s="412">
        <v>45541.0</v>
      </c>
      <c r="B96" s="413">
        <v>2024.0</v>
      </c>
      <c r="C96" s="414" t="s">
        <v>788</v>
      </c>
      <c r="D96" s="413" t="s">
        <v>723</v>
      </c>
      <c r="E96" s="413" t="s">
        <v>137</v>
      </c>
      <c r="F96" s="413" t="s">
        <v>703</v>
      </c>
      <c r="G96" s="413" t="s">
        <v>724</v>
      </c>
      <c r="H96" s="415">
        <v>95.0</v>
      </c>
      <c r="I96" s="416" t="b">
        <v>1</v>
      </c>
      <c r="J96" s="413" t="s">
        <v>472</v>
      </c>
      <c r="K96" s="415">
        <v>0.0</v>
      </c>
      <c r="L96" s="415">
        <v>0.0</v>
      </c>
      <c r="M96" s="413" t="s">
        <v>706</v>
      </c>
      <c r="N96" s="413" t="s">
        <v>855</v>
      </c>
    </row>
    <row r="97">
      <c r="A97" s="409">
        <v>45541.0</v>
      </c>
      <c r="B97" s="102">
        <v>2024.0</v>
      </c>
      <c r="C97" s="410" t="s">
        <v>788</v>
      </c>
      <c r="D97" s="102" t="s">
        <v>702</v>
      </c>
      <c r="E97" s="102" t="s">
        <v>465</v>
      </c>
      <c r="F97" s="102" t="s">
        <v>711</v>
      </c>
      <c r="G97" s="102" t="s">
        <v>767</v>
      </c>
      <c r="H97" s="360">
        <v>800.0</v>
      </c>
      <c r="I97" s="411" t="b">
        <v>0</v>
      </c>
      <c r="J97" s="102" t="s">
        <v>856</v>
      </c>
      <c r="K97" s="360">
        <v>110.34482758620686</v>
      </c>
      <c r="L97" s="360">
        <v>689.6551724137931</v>
      </c>
      <c r="M97" s="102" t="s">
        <v>706</v>
      </c>
      <c r="N97" s="102" t="s">
        <v>855</v>
      </c>
    </row>
    <row r="98">
      <c r="A98" s="412">
        <v>45541.0</v>
      </c>
      <c r="B98" s="413">
        <v>2024.0</v>
      </c>
      <c r="C98" s="414" t="s">
        <v>788</v>
      </c>
      <c r="D98" s="413" t="s">
        <v>710</v>
      </c>
      <c r="E98" s="413" t="s">
        <v>137</v>
      </c>
      <c r="F98" s="413" t="s">
        <v>711</v>
      </c>
      <c r="G98" s="413" t="s">
        <v>724</v>
      </c>
      <c r="H98" s="415">
        <v>95.0</v>
      </c>
      <c r="I98" s="416" t="b">
        <v>1</v>
      </c>
      <c r="J98" s="413" t="s">
        <v>472</v>
      </c>
      <c r="K98" s="415">
        <v>0.0</v>
      </c>
      <c r="L98" s="415">
        <v>0.0</v>
      </c>
      <c r="M98" s="413" t="s">
        <v>706</v>
      </c>
      <c r="N98" s="413" t="s">
        <v>855</v>
      </c>
    </row>
    <row r="99">
      <c r="A99" s="409">
        <v>45541.0</v>
      </c>
      <c r="B99" s="102">
        <v>2024.0</v>
      </c>
      <c r="C99" s="410" t="s">
        <v>788</v>
      </c>
      <c r="D99" s="102" t="s">
        <v>723</v>
      </c>
      <c r="E99" s="102" t="s">
        <v>137</v>
      </c>
      <c r="F99" s="102" t="s">
        <v>711</v>
      </c>
      <c r="G99" s="102" t="s">
        <v>715</v>
      </c>
      <c r="H99" s="360">
        <v>45.0</v>
      </c>
      <c r="I99" s="411" t="b">
        <v>0</v>
      </c>
      <c r="J99" s="102" t="s">
        <v>857</v>
      </c>
      <c r="K99" s="360">
        <v>0.0</v>
      </c>
      <c r="L99" s="360">
        <v>45.0</v>
      </c>
      <c r="M99" s="102" t="s">
        <v>706</v>
      </c>
      <c r="N99" s="102" t="s">
        <v>858</v>
      </c>
    </row>
    <row r="100">
      <c r="A100" s="412">
        <v>45541.0</v>
      </c>
      <c r="B100" s="413">
        <v>2024.0</v>
      </c>
      <c r="C100" s="414" t="s">
        <v>788</v>
      </c>
      <c r="D100" s="413" t="s">
        <v>723</v>
      </c>
      <c r="E100" s="413" t="s">
        <v>137</v>
      </c>
      <c r="F100" s="413" t="s">
        <v>711</v>
      </c>
      <c r="G100" s="413" t="s">
        <v>715</v>
      </c>
      <c r="H100" s="415">
        <v>15.0</v>
      </c>
      <c r="I100" s="416" t="b">
        <v>0</v>
      </c>
      <c r="J100" s="413" t="s">
        <v>472</v>
      </c>
      <c r="K100" s="415">
        <v>0.0</v>
      </c>
      <c r="L100" s="415">
        <v>15.0</v>
      </c>
      <c r="M100" s="413" t="s">
        <v>706</v>
      </c>
      <c r="N100" s="413" t="s">
        <v>858</v>
      </c>
    </row>
    <row r="101">
      <c r="A101" s="409">
        <v>45541.0</v>
      </c>
      <c r="B101" s="102">
        <v>2024.0</v>
      </c>
      <c r="C101" s="410" t="s">
        <v>788</v>
      </c>
      <c r="D101" s="102" t="s">
        <v>723</v>
      </c>
      <c r="E101" s="102" t="s">
        <v>137</v>
      </c>
      <c r="F101" s="102" t="s">
        <v>711</v>
      </c>
      <c r="G101" s="102" t="s">
        <v>715</v>
      </c>
      <c r="H101" s="360">
        <v>10.0</v>
      </c>
      <c r="I101" s="411" t="b">
        <v>0</v>
      </c>
      <c r="J101" s="102" t="s">
        <v>472</v>
      </c>
      <c r="K101" s="360">
        <v>0.0</v>
      </c>
      <c r="L101" s="360">
        <v>10.0</v>
      </c>
      <c r="M101" s="102" t="s">
        <v>706</v>
      </c>
      <c r="N101" s="102" t="s">
        <v>859</v>
      </c>
    </row>
    <row r="102">
      <c r="A102" s="412">
        <v>45544.0</v>
      </c>
      <c r="B102" s="413">
        <v>2024.0</v>
      </c>
      <c r="C102" s="414" t="s">
        <v>788</v>
      </c>
      <c r="D102" s="413" t="s">
        <v>702</v>
      </c>
      <c r="E102" s="413" t="s">
        <v>465</v>
      </c>
      <c r="F102" s="413" t="s">
        <v>711</v>
      </c>
      <c r="G102" s="413" t="s">
        <v>767</v>
      </c>
      <c r="H102" s="415">
        <v>1270.0</v>
      </c>
      <c r="I102" s="416" t="b">
        <v>0</v>
      </c>
      <c r="J102" s="413" t="s">
        <v>860</v>
      </c>
      <c r="K102" s="415">
        <v>175.17241379310326</v>
      </c>
      <c r="L102" s="415">
        <v>1094.8275862068967</v>
      </c>
      <c r="M102" s="413" t="s">
        <v>706</v>
      </c>
      <c r="N102" s="413" t="s">
        <v>861</v>
      </c>
    </row>
    <row r="103">
      <c r="A103" s="409">
        <v>45544.0</v>
      </c>
      <c r="B103" s="102">
        <v>2024.0</v>
      </c>
      <c r="C103" s="410" t="s">
        <v>788</v>
      </c>
      <c r="D103" s="102" t="s">
        <v>723</v>
      </c>
      <c r="E103" s="102" t="s">
        <v>137</v>
      </c>
      <c r="F103" s="102" t="s">
        <v>711</v>
      </c>
      <c r="G103" s="102" t="s">
        <v>750</v>
      </c>
      <c r="H103" s="360">
        <v>145.0</v>
      </c>
      <c r="I103" s="411" t="b">
        <v>0</v>
      </c>
      <c r="J103" s="102" t="s">
        <v>862</v>
      </c>
      <c r="K103" s="360">
        <v>0.0</v>
      </c>
      <c r="L103" s="360">
        <v>145.0</v>
      </c>
      <c r="M103" s="102" t="s">
        <v>706</v>
      </c>
      <c r="N103" s="102" t="s">
        <v>863</v>
      </c>
    </row>
    <row r="104">
      <c r="A104" s="412">
        <v>45544.0</v>
      </c>
      <c r="B104" s="413">
        <v>2024.0</v>
      </c>
      <c r="C104" s="414" t="s">
        <v>788</v>
      </c>
      <c r="D104" s="413" t="s">
        <v>702</v>
      </c>
      <c r="E104" s="413" t="s">
        <v>465</v>
      </c>
      <c r="F104" s="413" t="s">
        <v>703</v>
      </c>
      <c r="G104" s="413" t="s">
        <v>715</v>
      </c>
      <c r="H104" s="415">
        <v>410.93</v>
      </c>
      <c r="I104" s="416" t="b">
        <v>0</v>
      </c>
      <c r="J104" s="413" t="s">
        <v>864</v>
      </c>
      <c r="K104" s="415">
        <v>0.0</v>
      </c>
      <c r="L104" s="415">
        <v>410.93</v>
      </c>
      <c r="M104" s="413" t="s">
        <v>706</v>
      </c>
      <c r="N104" s="413" t="s">
        <v>863</v>
      </c>
    </row>
    <row r="105">
      <c r="A105" s="409">
        <v>45544.0</v>
      </c>
      <c r="B105" s="102">
        <v>2024.0</v>
      </c>
      <c r="C105" s="410" t="s">
        <v>788</v>
      </c>
      <c r="D105" s="102" t="s">
        <v>710</v>
      </c>
      <c r="E105" s="102" t="s">
        <v>137</v>
      </c>
      <c r="F105" s="102" t="s">
        <v>703</v>
      </c>
      <c r="G105" s="102" t="s">
        <v>715</v>
      </c>
      <c r="H105" s="360">
        <v>165.0</v>
      </c>
      <c r="I105" s="411" t="b">
        <v>0</v>
      </c>
      <c r="J105" s="102" t="s">
        <v>865</v>
      </c>
      <c r="K105" s="360">
        <v>0.0</v>
      </c>
      <c r="L105" s="360">
        <v>165.0</v>
      </c>
      <c r="M105" s="102" t="s">
        <v>706</v>
      </c>
      <c r="N105" s="102" t="s">
        <v>863</v>
      </c>
    </row>
    <row r="106">
      <c r="A106" s="412">
        <v>45544.0</v>
      </c>
      <c r="B106" s="413">
        <v>2024.0</v>
      </c>
      <c r="C106" s="414" t="s">
        <v>788</v>
      </c>
      <c r="D106" s="413" t="s">
        <v>723</v>
      </c>
      <c r="E106" s="413" t="s">
        <v>137</v>
      </c>
      <c r="F106" s="413" t="s">
        <v>711</v>
      </c>
      <c r="G106" s="413" t="s">
        <v>737</v>
      </c>
      <c r="H106" s="415">
        <v>500.0</v>
      </c>
      <c r="I106" s="416" t="b">
        <v>0</v>
      </c>
      <c r="J106" s="413" t="s">
        <v>472</v>
      </c>
      <c r="K106" s="415">
        <v>0.0</v>
      </c>
      <c r="L106" s="415">
        <v>500.0</v>
      </c>
      <c r="M106" s="413" t="s">
        <v>706</v>
      </c>
      <c r="N106" s="413" t="s">
        <v>863</v>
      </c>
    </row>
    <row r="107">
      <c r="A107" s="409">
        <v>45544.0</v>
      </c>
      <c r="B107" s="102">
        <v>2024.0</v>
      </c>
      <c r="C107" s="410" t="s">
        <v>788</v>
      </c>
      <c r="D107" s="102" t="s">
        <v>723</v>
      </c>
      <c r="E107" s="102" t="s">
        <v>137</v>
      </c>
      <c r="F107" s="102" t="s">
        <v>711</v>
      </c>
      <c r="G107" s="102" t="s">
        <v>734</v>
      </c>
      <c r="H107" s="360">
        <v>150.0</v>
      </c>
      <c r="I107" s="411" t="b">
        <v>0</v>
      </c>
      <c r="J107" s="102" t="s">
        <v>866</v>
      </c>
      <c r="K107" s="360">
        <v>0.0</v>
      </c>
      <c r="L107" s="360">
        <v>150.0</v>
      </c>
      <c r="M107" s="102" t="s">
        <v>706</v>
      </c>
      <c r="N107" s="102" t="s">
        <v>867</v>
      </c>
    </row>
    <row r="108">
      <c r="A108" s="412">
        <v>45544.0</v>
      </c>
      <c r="B108" s="413">
        <v>2024.0</v>
      </c>
      <c r="C108" s="414" t="s">
        <v>788</v>
      </c>
      <c r="D108" s="413" t="s">
        <v>723</v>
      </c>
      <c r="E108" s="413" t="s">
        <v>137</v>
      </c>
      <c r="F108" s="413" t="s">
        <v>711</v>
      </c>
      <c r="G108" s="413" t="s">
        <v>734</v>
      </c>
      <c r="H108" s="415">
        <v>150.0</v>
      </c>
      <c r="I108" s="416" t="b">
        <v>0</v>
      </c>
      <c r="J108" s="413" t="s">
        <v>868</v>
      </c>
      <c r="K108" s="415">
        <v>0.0</v>
      </c>
      <c r="L108" s="415">
        <v>150.0</v>
      </c>
      <c r="M108" s="413" t="s">
        <v>706</v>
      </c>
      <c r="N108" s="413" t="s">
        <v>867</v>
      </c>
    </row>
    <row r="109">
      <c r="A109" s="409">
        <v>45544.0</v>
      </c>
      <c r="B109" s="102">
        <v>2024.0</v>
      </c>
      <c r="C109" s="410" t="s">
        <v>788</v>
      </c>
      <c r="D109" s="102" t="s">
        <v>723</v>
      </c>
      <c r="E109" s="102" t="s">
        <v>137</v>
      </c>
      <c r="F109" s="102" t="s">
        <v>711</v>
      </c>
      <c r="G109" s="102" t="s">
        <v>734</v>
      </c>
      <c r="H109" s="360">
        <v>150.0</v>
      </c>
      <c r="I109" s="411" t="b">
        <v>0</v>
      </c>
      <c r="J109" s="102" t="s">
        <v>866</v>
      </c>
      <c r="K109" s="360">
        <v>0.0</v>
      </c>
      <c r="L109" s="360">
        <v>150.0</v>
      </c>
      <c r="M109" s="102" t="s">
        <v>706</v>
      </c>
      <c r="N109" s="102" t="s">
        <v>867</v>
      </c>
    </row>
    <row r="110">
      <c r="A110" s="412">
        <v>45544.0</v>
      </c>
      <c r="B110" s="413">
        <v>2024.0</v>
      </c>
      <c r="C110" s="414" t="s">
        <v>788</v>
      </c>
      <c r="D110" s="413" t="s">
        <v>723</v>
      </c>
      <c r="E110" s="413" t="s">
        <v>137</v>
      </c>
      <c r="F110" s="413" t="s">
        <v>711</v>
      </c>
      <c r="G110" s="413" t="s">
        <v>737</v>
      </c>
      <c r="H110" s="415">
        <v>250.0</v>
      </c>
      <c r="I110" s="416" t="b">
        <v>0</v>
      </c>
      <c r="J110" s="413" t="s">
        <v>869</v>
      </c>
      <c r="K110" s="415">
        <v>0.0</v>
      </c>
      <c r="L110" s="415">
        <v>250.0</v>
      </c>
      <c r="M110" s="413" t="s">
        <v>706</v>
      </c>
      <c r="N110" s="413" t="s">
        <v>870</v>
      </c>
    </row>
    <row r="111">
      <c r="A111" s="409">
        <v>45545.0</v>
      </c>
      <c r="B111" s="102">
        <v>2024.0</v>
      </c>
      <c r="C111" s="410" t="s">
        <v>788</v>
      </c>
      <c r="D111" s="102" t="s">
        <v>710</v>
      </c>
      <c r="E111" s="102" t="s">
        <v>137</v>
      </c>
      <c r="F111" s="102" t="s">
        <v>711</v>
      </c>
      <c r="G111" s="102" t="s">
        <v>724</v>
      </c>
      <c r="H111" s="360">
        <v>1870.0</v>
      </c>
      <c r="I111" s="411" t="b">
        <v>1</v>
      </c>
      <c r="J111" s="102" t="s">
        <v>871</v>
      </c>
      <c r="K111" s="360">
        <v>0.0</v>
      </c>
      <c r="L111" s="360">
        <v>0.0</v>
      </c>
      <c r="M111" s="102" t="s">
        <v>706</v>
      </c>
      <c r="N111" s="102" t="s">
        <v>872</v>
      </c>
    </row>
    <row r="112">
      <c r="A112" s="412">
        <v>45545.0</v>
      </c>
      <c r="B112" s="413">
        <v>2024.0</v>
      </c>
      <c r="C112" s="414" t="s">
        <v>788</v>
      </c>
      <c r="D112" s="413" t="s">
        <v>723</v>
      </c>
      <c r="E112" s="413" t="s">
        <v>137</v>
      </c>
      <c r="F112" s="413" t="s">
        <v>703</v>
      </c>
      <c r="G112" s="413" t="s">
        <v>724</v>
      </c>
      <c r="H112" s="415">
        <v>1870.0</v>
      </c>
      <c r="I112" s="416" t="b">
        <v>1</v>
      </c>
      <c r="J112" s="413" t="s">
        <v>871</v>
      </c>
      <c r="K112" s="415">
        <v>0.0</v>
      </c>
      <c r="L112" s="415">
        <v>0.0</v>
      </c>
      <c r="M112" s="413" t="s">
        <v>706</v>
      </c>
      <c r="N112" s="413" t="s">
        <v>872</v>
      </c>
    </row>
    <row r="113">
      <c r="A113" s="409">
        <v>45545.0</v>
      </c>
      <c r="B113" s="102">
        <v>2024.0</v>
      </c>
      <c r="C113" s="410" t="s">
        <v>788</v>
      </c>
      <c r="D113" s="102" t="s">
        <v>723</v>
      </c>
      <c r="E113" s="102" t="s">
        <v>137</v>
      </c>
      <c r="F113" s="102" t="s">
        <v>711</v>
      </c>
      <c r="G113" s="102" t="s">
        <v>767</v>
      </c>
      <c r="H113" s="360">
        <v>50.0</v>
      </c>
      <c r="I113" s="411" t="b">
        <v>0</v>
      </c>
      <c r="J113" s="102" t="s">
        <v>472</v>
      </c>
      <c r="K113" s="360">
        <v>0.0</v>
      </c>
      <c r="L113" s="360">
        <v>50.0</v>
      </c>
      <c r="M113" s="102" t="s">
        <v>706</v>
      </c>
      <c r="N113" s="102" t="s">
        <v>873</v>
      </c>
    </row>
    <row r="114">
      <c r="A114" s="412">
        <v>45545.0</v>
      </c>
      <c r="B114" s="413">
        <v>2024.0</v>
      </c>
      <c r="C114" s="414" t="s">
        <v>788</v>
      </c>
      <c r="D114" s="413" t="s">
        <v>723</v>
      </c>
      <c r="E114" s="413" t="s">
        <v>137</v>
      </c>
      <c r="F114" s="413" t="s">
        <v>711</v>
      </c>
      <c r="G114" s="413" t="s">
        <v>734</v>
      </c>
      <c r="H114" s="415">
        <v>120.0</v>
      </c>
      <c r="I114" s="416" t="b">
        <v>0</v>
      </c>
      <c r="J114" s="413" t="s">
        <v>472</v>
      </c>
      <c r="K114" s="415">
        <v>0.0</v>
      </c>
      <c r="L114" s="415">
        <v>120.0</v>
      </c>
      <c r="M114" s="413" t="s">
        <v>706</v>
      </c>
      <c r="N114" s="413" t="s">
        <v>873</v>
      </c>
    </row>
    <row r="115">
      <c r="A115" s="409">
        <v>45545.0</v>
      </c>
      <c r="B115" s="102">
        <v>2024.0</v>
      </c>
      <c r="C115" s="410" t="s">
        <v>788</v>
      </c>
      <c r="D115" s="102" t="s">
        <v>710</v>
      </c>
      <c r="E115" s="102" t="s">
        <v>137</v>
      </c>
      <c r="F115" s="102" t="s">
        <v>711</v>
      </c>
      <c r="G115" s="102" t="s">
        <v>724</v>
      </c>
      <c r="H115" s="360">
        <v>585.0</v>
      </c>
      <c r="I115" s="411" t="b">
        <v>1</v>
      </c>
      <c r="J115" s="102" t="s">
        <v>849</v>
      </c>
      <c r="K115" s="360">
        <v>0.0</v>
      </c>
      <c r="L115" s="360">
        <v>0.0</v>
      </c>
      <c r="M115" s="102" t="s">
        <v>706</v>
      </c>
      <c r="N115" s="102" t="s">
        <v>874</v>
      </c>
    </row>
    <row r="116">
      <c r="A116" s="412">
        <v>45545.0</v>
      </c>
      <c r="B116" s="413">
        <v>2024.0</v>
      </c>
      <c r="C116" s="414" t="s">
        <v>788</v>
      </c>
      <c r="D116" s="413" t="s">
        <v>723</v>
      </c>
      <c r="E116" s="413" t="s">
        <v>137</v>
      </c>
      <c r="F116" s="413" t="s">
        <v>711</v>
      </c>
      <c r="G116" s="413" t="s">
        <v>734</v>
      </c>
      <c r="H116" s="415">
        <v>150.0</v>
      </c>
      <c r="I116" s="416" t="b">
        <v>0</v>
      </c>
      <c r="J116" s="413" t="s">
        <v>875</v>
      </c>
      <c r="K116" s="415">
        <v>0.0</v>
      </c>
      <c r="L116" s="415">
        <v>150.0</v>
      </c>
      <c r="M116" s="413" t="s">
        <v>706</v>
      </c>
      <c r="N116" s="413" t="s">
        <v>874</v>
      </c>
    </row>
    <row r="117">
      <c r="A117" s="409">
        <v>45545.0</v>
      </c>
      <c r="B117" s="102">
        <v>2024.0</v>
      </c>
      <c r="C117" s="410" t="s">
        <v>788</v>
      </c>
      <c r="D117" s="102" t="s">
        <v>723</v>
      </c>
      <c r="E117" s="102" t="s">
        <v>137</v>
      </c>
      <c r="F117" s="102" t="s">
        <v>703</v>
      </c>
      <c r="G117" s="102" t="s">
        <v>724</v>
      </c>
      <c r="H117" s="360">
        <v>585.0</v>
      </c>
      <c r="I117" s="411" t="b">
        <v>1</v>
      </c>
      <c r="J117" s="102" t="s">
        <v>849</v>
      </c>
      <c r="K117" s="360">
        <v>0.0</v>
      </c>
      <c r="L117" s="360">
        <v>0.0</v>
      </c>
      <c r="M117" s="102" t="s">
        <v>706</v>
      </c>
      <c r="N117" s="102" t="s">
        <v>874</v>
      </c>
    </row>
    <row r="118">
      <c r="A118" s="412">
        <v>45545.0</v>
      </c>
      <c r="B118" s="413">
        <v>2024.0</v>
      </c>
      <c r="C118" s="414" t="s">
        <v>788</v>
      </c>
      <c r="D118" s="413" t="s">
        <v>702</v>
      </c>
      <c r="E118" s="413" t="s">
        <v>465</v>
      </c>
      <c r="F118" s="413" t="s">
        <v>711</v>
      </c>
      <c r="G118" s="413" t="s">
        <v>730</v>
      </c>
      <c r="H118" s="415">
        <v>7.0</v>
      </c>
      <c r="I118" s="416" t="b">
        <v>0</v>
      </c>
      <c r="J118" s="413" t="s">
        <v>472</v>
      </c>
      <c r="K118" s="415">
        <v>0.9655172413793096</v>
      </c>
      <c r="L118" s="415">
        <v>6.03448275862069</v>
      </c>
      <c r="M118" s="413" t="s">
        <v>706</v>
      </c>
      <c r="N118" s="413" t="s">
        <v>876</v>
      </c>
    </row>
    <row r="119">
      <c r="A119" s="409">
        <v>45546.0</v>
      </c>
      <c r="B119" s="102">
        <v>2024.0</v>
      </c>
      <c r="C119" s="410" t="s">
        <v>788</v>
      </c>
      <c r="D119" s="102" t="s">
        <v>723</v>
      </c>
      <c r="E119" s="102" t="s">
        <v>137</v>
      </c>
      <c r="F119" s="102" t="s">
        <v>711</v>
      </c>
      <c r="G119" s="102" t="s">
        <v>767</v>
      </c>
      <c r="H119" s="360">
        <v>865.0</v>
      </c>
      <c r="I119" s="411" t="b">
        <v>0</v>
      </c>
      <c r="J119" s="102" t="s">
        <v>472</v>
      </c>
      <c r="K119" s="360">
        <v>0.0</v>
      </c>
      <c r="L119" s="360">
        <v>865.0</v>
      </c>
      <c r="M119" s="102" t="s">
        <v>706</v>
      </c>
      <c r="N119" s="102" t="s">
        <v>877</v>
      </c>
    </row>
    <row r="120">
      <c r="A120" s="412">
        <v>45546.0</v>
      </c>
      <c r="B120" s="413">
        <v>2024.0</v>
      </c>
      <c r="C120" s="414" t="s">
        <v>788</v>
      </c>
      <c r="D120" s="413" t="s">
        <v>723</v>
      </c>
      <c r="E120" s="413" t="s">
        <v>137</v>
      </c>
      <c r="F120" s="413" t="s">
        <v>711</v>
      </c>
      <c r="G120" s="413" t="s">
        <v>715</v>
      </c>
      <c r="H120" s="415">
        <v>15.0</v>
      </c>
      <c r="I120" s="416" t="b">
        <v>0</v>
      </c>
      <c r="J120" s="413" t="s">
        <v>472</v>
      </c>
      <c r="K120" s="415">
        <v>0.0</v>
      </c>
      <c r="L120" s="415">
        <v>15.0</v>
      </c>
      <c r="M120" s="413" t="s">
        <v>706</v>
      </c>
      <c r="N120" s="413" t="s">
        <v>878</v>
      </c>
    </row>
    <row r="121">
      <c r="A121" s="409">
        <v>45547.0</v>
      </c>
      <c r="B121" s="102">
        <v>2024.0</v>
      </c>
      <c r="C121" s="410" t="s">
        <v>788</v>
      </c>
      <c r="D121" s="102" t="s">
        <v>723</v>
      </c>
      <c r="E121" s="102" t="s">
        <v>137</v>
      </c>
      <c r="F121" s="102" t="s">
        <v>711</v>
      </c>
      <c r="G121" s="102" t="s">
        <v>734</v>
      </c>
      <c r="H121" s="360">
        <v>120.0</v>
      </c>
      <c r="I121" s="411" t="b">
        <v>0</v>
      </c>
      <c r="J121" s="102" t="s">
        <v>472</v>
      </c>
      <c r="K121" s="360">
        <v>0.0</v>
      </c>
      <c r="L121" s="360">
        <v>120.0</v>
      </c>
      <c r="M121" s="102" t="s">
        <v>706</v>
      </c>
      <c r="N121" s="102" t="s">
        <v>879</v>
      </c>
    </row>
    <row r="122">
      <c r="A122" s="412">
        <v>45547.0</v>
      </c>
      <c r="B122" s="413">
        <v>2024.0</v>
      </c>
      <c r="C122" s="414" t="s">
        <v>788</v>
      </c>
      <c r="D122" s="413" t="s">
        <v>723</v>
      </c>
      <c r="E122" s="413" t="s">
        <v>137</v>
      </c>
      <c r="F122" s="413" t="s">
        <v>711</v>
      </c>
      <c r="G122" s="413" t="s">
        <v>734</v>
      </c>
      <c r="H122" s="415">
        <v>600.0</v>
      </c>
      <c r="I122" s="416" t="b">
        <v>0</v>
      </c>
      <c r="J122" s="413" t="s">
        <v>880</v>
      </c>
      <c r="K122" s="415">
        <v>0.0</v>
      </c>
      <c r="L122" s="415">
        <v>600.0</v>
      </c>
      <c r="M122" s="413" t="s">
        <v>706</v>
      </c>
      <c r="N122" s="413" t="s">
        <v>879</v>
      </c>
    </row>
    <row r="123">
      <c r="A123" s="409">
        <v>45547.0</v>
      </c>
      <c r="B123" s="102">
        <v>2024.0</v>
      </c>
      <c r="C123" s="410" t="s">
        <v>788</v>
      </c>
      <c r="D123" s="102" t="s">
        <v>723</v>
      </c>
      <c r="E123" s="102" t="s">
        <v>137</v>
      </c>
      <c r="F123" s="102" t="s">
        <v>711</v>
      </c>
      <c r="G123" s="102" t="s">
        <v>734</v>
      </c>
      <c r="H123" s="360">
        <v>50.0</v>
      </c>
      <c r="I123" s="411" t="b">
        <v>0</v>
      </c>
      <c r="J123" s="102" t="s">
        <v>881</v>
      </c>
      <c r="K123" s="360">
        <v>0.0</v>
      </c>
      <c r="L123" s="360">
        <v>50.0</v>
      </c>
      <c r="M123" s="102" t="s">
        <v>706</v>
      </c>
      <c r="N123" s="102" t="s">
        <v>882</v>
      </c>
    </row>
    <row r="124">
      <c r="A124" s="412">
        <v>45551.0</v>
      </c>
      <c r="B124" s="413">
        <v>2024.0</v>
      </c>
      <c r="C124" s="414" t="s">
        <v>788</v>
      </c>
      <c r="D124" s="413" t="s">
        <v>702</v>
      </c>
      <c r="E124" s="413" t="s">
        <v>465</v>
      </c>
      <c r="F124" s="413" t="s">
        <v>711</v>
      </c>
      <c r="G124" s="413" t="s">
        <v>730</v>
      </c>
      <c r="H124" s="415">
        <v>10.0</v>
      </c>
      <c r="I124" s="416" t="b">
        <v>0</v>
      </c>
      <c r="J124" s="413" t="s">
        <v>472</v>
      </c>
      <c r="K124" s="415">
        <v>1.3793103448275854</v>
      </c>
      <c r="L124" s="415">
        <v>8.620689655172415</v>
      </c>
      <c r="M124" s="413" t="s">
        <v>706</v>
      </c>
      <c r="N124" s="413" t="s">
        <v>883</v>
      </c>
    </row>
    <row r="125">
      <c r="A125" s="409">
        <v>45551.0</v>
      </c>
      <c r="B125" s="102">
        <v>2024.0</v>
      </c>
      <c r="C125" s="410" t="s">
        <v>788</v>
      </c>
      <c r="D125" s="102" t="s">
        <v>710</v>
      </c>
      <c r="E125" s="102" t="s">
        <v>137</v>
      </c>
      <c r="F125" s="102" t="s">
        <v>703</v>
      </c>
      <c r="G125" s="102" t="s">
        <v>724</v>
      </c>
      <c r="H125" s="360">
        <v>733.0</v>
      </c>
      <c r="I125" s="411" t="b">
        <v>1</v>
      </c>
      <c r="J125" s="102" t="s">
        <v>472</v>
      </c>
      <c r="K125" s="360">
        <v>0.0</v>
      </c>
      <c r="L125" s="360">
        <v>0.0</v>
      </c>
      <c r="M125" s="102" t="s">
        <v>706</v>
      </c>
      <c r="N125" s="102" t="s">
        <v>884</v>
      </c>
    </row>
    <row r="126">
      <c r="A126" s="412">
        <v>45551.0</v>
      </c>
      <c r="B126" s="413">
        <v>2024.0</v>
      </c>
      <c r="C126" s="414" t="s">
        <v>788</v>
      </c>
      <c r="D126" s="413" t="s">
        <v>723</v>
      </c>
      <c r="E126" s="413" t="s">
        <v>137</v>
      </c>
      <c r="F126" s="413" t="s">
        <v>703</v>
      </c>
      <c r="G126" s="413" t="s">
        <v>724</v>
      </c>
      <c r="H126" s="415">
        <v>1930.0</v>
      </c>
      <c r="I126" s="416" t="b">
        <v>1</v>
      </c>
      <c r="J126" s="413" t="s">
        <v>472</v>
      </c>
      <c r="K126" s="415">
        <v>0.0</v>
      </c>
      <c r="L126" s="415">
        <v>0.0</v>
      </c>
      <c r="M126" s="413" t="s">
        <v>706</v>
      </c>
      <c r="N126" s="413" t="s">
        <v>884</v>
      </c>
    </row>
    <row r="127">
      <c r="A127" s="409">
        <v>45551.0</v>
      </c>
      <c r="B127" s="102">
        <v>2024.0</v>
      </c>
      <c r="C127" s="410" t="s">
        <v>788</v>
      </c>
      <c r="D127" s="102" t="s">
        <v>723</v>
      </c>
      <c r="E127" s="102" t="s">
        <v>137</v>
      </c>
      <c r="F127" s="102" t="s">
        <v>711</v>
      </c>
      <c r="G127" s="102" t="s">
        <v>724</v>
      </c>
      <c r="H127" s="360">
        <v>733.0</v>
      </c>
      <c r="I127" s="411" t="b">
        <v>1</v>
      </c>
      <c r="J127" s="102" t="s">
        <v>472</v>
      </c>
      <c r="K127" s="360">
        <v>0.0</v>
      </c>
      <c r="L127" s="360">
        <v>0.0</v>
      </c>
      <c r="M127" s="102" t="s">
        <v>706</v>
      </c>
      <c r="N127" s="102" t="s">
        <v>884</v>
      </c>
    </row>
    <row r="128">
      <c r="A128" s="412">
        <v>45551.0</v>
      </c>
      <c r="B128" s="413">
        <v>2024.0</v>
      </c>
      <c r="C128" s="414" t="s">
        <v>788</v>
      </c>
      <c r="D128" s="413" t="s">
        <v>710</v>
      </c>
      <c r="E128" s="413" t="s">
        <v>137</v>
      </c>
      <c r="F128" s="413" t="s">
        <v>703</v>
      </c>
      <c r="G128" s="413" t="s">
        <v>715</v>
      </c>
      <c r="H128" s="415">
        <v>100.0</v>
      </c>
      <c r="I128" s="416" t="b">
        <v>0</v>
      </c>
      <c r="J128" s="413" t="s">
        <v>472</v>
      </c>
      <c r="K128" s="415">
        <v>0.0</v>
      </c>
      <c r="L128" s="415">
        <v>100.0</v>
      </c>
      <c r="M128" s="413" t="s">
        <v>706</v>
      </c>
      <c r="N128" s="413" t="s">
        <v>884</v>
      </c>
    </row>
    <row r="129">
      <c r="A129" s="409">
        <v>45551.0</v>
      </c>
      <c r="B129" s="102">
        <v>2024.0</v>
      </c>
      <c r="C129" s="410" t="s">
        <v>788</v>
      </c>
      <c r="D129" s="102" t="s">
        <v>723</v>
      </c>
      <c r="E129" s="102" t="s">
        <v>137</v>
      </c>
      <c r="F129" s="102" t="s">
        <v>711</v>
      </c>
      <c r="G129" s="102" t="s">
        <v>715</v>
      </c>
      <c r="H129" s="360">
        <v>37.0</v>
      </c>
      <c r="I129" s="411" t="b">
        <v>0</v>
      </c>
      <c r="J129" s="102" t="s">
        <v>885</v>
      </c>
      <c r="K129" s="360">
        <v>0.0</v>
      </c>
      <c r="L129" s="360">
        <v>37.0</v>
      </c>
      <c r="M129" s="102" t="s">
        <v>706</v>
      </c>
      <c r="N129" s="102" t="s">
        <v>884</v>
      </c>
    </row>
    <row r="130">
      <c r="A130" s="412">
        <v>45551.0</v>
      </c>
      <c r="B130" s="413">
        <v>2024.0</v>
      </c>
      <c r="C130" s="414" t="s">
        <v>788</v>
      </c>
      <c r="D130" s="413" t="s">
        <v>710</v>
      </c>
      <c r="E130" s="413" t="s">
        <v>137</v>
      </c>
      <c r="F130" s="413" t="s">
        <v>711</v>
      </c>
      <c r="G130" s="413" t="s">
        <v>724</v>
      </c>
      <c r="H130" s="415">
        <v>1930.0</v>
      </c>
      <c r="I130" s="416" t="b">
        <v>1</v>
      </c>
      <c r="J130" s="413" t="s">
        <v>472</v>
      </c>
      <c r="K130" s="415">
        <v>0.0</v>
      </c>
      <c r="L130" s="415">
        <v>0.0</v>
      </c>
      <c r="M130" s="413" t="s">
        <v>706</v>
      </c>
      <c r="N130" s="413" t="s">
        <v>884</v>
      </c>
    </row>
    <row r="131">
      <c r="A131" s="409">
        <v>45552.0</v>
      </c>
      <c r="B131" s="102">
        <v>2024.0</v>
      </c>
      <c r="C131" s="410" t="s">
        <v>788</v>
      </c>
      <c r="D131" s="102" t="s">
        <v>723</v>
      </c>
      <c r="E131" s="102" t="s">
        <v>137</v>
      </c>
      <c r="F131" s="102" t="s">
        <v>711</v>
      </c>
      <c r="G131" s="102" t="s">
        <v>734</v>
      </c>
      <c r="H131" s="360">
        <v>120.0</v>
      </c>
      <c r="I131" s="411" t="b">
        <v>0</v>
      </c>
      <c r="J131" s="102" t="s">
        <v>472</v>
      </c>
      <c r="K131" s="360">
        <v>0.0</v>
      </c>
      <c r="L131" s="360">
        <v>120.0</v>
      </c>
      <c r="M131" s="102" t="s">
        <v>706</v>
      </c>
      <c r="N131" s="102" t="s">
        <v>886</v>
      </c>
    </row>
    <row r="132">
      <c r="A132" s="412">
        <v>45552.0</v>
      </c>
      <c r="B132" s="413">
        <v>2024.0</v>
      </c>
      <c r="C132" s="414" t="s">
        <v>788</v>
      </c>
      <c r="D132" s="413" t="s">
        <v>723</v>
      </c>
      <c r="E132" s="413" t="s">
        <v>137</v>
      </c>
      <c r="F132" s="413" t="s">
        <v>711</v>
      </c>
      <c r="G132" s="413" t="s">
        <v>740</v>
      </c>
      <c r="H132" s="415">
        <v>10.0</v>
      </c>
      <c r="I132" s="416" t="b">
        <v>0</v>
      </c>
      <c r="J132" s="413" t="s">
        <v>887</v>
      </c>
      <c r="K132" s="415">
        <v>0.0</v>
      </c>
      <c r="L132" s="415">
        <v>10.0</v>
      </c>
      <c r="M132" s="413" t="s">
        <v>706</v>
      </c>
      <c r="N132" s="413" t="s">
        <v>888</v>
      </c>
    </row>
    <row r="133">
      <c r="A133" s="409">
        <v>45552.0</v>
      </c>
      <c r="B133" s="102">
        <v>2024.0</v>
      </c>
      <c r="C133" s="410" t="s">
        <v>788</v>
      </c>
      <c r="D133" s="102" t="s">
        <v>723</v>
      </c>
      <c r="E133" s="102" t="s">
        <v>137</v>
      </c>
      <c r="F133" s="102" t="s">
        <v>711</v>
      </c>
      <c r="G133" s="102" t="s">
        <v>734</v>
      </c>
      <c r="H133" s="360">
        <v>150.0</v>
      </c>
      <c r="I133" s="411" t="b">
        <v>0</v>
      </c>
      <c r="J133" s="102" t="s">
        <v>472</v>
      </c>
      <c r="K133" s="360">
        <v>0.0</v>
      </c>
      <c r="L133" s="360">
        <v>150.0</v>
      </c>
      <c r="M133" s="102" t="s">
        <v>706</v>
      </c>
      <c r="N133" s="102" t="s">
        <v>888</v>
      </c>
    </row>
    <row r="134">
      <c r="A134" s="412">
        <v>45554.0</v>
      </c>
      <c r="B134" s="413">
        <v>2024.0</v>
      </c>
      <c r="C134" s="414" t="s">
        <v>788</v>
      </c>
      <c r="D134" s="413" t="s">
        <v>723</v>
      </c>
      <c r="E134" s="413" t="s">
        <v>137</v>
      </c>
      <c r="F134" s="413" t="s">
        <v>711</v>
      </c>
      <c r="G134" s="413" t="s">
        <v>737</v>
      </c>
      <c r="H134" s="415">
        <v>500.0</v>
      </c>
      <c r="I134" s="416" t="b">
        <v>0</v>
      </c>
      <c r="J134" s="413" t="s">
        <v>472</v>
      </c>
      <c r="K134" s="415">
        <v>0.0</v>
      </c>
      <c r="L134" s="415">
        <v>500.0</v>
      </c>
      <c r="M134" s="413" t="s">
        <v>706</v>
      </c>
      <c r="N134" s="413" t="s">
        <v>889</v>
      </c>
    </row>
    <row r="135">
      <c r="A135" s="409">
        <v>45554.0</v>
      </c>
      <c r="B135" s="102">
        <v>2024.0</v>
      </c>
      <c r="C135" s="410" t="s">
        <v>788</v>
      </c>
      <c r="D135" s="102" t="s">
        <v>723</v>
      </c>
      <c r="E135" s="102" t="s">
        <v>137</v>
      </c>
      <c r="F135" s="102" t="s">
        <v>711</v>
      </c>
      <c r="G135" s="102" t="s">
        <v>767</v>
      </c>
      <c r="H135" s="360">
        <v>529.0</v>
      </c>
      <c r="I135" s="411" t="b">
        <v>0</v>
      </c>
      <c r="J135" s="102" t="s">
        <v>472</v>
      </c>
      <c r="K135" s="360">
        <v>0.0</v>
      </c>
      <c r="L135" s="360">
        <v>529.0</v>
      </c>
      <c r="M135" s="102" t="s">
        <v>706</v>
      </c>
      <c r="N135" s="102" t="s">
        <v>890</v>
      </c>
    </row>
    <row r="136">
      <c r="A136" s="412">
        <v>45554.0</v>
      </c>
      <c r="B136" s="413">
        <v>2024.0</v>
      </c>
      <c r="C136" s="414" t="s">
        <v>788</v>
      </c>
      <c r="D136" s="413" t="s">
        <v>723</v>
      </c>
      <c r="E136" s="413" t="s">
        <v>137</v>
      </c>
      <c r="F136" s="413" t="s">
        <v>711</v>
      </c>
      <c r="G136" s="413" t="s">
        <v>715</v>
      </c>
      <c r="H136" s="415">
        <v>15.0</v>
      </c>
      <c r="I136" s="416" t="b">
        <v>0</v>
      </c>
      <c r="J136" s="413" t="s">
        <v>472</v>
      </c>
      <c r="K136" s="415">
        <v>0.0</v>
      </c>
      <c r="L136" s="415">
        <v>15.0</v>
      </c>
      <c r="M136" s="413" t="s">
        <v>706</v>
      </c>
      <c r="N136" s="413" t="s">
        <v>890</v>
      </c>
    </row>
    <row r="137">
      <c r="A137" s="409">
        <v>45554.0</v>
      </c>
      <c r="B137" s="102">
        <v>2024.0</v>
      </c>
      <c r="C137" s="410" t="s">
        <v>788</v>
      </c>
      <c r="D137" s="102" t="s">
        <v>723</v>
      </c>
      <c r="E137" s="102" t="s">
        <v>137</v>
      </c>
      <c r="F137" s="102" t="s">
        <v>711</v>
      </c>
      <c r="G137" s="102" t="s">
        <v>740</v>
      </c>
      <c r="H137" s="360">
        <v>7.0</v>
      </c>
      <c r="I137" s="411" t="b">
        <v>0</v>
      </c>
      <c r="J137" s="102" t="s">
        <v>472</v>
      </c>
      <c r="K137" s="360">
        <v>0.0</v>
      </c>
      <c r="L137" s="360">
        <v>7.0</v>
      </c>
      <c r="M137" s="102" t="s">
        <v>706</v>
      </c>
      <c r="N137" s="102" t="s">
        <v>890</v>
      </c>
    </row>
    <row r="138">
      <c r="A138" s="412">
        <v>45554.0</v>
      </c>
      <c r="B138" s="413">
        <v>2024.0</v>
      </c>
      <c r="C138" s="414" t="s">
        <v>788</v>
      </c>
      <c r="D138" s="413" t="s">
        <v>723</v>
      </c>
      <c r="E138" s="413" t="s">
        <v>137</v>
      </c>
      <c r="F138" s="413" t="s">
        <v>711</v>
      </c>
      <c r="G138" s="413" t="s">
        <v>740</v>
      </c>
      <c r="H138" s="415">
        <v>10.0</v>
      </c>
      <c r="I138" s="416" t="b">
        <v>0</v>
      </c>
      <c r="J138" s="413" t="s">
        <v>472</v>
      </c>
      <c r="K138" s="415">
        <v>0.0</v>
      </c>
      <c r="L138" s="415">
        <v>10.0</v>
      </c>
      <c r="M138" s="413" t="s">
        <v>706</v>
      </c>
      <c r="N138" s="413" t="s">
        <v>890</v>
      </c>
    </row>
    <row r="139">
      <c r="A139" s="409">
        <v>45554.0</v>
      </c>
      <c r="B139" s="102">
        <v>2024.0</v>
      </c>
      <c r="C139" s="410" t="s">
        <v>788</v>
      </c>
      <c r="D139" s="102" t="s">
        <v>710</v>
      </c>
      <c r="E139" s="102" t="s">
        <v>137</v>
      </c>
      <c r="F139" s="102" t="s">
        <v>711</v>
      </c>
      <c r="G139" s="102" t="s">
        <v>724</v>
      </c>
      <c r="H139" s="360">
        <v>1495.0</v>
      </c>
      <c r="I139" s="411" t="b">
        <v>1</v>
      </c>
      <c r="J139" s="102" t="s">
        <v>472</v>
      </c>
      <c r="K139" s="360">
        <v>0.0</v>
      </c>
      <c r="L139" s="360">
        <v>0.0</v>
      </c>
      <c r="M139" s="102" t="s">
        <v>706</v>
      </c>
      <c r="N139" s="102" t="s">
        <v>890</v>
      </c>
    </row>
    <row r="140">
      <c r="A140" s="412">
        <v>45554.0</v>
      </c>
      <c r="B140" s="413">
        <v>2024.0</v>
      </c>
      <c r="C140" s="414" t="s">
        <v>788</v>
      </c>
      <c r="D140" s="413" t="s">
        <v>723</v>
      </c>
      <c r="E140" s="413" t="s">
        <v>137</v>
      </c>
      <c r="F140" s="413" t="s">
        <v>711</v>
      </c>
      <c r="G140" s="413" t="s">
        <v>734</v>
      </c>
      <c r="H140" s="415">
        <v>50.0</v>
      </c>
      <c r="I140" s="416" t="b">
        <v>0</v>
      </c>
      <c r="J140" s="413" t="s">
        <v>891</v>
      </c>
      <c r="K140" s="415">
        <v>0.0</v>
      </c>
      <c r="L140" s="415">
        <v>50.0</v>
      </c>
      <c r="M140" s="413" t="s">
        <v>706</v>
      </c>
      <c r="N140" s="413" t="s">
        <v>890</v>
      </c>
    </row>
    <row r="141">
      <c r="A141" s="409">
        <v>45554.0</v>
      </c>
      <c r="B141" s="102">
        <v>2024.0</v>
      </c>
      <c r="C141" s="410" t="s">
        <v>788</v>
      </c>
      <c r="D141" s="102" t="s">
        <v>723</v>
      </c>
      <c r="E141" s="102" t="s">
        <v>137</v>
      </c>
      <c r="F141" s="102" t="s">
        <v>711</v>
      </c>
      <c r="G141" s="102" t="s">
        <v>740</v>
      </c>
      <c r="H141" s="360">
        <v>7.0</v>
      </c>
      <c r="I141" s="411" t="b">
        <v>0</v>
      </c>
      <c r="J141" s="102" t="s">
        <v>472</v>
      </c>
      <c r="K141" s="360">
        <v>0.0</v>
      </c>
      <c r="L141" s="360">
        <v>7.0</v>
      </c>
      <c r="M141" s="102" t="s">
        <v>706</v>
      </c>
      <c r="N141" s="102" t="s">
        <v>890</v>
      </c>
    </row>
    <row r="142">
      <c r="A142" s="412">
        <v>45554.0</v>
      </c>
      <c r="B142" s="413">
        <v>2024.0</v>
      </c>
      <c r="C142" s="414" t="s">
        <v>788</v>
      </c>
      <c r="D142" s="413" t="s">
        <v>723</v>
      </c>
      <c r="E142" s="413" t="s">
        <v>137</v>
      </c>
      <c r="F142" s="413" t="s">
        <v>711</v>
      </c>
      <c r="G142" s="413" t="s">
        <v>740</v>
      </c>
      <c r="H142" s="415">
        <v>7.0</v>
      </c>
      <c r="I142" s="416" t="b">
        <v>0</v>
      </c>
      <c r="J142" s="413" t="s">
        <v>472</v>
      </c>
      <c r="K142" s="415">
        <v>0.0</v>
      </c>
      <c r="L142" s="415">
        <v>7.0</v>
      </c>
      <c r="M142" s="413" t="s">
        <v>706</v>
      </c>
      <c r="N142" s="413" t="s">
        <v>890</v>
      </c>
    </row>
    <row r="143">
      <c r="A143" s="409">
        <v>45554.0</v>
      </c>
      <c r="B143" s="102">
        <v>2024.0</v>
      </c>
      <c r="C143" s="410" t="s">
        <v>788</v>
      </c>
      <c r="D143" s="102" t="s">
        <v>723</v>
      </c>
      <c r="E143" s="102" t="s">
        <v>137</v>
      </c>
      <c r="F143" s="102" t="s">
        <v>711</v>
      </c>
      <c r="G143" s="102" t="s">
        <v>734</v>
      </c>
      <c r="H143" s="360">
        <v>120.0</v>
      </c>
      <c r="I143" s="411" t="b">
        <v>0</v>
      </c>
      <c r="J143" s="102" t="s">
        <v>472</v>
      </c>
      <c r="K143" s="360">
        <v>0.0</v>
      </c>
      <c r="L143" s="360">
        <v>120.0</v>
      </c>
      <c r="M143" s="102" t="s">
        <v>706</v>
      </c>
      <c r="N143" s="102" t="s">
        <v>890</v>
      </c>
    </row>
    <row r="144">
      <c r="A144" s="412">
        <v>45554.0</v>
      </c>
      <c r="B144" s="413">
        <v>2024.0</v>
      </c>
      <c r="C144" s="414" t="s">
        <v>788</v>
      </c>
      <c r="D144" s="413" t="s">
        <v>723</v>
      </c>
      <c r="E144" s="413" t="s">
        <v>137</v>
      </c>
      <c r="F144" s="413" t="s">
        <v>703</v>
      </c>
      <c r="G144" s="413" t="s">
        <v>724</v>
      </c>
      <c r="H144" s="415">
        <v>1495.0</v>
      </c>
      <c r="I144" s="416" t="b">
        <v>1</v>
      </c>
      <c r="J144" s="413" t="s">
        <v>472</v>
      </c>
      <c r="K144" s="415">
        <v>0.0</v>
      </c>
      <c r="L144" s="415">
        <v>0.0</v>
      </c>
      <c r="M144" s="413" t="s">
        <v>706</v>
      </c>
      <c r="N144" s="413" t="s">
        <v>890</v>
      </c>
    </row>
    <row r="145">
      <c r="A145" s="409">
        <v>45554.0</v>
      </c>
      <c r="B145" s="102">
        <v>2024.0</v>
      </c>
      <c r="C145" s="410" t="s">
        <v>788</v>
      </c>
      <c r="D145" s="102" t="s">
        <v>702</v>
      </c>
      <c r="E145" s="102" t="s">
        <v>465</v>
      </c>
      <c r="F145" s="102" t="s">
        <v>711</v>
      </c>
      <c r="G145" s="102" t="s">
        <v>737</v>
      </c>
      <c r="H145" s="360">
        <v>620.0</v>
      </c>
      <c r="I145" s="411" t="b">
        <v>0</v>
      </c>
      <c r="J145" s="102" t="s">
        <v>892</v>
      </c>
      <c r="K145" s="360">
        <v>85.51724137931035</v>
      </c>
      <c r="L145" s="360">
        <v>534.4827586206897</v>
      </c>
      <c r="M145" s="102" t="s">
        <v>706</v>
      </c>
      <c r="N145" s="102" t="s">
        <v>893</v>
      </c>
    </row>
    <row r="146">
      <c r="A146" s="412">
        <v>45554.0</v>
      </c>
      <c r="B146" s="413">
        <v>2024.0</v>
      </c>
      <c r="C146" s="414" t="s">
        <v>788</v>
      </c>
      <c r="D146" s="413" t="s">
        <v>702</v>
      </c>
      <c r="E146" s="413" t="s">
        <v>465</v>
      </c>
      <c r="F146" s="413" t="s">
        <v>711</v>
      </c>
      <c r="G146" s="413" t="s">
        <v>734</v>
      </c>
      <c r="H146" s="415">
        <v>120.0</v>
      </c>
      <c r="I146" s="416" t="b">
        <v>0</v>
      </c>
      <c r="J146" s="413" t="s">
        <v>472</v>
      </c>
      <c r="K146" s="415">
        <v>16.551724137931032</v>
      </c>
      <c r="L146" s="415">
        <v>103.44827586206897</v>
      </c>
      <c r="M146" s="413" t="s">
        <v>706</v>
      </c>
      <c r="N146" s="413" t="s">
        <v>893</v>
      </c>
    </row>
    <row r="147">
      <c r="A147" s="409">
        <v>45554.0</v>
      </c>
      <c r="B147" s="102">
        <v>2024.0</v>
      </c>
      <c r="C147" s="410" t="s">
        <v>788</v>
      </c>
      <c r="D147" s="102" t="s">
        <v>702</v>
      </c>
      <c r="E147" s="102" t="s">
        <v>465</v>
      </c>
      <c r="F147" s="102" t="s">
        <v>711</v>
      </c>
      <c r="G147" s="102" t="s">
        <v>715</v>
      </c>
      <c r="H147" s="360">
        <v>350.0</v>
      </c>
      <c r="I147" s="411" t="b">
        <v>0</v>
      </c>
      <c r="J147" s="102" t="s">
        <v>894</v>
      </c>
      <c r="K147" s="360">
        <v>48.27586206896552</v>
      </c>
      <c r="L147" s="360">
        <v>301.7241379310345</v>
      </c>
      <c r="M147" s="102" t="s">
        <v>706</v>
      </c>
      <c r="N147" s="102" t="s">
        <v>893</v>
      </c>
    </row>
    <row r="148">
      <c r="A148" s="412">
        <v>45554.0</v>
      </c>
      <c r="B148" s="413">
        <v>2024.0</v>
      </c>
      <c r="C148" s="414" t="s">
        <v>788</v>
      </c>
      <c r="D148" s="413" t="s">
        <v>702</v>
      </c>
      <c r="E148" s="413" t="s">
        <v>465</v>
      </c>
      <c r="F148" s="413" t="s">
        <v>711</v>
      </c>
      <c r="G148" s="413" t="s">
        <v>734</v>
      </c>
      <c r="H148" s="415">
        <v>120.0</v>
      </c>
      <c r="I148" s="416" t="b">
        <v>0</v>
      </c>
      <c r="J148" s="413" t="s">
        <v>472</v>
      </c>
      <c r="K148" s="415">
        <v>16.551724137931032</v>
      </c>
      <c r="L148" s="415">
        <v>103.44827586206897</v>
      </c>
      <c r="M148" s="413" t="s">
        <v>706</v>
      </c>
      <c r="N148" s="413" t="s">
        <v>893</v>
      </c>
    </row>
    <row r="149">
      <c r="A149" s="409">
        <v>45554.0</v>
      </c>
      <c r="B149" s="102">
        <v>2024.0</v>
      </c>
      <c r="C149" s="410" t="s">
        <v>788</v>
      </c>
      <c r="D149" s="102" t="s">
        <v>702</v>
      </c>
      <c r="E149" s="102" t="s">
        <v>465</v>
      </c>
      <c r="F149" s="102" t="s">
        <v>703</v>
      </c>
      <c r="G149" s="102" t="s">
        <v>732</v>
      </c>
      <c r="H149" s="360">
        <v>7.0</v>
      </c>
      <c r="I149" s="411" t="b">
        <v>0</v>
      </c>
      <c r="J149" s="102" t="s">
        <v>472</v>
      </c>
      <c r="K149" s="360">
        <v>0.0</v>
      </c>
      <c r="L149" s="360">
        <v>7.0</v>
      </c>
      <c r="M149" s="102" t="s">
        <v>706</v>
      </c>
      <c r="N149" s="102" t="s">
        <v>895</v>
      </c>
    </row>
    <row r="150">
      <c r="A150" s="412">
        <v>45554.0</v>
      </c>
      <c r="B150" s="413">
        <v>2024.0</v>
      </c>
      <c r="C150" s="414" t="s">
        <v>788</v>
      </c>
      <c r="D150" s="413" t="s">
        <v>710</v>
      </c>
      <c r="E150" s="413" t="s">
        <v>137</v>
      </c>
      <c r="F150" s="413" t="s">
        <v>703</v>
      </c>
      <c r="G150" s="413" t="s">
        <v>715</v>
      </c>
      <c r="H150" s="415">
        <v>20.0</v>
      </c>
      <c r="I150" s="416" t="b">
        <v>0</v>
      </c>
      <c r="J150" s="413" t="s">
        <v>472</v>
      </c>
      <c r="K150" s="415">
        <v>0.0</v>
      </c>
      <c r="L150" s="415">
        <v>20.0</v>
      </c>
      <c r="M150" s="413" t="s">
        <v>706</v>
      </c>
      <c r="N150" s="413" t="s">
        <v>895</v>
      </c>
    </row>
    <row r="151">
      <c r="A151" s="409">
        <v>45555.0</v>
      </c>
      <c r="B151" s="102">
        <v>2024.0</v>
      </c>
      <c r="C151" s="410" t="s">
        <v>788</v>
      </c>
      <c r="D151" s="102" t="s">
        <v>723</v>
      </c>
      <c r="E151" s="102" t="s">
        <v>137</v>
      </c>
      <c r="F151" s="102" t="s">
        <v>711</v>
      </c>
      <c r="G151" s="102" t="s">
        <v>740</v>
      </c>
      <c r="H151" s="360">
        <v>14.0</v>
      </c>
      <c r="I151" s="411" t="b">
        <v>0</v>
      </c>
      <c r="J151" s="102" t="s">
        <v>472</v>
      </c>
      <c r="K151" s="360">
        <v>0.0</v>
      </c>
      <c r="L151" s="360">
        <v>14.0</v>
      </c>
      <c r="M151" s="102" t="s">
        <v>706</v>
      </c>
      <c r="N151" s="102" t="s">
        <v>896</v>
      </c>
    </row>
    <row r="152">
      <c r="A152" s="412">
        <v>45557.0</v>
      </c>
      <c r="B152" s="413">
        <v>2024.0</v>
      </c>
      <c r="C152" s="414" t="s">
        <v>788</v>
      </c>
      <c r="D152" s="413" t="s">
        <v>723</v>
      </c>
      <c r="E152" s="413" t="s">
        <v>137</v>
      </c>
      <c r="F152" s="413" t="s">
        <v>711</v>
      </c>
      <c r="G152" s="413" t="s">
        <v>740</v>
      </c>
      <c r="H152" s="415">
        <v>22.0</v>
      </c>
      <c r="I152" s="416" t="b">
        <v>0</v>
      </c>
      <c r="J152" s="413" t="s">
        <v>897</v>
      </c>
      <c r="K152" s="415">
        <v>0.0</v>
      </c>
      <c r="L152" s="415">
        <v>22.0</v>
      </c>
      <c r="M152" s="413" t="s">
        <v>706</v>
      </c>
      <c r="N152" s="413" t="s">
        <v>898</v>
      </c>
    </row>
    <row r="153">
      <c r="A153" s="409">
        <v>45557.0</v>
      </c>
      <c r="B153" s="102">
        <v>2024.0</v>
      </c>
      <c r="C153" s="410" t="s">
        <v>788</v>
      </c>
      <c r="D153" s="102" t="s">
        <v>702</v>
      </c>
      <c r="E153" s="102" t="s">
        <v>465</v>
      </c>
      <c r="F153" s="102" t="s">
        <v>711</v>
      </c>
      <c r="G153" s="102" t="s">
        <v>730</v>
      </c>
      <c r="H153" s="360">
        <v>6.0</v>
      </c>
      <c r="I153" s="411" t="b">
        <v>0</v>
      </c>
      <c r="J153" s="102" t="s">
        <v>472</v>
      </c>
      <c r="K153" s="360">
        <v>0.8275862068965516</v>
      </c>
      <c r="L153" s="360">
        <v>5.172413793103448</v>
      </c>
      <c r="M153" s="102" t="s">
        <v>706</v>
      </c>
      <c r="N153" s="102" t="s">
        <v>899</v>
      </c>
    </row>
    <row r="154">
      <c r="A154" s="412">
        <v>45557.0</v>
      </c>
      <c r="B154" s="413">
        <v>2024.0</v>
      </c>
      <c r="C154" s="414" t="s">
        <v>788</v>
      </c>
      <c r="D154" s="413" t="s">
        <v>710</v>
      </c>
      <c r="E154" s="413" t="s">
        <v>137</v>
      </c>
      <c r="F154" s="413" t="s">
        <v>703</v>
      </c>
      <c r="G154" s="413" t="s">
        <v>715</v>
      </c>
      <c r="H154" s="415">
        <v>500.0</v>
      </c>
      <c r="I154" s="416" t="b">
        <v>0</v>
      </c>
      <c r="J154" s="413" t="s">
        <v>900</v>
      </c>
      <c r="K154" s="415">
        <v>0.0</v>
      </c>
      <c r="L154" s="415">
        <v>500.0</v>
      </c>
      <c r="M154" s="413" t="s">
        <v>706</v>
      </c>
      <c r="N154" s="413" t="s">
        <v>899</v>
      </c>
    </row>
    <row r="155">
      <c r="A155" s="409">
        <v>45557.0</v>
      </c>
      <c r="B155" s="102">
        <v>2024.0</v>
      </c>
      <c r="C155" s="410" t="s">
        <v>788</v>
      </c>
      <c r="D155" s="102" t="s">
        <v>723</v>
      </c>
      <c r="E155" s="102" t="s">
        <v>137</v>
      </c>
      <c r="F155" s="102" t="s">
        <v>703</v>
      </c>
      <c r="G155" s="102" t="s">
        <v>724</v>
      </c>
      <c r="H155" s="360">
        <v>260.0</v>
      </c>
      <c r="I155" s="411" t="b">
        <v>1</v>
      </c>
      <c r="J155" s="102" t="s">
        <v>472</v>
      </c>
      <c r="K155" s="360">
        <v>0.0</v>
      </c>
      <c r="L155" s="360">
        <v>0.0</v>
      </c>
      <c r="M155" s="102" t="s">
        <v>706</v>
      </c>
      <c r="N155" s="102" t="s">
        <v>899</v>
      </c>
    </row>
    <row r="156">
      <c r="A156" s="412">
        <v>45557.0</v>
      </c>
      <c r="B156" s="413">
        <v>2024.0</v>
      </c>
      <c r="C156" s="414" t="s">
        <v>788</v>
      </c>
      <c r="D156" s="413" t="s">
        <v>710</v>
      </c>
      <c r="E156" s="413" t="s">
        <v>137</v>
      </c>
      <c r="F156" s="413" t="s">
        <v>703</v>
      </c>
      <c r="G156" s="413" t="s">
        <v>715</v>
      </c>
      <c r="H156" s="415">
        <v>10.0</v>
      </c>
      <c r="I156" s="416" t="b">
        <v>0</v>
      </c>
      <c r="J156" s="413" t="s">
        <v>901</v>
      </c>
      <c r="K156" s="415">
        <v>0.0</v>
      </c>
      <c r="L156" s="415">
        <v>10.0</v>
      </c>
      <c r="M156" s="413" t="s">
        <v>706</v>
      </c>
      <c r="N156" s="413" t="s">
        <v>899</v>
      </c>
    </row>
    <row r="157">
      <c r="A157" s="409">
        <v>45557.0</v>
      </c>
      <c r="B157" s="102">
        <v>2024.0</v>
      </c>
      <c r="C157" s="410" t="s">
        <v>788</v>
      </c>
      <c r="D157" s="102" t="s">
        <v>710</v>
      </c>
      <c r="E157" s="102" t="s">
        <v>137</v>
      </c>
      <c r="F157" s="102" t="s">
        <v>711</v>
      </c>
      <c r="G157" s="102" t="s">
        <v>724</v>
      </c>
      <c r="H157" s="360">
        <v>260.0</v>
      </c>
      <c r="I157" s="411" t="b">
        <v>1</v>
      </c>
      <c r="J157" s="102" t="s">
        <v>472</v>
      </c>
      <c r="K157" s="360">
        <v>0.0</v>
      </c>
      <c r="L157" s="360">
        <v>0.0</v>
      </c>
      <c r="M157" s="102" t="s">
        <v>706</v>
      </c>
      <c r="N157" s="102" t="s">
        <v>899</v>
      </c>
    </row>
    <row r="158">
      <c r="A158" s="412">
        <v>45557.0</v>
      </c>
      <c r="B158" s="413">
        <v>2024.0</v>
      </c>
      <c r="C158" s="414" t="s">
        <v>788</v>
      </c>
      <c r="D158" s="413" t="s">
        <v>702</v>
      </c>
      <c r="E158" s="413" t="s">
        <v>465</v>
      </c>
      <c r="F158" s="413" t="s">
        <v>703</v>
      </c>
      <c r="G158" s="413" t="s">
        <v>715</v>
      </c>
      <c r="H158" s="415">
        <v>1071.0</v>
      </c>
      <c r="I158" s="416" t="b">
        <v>0</v>
      </c>
      <c r="J158" s="413" t="s">
        <v>472</v>
      </c>
      <c r="K158" s="415">
        <v>0.0</v>
      </c>
      <c r="L158" s="415">
        <v>1071.0</v>
      </c>
      <c r="M158" s="413" t="s">
        <v>706</v>
      </c>
      <c r="N158" s="413" t="s">
        <v>902</v>
      </c>
    </row>
    <row r="159">
      <c r="A159" s="409">
        <v>45557.0</v>
      </c>
      <c r="B159" s="102">
        <v>2024.0</v>
      </c>
      <c r="C159" s="410" t="s">
        <v>788</v>
      </c>
      <c r="D159" s="102" t="s">
        <v>702</v>
      </c>
      <c r="E159" s="102" t="s">
        <v>465</v>
      </c>
      <c r="F159" s="102" t="s">
        <v>703</v>
      </c>
      <c r="G159" s="102" t="s">
        <v>732</v>
      </c>
      <c r="H159" s="360">
        <v>1450.0</v>
      </c>
      <c r="I159" s="411" t="b">
        <v>0</v>
      </c>
      <c r="J159" s="102" t="s">
        <v>903</v>
      </c>
      <c r="K159" s="360">
        <v>0.0</v>
      </c>
      <c r="L159" s="360">
        <v>1450.0</v>
      </c>
      <c r="M159" s="102" t="s">
        <v>706</v>
      </c>
      <c r="N159" s="102" t="s">
        <v>902</v>
      </c>
    </row>
    <row r="160">
      <c r="A160" s="412">
        <v>45557.0</v>
      </c>
      <c r="B160" s="413">
        <v>2024.0</v>
      </c>
      <c r="C160" s="414" t="s">
        <v>788</v>
      </c>
      <c r="D160" s="413" t="s">
        <v>710</v>
      </c>
      <c r="E160" s="413" t="s">
        <v>137</v>
      </c>
      <c r="F160" s="413" t="s">
        <v>703</v>
      </c>
      <c r="G160" s="413" t="s">
        <v>747</v>
      </c>
      <c r="H160" s="415">
        <v>1000.0</v>
      </c>
      <c r="I160" s="416" t="b">
        <v>0</v>
      </c>
      <c r="J160" s="413" t="s">
        <v>904</v>
      </c>
      <c r="K160" s="415">
        <v>0.0</v>
      </c>
      <c r="L160" s="415">
        <v>1000.0</v>
      </c>
      <c r="M160" s="413" t="s">
        <v>706</v>
      </c>
      <c r="N160" s="413" t="s">
        <v>905</v>
      </c>
    </row>
    <row r="161">
      <c r="A161" s="409">
        <v>45557.0</v>
      </c>
      <c r="B161" s="102">
        <v>2024.0</v>
      </c>
      <c r="C161" s="410" t="s">
        <v>788</v>
      </c>
      <c r="D161" s="102" t="s">
        <v>710</v>
      </c>
      <c r="E161" s="102" t="s">
        <v>137</v>
      </c>
      <c r="F161" s="102" t="s">
        <v>703</v>
      </c>
      <c r="G161" s="102" t="s">
        <v>906</v>
      </c>
      <c r="H161" s="360">
        <v>3000.0</v>
      </c>
      <c r="I161" s="411" t="b">
        <v>0</v>
      </c>
      <c r="J161" s="102" t="s">
        <v>907</v>
      </c>
      <c r="K161" s="360">
        <v>0.0</v>
      </c>
      <c r="L161" s="360">
        <v>3000.0</v>
      </c>
      <c r="M161" s="102" t="s">
        <v>706</v>
      </c>
      <c r="N161" s="102" t="s">
        <v>905</v>
      </c>
    </row>
    <row r="162">
      <c r="A162" s="412">
        <v>45557.0</v>
      </c>
      <c r="B162" s="413">
        <v>2024.0</v>
      </c>
      <c r="C162" s="414" t="s">
        <v>788</v>
      </c>
      <c r="D162" s="413" t="s">
        <v>710</v>
      </c>
      <c r="E162" s="413" t="s">
        <v>137</v>
      </c>
      <c r="F162" s="413" t="s">
        <v>703</v>
      </c>
      <c r="G162" s="413" t="s">
        <v>715</v>
      </c>
      <c r="H162" s="415">
        <v>2000.0</v>
      </c>
      <c r="I162" s="416" t="b">
        <v>0</v>
      </c>
      <c r="J162" s="413" t="s">
        <v>472</v>
      </c>
      <c r="K162" s="415">
        <v>0.0</v>
      </c>
      <c r="L162" s="415">
        <v>2000.0</v>
      </c>
      <c r="M162" s="413" t="s">
        <v>706</v>
      </c>
      <c r="N162" s="413" t="s">
        <v>905</v>
      </c>
    </row>
    <row r="163">
      <c r="A163" s="409">
        <v>45559.0</v>
      </c>
      <c r="B163" s="102">
        <v>2024.0</v>
      </c>
      <c r="C163" s="410" t="s">
        <v>788</v>
      </c>
      <c r="D163" s="102" t="s">
        <v>702</v>
      </c>
      <c r="E163" s="102" t="s">
        <v>465</v>
      </c>
      <c r="F163" s="102" t="s">
        <v>711</v>
      </c>
      <c r="G163" s="102" t="s">
        <v>767</v>
      </c>
      <c r="H163" s="360">
        <v>950.0</v>
      </c>
      <c r="I163" s="411" t="b">
        <v>0</v>
      </c>
      <c r="J163" s="102" t="s">
        <v>472</v>
      </c>
      <c r="K163" s="360">
        <v>131.03448275862058</v>
      </c>
      <c r="L163" s="360">
        <v>818.9655172413794</v>
      </c>
      <c r="M163" s="102" t="s">
        <v>706</v>
      </c>
      <c r="N163" s="102" t="s">
        <v>908</v>
      </c>
    </row>
    <row r="164">
      <c r="A164" s="412">
        <v>45559.0</v>
      </c>
      <c r="B164" s="413">
        <v>2024.0</v>
      </c>
      <c r="C164" s="414" t="s">
        <v>788</v>
      </c>
      <c r="D164" s="413" t="s">
        <v>723</v>
      </c>
      <c r="E164" s="413" t="s">
        <v>137</v>
      </c>
      <c r="F164" s="413" t="s">
        <v>711</v>
      </c>
      <c r="G164" s="413" t="s">
        <v>734</v>
      </c>
      <c r="H164" s="415">
        <v>120.0</v>
      </c>
      <c r="I164" s="416" t="b">
        <v>0</v>
      </c>
      <c r="J164" s="413" t="s">
        <v>472</v>
      </c>
      <c r="K164" s="415">
        <v>0.0</v>
      </c>
      <c r="L164" s="415">
        <v>120.0</v>
      </c>
      <c r="M164" s="413" t="s">
        <v>706</v>
      </c>
      <c r="N164" s="413" t="s">
        <v>909</v>
      </c>
    </row>
    <row r="165">
      <c r="A165" s="409">
        <v>45560.0</v>
      </c>
      <c r="B165" s="102">
        <v>2024.0</v>
      </c>
      <c r="C165" s="410" t="s">
        <v>788</v>
      </c>
      <c r="D165" s="102" t="s">
        <v>710</v>
      </c>
      <c r="E165" s="102" t="s">
        <v>137</v>
      </c>
      <c r="F165" s="102" t="s">
        <v>703</v>
      </c>
      <c r="G165" s="102" t="s">
        <v>910</v>
      </c>
      <c r="H165" s="360">
        <v>80.0</v>
      </c>
      <c r="I165" s="411" t="b">
        <v>0</v>
      </c>
      <c r="J165" s="102" t="s">
        <v>911</v>
      </c>
      <c r="K165" s="360">
        <v>0.0</v>
      </c>
      <c r="L165" s="360">
        <v>80.0</v>
      </c>
      <c r="M165" s="102" t="s">
        <v>706</v>
      </c>
      <c r="N165" s="102" t="s">
        <v>912</v>
      </c>
    </row>
    <row r="166">
      <c r="A166" s="412">
        <v>45562.0</v>
      </c>
      <c r="B166" s="413">
        <v>2024.0</v>
      </c>
      <c r="C166" s="414" t="s">
        <v>788</v>
      </c>
      <c r="D166" s="413" t="s">
        <v>723</v>
      </c>
      <c r="E166" s="413" t="s">
        <v>137</v>
      </c>
      <c r="F166" s="413" t="s">
        <v>711</v>
      </c>
      <c r="G166" s="413" t="s">
        <v>715</v>
      </c>
      <c r="H166" s="415">
        <v>30.0</v>
      </c>
      <c r="I166" s="416" t="b">
        <v>0</v>
      </c>
      <c r="J166" s="413" t="s">
        <v>472</v>
      </c>
      <c r="K166" s="415">
        <v>0.0</v>
      </c>
      <c r="L166" s="415">
        <v>30.0</v>
      </c>
      <c r="M166" s="413" t="s">
        <v>706</v>
      </c>
      <c r="N166" s="413" t="s">
        <v>913</v>
      </c>
    </row>
    <row r="167">
      <c r="A167" s="409">
        <v>45563.0</v>
      </c>
      <c r="B167" s="102">
        <v>2024.0</v>
      </c>
      <c r="C167" s="410" t="s">
        <v>788</v>
      </c>
      <c r="D167" s="102" t="s">
        <v>723</v>
      </c>
      <c r="E167" s="102" t="s">
        <v>137</v>
      </c>
      <c r="F167" s="102" t="s">
        <v>711</v>
      </c>
      <c r="G167" s="102" t="s">
        <v>734</v>
      </c>
      <c r="H167" s="360">
        <v>150.0</v>
      </c>
      <c r="I167" s="411" t="b">
        <v>0</v>
      </c>
      <c r="J167" s="102" t="s">
        <v>472</v>
      </c>
      <c r="K167" s="360">
        <v>0.0</v>
      </c>
      <c r="L167" s="360">
        <v>150.0</v>
      </c>
      <c r="M167" s="102" t="s">
        <v>706</v>
      </c>
      <c r="N167" s="102" t="s">
        <v>914</v>
      </c>
    </row>
    <row r="168">
      <c r="A168" s="412">
        <v>45565.0</v>
      </c>
      <c r="B168" s="413">
        <v>2024.0</v>
      </c>
      <c r="C168" s="414" t="s">
        <v>788</v>
      </c>
      <c r="D168" s="413" t="s">
        <v>710</v>
      </c>
      <c r="E168" s="413" t="s">
        <v>137</v>
      </c>
      <c r="F168" s="413" t="s">
        <v>703</v>
      </c>
      <c r="G168" s="413" t="s">
        <v>715</v>
      </c>
      <c r="H168" s="415">
        <v>1500.0</v>
      </c>
      <c r="I168" s="416" t="b">
        <v>0</v>
      </c>
      <c r="J168" s="413" t="s">
        <v>775</v>
      </c>
      <c r="K168" s="415">
        <v>0.0</v>
      </c>
      <c r="L168" s="415">
        <v>1500.0</v>
      </c>
      <c r="M168" s="413" t="s">
        <v>706</v>
      </c>
      <c r="N168" s="413" t="s">
        <v>915</v>
      </c>
    </row>
    <row r="169">
      <c r="A169" s="409">
        <v>45566.0</v>
      </c>
      <c r="B169" s="102">
        <v>2024.0</v>
      </c>
      <c r="C169" s="410" t="s">
        <v>916</v>
      </c>
      <c r="D169" s="102" t="s">
        <v>723</v>
      </c>
      <c r="E169" s="102" t="s">
        <v>137</v>
      </c>
      <c r="F169" s="102" t="s">
        <v>711</v>
      </c>
      <c r="G169" s="102" t="s">
        <v>767</v>
      </c>
      <c r="H169" s="360">
        <v>1050.0</v>
      </c>
      <c r="I169" s="411" t="b">
        <v>0</v>
      </c>
      <c r="J169" s="102" t="s">
        <v>472</v>
      </c>
      <c r="K169" s="360">
        <v>0.0</v>
      </c>
      <c r="L169" s="360">
        <v>1050.0</v>
      </c>
      <c r="M169" s="102" t="s">
        <v>706</v>
      </c>
      <c r="N169" s="102" t="s">
        <v>917</v>
      </c>
    </row>
    <row r="170">
      <c r="A170" s="412">
        <v>45566.0</v>
      </c>
      <c r="B170" s="413">
        <v>2024.0</v>
      </c>
      <c r="C170" s="414" t="s">
        <v>916</v>
      </c>
      <c r="D170" s="413" t="s">
        <v>710</v>
      </c>
      <c r="E170" s="413" t="s">
        <v>137</v>
      </c>
      <c r="F170" s="413" t="s">
        <v>703</v>
      </c>
      <c r="G170" s="413" t="s">
        <v>769</v>
      </c>
      <c r="H170" s="415">
        <v>8000.0</v>
      </c>
      <c r="I170" s="416" t="b">
        <v>0</v>
      </c>
      <c r="J170" s="413" t="s">
        <v>918</v>
      </c>
      <c r="K170" s="415">
        <v>0.0</v>
      </c>
      <c r="L170" s="415">
        <v>8000.0</v>
      </c>
      <c r="M170" s="413" t="s">
        <v>706</v>
      </c>
      <c r="N170" s="413" t="s">
        <v>919</v>
      </c>
    </row>
    <row r="171">
      <c r="A171" s="409">
        <v>45566.0</v>
      </c>
      <c r="B171" s="102">
        <v>2024.0</v>
      </c>
      <c r="C171" s="410" t="s">
        <v>916</v>
      </c>
      <c r="D171" s="102" t="s">
        <v>710</v>
      </c>
      <c r="E171" s="102" t="s">
        <v>137</v>
      </c>
      <c r="F171" s="102" t="s">
        <v>703</v>
      </c>
      <c r="G171" s="102" t="s">
        <v>715</v>
      </c>
      <c r="H171" s="360">
        <v>17.0</v>
      </c>
      <c r="I171" s="411" t="b">
        <v>0</v>
      </c>
      <c r="J171" s="102" t="s">
        <v>472</v>
      </c>
      <c r="K171" s="360">
        <v>0.0</v>
      </c>
      <c r="L171" s="360">
        <v>17.0</v>
      </c>
      <c r="M171" s="102" t="s">
        <v>706</v>
      </c>
      <c r="N171" s="102" t="s">
        <v>919</v>
      </c>
    </row>
    <row r="172">
      <c r="A172" s="412">
        <v>45566.0</v>
      </c>
      <c r="B172" s="413">
        <v>2024.0</v>
      </c>
      <c r="C172" s="414" t="s">
        <v>916</v>
      </c>
      <c r="D172" s="413" t="s">
        <v>723</v>
      </c>
      <c r="E172" s="413" t="s">
        <v>137</v>
      </c>
      <c r="F172" s="413" t="s">
        <v>711</v>
      </c>
      <c r="G172" s="413" t="s">
        <v>767</v>
      </c>
      <c r="H172" s="415">
        <v>1100.0</v>
      </c>
      <c r="I172" s="416" t="b">
        <v>0</v>
      </c>
      <c r="J172" s="413" t="s">
        <v>920</v>
      </c>
      <c r="K172" s="415">
        <v>0.0</v>
      </c>
      <c r="L172" s="415">
        <v>1100.0</v>
      </c>
      <c r="M172" s="413" t="s">
        <v>706</v>
      </c>
      <c r="N172" s="413" t="s">
        <v>921</v>
      </c>
    </row>
    <row r="173">
      <c r="A173" s="409">
        <v>45568.0</v>
      </c>
      <c r="B173" s="102">
        <v>2024.0</v>
      </c>
      <c r="C173" s="410" t="s">
        <v>916</v>
      </c>
      <c r="D173" s="102" t="s">
        <v>702</v>
      </c>
      <c r="E173" s="102" t="s">
        <v>465</v>
      </c>
      <c r="F173" s="102" t="s">
        <v>711</v>
      </c>
      <c r="G173" s="102" t="s">
        <v>737</v>
      </c>
      <c r="H173" s="360">
        <v>200.0</v>
      </c>
      <c r="I173" s="411" t="b">
        <v>0</v>
      </c>
      <c r="J173" s="102" t="s">
        <v>922</v>
      </c>
      <c r="K173" s="360">
        <v>27.586206896551715</v>
      </c>
      <c r="L173" s="360">
        <v>172.41379310344828</v>
      </c>
      <c r="M173" s="102" t="s">
        <v>706</v>
      </c>
      <c r="N173" s="102" t="s">
        <v>923</v>
      </c>
    </row>
    <row r="174">
      <c r="A174" s="412">
        <v>45568.0</v>
      </c>
      <c r="B174" s="413">
        <v>2024.0</v>
      </c>
      <c r="C174" s="414" t="s">
        <v>916</v>
      </c>
      <c r="D174" s="413" t="s">
        <v>702</v>
      </c>
      <c r="E174" s="413" t="s">
        <v>465</v>
      </c>
      <c r="F174" s="413" t="s">
        <v>711</v>
      </c>
      <c r="G174" s="413" t="s">
        <v>767</v>
      </c>
      <c r="H174" s="415">
        <v>950.0</v>
      </c>
      <c r="I174" s="416" t="b">
        <v>0</v>
      </c>
      <c r="J174" s="413" t="s">
        <v>924</v>
      </c>
      <c r="K174" s="415">
        <v>131.03448275862058</v>
      </c>
      <c r="L174" s="415">
        <v>818.9655172413794</v>
      </c>
      <c r="M174" s="413" t="s">
        <v>706</v>
      </c>
      <c r="N174" s="413" t="s">
        <v>923</v>
      </c>
    </row>
    <row r="175">
      <c r="A175" s="409">
        <v>45568.0</v>
      </c>
      <c r="B175" s="102">
        <v>2024.0</v>
      </c>
      <c r="C175" s="410" t="s">
        <v>916</v>
      </c>
      <c r="D175" s="102" t="s">
        <v>723</v>
      </c>
      <c r="E175" s="102" t="s">
        <v>137</v>
      </c>
      <c r="F175" s="102" t="s">
        <v>711</v>
      </c>
      <c r="G175" s="102" t="s">
        <v>767</v>
      </c>
      <c r="H175" s="360">
        <v>800.0</v>
      </c>
      <c r="I175" s="411" t="b">
        <v>0</v>
      </c>
      <c r="J175" s="102" t="s">
        <v>924</v>
      </c>
      <c r="K175" s="360">
        <v>0.0</v>
      </c>
      <c r="L175" s="360">
        <v>800.0</v>
      </c>
      <c r="M175" s="102" t="s">
        <v>706</v>
      </c>
      <c r="N175" s="102" t="s">
        <v>923</v>
      </c>
    </row>
    <row r="176">
      <c r="A176" s="412">
        <v>45568.0</v>
      </c>
      <c r="B176" s="413">
        <v>2024.0</v>
      </c>
      <c r="C176" s="414" t="s">
        <v>916</v>
      </c>
      <c r="D176" s="413" t="s">
        <v>702</v>
      </c>
      <c r="E176" s="413" t="s">
        <v>465</v>
      </c>
      <c r="F176" s="413" t="s">
        <v>711</v>
      </c>
      <c r="G176" s="413" t="s">
        <v>767</v>
      </c>
      <c r="H176" s="415">
        <v>950.0</v>
      </c>
      <c r="I176" s="416" t="b">
        <v>0</v>
      </c>
      <c r="J176" s="414" t="s">
        <v>925</v>
      </c>
      <c r="K176" s="415">
        <v>131.03448275862058</v>
      </c>
      <c r="L176" s="415">
        <v>818.9655172413794</v>
      </c>
      <c r="M176" s="413" t="s">
        <v>706</v>
      </c>
      <c r="N176" s="413" t="s">
        <v>926</v>
      </c>
    </row>
    <row r="177">
      <c r="A177" s="409">
        <v>45568.0</v>
      </c>
      <c r="B177" s="102">
        <v>2024.0</v>
      </c>
      <c r="C177" s="410" t="s">
        <v>916</v>
      </c>
      <c r="D177" s="102" t="s">
        <v>702</v>
      </c>
      <c r="E177" s="102" t="s">
        <v>465</v>
      </c>
      <c r="F177" s="102" t="s">
        <v>703</v>
      </c>
      <c r="G177" s="102" t="s">
        <v>927</v>
      </c>
      <c r="H177" s="360">
        <v>200.0</v>
      </c>
      <c r="I177" s="411" t="b">
        <v>0</v>
      </c>
      <c r="J177" s="102" t="s">
        <v>928</v>
      </c>
      <c r="K177" s="360">
        <v>0.0</v>
      </c>
      <c r="L177" s="360">
        <v>200.0</v>
      </c>
      <c r="M177" s="102" t="s">
        <v>706</v>
      </c>
      <c r="N177" s="102" t="s">
        <v>926</v>
      </c>
    </row>
    <row r="178">
      <c r="A178" s="412">
        <v>45568.0</v>
      </c>
      <c r="B178" s="413">
        <v>2024.0</v>
      </c>
      <c r="C178" s="414" t="s">
        <v>916</v>
      </c>
      <c r="D178" s="413" t="s">
        <v>702</v>
      </c>
      <c r="E178" s="413" t="s">
        <v>465</v>
      </c>
      <c r="F178" s="413" t="s">
        <v>711</v>
      </c>
      <c r="G178" s="413" t="s">
        <v>730</v>
      </c>
      <c r="H178" s="415">
        <v>20.0</v>
      </c>
      <c r="I178" s="416" t="b">
        <v>0</v>
      </c>
      <c r="J178" s="413" t="s">
        <v>472</v>
      </c>
      <c r="K178" s="415">
        <v>2.758620689655171</v>
      </c>
      <c r="L178" s="415">
        <v>17.24137931034483</v>
      </c>
      <c r="M178" s="413" t="s">
        <v>706</v>
      </c>
      <c r="N178" s="413" t="s">
        <v>926</v>
      </c>
    </row>
    <row r="179">
      <c r="A179" s="409">
        <v>45568.0</v>
      </c>
      <c r="B179" s="102">
        <v>2024.0</v>
      </c>
      <c r="C179" s="410" t="s">
        <v>916</v>
      </c>
      <c r="D179" s="102" t="s">
        <v>702</v>
      </c>
      <c r="E179" s="102" t="s">
        <v>465</v>
      </c>
      <c r="F179" s="102" t="s">
        <v>711</v>
      </c>
      <c r="G179" s="102" t="s">
        <v>767</v>
      </c>
      <c r="H179" s="360">
        <v>1900.0</v>
      </c>
      <c r="I179" s="411" t="b">
        <v>0</v>
      </c>
      <c r="J179" s="102" t="s">
        <v>3</v>
      </c>
      <c r="K179" s="360">
        <v>262.06896551724117</v>
      </c>
      <c r="L179" s="360">
        <v>1637.9310344827588</v>
      </c>
      <c r="M179" s="102" t="s">
        <v>706</v>
      </c>
      <c r="N179" s="102" t="s">
        <v>926</v>
      </c>
    </row>
    <row r="180">
      <c r="A180" s="412">
        <v>45568.0</v>
      </c>
      <c r="B180" s="413">
        <v>2024.0</v>
      </c>
      <c r="C180" s="414" t="s">
        <v>916</v>
      </c>
      <c r="D180" s="413" t="s">
        <v>702</v>
      </c>
      <c r="E180" s="413" t="s">
        <v>465</v>
      </c>
      <c r="F180" s="413" t="s">
        <v>711</v>
      </c>
      <c r="G180" s="413" t="s">
        <v>734</v>
      </c>
      <c r="H180" s="415">
        <v>120.0</v>
      </c>
      <c r="I180" s="416" t="b">
        <v>0</v>
      </c>
      <c r="J180" s="414" t="s">
        <v>929</v>
      </c>
      <c r="K180" s="415">
        <v>16.551724137931032</v>
      </c>
      <c r="L180" s="415">
        <v>103.44827586206897</v>
      </c>
      <c r="M180" s="413" t="s">
        <v>706</v>
      </c>
      <c r="N180" s="413" t="s">
        <v>926</v>
      </c>
    </row>
    <row r="181">
      <c r="A181" s="409">
        <v>45568.0</v>
      </c>
      <c r="B181" s="102">
        <v>2024.0</v>
      </c>
      <c r="C181" s="410" t="s">
        <v>916</v>
      </c>
      <c r="D181" s="102" t="s">
        <v>723</v>
      </c>
      <c r="E181" s="102" t="s">
        <v>137</v>
      </c>
      <c r="F181" s="102" t="s">
        <v>711</v>
      </c>
      <c r="G181" s="102" t="s">
        <v>767</v>
      </c>
      <c r="H181" s="360">
        <v>800.0</v>
      </c>
      <c r="I181" s="411" t="b">
        <v>0</v>
      </c>
      <c r="J181" s="102" t="s">
        <v>924</v>
      </c>
      <c r="K181" s="360">
        <v>0.0</v>
      </c>
      <c r="L181" s="360">
        <v>800.0</v>
      </c>
      <c r="M181" s="102" t="s">
        <v>706</v>
      </c>
      <c r="N181" s="102" t="s">
        <v>926</v>
      </c>
    </row>
    <row r="182">
      <c r="A182" s="412">
        <v>45568.0</v>
      </c>
      <c r="B182" s="413">
        <v>2024.0</v>
      </c>
      <c r="C182" s="414" t="s">
        <v>916</v>
      </c>
      <c r="D182" s="413" t="s">
        <v>723</v>
      </c>
      <c r="E182" s="413" t="s">
        <v>137</v>
      </c>
      <c r="F182" s="413" t="s">
        <v>703</v>
      </c>
      <c r="G182" s="413" t="s">
        <v>715</v>
      </c>
      <c r="H182" s="415">
        <v>28.0</v>
      </c>
      <c r="I182" s="416" t="b">
        <v>0</v>
      </c>
      <c r="J182" s="413" t="s">
        <v>472</v>
      </c>
      <c r="K182" s="415">
        <v>0.0</v>
      </c>
      <c r="L182" s="415">
        <v>28.0</v>
      </c>
      <c r="M182" s="413" t="s">
        <v>706</v>
      </c>
      <c r="N182" s="413" t="s">
        <v>930</v>
      </c>
    </row>
    <row r="183">
      <c r="A183" s="409">
        <v>45568.0</v>
      </c>
      <c r="B183" s="102">
        <v>2024.0</v>
      </c>
      <c r="C183" s="410" t="s">
        <v>916</v>
      </c>
      <c r="D183" s="102" t="s">
        <v>723</v>
      </c>
      <c r="E183" s="102" t="s">
        <v>137</v>
      </c>
      <c r="F183" s="102" t="s">
        <v>703</v>
      </c>
      <c r="G183" s="102" t="s">
        <v>724</v>
      </c>
      <c r="H183" s="360">
        <v>3418.0</v>
      </c>
      <c r="I183" s="411" t="b">
        <v>1</v>
      </c>
      <c r="J183" s="102" t="s">
        <v>472</v>
      </c>
      <c r="K183" s="360">
        <v>0.0</v>
      </c>
      <c r="L183" s="360">
        <v>0.0</v>
      </c>
      <c r="M183" s="102" t="s">
        <v>706</v>
      </c>
      <c r="N183" s="102" t="s">
        <v>931</v>
      </c>
    </row>
    <row r="184">
      <c r="A184" s="412">
        <v>45568.0</v>
      </c>
      <c r="B184" s="413">
        <v>2024.0</v>
      </c>
      <c r="C184" s="414" t="s">
        <v>916</v>
      </c>
      <c r="D184" s="413" t="s">
        <v>710</v>
      </c>
      <c r="E184" s="413" t="s">
        <v>137</v>
      </c>
      <c r="F184" s="413" t="s">
        <v>711</v>
      </c>
      <c r="G184" s="413" t="s">
        <v>724</v>
      </c>
      <c r="H184" s="415">
        <v>3418.0</v>
      </c>
      <c r="I184" s="416" t="b">
        <v>1</v>
      </c>
      <c r="J184" s="413" t="s">
        <v>472</v>
      </c>
      <c r="K184" s="415">
        <v>0.0</v>
      </c>
      <c r="L184" s="415">
        <v>0.0</v>
      </c>
      <c r="M184" s="413" t="s">
        <v>706</v>
      </c>
      <c r="N184" s="413" t="s">
        <v>931</v>
      </c>
    </row>
    <row r="185">
      <c r="A185" s="409">
        <v>45569.0</v>
      </c>
      <c r="B185" s="102">
        <v>2024.0</v>
      </c>
      <c r="C185" s="410" t="s">
        <v>916</v>
      </c>
      <c r="D185" s="102" t="s">
        <v>723</v>
      </c>
      <c r="E185" s="102" t="s">
        <v>137</v>
      </c>
      <c r="F185" s="102" t="s">
        <v>711</v>
      </c>
      <c r="G185" s="102" t="s">
        <v>767</v>
      </c>
      <c r="H185" s="360">
        <v>950.0</v>
      </c>
      <c r="I185" s="411" t="b">
        <v>0</v>
      </c>
      <c r="J185" s="102" t="s">
        <v>924</v>
      </c>
      <c r="K185" s="360">
        <v>0.0</v>
      </c>
      <c r="L185" s="360">
        <v>950.0</v>
      </c>
      <c r="M185" s="102" t="s">
        <v>706</v>
      </c>
      <c r="N185" s="102" t="s">
        <v>932</v>
      </c>
    </row>
    <row r="186">
      <c r="A186" s="412">
        <v>45569.0</v>
      </c>
      <c r="B186" s="413">
        <v>2024.0</v>
      </c>
      <c r="C186" s="414" t="s">
        <v>916</v>
      </c>
      <c r="D186" s="413" t="s">
        <v>723</v>
      </c>
      <c r="E186" s="413" t="s">
        <v>137</v>
      </c>
      <c r="F186" s="413" t="s">
        <v>703</v>
      </c>
      <c r="G186" s="413" t="s">
        <v>933</v>
      </c>
      <c r="H186" s="415">
        <v>250.0</v>
      </c>
      <c r="I186" s="416" t="b">
        <v>0</v>
      </c>
      <c r="J186" s="413" t="s">
        <v>472</v>
      </c>
      <c r="K186" s="415">
        <v>0.0</v>
      </c>
      <c r="L186" s="415">
        <v>250.0</v>
      </c>
      <c r="M186" s="413" t="s">
        <v>706</v>
      </c>
      <c r="N186" s="413" t="s">
        <v>932</v>
      </c>
    </row>
    <row r="187">
      <c r="A187" s="409">
        <v>45569.0</v>
      </c>
      <c r="B187" s="102">
        <v>2024.0</v>
      </c>
      <c r="C187" s="410" t="s">
        <v>916</v>
      </c>
      <c r="D187" s="102" t="s">
        <v>702</v>
      </c>
      <c r="E187" s="102" t="s">
        <v>465</v>
      </c>
      <c r="F187" s="102" t="s">
        <v>711</v>
      </c>
      <c r="G187" s="102" t="s">
        <v>734</v>
      </c>
      <c r="H187" s="360">
        <v>120.0</v>
      </c>
      <c r="I187" s="411" t="b">
        <v>0</v>
      </c>
      <c r="J187" s="102" t="s">
        <v>934</v>
      </c>
      <c r="K187" s="360">
        <v>16.551724137931032</v>
      </c>
      <c r="L187" s="360">
        <v>103.44827586206897</v>
      </c>
      <c r="M187" s="102" t="s">
        <v>706</v>
      </c>
      <c r="N187" s="102" t="s">
        <v>935</v>
      </c>
    </row>
    <row r="188">
      <c r="A188" s="412">
        <v>45569.0</v>
      </c>
      <c r="B188" s="413">
        <v>2024.0</v>
      </c>
      <c r="C188" s="414" t="s">
        <v>916</v>
      </c>
      <c r="D188" s="413" t="s">
        <v>723</v>
      </c>
      <c r="E188" s="413" t="s">
        <v>137</v>
      </c>
      <c r="F188" s="413" t="s">
        <v>711</v>
      </c>
      <c r="G188" s="413" t="s">
        <v>734</v>
      </c>
      <c r="H188" s="415">
        <v>150.0</v>
      </c>
      <c r="I188" s="416" t="b">
        <v>0</v>
      </c>
      <c r="J188" s="413" t="s">
        <v>936</v>
      </c>
      <c r="K188" s="415">
        <v>0.0</v>
      </c>
      <c r="L188" s="415">
        <v>150.0</v>
      </c>
      <c r="M188" s="413" t="s">
        <v>706</v>
      </c>
      <c r="N188" s="413" t="s">
        <v>935</v>
      </c>
    </row>
    <row r="189">
      <c r="A189" s="409">
        <v>45569.0</v>
      </c>
      <c r="B189" s="102">
        <v>2024.0</v>
      </c>
      <c r="C189" s="410" t="s">
        <v>916</v>
      </c>
      <c r="D189" s="102" t="s">
        <v>702</v>
      </c>
      <c r="E189" s="102" t="s">
        <v>465</v>
      </c>
      <c r="F189" s="102" t="s">
        <v>711</v>
      </c>
      <c r="G189" s="102" t="s">
        <v>734</v>
      </c>
      <c r="H189" s="360">
        <v>80.0</v>
      </c>
      <c r="I189" s="411" t="b">
        <v>0</v>
      </c>
      <c r="J189" s="102" t="s">
        <v>937</v>
      </c>
      <c r="K189" s="360">
        <v>11.034482758620683</v>
      </c>
      <c r="L189" s="360">
        <v>68.96551724137932</v>
      </c>
      <c r="M189" s="102" t="s">
        <v>706</v>
      </c>
      <c r="N189" s="102" t="s">
        <v>935</v>
      </c>
    </row>
    <row r="190">
      <c r="A190" s="412">
        <v>45569.0</v>
      </c>
      <c r="B190" s="413">
        <v>2024.0</v>
      </c>
      <c r="C190" s="414" t="s">
        <v>916</v>
      </c>
      <c r="D190" s="413" t="s">
        <v>723</v>
      </c>
      <c r="E190" s="413" t="s">
        <v>137</v>
      </c>
      <c r="F190" s="413" t="s">
        <v>711</v>
      </c>
      <c r="G190" s="413" t="s">
        <v>767</v>
      </c>
      <c r="H190" s="415">
        <v>1100.0</v>
      </c>
      <c r="I190" s="416" t="b">
        <v>0</v>
      </c>
      <c r="J190" s="413" t="s">
        <v>924</v>
      </c>
      <c r="K190" s="415">
        <v>0.0</v>
      </c>
      <c r="L190" s="415">
        <v>1100.0</v>
      </c>
      <c r="M190" s="413" t="s">
        <v>706</v>
      </c>
      <c r="N190" s="413" t="s">
        <v>938</v>
      </c>
    </row>
    <row r="191">
      <c r="A191" s="409">
        <v>45569.0</v>
      </c>
      <c r="B191" s="102">
        <v>2024.0</v>
      </c>
      <c r="C191" s="410" t="s">
        <v>916</v>
      </c>
      <c r="D191" s="102" t="s">
        <v>723</v>
      </c>
      <c r="E191" s="102" t="s">
        <v>137</v>
      </c>
      <c r="F191" s="102" t="s">
        <v>711</v>
      </c>
      <c r="G191" s="102" t="s">
        <v>737</v>
      </c>
      <c r="H191" s="360">
        <v>250.0</v>
      </c>
      <c r="I191" s="411" t="b">
        <v>0</v>
      </c>
      <c r="J191" s="410" t="s">
        <v>939</v>
      </c>
      <c r="K191" s="360">
        <v>0.0</v>
      </c>
      <c r="L191" s="360">
        <v>250.0</v>
      </c>
      <c r="M191" s="102" t="s">
        <v>706</v>
      </c>
      <c r="N191" s="102" t="s">
        <v>938</v>
      </c>
    </row>
    <row r="192">
      <c r="A192" s="412">
        <v>45569.0</v>
      </c>
      <c r="B192" s="413">
        <v>2024.0</v>
      </c>
      <c r="C192" s="414" t="s">
        <v>916</v>
      </c>
      <c r="D192" s="413" t="s">
        <v>723</v>
      </c>
      <c r="E192" s="413" t="s">
        <v>137</v>
      </c>
      <c r="F192" s="413" t="s">
        <v>711</v>
      </c>
      <c r="G192" s="413" t="s">
        <v>767</v>
      </c>
      <c r="H192" s="415">
        <v>1100.0</v>
      </c>
      <c r="I192" s="416" t="b">
        <v>0</v>
      </c>
      <c r="J192" s="413" t="s">
        <v>924</v>
      </c>
      <c r="K192" s="415">
        <v>0.0</v>
      </c>
      <c r="L192" s="415">
        <v>1100.0</v>
      </c>
      <c r="M192" s="413" t="s">
        <v>706</v>
      </c>
      <c r="N192" s="413" t="s">
        <v>938</v>
      </c>
    </row>
    <row r="193">
      <c r="A193" s="409">
        <v>45569.0</v>
      </c>
      <c r="B193" s="102">
        <v>2024.0</v>
      </c>
      <c r="C193" s="410" t="s">
        <v>916</v>
      </c>
      <c r="D193" s="102" t="s">
        <v>702</v>
      </c>
      <c r="E193" s="102" t="s">
        <v>465</v>
      </c>
      <c r="F193" s="102" t="s">
        <v>711</v>
      </c>
      <c r="G193" s="102" t="s">
        <v>767</v>
      </c>
      <c r="H193" s="360">
        <v>950.0</v>
      </c>
      <c r="I193" s="411" t="b">
        <v>0</v>
      </c>
      <c r="J193" s="102" t="s">
        <v>924</v>
      </c>
      <c r="K193" s="360">
        <v>131.03448275862058</v>
      </c>
      <c r="L193" s="360">
        <v>818.9655172413794</v>
      </c>
      <c r="M193" s="102" t="s">
        <v>706</v>
      </c>
      <c r="N193" s="102" t="s">
        <v>940</v>
      </c>
    </row>
    <row r="194">
      <c r="A194" s="412">
        <v>45569.0</v>
      </c>
      <c r="B194" s="413">
        <v>2024.0</v>
      </c>
      <c r="C194" s="414" t="s">
        <v>916</v>
      </c>
      <c r="D194" s="413" t="s">
        <v>702</v>
      </c>
      <c r="E194" s="413" t="s">
        <v>465</v>
      </c>
      <c r="F194" s="413" t="s">
        <v>711</v>
      </c>
      <c r="G194" s="413" t="s">
        <v>730</v>
      </c>
      <c r="H194" s="415">
        <v>6.0</v>
      </c>
      <c r="I194" s="416" t="b">
        <v>0</v>
      </c>
      <c r="J194" s="413" t="s">
        <v>472</v>
      </c>
      <c r="K194" s="415">
        <v>0.8275862068965516</v>
      </c>
      <c r="L194" s="415">
        <v>5.172413793103448</v>
      </c>
      <c r="M194" s="413" t="s">
        <v>706</v>
      </c>
      <c r="N194" s="413" t="s">
        <v>941</v>
      </c>
    </row>
    <row r="195">
      <c r="A195" s="409">
        <v>45570.0</v>
      </c>
      <c r="B195" s="102">
        <v>2024.0</v>
      </c>
      <c r="C195" s="410" t="s">
        <v>916</v>
      </c>
      <c r="D195" s="102" t="s">
        <v>723</v>
      </c>
      <c r="E195" s="102" t="s">
        <v>137</v>
      </c>
      <c r="F195" s="102" t="s">
        <v>711</v>
      </c>
      <c r="G195" s="102" t="s">
        <v>767</v>
      </c>
      <c r="H195" s="360">
        <v>150.0</v>
      </c>
      <c r="I195" s="411" t="b">
        <v>0</v>
      </c>
      <c r="J195" s="102" t="s">
        <v>942</v>
      </c>
      <c r="K195" s="360">
        <v>0.0</v>
      </c>
      <c r="L195" s="360">
        <v>150.0</v>
      </c>
      <c r="M195" s="102" t="s">
        <v>706</v>
      </c>
      <c r="N195" s="102" t="s">
        <v>943</v>
      </c>
    </row>
    <row r="196">
      <c r="A196" s="412">
        <v>45570.0</v>
      </c>
      <c r="B196" s="413">
        <v>2024.0</v>
      </c>
      <c r="C196" s="414" t="s">
        <v>916</v>
      </c>
      <c r="D196" s="413" t="s">
        <v>702</v>
      </c>
      <c r="E196" s="413" t="s">
        <v>465</v>
      </c>
      <c r="F196" s="413" t="s">
        <v>711</v>
      </c>
      <c r="G196" s="413" t="s">
        <v>715</v>
      </c>
      <c r="H196" s="415">
        <v>500.0</v>
      </c>
      <c r="I196" s="416" t="b">
        <v>0</v>
      </c>
      <c r="J196" s="413" t="s">
        <v>924</v>
      </c>
      <c r="K196" s="415">
        <v>68.9655172413793</v>
      </c>
      <c r="L196" s="415">
        <v>431.0344827586207</v>
      </c>
      <c r="M196" s="413" t="s">
        <v>706</v>
      </c>
      <c r="N196" s="413" t="s">
        <v>943</v>
      </c>
    </row>
    <row r="197">
      <c r="A197" s="409">
        <v>45570.0</v>
      </c>
      <c r="B197" s="102">
        <v>2024.0</v>
      </c>
      <c r="C197" s="410" t="s">
        <v>916</v>
      </c>
      <c r="D197" s="102" t="s">
        <v>702</v>
      </c>
      <c r="E197" s="102" t="s">
        <v>465</v>
      </c>
      <c r="F197" s="102" t="s">
        <v>711</v>
      </c>
      <c r="G197" s="102" t="s">
        <v>715</v>
      </c>
      <c r="H197" s="360">
        <v>500.0</v>
      </c>
      <c r="I197" s="411" t="b">
        <v>0</v>
      </c>
      <c r="J197" s="102" t="s">
        <v>924</v>
      </c>
      <c r="K197" s="360">
        <v>68.9655172413793</v>
      </c>
      <c r="L197" s="360">
        <v>431.0344827586207</v>
      </c>
      <c r="M197" s="102" t="s">
        <v>706</v>
      </c>
      <c r="N197" s="102" t="s">
        <v>943</v>
      </c>
    </row>
    <row r="198">
      <c r="A198" s="412">
        <v>45570.0</v>
      </c>
      <c r="B198" s="413">
        <v>2024.0</v>
      </c>
      <c r="C198" s="414" t="s">
        <v>916</v>
      </c>
      <c r="D198" s="413" t="s">
        <v>702</v>
      </c>
      <c r="E198" s="413" t="s">
        <v>465</v>
      </c>
      <c r="F198" s="413" t="s">
        <v>711</v>
      </c>
      <c r="G198" s="413" t="s">
        <v>715</v>
      </c>
      <c r="H198" s="415">
        <v>500.0</v>
      </c>
      <c r="I198" s="416" t="b">
        <v>0</v>
      </c>
      <c r="J198" s="413" t="s">
        <v>924</v>
      </c>
      <c r="K198" s="415">
        <v>68.9655172413793</v>
      </c>
      <c r="L198" s="415">
        <v>431.0344827586207</v>
      </c>
      <c r="M198" s="413" t="s">
        <v>706</v>
      </c>
      <c r="N198" s="413" t="s">
        <v>943</v>
      </c>
    </row>
    <row r="199">
      <c r="A199" s="409">
        <v>45571.0</v>
      </c>
      <c r="B199" s="102">
        <v>2024.0</v>
      </c>
      <c r="C199" s="410" t="s">
        <v>916</v>
      </c>
      <c r="D199" s="102" t="s">
        <v>702</v>
      </c>
      <c r="E199" s="102" t="s">
        <v>465</v>
      </c>
      <c r="F199" s="102" t="s">
        <v>703</v>
      </c>
      <c r="G199" s="102" t="s">
        <v>715</v>
      </c>
      <c r="H199" s="360">
        <v>212.0</v>
      </c>
      <c r="I199" s="411" t="b">
        <v>0</v>
      </c>
      <c r="J199" s="102" t="s">
        <v>472</v>
      </c>
      <c r="K199" s="360">
        <v>0.0</v>
      </c>
      <c r="L199" s="360">
        <v>212.0</v>
      </c>
      <c r="M199" s="102" t="s">
        <v>706</v>
      </c>
      <c r="N199" s="102" t="s">
        <v>944</v>
      </c>
    </row>
    <row r="200">
      <c r="A200" s="412">
        <v>45571.0</v>
      </c>
      <c r="B200" s="413">
        <v>2024.0</v>
      </c>
      <c r="C200" s="414" t="s">
        <v>916</v>
      </c>
      <c r="D200" s="413" t="s">
        <v>710</v>
      </c>
      <c r="E200" s="413" t="s">
        <v>137</v>
      </c>
      <c r="F200" s="413" t="s">
        <v>711</v>
      </c>
      <c r="G200" s="413" t="s">
        <v>724</v>
      </c>
      <c r="H200" s="415">
        <v>4630.0</v>
      </c>
      <c r="I200" s="416" t="b">
        <v>1</v>
      </c>
      <c r="J200" s="413" t="s">
        <v>472</v>
      </c>
      <c r="K200" s="415">
        <v>0.0</v>
      </c>
      <c r="L200" s="415">
        <v>0.0</v>
      </c>
      <c r="M200" s="413" t="s">
        <v>706</v>
      </c>
      <c r="N200" s="413" t="s">
        <v>944</v>
      </c>
    </row>
    <row r="201">
      <c r="A201" s="409">
        <v>45571.0</v>
      </c>
      <c r="B201" s="102">
        <v>2024.0</v>
      </c>
      <c r="C201" s="410" t="s">
        <v>916</v>
      </c>
      <c r="D201" s="102" t="s">
        <v>723</v>
      </c>
      <c r="E201" s="102" t="s">
        <v>137</v>
      </c>
      <c r="F201" s="102" t="s">
        <v>703</v>
      </c>
      <c r="G201" s="102" t="s">
        <v>724</v>
      </c>
      <c r="H201" s="360">
        <v>4630.0</v>
      </c>
      <c r="I201" s="411" t="b">
        <v>1</v>
      </c>
      <c r="J201" s="102" t="s">
        <v>472</v>
      </c>
      <c r="K201" s="360">
        <v>0.0</v>
      </c>
      <c r="L201" s="360">
        <v>0.0</v>
      </c>
      <c r="M201" s="102" t="s">
        <v>706</v>
      </c>
      <c r="N201" s="102" t="s">
        <v>944</v>
      </c>
    </row>
    <row r="202">
      <c r="A202" s="412">
        <v>45571.0</v>
      </c>
      <c r="B202" s="413">
        <v>2024.0</v>
      </c>
      <c r="C202" s="414" t="s">
        <v>916</v>
      </c>
      <c r="D202" s="413" t="s">
        <v>710</v>
      </c>
      <c r="E202" s="413" t="s">
        <v>137</v>
      </c>
      <c r="F202" s="413" t="s">
        <v>703</v>
      </c>
      <c r="G202" s="413" t="s">
        <v>715</v>
      </c>
      <c r="H202" s="415">
        <v>35.0</v>
      </c>
      <c r="I202" s="416" t="b">
        <v>0</v>
      </c>
      <c r="J202" s="413" t="s">
        <v>472</v>
      </c>
      <c r="K202" s="415">
        <v>0.0</v>
      </c>
      <c r="L202" s="415">
        <v>35.0</v>
      </c>
      <c r="M202" s="413" t="s">
        <v>706</v>
      </c>
      <c r="N202" s="413" t="s">
        <v>944</v>
      </c>
    </row>
    <row r="203">
      <c r="A203" s="409">
        <v>45571.0</v>
      </c>
      <c r="B203" s="102">
        <v>2024.0</v>
      </c>
      <c r="C203" s="410" t="s">
        <v>916</v>
      </c>
      <c r="D203" s="102" t="s">
        <v>710</v>
      </c>
      <c r="E203" s="102" t="s">
        <v>137</v>
      </c>
      <c r="F203" s="102" t="s">
        <v>703</v>
      </c>
      <c r="G203" s="102" t="s">
        <v>732</v>
      </c>
      <c r="H203" s="360">
        <v>400.0</v>
      </c>
      <c r="I203" s="411" t="b">
        <v>0</v>
      </c>
      <c r="J203" s="102" t="s">
        <v>945</v>
      </c>
      <c r="K203" s="360">
        <v>0.0</v>
      </c>
      <c r="L203" s="360">
        <v>400.0</v>
      </c>
      <c r="M203" s="102" t="s">
        <v>706</v>
      </c>
      <c r="N203" s="102" t="s">
        <v>944</v>
      </c>
    </row>
    <row r="204">
      <c r="A204" s="412">
        <v>45571.0</v>
      </c>
      <c r="B204" s="413">
        <v>2024.0</v>
      </c>
      <c r="C204" s="414" t="s">
        <v>916</v>
      </c>
      <c r="D204" s="413" t="s">
        <v>710</v>
      </c>
      <c r="E204" s="413" t="s">
        <v>137</v>
      </c>
      <c r="F204" s="413" t="s">
        <v>703</v>
      </c>
      <c r="G204" s="413" t="s">
        <v>724</v>
      </c>
      <c r="H204" s="415">
        <v>940.0</v>
      </c>
      <c r="I204" s="416" t="b">
        <v>1</v>
      </c>
      <c r="J204" s="413" t="s">
        <v>472</v>
      </c>
      <c r="K204" s="415">
        <v>0.0</v>
      </c>
      <c r="L204" s="415">
        <v>0.0</v>
      </c>
      <c r="M204" s="413" t="s">
        <v>706</v>
      </c>
      <c r="N204" s="413" t="s">
        <v>946</v>
      </c>
    </row>
    <row r="205">
      <c r="A205" s="409">
        <v>45571.0</v>
      </c>
      <c r="B205" s="102">
        <v>2024.0</v>
      </c>
      <c r="C205" s="410" t="s">
        <v>916</v>
      </c>
      <c r="D205" s="102" t="s">
        <v>723</v>
      </c>
      <c r="E205" s="102" t="s">
        <v>137</v>
      </c>
      <c r="F205" s="102" t="s">
        <v>711</v>
      </c>
      <c r="G205" s="102" t="s">
        <v>724</v>
      </c>
      <c r="H205" s="360">
        <v>940.0</v>
      </c>
      <c r="I205" s="411" t="b">
        <v>1</v>
      </c>
      <c r="J205" s="102" t="s">
        <v>472</v>
      </c>
      <c r="K205" s="360">
        <v>0.0</v>
      </c>
      <c r="L205" s="360">
        <v>0.0</v>
      </c>
      <c r="M205" s="102" t="s">
        <v>706</v>
      </c>
      <c r="N205" s="102" t="s">
        <v>946</v>
      </c>
    </row>
    <row r="206">
      <c r="A206" s="412">
        <v>45573.0</v>
      </c>
      <c r="B206" s="413">
        <v>2024.0</v>
      </c>
      <c r="C206" s="414" t="s">
        <v>916</v>
      </c>
      <c r="D206" s="413" t="s">
        <v>723</v>
      </c>
      <c r="E206" s="413" t="s">
        <v>137</v>
      </c>
      <c r="F206" s="413" t="s">
        <v>711</v>
      </c>
      <c r="G206" s="413" t="s">
        <v>767</v>
      </c>
      <c r="H206" s="415">
        <v>950.0</v>
      </c>
      <c r="I206" s="416" t="b">
        <v>0</v>
      </c>
      <c r="J206" s="413" t="s">
        <v>924</v>
      </c>
      <c r="K206" s="415">
        <v>0.0</v>
      </c>
      <c r="L206" s="415">
        <v>950.0</v>
      </c>
      <c r="M206" s="413" t="s">
        <v>706</v>
      </c>
      <c r="N206" s="413" t="s">
        <v>947</v>
      </c>
    </row>
    <row r="207">
      <c r="A207" s="409">
        <v>45573.0</v>
      </c>
      <c r="B207" s="102">
        <v>2024.0</v>
      </c>
      <c r="C207" s="410" t="s">
        <v>916</v>
      </c>
      <c r="D207" s="102" t="s">
        <v>723</v>
      </c>
      <c r="E207" s="102" t="s">
        <v>137</v>
      </c>
      <c r="F207" s="102" t="s">
        <v>703</v>
      </c>
      <c r="G207" s="102" t="s">
        <v>715</v>
      </c>
      <c r="H207" s="360">
        <v>17.0</v>
      </c>
      <c r="I207" s="411" t="b">
        <v>0</v>
      </c>
      <c r="J207" s="102" t="s">
        <v>472</v>
      </c>
      <c r="K207" s="360">
        <v>0.0</v>
      </c>
      <c r="L207" s="360">
        <v>17.0</v>
      </c>
      <c r="M207" s="102" t="s">
        <v>706</v>
      </c>
      <c r="N207" s="102" t="s">
        <v>947</v>
      </c>
    </row>
    <row r="208">
      <c r="A208" s="412">
        <v>45573.0</v>
      </c>
      <c r="B208" s="413">
        <v>2024.0</v>
      </c>
      <c r="C208" s="414" t="s">
        <v>916</v>
      </c>
      <c r="D208" s="413" t="s">
        <v>723</v>
      </c>
      <c r="E208" s="413" t="s">
        <v>137</v>
      </c>
      <c r="F208" s="413" t="s">
        <v>711</v>
      </c>
      <c r="G208" s="413" t="s">
        <v>715</v>
      </c>
      <c r="H208" s="415">
        <v>15.0</v>
      </c>
      <c r="I208" s="416" t="b">
        <v>0</v>
      </c>
      <c r="J208" s="413" t="s">
        <v>472</v>
      </c>
      <c r="K208" s="415">
        <v>0.0</v>
      </c>
      <c r="L208" s="415">
        <v>15.0</v>
      </c>
      <c r="M208" s="413" t="s">
        <v>706</v>
      </c>
      <c r="N208" s="413" t="s">
        <v>947</v>
      </c>
    </row>
    <row r="209">
      <c r="A209" s="409">
        <v>45573.0</v>
      </c>
      <c r="B209" s="102">
        <v>2024.0</v>
      </c>
      <c r="C209" s="410" t="s">
        <v>916</v>
      </c>
      <c r="D209" s="102" t="s">
        <v>710</v>
      </c>
      <c r="E209" s="102" t="s">
        <v>137</v>
      </c>
      <c r="F209" s="102" t="s">
        <v>703</v>
      </c>
      <c r="G209" s="102" t="s">
        <v>715</v>
      </c>
      <c r="H209" s="360">
        <v>100.0</v>
      </c>
      <c r="I209" s="411" t="b">
        <v>0</v>
      </c>
      <c r="J209" s="102" t="s">
        <v>472</v>
      </c>
      <c r="K209" s="360">
        <v>0.0</v>
      </c>
      <c r="L209" s="360">
        <v>100.0</v>
      </c>
      <c r="M209" s="102" t="s">
        <v>706</v>
      </c>
      <c r="N209" s="102" t="s">
        <v>947</v>
      </c>
    </row>
    <row r="210">
      <c r="A210" s="412">
        <v>45573.0</v>
      </c>
      <c r="B210" s="413">
        <v>2024.0</v>
      </c>
      <c r="C210" s="414" t="s">
        <v>916</v>
      </c>
      <c r="D210" s="413" t="s">
        <v>723</v>
      </c>
      <c r="E210" s="413" t="s">
        <v>137</v>
      </c>
      <c r="F210" s="413" t="s">
        <v>711</v>
      </c>
      <c r="G210" s="413" t="s">
        <v>734</v>
      </c>
      <c r="H210" s="415">
        <v>120.0</v>
      </c>
      <c r="I210" s="416" t="b">
        <v>0</v>
      </c>
      <c r="J210" s="413" t="s">
        <v>472</v>
      </c>
      <c r="K210" s="415">
        <v>0.0</v>
      </c>
      <c r="L210" s="415">
        <v>120.0</v>
      </c>
      <c r="M210" s="413" t="s">
        <v>706</v>
      </c>
      <c r="N210" s="413" t="s">
        <v>948</v>
      </c>
    </row>
    <row r="211">
      <c r="A211" s="409">
        <v>45573.0</v>
      </c>
      <c r="B211" s="102">
        <v>2024.0</v>
      </c>
      <c r="C211" s="410" t="s">
        <v>916</v>
      </c>
      <c r="D211" s="102" t="s">
        <v>702</v>
      </c>
      <c r="E211" s="102" t="s">
        <v>465</v>
      </c>
      <c r="F211" s="102" t="s">
        <v>711</v>
      </c>
      <c r="G211" s="102" t="s">
        <v>734</v>
      </c>
      <c r="H211" s="360">
        <v>130.0</v>
      </c>
      <c r="I211" s="411" t="b">
        <v>0</v>
      </c>
      <c r="J211" s="102" t="s">
        <v>472</v>
      </c>
      <c r="K211" s="360">
        <v>17.93103448275862</v>
      </c>
      <c r="L211" s="360">
        <v>112.06896551724138</v>
      </c>
      <c r="M211" s="102" t="s">
        <v>706</v>
      </c>
      <c r="N211" s="102" t="s">
        <v>948</v>
      </c>
    </row>
    <row r="212">
      <c r="A212" s="412">
        <v>45573.0</v>
      </c>
      <c r="B212" s="413">
        <v>2024.0</v>
      </c>
      <c r="C212" s="414" t="s">
        <v>916</v>
      </c>
      <c r="D212" s="413" t="s">
        <v>702</v>
      </c>
      <c r="E212" s="413" t="s">
        <v>465</v>
      </c>
      <c r="F212" s="413" t="s">
        <v>711</v>
      </c>
      <c r="G212" s="413" t="s">
        <v>767</v>
      </c>
      <c r="H212" s="415">
        <v>729.0</v>
      </c>
      <c r="I212" s="416" t="b">
        <v>0</v>
      </c>
      <c r="J212" s="413" t="s">
        <v>924</v>
      </c>
      <c r="K212" s="415">
        <v>100.55172413793105</v>
      </c>
      <c r="L212" s="415">
        <v>628.448275862069</v>
      </c>
      <c r="M212" s="413" t="s">
        <v>706</v>
      </c>
      <c r="N212" s="413" t="s">
        <v>948</v>
      </c>
    </row>
    <row r="213">
      <c r="A213" s="409">
        <v>45573.0</v>
      </c>
      <c r="B213" s="102">
        <v>2024.0</v>
      </c>
      <c r="C213" s="410" t="s">
        <v>916</v>
      </c>
      <c r="D213" s="102" t="s">
        <v>702</v>
      </c>
      <c r="E213" s="102" t="s">
        <v>465</v>
      </c>
      <c r="F213" s="102" t="s">
        <v>711</v>
      </c>
      <c r="G213" s="102" t="s">
        <v>767</v>
      </c>
      <c r="H213" s="360">
        <v>915.0</v>
      </c>
      <c r="I213" s="411" t="b">
        <v>0</v>
      </c>
      <c r="J213" s="102" t="s">
        <v>949</v>
      </c>
      <c r="K213" s="360">
        <v>126.20689655172407</v>
      </c>
      <c r="L213" s="360">
        <v>788.7931034482759</v>
      </c>
      <c r="M213" s="102" t="s">
        <v>706</v>
      </c>
      <c r="N213" s="102" t="s">
        <v>948</v>
      </c>
    </row>
    <row r="214">
      <c r="A214" s="412">
        <v>45574.0</v>
      </c>
      <c r="B214" s="413">
        <v>2024.0</v>
      </c>
      <c r="C214" s="414" t="s">
        <v>916</v>
      </c>
      <c r="D214" s="413" t="s">
        <v>702</v>
      </c>
      <c r="E214" s="413" t="s">
        <v>465</v>
      </c>
      <c r="F214" s="413" t="s">
        <v>711</v>
      </c>
      <c r="G214" s="413" t="s">
        <v>767</v>
      </c>
      <c r="H214" s="415">
        <v>1270.0</v>
      </c>
      <c r="I214" s="416" t="b">
        <v>0</v>
      </c>
      <c r="J214" s="413" t="s">
        <v>950</v>
      </c>
      <c r="K214" s="415">
        <v>175.17241379310326</v>
      </c>
      <c r="L214" s="415">
        <v>1094.8275862068967</v>
      </c>
      <c r="M214" s="413" t="s">
        <v>706</v>
      </c>
      <c r="N214" s="413" t="s">
        <v>951</v>
      </c>
    </row>
    <row r="215">
      <c r="A215" s="409">
        <v>45574.0</v>
      </c>
      <c r="B215" s="102">
        <v>2024.0</v>
      </c>
      <c r="C215" s="410" t="s">
        <v>916</v>
      </c>
      <c r="D215" s="102" t="s">
        <v>702</v>
      </c>
      <c r="E215" s="102" t="s">
        <v>465</v>
      </c>
      <c r="F215" s="102" t="s">
        <v>711</v>
      </c>
      <c r="G215" s="102" t="s">
        <v>767</v>
      </c>
      <c r="H215" s="360">
        <v>1270.0</v>
      </c>
      <c r="I215" s="411" t="b">
        <v>0</v>
      </c>
      <c r="J215" s="102" t="s">
        <v>952</v>
      </c>
      <c r="K215" s="360">
        <v>175.17241379310326</v>
      </c>
      <c r="L215" s="360">
        <v>1094.8275862068967</v>
      </c>
      <c r="M215" s="102" t="s">
        <v>706</v>
      </c>
      <c r="N215" s="102" t="s">
        <v>953</v>
      </c>
    </row>
    <row r="216">
      <c r="A216" s="412">
        <v>45575.0</v>
      </c>
      <c r="B216" s="413">
        <v>2024.0</v>
      </c>
      <c r="C216" s="414" t="s">
        <v>916</v>
      </c>
      <c r="D216" s="413" t="s">
        <v>723</v>
      </c>
      <c r="E216" s="413" t="s">
        <v>137</v>
      </c>
      <c r="F216" s="413" t="s">
        <v>711</v>
      </c>
      <c r="G216" s="413" t="s">
        <v>715</v>
      </c>
      <c r="H216" s="415">
        <v>15.0</v>
      </c>
      <c r="I216" s="416" t="b">
        <v>0</v>
      </c>
      <c r="J216" s="413" t="s">
        <v>472</v>
      </c>
      <c r="K216" s="415">
        <v>0.0</v>
      </c>
      <c r="L216" s="415">
        <v>15.0</v>
      </c>
      <c r="M216" s="413" t="s">
        <v>706</v>
      </c>
      <c r="N216" s="413" t="s">
        <v>954</v>
      </c>
    </row>
    <row r="217">
      <c r="A217" s="409">
        <v>45575.0</v>
      </c>
      <c r="B217" s="102">
        <v>2024.0</v>
      </c>
      <c r="C217" s="410" t="s">
        <v>916</v>
      </c>
      <c r="D217" s="102" t="s">
        <v>723</v>
      </c>
      <c r="E217" s="102" t="s">
        <v>137</v>
      </c>
      <c r="F217" s="102" t="s">
        <v>711</v>
      </c>
      <c r="G217" s="102" t="s">
        <v>740</v>
      </c>
      <c r="H217" s="360">
        <v>7.0</v>
      </c>
      <c r="I217" s="411" t="b">
        <v>0</v>
      </c>
      <c r="J217" s="102" t="s">
        <v>472</v>
      </c>
      <c r="K217" s="360">
        <v>0.0</v>
      </c>
      <c r="L217" s="360">
        <v>7.0</v>
      </c>
      <c r="M217" s="102" t="s">
        <v>706</v>
      </c>
      <c r="N217" s="102" t="s">
        <v>955</v>
      </c>
    </row>
    <row r="218">
      <c r="A218" s="412">
        <v>45575.0</v>
      </c>
      <c r="B218" s="413">
        <v>2024.0</v>
      </c>
      <c r="C218" s="414" t="s">
        <v>916</v>
      </c>
      <c r="D218" s="413" t="s">
        <v>723</v>
      </c>
      <c r="E218" s="413" t="s">
        <v>137</v>
      </c>
      <c r="F218" s="413" t="s">
        <v>711</v>
      </c>
      <c r="G218" s="413" t="s">
        <v>734</v>
      </c>
      <c r="H218" s="415">
        <v>160.0</v>
      </c>
      <c r="I218" s="416" t="b">
        <v>0</v>
      </c>
      <c r="J218" s="413" t="s">
        <v>472</v>
      </c>
      <c r="K218" s="415">
        <v>0.0</v>
      </c>
      <c r="L218" s="415">
        <v>160.0</v>
      </c>
      <c r="M218" s="413" t="s">
        <v>706</v>
      </c>
      <c r="N218" s="413" t="s">
        <v>955</v>
      </c>
    </row>
    <row r="219">
      <c r="A219" s="409">
        <v>45575.0</v>
      </c>
      <c r="B219" s="102">
        <v>2024.0</v>
      </c>
      <c r="C219" s="410" t="s">
        <v>916</v>
      </c>
      <c r="D219" s="102" t="s">
        <v>723</v>
      </c>
      <c r="E219" s="102" t="s">
        <v>137</v>
      </c>
      <c r="F219" s="102" t="s">
        <v>711</v>
      </c>
      <c r="G219" s="102" t="s">
        <v>734</v>
      </c>
      <c r="H219" s="360">
        <v>80.0</v>
      </c>
      <c r="I219" s="411" t="b">
        <v>0</v>
      </c>
      <c r="J219" s="102" t="s">
        <v>472</v>
      </c>
      <c r="K219" s="360">
        <v>0.0</v>
      </c>
      <c r="L219" s="360">
        <v>80.0</v>
      </c>
      <c r="M219" s="102" t="s">
        <v>706</v>
      </c>
      <c r="N219" s="102" t="s">
        <v>955</v>
      </c>
    </row>
    <row r="220">
      <c r="A220" s="412">
        <v>45575.0</v>
      </c>
      <c r="B220" s="413">
        <v>2024.0</v>
      </c>
      <c r="C220" s="414" t="s">
        <v>916</v>
      </c>
      <c r="D220" s="413" t="s">
        <v>723</v>
      </c>
      <c r="E220" s="413" t="s">
        <v>137</v>
      </c>
      <c r="F220" s="413" t="s">
        <v>711</v>
      </c>
      <c r="G220" s="413" t="s">
        <v>740</v>
      </c>
      <c r="H220" s="415">
        <v>7.0</v>
      </c>
      <c r="I220" s="416" t="b">
        <v>0</v>
      </c>
      <c r="J220" s="413" t="s">
        <v>472</v>
      </c>
      <c r="K220" s="415">
        <v>0.0</v>
      </c>
      <c r="L220" s="415">
        <v>7.0</v>
      </c>
      <c r="M220" s="413" t="s">
        <v>706</v>
      </c>
      <c r="N220" s="413" t="s">
        <v>955</v>
      </c>
    </row>
    <row r="221">
      <c r="A221" s="409">
        <v>45575.0</v>
      </c>
      <c r="B221" s="102">
        <v>2024.0</v>
      </c>
      <c r="C221" s="410" t="s">
        <v>916</v>
      </c>
      <c r="D221" s="102" t="s">
        <v>723</v>
      </c>
      <c r="E221" s="102" t="s">
        <v>137</v>
      </c>
      <c r="F221" s="102" t="s">
        <v>711</v>
      </c>
      <c r="G221" s="102" t="s">
        <v>734</v>
      </c>
      <c r="H221" s="360">
        <v>110.0</v>
      </c>
      <c r="I221" s="411" t="b">
        <v>0</v>
      </c>
      <c r="J221" s="102" t="s">
        <v>472</v>
      </c>
      <c r="K221" s="360">
        <v>0.0</v>
      </c>
      <c r="L221" s="360">
        <v>110.0</v>
      </c>
      <c r="M221" s="102" t="s">
        <v>706</v>
      </c>
      <c r="N221" s="102" t="s">
        <v>955</v>
      </c>
    </row>
    <row r="222">
      <c r="A222" s="412">
        <v>45575.0</v>
      </c>
      <c r="B222" s="413">
        <v>2024.0</v>
      </c>
      <c r="C222" s="414" t="s">
        <v>916</v>
      </c>
      <c r="D222" s="413" t="s">
        <v>702</v>
      </c>
      <c r="E222" s="413" t="s">
        <v>465</v>
      </c>
      <c r="F222" s="413" t="s">
        <v>711</v>
      </c>
      <c r="G222" s="413" t="s">
        <v>734</v>
      </c>
      <c r="H222" s="415">
        <v>120.0</v>
      </c>
      <c r="I222" s="416" t="b">
        <v>0</v>
      </c>
      <c r="J222" s="413" t="s">
        <v>472</v>
      </c>
      <c r="K222" s="415">
        <v>16.551724137931032</v>
      </c>
      <c r="L222" s="415">
        <v>103.44827586206897</v>
      </c>
      <c r="M222" s="413" t="s">
        <v>706</v>
      </c>
      <c r="N222" s="413" t="s">
        <v>956</v>
      </c>
    </row>
    <row r="223">
      <c r="A223" s="409">
        <v>45575.0</v>
      </c>
      <c r="B223" s="102">
        <v>2024.0</v>
      </c>
      <c r="C223" s="410" t="s">
        <v>916</v>
      </c>
      <c r="D223" s="102" t="s">
        <v>702</v>
      </c>
      <c r="E223" s="102" t="s">
        <v>465</v>
      </c>
      <c r="F223" s="102" t="s">
        <v>711</v>
      </c>
      <c r="G223" s="102" t="s">
        <v>730</v>
      </c>
      <c r="H223" s="360">
        <v>48.0</v>
      </c>
      <c r="I223" s="411" t="b">
        <v>0</v>
      </c>
      <c r="J223" s="102" t="s">
        <v>472</v>
      </c>
      <c r="K223" s="360">
        <v>6.620689655172413</v>
      </c>
      <c r="L223" s="360">
        <v>41.37931034482759</v>
      </c>
      <c r="M223" s="102" t="s">
        <v>706</v>
      </c>
      <c r="N223" s="102" t="s">
        <v>956</v>
      </c>
    </row>
    <row r="224">
      <c r="A224" s="412">
        <v>45577.0</v>
      </c>
      <c r="B224" s="413">
        <v>2024.0</v>
      </c>
      <c r="C224" s="414" t="s">
        <v>916</v>
      </c>
      <c r="D224" s="413" t="s">
        <v>723</v>
      </c>
      <c r="E224" s="413" t="s">
        <v>137</v>
      </c>
      <c r="F224" s="413" t="s">
        <v>711</v>
      </c>
      <c r="G224" s="413" t="s">
        <v>715</v>
      </c>
      <c r="H224" s="415">
        <v>900.0</v>
      </c>
      <c r="I224" s="416" t="b">
        <v>0</v>
      </c>
      <c r="J224" s="413" t="s">
        <v>472</v>
      </c>
      <c r="K224" s="415">
        <v>0.0</v>
      </c>
      <c r="L224" s="415">
        <v>900.0</v>
      </c>
      <c r="M224" s="413" t="s">
        <v>706</v>
      </c>
      <c r="N224" s="413" t="s">
        <v>957</v>
      </c>
    </row>
    <row r="225">
      <c r="A225" s="409">
        <v>45577.0</v>
      </c>
      <c r="B225" s="102">
        <v>2024.0</v>
      </c>
      <c r="C225" s="410" t="s">
        <v>916</v>
      </c>
      <c r="D225" s="102" t="s">
        <v>723</v>
      </c>
      <c r="E225" s="102" t="s">
        <v>137</v>
      </c>
      <c r="F225" s="102" t="s">
        <v>711</v>
      </c>
      <c r="G225" s="102" t="s">
        <v>715</v>
      </c>
      <c r="H225" s="360">
        <v>500.0</v>
      </c>
      <c r="I225" s="411" t="b">
        <v>0</v>
      </c>
      <c r="J225" s="102" t="s">
        <v>958</v>
      </c>
      <c r="K225" s="360">
        <v>0.0</v>
      </c>
      <c r="L225" s="360">
        <v>500.0</v>
      </c>
      <c r="M225" s="102" t="s">
        <v>706</v>
      </c>
      <c r="N225" s="102" t="s">
        <v>957</v>
      </c>
    </row>
    <row r="226">
      <c r="A226" s="412">
        <v>45577.0</v>
      </c>
      <c r="B226" s="413">
        <v>2024.0</v>
      </c>
      <c r="C226" s="414" t="s">
        <v>916</v>
      </c>
      <c r="D226" s="413" t="s">
        <v>723</v>
      </c>
      <c r="E226" s="413" t="s">
        <v>137</v>
      </c>
      <c r="F226" s="413" t="s">
        <v>711</v>
      </c>
      <c r="G226" s="413" t="s">
        <v>734</v>
      </c>
      <c r="H226" s="415">
        <v>150.0</v>
      </c>
      <c r="I226" s="416" t="b">
        <v>0</v>
      </c>
      <c r="J226" s="413" t="s">
        <v>472</v>
      </c>
      <c r="K226" s="415">
        <v>0.0</v>
      </c>
      <c r="L226" s="415">
        <v>150.0</v>
      </c>
      <c r="M226" s="413" t="s">
        <v>706</v>
      </c>
      <c r="N226" s="413" t="s">
        <v>957</v>
      </c>
    </row>
    <row r="227">
      <c r="A227" s="409">
        <v>45577.0</v>
      </c>
      <c r="B227" s="102">
        <v>2024.0</v>
      </c>
      <c r="C227" s="410" t="s">
        <v>916</v>
      </c>
      <c r="D227" s="102" t="s">
        <v>723</v>
      </c>
      <c r="E227" s="102" t="s">
        <v>137</v>
      </c>
      <c r="F227" s="102" t="s">
        <v>711</v>
      </c>
      <c r="G227" s="102" t="s">
        <v>715</v>
      </c>
      <c r="H227" s="360">
        <v>15.0</v>
      </c>
      <c r="I227" s="411" t="b">
        <v>0</v>
      </c>
      <c r="J227" s="102" t="s">
        <v>472</v>
      </c>
      <c r="K227" s="360">
        <v>0.0</v>
      </c>
      <c r="L227" s="360">
        <v>15.0</v>
      </c>
      <c r="M227" s="102" t="s">
        <v>706</v>
      </c>
      <c r="N227" s="102" t="s">
        <v>957</v>
      </c>
    </row>
    <row r="228">
      <c r="A228" s="412">
        <v>45577.0</v>
      </c>
      <c r="B228" s="413">
        <v>2024.0</v>
      </c>
      <c r="C228" s="414" t="s">
        <v>916</v>
      </c>
      <c r="D228" s="413" t="s">
        <v>710</v>
      </c>
      <c r="E228" s="413" t="s">
        <v>137</v>
      </c>
      <c r="F228" s="413" t="s">
        <v>711</v>
      </c>
      <c r="G228" s="413" t="s">
        <v>740</v>
      </c>
      <c r="H228" s="415">
        <v>7.0</v>
      </c>
      <c r="I228" s="416" t="b">
        <v>0</v>
      </c>
      <c r="J228" s="413" t="s">
        <v>472</v>
      </c>
      <c r="K228" s="415">
        <v>0.0</v>
      </c>
      <c r="L228" s="415">
        <v>7.0</v>
      </c>
      <c r="M228" s="413" t="s">
        <v>706</v>
      </c>
      <c r="N228" s="413" t="s">
        <v>957</v>
      </c>
    </row>
    <row r="229">
      <c r="A229" s="409">
        <v>45579.0</v>
      </c>
      <c r="B229" s="102">
        <v>2024.0</v>
      </c>
      <c r="C229" s="410" t="s">
        <v>916</v>
      </c>
      <c r="D229" s="102" t="s">
        <v>710</v>
      </c>
      <c r="E229" s="102" t="s">
        <v>137</v>
      </c>
      <c r="F229" s="102" t="s">
        <v>703</v>
      </c>
      <c r="G229" s="102" t="s">
        <v>715</v>
      </c>
      <c r="H229" s="360">
        <v>150.0</v>
      </c>
      <c r="I229" s="411" t="b">
        <v>0</v>
      </c>
      <c r="J229" s="102" t="s">
        <v>472</v>
      </c>
      <c r="K229" s="360">
        <v>0.0</v>
      </c>
      <c r="L229" s="360">
        <v>150.0</v>
      </c>
      <c r="M229" s="102" t="s">
        <v>706</v>
      </c>
      <c r="N229" s="102" t="s">
        <v>959</v>
      </c>
    </row>
    <row r="230">
      <c r="A230" s="412">
        <v>45579.0</v>
      </c>
      <c r="B230" s="413">
        <v>2024.0</v>
      </c>
      <c r="C230" s="414" t="s">
        <v>916</v>
      </c>
      <c r="D230" s="413" t="s">
        <v>723</v>
      </c>
      <c r="E230" s="413" t="s">
        <v>137</v>
      </c>
      <c r="F230" s="413" t="s">
        <v>711</v>
      </c>
      <c r="G230" s="413" t="s">
        <v>737</v>
      </c>
      <c r="H230" s="415">
        <v>500.0</v>
      </c>
      <c r="I230" s="416" t="b">
        <v>0</v>
      </c>
      <c r="J230" s="413" t="s">
        <v>472</v>
      </c>
      <c r="K230" s="415">
        <v>0.0</v>
      </c>
      <c r="L230" s="415">
        <v>500.0</v>
      </c>
      <c r="M230" s="413" t="s">
        <v>706</v>
      </c>
      <c r="N230" s="413" t="s">
        <v>960</v>
      </c>
    </row>
    <row r="231">
      <c r="A231" s="409">
        <v>45579.0</v>
      </c>
      <c r="B231" s="102">
        <v>2024.0</v>
      </c>
      <c r="C231" s="410" t="s">
        <v>916</v>
      </c>
      <c r="D231" s="102" t="s">
        <v>723</v>
      </c>
      <c r="E231" s="102" t="s">
        <v>137</v>
      </c>
      <c r="F231" s="102" t="s">
        <v>711</v>
      </c>
      <c r="G231" s="102" t="s">
        <v>715</v>
      </c>
      <c r="H231" s="360">
        <v>15.0</v>
      </c>
      <c r="I231" s="411" t="b">
        <v>0</v>
      </c>
      <c r="J231" s="102" t="s">
        <v>472</v>
      </c>
      <c r="K231" s="360">
        <v>0.0</v>
      </c>
      <c r="L231" s="360">
        <v>15.0</v>
      </c>
      <c r="M231" s="102" t="s">
        <v>706</v>
      </c>
      <c r="N231" s="102" t="s">
        <v>960</v>
      </c>
    </row>
    <row r="232">
      <c r="A232" s="412">
        <v>45579.0</v>
      </c>
      <c r="B232" s="413">
        <v>2024.0</v>
      </c>
      <c r="C232" s="414" t="s">
        <v>916</v>
      </c>
      <c r="D232" s="413" t="s">
        <v>702</v>
      </c>
      <c r="E232" s="413" t="s">
        <v>465</v>
      </c>
      <c r="F232" s="413" t="s">
        <v>711</v>
      </c>
      <c r="G232" s="413" t="s">
        <v>730</v>
      </c>
      <c r="H232" s="415">
        <v>37.0</v>
      </c>
      <c r="I232" s="416" t="b">
        <v>0</v>
      </c>
      <c r="J232" s="413" t="s">
        <v>472</v>
      </c>
      <c r="K232" s="415">
        <v>5.103448275862068</v>
      </c>
      <c r="L232" s="415">
        <v>31.896551724137932</v>
      </c>
      <c r="M232" s="413" t="s">
        <v>706</v>
      </c>
      <c r="N232" s="413" t="s">
        <v>960</v>
      </c>
    </row>
    <row r="233">
      <c r="A233" s="409">
        <v>45579.0</v>
      </c>
      <c r="B233" s="102">
        <v>2024.0</v>
      </c>
      <c r="C233" s="410" t="s">
        <v>916</v>
      </c>
      <c r="D233" s="102" t="s">
        <v>723</v>
      </c>
      <c r="E233" s="102" t="s">
        <v>137</v>
      </c>
      <c r="F233" s="102" t="s">
        <v>711</v>
      </c>
      <c r="G233" s="102" t="s">
        <v>767</v>
      </c>
      <c r="H233" s="360">
        <v>575.0</v>
      </c>
      <c r="I233" s="411" t="b">
        <v>0</v>
      </c>
      <c r="J233" s="102" t="s">
        <v>472</v>
      </c>
      <c r="K233" s="360">
        <v>0.0</v>
      </c>
      <c r="L233" s="360">
        <v>575.0</v>
      </c>
      <c r="M233" s="102" t="s">
        <v>706</v>
      </c>
      <c r="N233" s="102" t="s">
        <v>960</v>
      </c>
    </row>
    <row r="234">
      <c r="A234" s="412">
        <v>45580.0</v>
      </c>
      <c r="B234" s="413">
        <v>2024.0</v>
      </c>
      <c r="C234" s="414" t="s">
        <v>916</v>
      </c>
      <c r="D234" s="413" t="s">
        <v>723</v>
      </c>
      <c r="E234" s="413" t="s">
        <v>137</v>
      </c>
      <c r="F234" s="413" t="s">
        <v>711</v>
      </c>
      <c r="G234" s="413" t="s">
        <v>734</v>
      </c>
      <c r="H234" s="415">
        <v>150.0</v>
      </c>
      <c r="I234" s="416" t="b">
        <v>0</v>
      </c>
      <c r="J234" s="413" t="s">
        <v>472</v>
      </c>
      <c r="K234" s="415">
        <v>0.0</v>
      </c>
      <c r="L234" s="415">
        <v>150.0</v>
      </c>
      <c r="M234" s="413" t="s">
        <v>706</v>
      </c>
      <c r="N234" s="413" t="s">
        <v>961</v>
      </c>
    </row>
    <row r="235">
      <c r="A235" s="409">
        <v>45580.0</v>
      </c>
      <c r="B235" s="102">
        <v>2024.0</v>
      </c>
      <c r="C235" s="410" t="s">
        <v>916</v>
      </c>
      <c r="D235" s="102" t="s">
        <v>723</v>
      </c>
      <c r="E235" s="102" t="s">
        <v>137</v>
      </c>
      <c r="F235" s="102" t="s">
        <v>711</v>
      </c>
      <c r="G235" s="102" t="s">
        <v>715</v>
      </c>
      <c r="H235" s="360">
        <v>30.0</v>
      </c>
      <c r="I235" s="411" t="b">
        <v>0</v>
      </c>
      <c r="J235" s="102" t="s">
        <v>472</v>
      </c>
      <c r="K235" s="360">
        <v>0.0</v>
      </c>
      <c r="L235" s="360">
        <v>30.0</v>
      </c>
      <c r="M235" s="102" t="s">
        <v>706</v>
      </c>
      <c r="N235" s="102" t="s">
        <v>962</v>
      </c>
    </row>
    <row r="236">
      <c r="A236" s="412">
        <v>45580.0</v>
      </c>
      <c r="B236" s="413">
        <v>2024.0</v>
      </c>
      <c r="C236" s="414" t="s">
        <v>916</v>
      </c>
      <c r="D236" s="413" t="s">
        <v>723</v>
      </c>
      <c r="E236" s="413" t="s">
        <v>137</v>
      </c>
      <c r="F236" s="413" t="s">
        <v>711</v>
      </c>
      <c r="G236" s="413" t="s">
        <v>734</v>
      </c>
      <c r="H236" s="415">
        <v>90.0</v>
      </c>
      <c r="I236" s="416" t="b">
        <v>0</v>
      </c>
      <c r="J236" s="413" t="s">
        <v>472</v>
      </c>
      <c r="K236" s="415">
        <v>0.0</v>
      </c>
      <c r="L236" s="415">
        <v>90.0</v>
      </c>
      <c r="M236" s="413" t="s">
        <v>706</v>
      </c>
      <c r="N236" s="413" t="s">
        <v>962</v>
      </c>
    </row>
    <row r="237">
      <c r="A237" s="409">
        <v>45580.0</v>
      </c>
      <c r="B237" s="102">
        <v>2024.0</v>
      </c>
      <c r="C237" s="410" t="s">
        <v>916</v>
      </c>
      <c r="D237" s="102" t="s">
        <v>723</v>
      </c>
      <c r="E237" s="102" t="s">
        <v>137</v>
      </c>
      <c r="F237" s="102" t="s">
        <v>711</v>
      </c>
      <c r="G237" s="102" t="s">
        <v>734</v>
      </c>
      <c r="H237" s="360">
        <v>120.0</v>
      </c>
      <c r="I237" s="411" t="b">
        <v>0</v>
      </c>
      <c r="J237" s="102" t="s">
        <v>472</v>
      </c>
      <c r="K237" s="360">
        <v>0.0</v>
      </c>
      <c r="L237" s="360">
        <v>120.0</v>
      </c>
      <c r="M237" s="102" t="s">
        <v>706</v>
      </c>
      <c r="N237" s="102" t="s">
        <v>962</v>
      </c>
    </row>
    <row r="238">
      <c r="A238" s="412">
        <v>45580.0</v>
      </c>
      <c r="B238" s="413">
        <v>2024.0</v>
      </c>
      <c r="C238" s="414" t="s">
        <v>916</v>
      </c>
      <c r="D238" s="413" t="s">
        <v>723</v>
      </c>
      <c r="E238" s="413" t="s">
        <v>137</v>
      </c>
      <c r="F238" s="413" t="s">
        <v>711</v>
      </c>
      <c r="G238" s="413" t="s">
        <v>734</v>
      </c>
      <c r="H238" s="415">
        <v>150.0</v>
      </c>
      <c r="I238" s="416" t="b">
        <v>0</v>
      </c>
      <c r="J238" s="413" t="s">
        <v>472</v>
      </c>
      <c r="K238" s="415">
        <v>0.0</v>
      </c>
      <c r="L238" s="415">
        <v>150.0</v>
      </c>
      <c r="M238" s="413" t="s">
        <v>706</v>
      </c>
      <c r="N238" s="413" t="s">
        <v>963</v>
      </c>
    </row>
    <row r="239">
      <c r="A239" s="409">
        <v>45580.0</v>
      </c>
      <c r="B239" s="102">
        <v>2024.0</v>
      </c>
      <c r="C239" s="410" t="s">
        <v>916</v>
      </c>
      <c r="D239" s="102" t="s">
        <v>723</v>
      </c>
      <c r="E239" s="102" t="s">
        <v>137</v>
      </c>
      <c r="F239" s="102" t="s">
        <v>711</v>
      </c>
      <c r="G239" s="102" t="s">
        <v>734</v>
      </c>
      <c r="H239" s="360">
        <v>150.0</v>
      </c>
      <c r="I239" s="411" t="b">
        <v>0</v>
      </c>
      <c r="J239" s="102" t="s">
        <v>472</v>
      </c>
      <c r="K239" s="360">
        <v>0.0</v>
      </c>
      <c r="L239" s="360">
        <v>150.0</v>
      </c>
      <c r="M239" s="102" t="s">
        <v>706</v>
      </c>
      <c r="N239" s="102" t="s">
        <v>964</v>
      </c>
    </row>
    <row r="240">
      <c r="A240" s="412">
        <v>45580.0</v>
      </c>
      <c r="B240" s="413">
        <v>2024.0</v>
      </c>
      <c r="C240" s="414" t="s">
        <v>916</v>
      </c>
      <c r="D240" s="413" t="s">
        <v>723</v>
      </c>
      <c r="E240" s="413" t="s">
        <v>137</v>
      </c>
      <c r="F240" s="413" t="s">
        <v>703</v>
      </c>
      <c r="G240" s="413" t="s">
        <v>910</v>
      </c>
      <c r="H240" s="415">
        <v>44.0</v>
      </c>
      <c r="I240" s="416" t="b">
        <v>0</v>
      </c>
      <c r="J240" s="413" t="s">
        <v>965</v>
      </c>
      <c r="K240" s="415">
        <v>0.0</v>
      </c>
      <c r="L240" s="415">
        <v>44.0</v>
      </c>
      <c r="M240" s="413" t="s">
        <v>706</v>
      </c>
      <c r="N240" s="413" t="s">
        <v>966</v>
      </c>
    </row>
    <row r="241">
      <c r="A241" s="409">
        <v>45580.0</v>
      </c>
      <c r="B241" s="102">
        <v>2024.0</v>
      </c>
      <c r="C241" s="410" t="s">
        <v>916</v>
      </c>
      <c r="D241" s="102" t="s">
        <v>723</v>
      </c>
      <c r="E241" s="102" t="s">
        <v>137</v>
      </c>
      <c r="F241" s="102" t="s">
        <v>711</v>
      </c>
      <c r="G241" s="102" t="s">
        <v>715</v>
      </c>
      <c r="H241" s="360">
        <v>15.0</v>
      </c>
      <c r="I241" s="411" t="b">
        <v>0</v>
      </c>
      <c r="J241" s="102" t="s">
        <v>472</v>
      </c>
      <c r="K241" s="360">
        <v>0.0</v>
      </c>
      <c r="L241" s="360">
        <v>15.0</v>
      </c>
      <c r="M241" s="102" t="s">
        <v>706</v>
      </c>
      <c r="N241" s="102" t="s">
        <v>967</v>
      </c>
    </row>
    <row r="242">
      <c r="A242" s="412">
        <v>45580.0</v>
      </c>
      <c r="B242" s="413">
        <v>2024.0</v>
      </c>
      <c r="C242" s="414" t="s">
        <v>916</v>
      </c>
      <c r="D242" s="413" t="s">
        <v>710</v>
      </c>
      <c r="E242" s="413" t="s">
        <v>137</v>
      </c>
      <c r="F242" s="413" t="s">
        <v>703</v>
      </c>
      <c r="G242" s="413" t="s">
        <v>724</v>
      </c>
      <c r="H242" s="415">
        <v>930.0</v>
      </c>
      <c r="I242" s="416" t="b">
        <v>1</v>
      </c>
      <c r="J242" s="413" t="s">
        <v>472</v>
      </c>
      <c r="K242" s="415">
        <v>0.0</v>
      </c>
      <c r="L242" s="415">
        <v>0.0</v>
      </c>
      <c r="M242" s="413" t="s">
        <v>706</v>
      </c>
      <c r="N242" s="413" t="s">
        <v>968</v>
      </c>
    </row>
    <row r="243">
      <c r="A243" s="409">
        <v>45580.0</v>
      </c>
      <c r="B243" s="102">
        <v>2024.0</v>
      </c>
      <c r="C243" s="410" t="s">
        <v>916</v>
      </c>
      <c r="D243" s="102" t="s">
        <v>710</v>
      </c>
      <c r="E243" s="102" t="s">
        <v>137</v>
      </c>
      <c r="F243" s="102" t="s">
        <v>711</v>
      </c>
      <c r="G243" s="102" t="s">
        <v>724</v>
      </c>
      <c r="H243" s="360">
        <v>5703.0</v>
      </c>
      <c r="I243" s="411" t="b">
        <v>1</v>
      </c>
      <c r="J243" s="102" t="s">
        <v>472</v>
      </c>
      <c r="K243" s="360">
        <v>0.0</v>
      </c>
      <c r="L243" s="360">
        <v>0.0</v>
      </c>
      <c r="M243" s="102" t="s">
        <v>706</v>
      </c>
      <c r="N243" s="102" t="s">
        <v>968</v>
      </c>
    </row>
    <row r="244">
      <c r="A244" s="412">
        <v>45580.0</v>
      </c>
      <c r="B244" s="413">
        <v>2024.0</v>
      </c>
      <c r="C244" s="414" t="s">
        <v>916</v>
      </c>
      <c r="D244" s="413" t="s">
        <v>723</v>
      </c>
      <c r="E244" s="413" t="s">
        <v>137</v>
      </c>
      <c r="F244" s="413" t="s">
        <v>711</v>
      </c>
      <c r="G244" s="413" t="s">
        <v>724</v>
      </c>
      <c r="H244" s="415">
        <v>930.0</v>
      </c>
      <c r="I244" s="416" t="b">
        <v>1</v>
      </c>
      <c r="J244" s="413" t="s">
        <v>472</v>
      </c>
      <c r="K244" s="415">
        <v>0.0</v>
      </c>
      <c r="L244" s="415">
        <v>0.0</v>
      </c>
      <c r="M244" s="413" t="s">
        <v>706</v>
      </c>
      <c r="N244" s="413" t="s">
        <v>968</v>
      </c>
    </row>
    <row r="245">
      <c r="A245" s="409">
        <v>45580.0</v>
      </c>
      <c r="B245" s="102">
        <v>2024.0</v>
      </c>
      <c r="C245" s="410" t="s">
        <v>916</v>
      </c>
      <c r="D245" s="102" t="s">
        <v>723</v>
      </c>
      <c r="E245" s="102" t="s">
        <v>137</v>
      </c>
      <c r="F245" s="102" t="s">
        <v>703</v>
      </c>
      <c r="G245" s="102" t="s">
        <v>724</v>
      </c>
      <c r="H245" s="360">
        <v>5703.0</v>
      </c>
      <c r="I245" s="411" t="b">
        <v>1</v>
      </c>
      <c r="J245" s="102" t="s">
        <v>472</v>
      </c>
      <c r="K245" s="360">
        <v>0.0</v>
      </c>
      <c r="L245" s="360">
        <v>0.0</v>
      </c>
      <c r="M245" s="102" t="s">
        <v>706</v>
      </c>
      <c r="N245" s="102" t="s">
        <v>968</v>
      </c>
    </row>
    <row r="246">
      <c r="A246" s="412">
        <v>45580.0</v>
      </c>
      <c r="B246" s="413">
        <v>2024.0</v>
      </c>
      <c r="C246" s="414" t="s">
        <v>916</v>
      </c>
      <c r="D246" s="413" t="s">
        <v>702</v>
      </c>
      <c r="E246" s="413" t="s">
        <v>465</v>
      </c>
      <c r="F246" s="413" t="s">
        <v>711</v>
      </c>
      <c r="G246" s="413" t="s">
        <v>767</v>
      </c>
      <c r="H246" s="415">
        <v>570.0</v>
      </c>
      <c r="I246" s="416" t="b">
        <v>0</v>
      </c>
      <c r="J246" s="413" t="s">
        <v>472</v>
      </c>
      <c r="K246" s="415">
        <v>78.62068965517238</v>
      </c>
      <c r="L246" s="415">
        <v>491.3793103448276</v>
      </c>
      <c r="M246" s="413" t="s">
        <v>706</v>
      </c>
      <c r="N246" s="413" t="s">
        <v>969</v>
      </c>
    </row>
    <row r="247">
      <c r="A247" s="409">
        <v>45580.0</v>
      </c>
      <c r="B247" s="102">
        <v>2024.0</v>
      </c>
      <c r="C247" s="410" t="s">
        <v>916</v>
      </c>
      <c r="D247" s="102" t="s">
        <v>702</v>
      </c>
      <c r="E247" s="102" t="s">
        <v>465</v>
      </c>
      <c r="F247" s="102" t="s">
        <v>711</v>
      </c>
      <c r="G247" s="102" t="s">
        <v>730</v>
      </c>
      <c r="H247" s="360">
        <v>8.0</v>
      </c>
      <c r="I247" s="411" t="b">
        <v>0</v>
      </c>
      <c r="J247" s="102" t="s">
        <v>472</v>
      </c>
      <c r="K247" s="360">
        <v>1.1034482758620685</v>
      </c>
      <c r="L247" s="360">
        <v>6.8965517241379315</v>
      </c>
      <c r="M247" s="102" t="s">
        <v>706</v>
      </c>
      <c r="N247" s="102" t="s">
        <v>969</v>
      </c>
    </row>
    <row r="248">
      <c r="A248" s="412">
        <v>45580.0</v>
      </c>
      <c r="B248" s="413">
        <v>2024.0</v>
      </c>
      <c r="C248" s="414" t="s">
        <v>916</v>
      </c>
      <c r="D248" s="413" t="s">
        <v>702</v>
      </c>
      <c r="E248" s="413" t="s">
        <v>465</v>
      </c>
      <c r="F248" s="413" t="s">
        <v>711</v>
      </c>
      <c r="G248" s="413" t="s">
        <v>767</v>
      </c>
      <c r="H248" s="415">
        <v>571.0</v>
      </c>
      <c r="I248" s="416" t="b">
        <v>0</v>
      </c>
      <c r="J248" s="413" t="s">
        <v>472</v>
      </c>
      <c r="K248" s="415">
        <v>78.75862068965512</v>
      </c>
      <c r="L248" s="415">
        <v>492.2413793103449</v>
      </c>
      <c r="M248" s="413" t="s">
        <v>706</v>
      </c>
      <c r="N248" s="413" t="s">
        <v>969</v>
      </c>
    </row>
    <row r="249">
      <c r="A249" s="409">
        <v>45580.0</v>
      </c>
      <c r="B249" s="102">
        <v>2024.0</v>
      </c>
      <c r="C249" s="410" t="s">
        <v>916</v>
      </c>
      <c r="D249" s="102" t="s">
        <v>702</v>
      </c>
      <c r="E249" s="102" t="s">
        <v>465</v>
      </c>
      <c r="F249" s="102" t="s">
        <v>711</v>
      </c>
      <c r="G249" s="102" t="s">
        <v>737</v>
      </c>
      <c r="H249" s="360">
        <v>500.0</v>
      </c>
      <c r="I249" s="411" t="b">
        <v>0</v>
      </c>
      <c r="J249" s="102" t="s">
        <v>472</v>
      </c>
      <c r="K249" s="360">
        <v>68.9655172413793</v>
      </c>
      <c r="L249" s="360">
        <v>431.0344827586207</v>
      </c>
      <c r="M249" s="102" t="s">
        <v>706</v>
      </c>
      <c r="N249" s="102" t="s">
        <v>969</v>
      </c>
    </row>
    <row r="250">
      <c r="A250" s="412">
        <v>45580.0</v>
      </c>
      <c r="B250" s="413">
        <v>2024.0</v>
      </c>
      <c r="C250" s="414" t="s">
        <v>916</v>
      </c>
      <c r="D250" s="413" t="s">
        <v>702</v>
      </c>
      <c r="E250" s="413" t="s">
        <v>465</v>
      </c>
      <c r="F250" s="413" t="s">
        <v>711</v>
      </c>
      <c r="G250" s="413" t="s">
        <v>734</v>
      </c>
      <c r="H250" s="415">
        <v>130.0</v>
      </c>
      <c r="I250" s="416" t="b">
        <v>0</v>
      </c>
      <c r="J250" s="413" t="s">
        <v>472</v>
      </c>
      <c r="K250" s="415">
        <v>17.93103448275862</v>
      </c>
      <c r="L250" s="415">
        <v>112.06896551724138</v>
      </c>
      <c r="M250" s="413" t="s">
        <v>706</v>
      </c>
      <c r="N250" s="413" t="s">
        <v>969</v>
      </c>
    </row>
    <row r="251">
      <c r="A251" s="409">
        <v>45580.0</v>
      </c>
      <c r="B251" s="102">
        <v>2024.0</v>
      </c>
      <c r="C251" s="410" t="s">
        <v>916</v>
      </c>
      <c r="D251" s="102" t="s">
        <v>702</v>
      </c>
      <c r="E251" s="102" t="s">
        <v>465</v>
      </c>
      <c r="F251" s="102" t="s">
        <v>711</v>
      </c>
      <c r="G251" s="102" t="s">
        <v>737</v>
      </c>
      <c r="H251" s="360">
        <v>500.0</v>
      </c>
      <c r="I251" s="411" t="b">
        <v>0</v>
      </c>
      <c r="J251" s="102" t="s">
        <v>472</v>
      </c>
      <c r="K251" s="360">
        <v>68.9655172413793</v>
      </c>
      <c r="L251" s="360">
        <v>431.0344827586207</v>
      </c>
      <c r="M251" s="102" t="s">
        <v>706</v>
      </c>
      <c r="N251" s="102" t="s">
        <v>969</v>
      </c>
    </row>
    <row r="252">
      <c r="A252" s="412">
        <v>45581.0</v>
      </c>
      <c r="B252" s="413">
        <v>2024.0</v>
      </c>
      <c r="C252" s="414" t="s">
        <v>916</v>
      </c>
      <c r="D252" s="413" t="s">
        <v>702</v>
      </c>
      <c r="E252" s="413" t="s">
        <v>465</v>
      </c>
      <c r="F252" s="413" t="s">
        <v>703</v>
      </c>
      <c r="G252" s="413" t="s">
        <v>704</v>
      </c>
      <c r="H252" s="415">
        <v>3248.0</v>
      </c>
      <c r="I252" s="416" t="b">
        <v>0</v>
      </c>
      <c r="J252" s="413" t="s">
        <v>472</v>
      </c>
      <c r="K252" s="415">
        <v>0.0</v>
      </c>
      <c r="L252" s="415">
        <v>3248.0</v>
      </c>
      <c r="M252" s="413" t="s">
        <v>706</v>
      </c>
      <c r="N252" s="413" t="s">
        <v>977</v>
      </c>
    </row>
    <row r="253">
      <c r="A253" s="409">
        <v>45581.0</v>
      </c>
      <c r="B253" s="102">
        <v>2024.0</v>
      </c>
      <c r="C253" s="410" t="s">
        <v>916</v>
      </c>
      <c r="D253" s="102" t="s">
        <v>702</v>
      </c>
      <c r="E253" s="102" t="s">
        <v>465</v>
      </c>
      <c r="F253" s="102" t="s">
        <v>703</v>
      </c>
      <c r="G253" s="102" t="s">
        <v>978</v>
      </c>
      <c r="H253" s="360">
        <v>515.0</v>
      </c>
      <c r="I253" s="411" t="b">
        <v>0</v>
      </c>
      <c r="J253" s="102" t="s">
        <v>979</v>
      </c>
      <c r="K253" s="360">
        <v>0.0</v>
      </c>
      <c r="L253" s="360">
        <v>515.0</v>
      </c>
      <c r="M253" s="102" t="s">
        <v>706</v>
      </c>
      <c r="N253" s="102" t="s">
        <v>980</v>
      </c>
    </row>
    <row r="254">
      <c r="A254" s="412">
        <v>45581.0</v>
      </c>
      <c r="B254" s="413">
        <v>2024.0</v>
      </c>
      <c r="C254" s="414" t="s">
        <v>916</v>
      </c>
      <c r="D254" s="413" t="s">
        <v>702</v>
      </c>
      <c r="E254" s="413" t="s">
        <v>465</v>
      </c>
      <c r="F254" s="413" t="s">
        <v>703</v>
      </c>
      <c r="G254" s="413" t="s">
        <v>715</v>
      </c>
      <c r="H254" s="415">
        <v>3971.0</v>
      </c>
      <c r="I254" s="416" t="b">
        <v>0</v>
      </c>
      <c r="J254" s="413" t="s">
        <v>472</v>
      </c>
      <c r="K254" s="415">
        <v>0.0</v>
      </c>
      <c r="L254" s="415">
        <v>3971.0</v>
      </c>
      <c r="M254" s="413" t="s">
        <v>706</v>
      </c>
      <c r="N254" s="413" t="s">
        <v>981</v>
      </c>
    </row>
    <row r="255">
      <c r="A255" s="409">
        <v>45581.0</v>
      </c>
      <c r="B255" s="102">
        <v>2024.0</v>
      </c>
      <c r="C255" s="410" t="s">
        <v>916</v>
      </c>
      <c r="D255" s="102" t="s">
        <v>723</v>
      </c>
      <c r="E255" s="102" t="s">
        <v>137</v>
      </c>
      <c r="F255" s="102" t="s">
        <v>711</v>
      </c>
      <c r="G255" s="102" t="s">
        <v>715</v>
      </c>
      <c r="H255" s="360">
        <v>15.0</v>
      </c>
      <c r="I255" s="411" t="b">
        <v>0</v>
      </c>
      <c r="J255" s="102" t="s">
        <v>472</v>
      </c>
      <c r="K255" s="360">
        <v>0.0</v>
      </c>
      <c r="L255" s="360">
        <v>15.0</v>
      </c>
      <c r="M255" s="102" t="s">
        <v>706</v>
      </c>
      <c r="N255" s="102" t="s">
        <v>982</v>
      </c>
    </row>
    <row r="256">
      <c r="A256" s="412">
        <v>45582.0</v>
      </c>
      <c r="B256" s="413">
        <v>2024.0</v>
      </c>
      <c r="C256" s="414" t="s">
        <v>916</v>
      </c>
      <c r="D256" s="413" t="s">
        <v>710</v>
      </c>
      <c r="E256" s="413" t="s">
        <v>137</v>
      </c>
      <c r="F256" s="413" t="s">
        <v>711</v>
      </c>
      <c r="G256" s="413" t="s">
        <v>715</v>
      </c>
      <c r="H256" s="415">
        <v>60.0</v>
      </c>
      <c r="I256" s="416" t="b">
        <v>0</v>
      </c>
      <c r="J256" s="413" t="s">
        <v>472</v>
      </c>
      <c r="K256" s="415">
        <v>0.0</v>
      </c>
      <c r="L256" s="415">
        <v>60.0</v>
      </c>
      <c r="M256" s="413" t="s">
        <v>706</v>
      </c>
      <c r="N256" s="413" t="s">
        <v>983</v>
      </c>
    </row>
    <row r="257">
      <c r="A257" s="409">
        <v>45582.0</v>
      </c>
      <c r="B257" s="102">
        <v>2024.0</v>
      </c>
      <c r="C257" s="410" t="s">
        <v>916</v>
      </c>
      <c r="D257" s="102" t="s">
        <v>723</v>
      </c>
      <c r="E257" s="102" t="s">
        <v>137</v>
      </c>
      <c r="F257" s="102" t="s">
        <v>711</v>
      </c>
      <c r="G257" s="102" t="s">
        <v>740</v>
      </c>
      <c r="H257" s="360">
        <v>14.0</v>
      </c>
      <c r="I257" s="411" t="b">
        <v>0</v>
      </c>
      <c r="J257" s="102" t="s">
        <v>472</v>
      </c>
      <c r="K257" s="360">
        <v>0.0</v>
      </c>
      <c r="L257" s="360">
        <v>14.0</v>
      </c>
      <c r="M257" s="102" t="s">
        <v>706</v>
      </c>
      <c r="N257" s="102" t="s">
        <v>984</v>
      </c>
    </row>
    <row r="258">
      <c r="A258" s="412">
        <v>45582.0</v>
      </c>
      <c r="B258" s="413">
        <v>2024.0</v>
      </c>
      <c r="C258" s="414" t="s">
        <v>916</v>
      </c>
      <c r="D258" s="413" t="s">
        <v>702</v>
      </c>
      <c r="E258" s="413" t="s">
        <v>465</v>
      </c>
      <c r="F258" s="413" t="s">
        <v>711</v>
      </c>
      <c r="G258" s="413" t="s">
        <v>734</v>
      </c>
      <c r="H258" s="415">
        <v>130.0</v>
      </c>
      <c r="I258" s="416" t="b">
        <v>0</v>
      </c>
      <c r="J258" s="413" t="s">
        <v>472</v>
      </c>
      <c r="K258" s="415">
        <v>17.93103448275862</v>
      </c>
      <c r="L258" s="415">
        <v>112.06896551724138</v>
      </c>
      <c r="M258" s="413" t="s">
        <v>706</v>
      </c>
      <c r="N258" s="413" t="s">
        <v>985</v>
      </c>
    </row>
    <row r="259">
      <c r="A259" s="409">
        <v>45582.0</v>
      </c>
      <c r="B259" s="102">
        <v>2024.0</v>
      </c>
      <c r="C259" s="410" t="s">
        <v>916</v>
      </c>
      <c r="D259" s="102" t="s">
        <v>702</v>
      </c>
      <c r="E259" s="102" t="s">
        <v>465</v>
      </c>
      <c r="F259" s="102" t="s">
        <v>711</v>
      </c>
      <c r="G259" s="102" t="s">
        <v>734</v>
      </c>
      <c r="H259" s="360">
        <v>76.0</v>
      </c>
      <c r="I259" s="411" t="b">
        <v>0</v>
      </c>
      <c r="J259" s="102" t="s">
        <v>472</v>
      </c>
      <c r="K259" s="360">
        <v>10.482758620689651</v>
      </c>
      <c r="L259" s="360">
        <v>65.51724137931035</v>
      </c>
      <c r="M259" s="102" t="s">
        <v>706</v>
      </c>
      <c r="N259" s="102" t="s">
        <v>985</v>
      </c>
    </row>
    <row r="260">
      <c r="A260" s="412">
        <v>45582.0</v>
      </c>
      <c r="B260" s="413">
        <v>2024.0</v>
      </c>
      <c r="C260" s="414" t="s">
        <v>916</v>
      </c>
      <c r="D260" s="413" t="s">
        <v>702</v>
      </c>
      <c r="E260" s="413" t="s">
        <v>465</v>
      </c>
      <c r="F260" s="413" t="s">
        <v>711</v>
      </c>
      <c r="G260" s="413" t="s">
        <v>730</v>
      </c>
      <c r="H260" s="415">
        <v>19.0</v>
      </c>
      <c r="I260" s="416" t="b">
        <v>0</v>
      </c>
      <c r="J260" s="413" t="s">
        <v>472</v>
      </c>
      <c r="K260" s="415">
        <v>2.620689655172413</v>
      </c>
      <c r="L260" s="415">
        <v>16.379310344827587</v>
      </c>
      <c r="M260" s="413" t="s">
        <v>706</v>
      </c>
      <c r="N260" s="413" t="s">
        <v>985</v>
      </c>
    </row>
    <row r="261">
      <c r="A261" s="409">
        <v>45583.0</v>
      </c>
      <c r="B261" s="102">
        <v>2024.0</v>
      </c>
      <c r="C261" s="410" t="s">
        <v>916</v>
      </c>
      <c r="D261" s="102" t="s">
        <v>702</v>
      </c>
      <c r="E261" s="102" t="s">
        <v>465</v>
      </c>
      <c r="F261" s="102" t="s">
        <v>711</v>
      </c>
      <c r="G261" s="102" t="s">
        <v>767</v>
      </c>
      <c r="H261" s="360">
        <v>570.0</v>
      </c>
      <c r="I261" s="411" t="b">
        <v>0</v>
      </c>
      <c r="J261" s="102" t="s">
        <v>472</v>
      </c>
      <c r="K261" s="360">
        <v>78.62068965517238</v>
      </c>
      <c r="L261" s="360">
        <v>491.3793103448276</v>
      </c>
      <c r="M261" s="102" t="s">
        <v>706</v>
      </c>
      <c r="N261" s="102" t="s">
        <v>986</v>
      </c>
    </row>
    <row r="262">
      <c r="A262" s="412">
        <v>45583.0</v>
      </c>
      <c r="B262" s="413">
        <v>2024.0</v>
      </c>
      <c r="C262" s="414" t="s">
        <v>916</v>
      </c>
      <c r="D262" s="413" t="s">
        <v>702</v>
      </c>
      <c r="E262" s="413" t="s">
        <v>465</v>
      </c>
      <c r="F262" s="413" t="s">
        <v>703</v>
      </c>
      <c r="G262" s="413" t="s">
        <v>724</v>
      </c>
      <c r="H262" s="415">
        <v>110.0</v>
      </c>
      <c r="I262" s="416" t="b">
        <v>1</v>
      </c>
      <c r="J262" s="413" t="s">
        <v>472</v>
      </c>
      <c r="K262" s="415">
        <v>0.0</v>
      </c>
      <c r="L262" s="415">
        <v>0.0</v>
      </c>
      <c r="M262" s="413" t="s">
        <v>706</v>
      </c>
      <c r="N262" s="413" t="s">
        <v>987</v>
      </c>
    </row>
    <row r="263">
      <c r="A263" s="409">
        <v>45583.0</v>
      </c>
      <c r="B263" s="102">
        <v>2024.0</v>
      </c>
      <c r="C263" s="410" t="s">
        <v>916</v>
      </c>
      <c r="D263" s="102" t="s">
        <v>702</v>
      </c>
      <c r="E263" s="102" t="s">
        <v>465</v>
      </c>
      <c r="F263" s="102" t="s">
        <v>711</v>
      </c>
      <c r="G263" s="102" t="s">
        <v>734</v>
      </c>
      <c r="H263" s="360">
        <v>150.0</v>
      </c>
      <c r="I263" s="411" t="b">
        <v>0</v>
      </c>
      <c r="J263" s="102" t="s">
        <v>988</v>
      </c>
      <c r="K263" s="360">
        <v>20.68965517241378</v>
      </c>
      <c r="L263" s="360">
        <v>129.31034482758622</v>
      </c>
      <c r="M263" s="102" t="s">
        <v>706</v>
      </c>
      <c r="N263" s="102" t="s">
        <v>987</v>
      </c>
    </row>
    <row r="264">
      <c r="A264" s="412">
        <v>45583.0</v>
      </c>
      <c r="B264" s="413">
        <v>2024.0</v>
      </c>
      <c r="C264" s="414" t="s">
        <v>916</v>
      </c>
      <c r="D264" s="413" t="s">
        <v>702</v>
      </c>
      <c r="E264" s="413" t="s">
        <v>465</v>
      </c>
      <c r="F264" s="413" t="s">
        <v>703</v>
      </c>
      <c r="G264" s="413" t="s">
        <v>715</v>
      </c>
      <c r="H264" s="415">
        <v>40.0</v>
      </c>
      <c r="I264" s="416" t="b">
        <v>0</v>
      </c>
      <c r="J264" s="413" t="s">
        <v>472</v>
      </c>
      <c r="K264" s="415">
        <v>0.0</v>
      </c>
      <c r="L264" s="415">
        <v>40.0</v>
      </c>
      <c r="M264" s="413" t="s">
        <v>706</v>
      </c>
      <c r="N264" s="413" t="s">
        <v>987</v>
      </c>
    </row>
    <row r="265">
      <c r="A265" s="409">
        <v>45583.0</v>
      </c>
      <c r="B265" s="102">
        <v>2024.0</v>
      </c>
      <c r="C265" s="410" t="s">
        <v>916</v>
      </c>
      <c r="D265" s="102" t="s">
        <v>710</v>
      </c>
      <c r="E265" s="102" t="s">
        <v>137</v>
      </c>
      <c r="F265" s="102" t="s">
        <v>711</v>
      </c>
      <c r="G265" s="102" t="s">
        <v>724</v>
      </c>
      <c r="H265" s="360">
        <v>110.0</v>
      </c>
      <c r="I265" s="411" t="b">
        <v>1</v>
      </c>
      <c r="J265" s="102" t="s">
        <v>472</v>
      </c>
      <c r="K265" s="360">
        <v>0.0</v>
      </c>
      <c r="L265" s="360">
        <v>0.0</v>
      </c>
      <c r="M265" s="102" t="s">
        <v>706</v>
      </c>
      <c r="N265" s="102" t="s">
        <v>987</v>
      </c>
    </row>
    <row r="266">
      <c r="A266" s="412">
        <v>45583.0</v>
      </c>
      <c r="B266" s="413">
        <v>2024.0</v>
      </c>
      <c r="C266" s="414" t="s">
        <v>916</v>
      </c>
      <c r="D266" s="413" t="s">
        <v>723</v>
      </c>
      <c r="E266" s="413" t="s">
        <v>137</v>
      </c>
      <c r="F266" s="413" t="s">
        <v>711</v>
      </c>
      <c r="G266" s="413" t="s">
        <v>734</v>
      </c>
      <c r="H266" s="415">
        <v>150.0</v>
      </c>
      <c r="I266" s="416" t="b">
        <v>0</v>
      </c>
      <c r="J266" s="413" t="s">
        <v>989</v>
      </c>
      <c r="K266" s="415">
        <v>0.0</v>
      </c>
      <c r="L266" s="415">
        <v>150.0</v>
      </c>
      <c r="M266" s="413" t="s">
        <v>706</v>
      </c>
      <c r="N266" s="413" t="s">
        <v>987</v>
      </c>
    </row>
    <row r="267">
      <c r="A267" s="409">
        <v>45587.0</v>
      </c>
      <c r="B267" s="102">
        <v>2024.0</v>
      </c>
      <c r="C267" s="410" t="s">
        <v>916</v>
      </c>
      <c r="D267" s="102" t="s">
        <v>723</v>
      </c>
      <c r="E267" s="102" t="s">
        <v>137</v>
      </c>
      <c r="F267" s="102" t="s">
        <v>711</v>
      </c>
      <c r="G267" s="102" t="s">
        <v>734</v>
      </c>
      <c r="H267" s="360">
        <v>150.0</v>
      </c>
      <c r="I267" s="411" t="b">
        <v>0</v>
      </c>
      <c r="J267" s="102" t="s">
        <v>472</v>
      </c>
      <c r="K267" s="360">
        <v>0.0</v>
      </c>
      <c r="L267" s="360">
        <v>150.0</v>
      </c>
      <c r="M267" s="102" t="s">
        <v>706</v>
      </c>
      <c r="N267" s="102" t="s">
        <v>990</v>
      </c>
    </row>
    <row r="268">
      <c r="A268" s="412">
        <v>45587.0</v>
      </c>
      <c r="B268" s="413">
        <v>2024.0</v>
      </c>
      <c r="C268" s="414" t="s">
        <v>916</v>
      </c>
      <c r="D268" s="413" t="s">
        <v>702</v>
      </c>
      <c r="E268" s="413" t="s">
        <v>465</v>
      </c>
      <c r="F268" s="413" t="s">
        <v>703</v>
      </c>
      <c r="G268" s="413" t="s">
        <v>991</v>
      </c>
      <c r="H268" s="415">
        <v>4300.0</v>
      </c>
      <c r="I268" s="416" t="b">
        <v>0</v>
      </c>
      <c r="J268" s="413" t="s">
        <v>472</v>
      </c>
      <c r="K268" s="415">
        <v>0.0</v>
      </c>
      <c r="L268" s="415">
        <v>4300.0</v>
      </c>
      <c r="M268" s="413" t="s">
        <v>706</v>
      </c>
      <c r="N268" s="413" t="s">
        <v>992</v>
      </c>
    </row>
    <row r="269">
      <c r="A269" s="409">
        <v>45587.0</v>
      </c>
      <c r="B269" s="102">
        <v>2024.0</v>
      </c>
      <c r="C269" s="410" t="s">
        <v>916</v>
      </c>
      <c r="D269" s="102" t="s">
        <v>723</v>
      </c>
      <c r="E269" s="102" t="s">
        <v>137</v>
      </c>
      <c r="F269" s="102" t="s">
        <v>711</v>
      </c>
      <c r="G269" s="102" t="s">
        <v>734</v>
      </c>
      <c r="H269" s="360">
        <v>120.0</v>
      </c>
      <c r="I269" s="411" t="b">
        <v>0</v>
      </c>
      <c r="J269" s="102" t="s">
        <v>472</v>
      </c>
      <c r="K269" s="360">
        <v>0.0</v>
      </c>
      <c r="L269" s="360">
        <v>120.0</v>
      </c>
      <c r="M269" s="102" t="s">
        <v>706</v>
      </c>
      <c r="N269" s="102" t="s">
        <v>993</v>
      </c>
    </row>
    <row r="270">
      <c r="A270" s="412">
        <v>45587.0</v>
      </c>
      <c r="B270" s="413">
        <v>2024.0</v>
      </c>
      <c r="C270" s="414" t="s">
        <v>916</v>
      </c>
      <c r="D270" s="413" t="s">
        <v>702</v>
      </c>
      <c r="E270" s="413" t="s">
        <v>465</v>
      </c>
      <c r="F270" s="413" t="s">
        <v>711</v>
      </c>
      <c r="G270" s="413" t="s">
        <v>730</v>
      </c>
      <c r="H270" s="415">
        <v>42.0</v>
      </c>
      <c r="I270" s="416" t="b">
        <v>0</v>
      </c>
      <c r="J270" s="413" t="s">
        <v>472</v>
      </c>
      <c r="K270" s="415">
        <v>5.793103448275858</v>
      </c>
      <c r="L270" s="415">
        <v>36.20689655172414</v>
      </c>
      <c r="M270" s="413" t="s">
        <v>706</v>
      </c>
      <c r="N270" s="413" t="s">
        <v>993</v>
      </c>
    </row>
    <row r="271">
      <c r="A271" s="409">
        <v>45587.0</v>
      </c>
      <c r="B271" s="102">
        <v>2024.0</v>
      </c>
      <c r="C271" s="410" t="s">
        <v>916</v>
      </c>
      <c r="D271" s="102" t="s">
        <v>723</v>
      </c>
      <c r="E271" s="102" t="s">
        <v>137</v>
      </c>
      <c r="F271" s="102" t="s">
        <v>711</v>
      </c>
      <c r="G271" s="102" t="s">
        <v>734</v>
      </c>
      <c r="H271" s="360">
        <v>120.0</v>
      </c>
      <c r="I271" s="411" t="b">
        <v>0</v>
      </c>
      <c r="J271" s="102" t="s">
        <v>472</v>
      </c>
      <c r="K271" s="360">
        <v>0.0</v>
      </c>
      <c r="L271" s="360">
        <v>120.0</v>
      </c>
      <c r="M271" s="102" t="s">
        <v>706</v>
      </c>
      <c r="N271" s="102" t="s">
        <v>993</v>
      </c>
    </row>
    <row r="272">
      <c r="A272" s="412">
        <v>45587.0</v>
      </c>
      <c r="B272" s="413">
        <v>2024.0</v>
      </c>
      <c r="C272" s="414" t="s">
        <v>916</v>
      </c>
      <c r="D272" s="413" t="s">
        <v>723</v>
      </c>
      <c r="E272" s="413" t="s">
        <v>137</v>
      </c>
      <c r="F272" s="413" t="s">
        <v>711</v>
      </c>
      <c r="G272" s="413" t="s">
        <v>737</v>
      </c>
      <c r="H272" s="415">
        <v>500.0</v>
      </c>
      <c r="I272" s="416" t="b">
        <v>0</v>
      </c>
      <c r="J272" s="413" t="s">
        <v>994</v>
      </c>
      <c r="K272" s="415">
        <v>0.0</v>
      </c>
      <c r="L272" s="415">
        <v>500.0</v>
      </c>
      <c r="M272" s="413" t="s">
        <v>706</v>
      </c>
      <c r="N272" s="413" t="s">
        <v>995</v>
      </c>
    </row>
    <row r="273">
      <c r="A273" s="409">
        <v>45589.0</v>
      </c>
      <c r="B273" s="102">
        <v>2024.0</v>
      </c>
      <c r="C273" s="410" t="s">
        <v>916</v>
      </c>
      <c r="D273" s="102" t="s">
        <v>723</v>
      </c>
      <c r="E273" s="102" t="s">
        <v>137</v>
      </c>
      <c r="F273" s="102" t="s">
        <v>711</v>
      </c>
      <c r="G273" s="102" t="s">
        <v>715</v>
      </c>
      <c r="H273" s="360">
        <v>37.0</v>
      </c>
      <c r="I273" s="411" t="b">
        <v>0</v>
      </c>
      <c r="J273" s="102" t="s">
        <v>472</v>
      </c>
      <c r="K273" s="360">
        <v>0.0</v>
      </c>
      <c r="L273" s="360">
        <v>37.0</v>
      </c>
      <c r="M273" s="102" t="s">
        <v>706</v>
      </c>
      <c r="N273" s="102" t="s">
        <v>996</v>
      </c>
    </row>
    <row r="274">
      <c r="A274" s="412">
        <v>45589.0</v>
      </c>
      <c r="B274" s="413">
        <v>2024.0</v>
      </c>
      <c r="C274" s="414" t="s">
        <v>916</v>
      </c>
      <c r="D274" s="413" t="s">
        <v>723</v>
      </c>
      <c r="E274" s="413" t="s">
        <v>137</v>
      </c>
      <c r="F274" s="413" t="s">
        <v>711</v>
      </c>
      <c r="G274" s="413" t="s">
        <v>734</v>
      </c>
      <c r="H274" s="415">
        <v>150.0</v>
      </c>
      <c r="I274" s="416" t="b">
        <v>0</v>
      </c>
      <c r="J274" s="413" t="s">
        <v>997</v>
      </c>
      <c r="K274" s="415">
        <v>0.0</v>
      </c>
      <c r="L274" s="415">
        <v>150.0</v>
      </c>
      <c r="M274" s="413" t="s">
        <v>706</v>
      </c>
      <c r="N274" s="413" t="s">
        <v>996</v>
      </c>
    </row>
    <row r="275">
      <c r="A275" s="409">
        <v>45589.0</v>
      </c>
      <c r="B275" s="102">
        <v>2024.0</v>
      </c>
      <c r="C275" s="410" t="s">
        <v>916</v>
      </c>
      <c r="D275" s="102" t="s">
        <v>702</v>
      </c>
      <c r="E275" s="102" t="s">
        <v>465</v>
      </c>
      <c r="F275" s="102" t="s">
        <v>711</v>
      </c>
      <c r="G275" s="102" t="s">
        <v>734</v>
      </c>
      <c r="H275" s="360">
        <v>130.0</v>
      </c>
      <c r="I275" s="411" t="b">
        <v>0</v>
      </c>
      <c r="J275" s="102" t="s">
        <v>998</v>
      </c>
      <c r="K275" s="360">
        <v>17.93103448275862</v>
      </c>
      <c r="L275" s="360">
        <v>112.06896551724138</v>
      </c>
      <c r="M275" s="102" t="s">
        <v>706</v>
      </c>
      <c r="N275" s="102" t="s">
        <v>996</v>
      </c>
    </row>
    <row r="276">
      <c r="A276" s="412">
        <v>45589.0</v>
      </c>
      <c r="B276" s="413">
        <v>2024.0</v>
      </c>
      <c r="C276" s="414" t="s">
        <v>916</v>
      </c>
      <c r="D276" s="413" t="s">
        <v>723</v>
      </c>
      <c r="E276" s="413" t="s">
        <v>137</v>
      </c>
      <c r="F276" s="413" t="s">
        <v>711</v>
      </c>
      <c r="G276" s="413" t="s">
        <v>715</v>
      </c>
      <c r="H276" s="415">
        <v>117.0</v>
      </c>
      <c r="I276" s="416" t="b">
        <v>0</v>
      </c>
      <c r="J276" s="413" t="s">
        <v>472</v>
      </c>
      <c r="K276" s="415">
        <v>0.0</v>
      </c>
      <c r="L276" s="415">
        <v>117.0</v>
      </c>
      <c r="M276" s="413" t="s">
        <v>706</v>
      </c>
      <c r="N276" s="413" t="s">
        <v>999</v>
      </c>
    </row>
    <row r="277">
      <c r="A277" s="409">
        <v>45589.0</v>
      </c>
      <c r="B277" s="102">
        <v>2024.0</v>
      </c>
      <c r="C277" s="410" t="s">
        <v>916</v>
      </c>
      <c r="D277" s="102" t="s">
        <v>723</v>
      </c>
      <c r="E277" s="102" t="s">
        <v>137</v>
      </c>
      <c r="F277" s="102" t="s">
        <v>711</v>
      </c>
      <c r="G277" s="102" t="s">
        <v>740</v>
      </c>
      <c r="H277" s="360">
        <v>7.0</v>
      </c>
      <c r="I277" s="411" t="b">
        <v>0</v>
      </c>
      <c r="J277" s="102" t="s">
        <v>472</v>
      </c>
      <c r="K277" s="360">
        <v>0.0</v>
      </c>
      <c r="L277" s="360">
        <v>7.0</v>
      </c>
      <c r="M277" s="102" t="s">
        <v>706</v>
      </c>
      <c r="N277" s="102" t="s">
        <v>999</v>
      </c>
    </row>
    <row r="278">
      <c r="A278" s="412">
        <v>45590.0</v>
      </c>
      <c r="B278" s="413">
        <v>2024.0</v>
      </c>
      <c r="C278" s="414" t="s">
        <v>916</v>
      </c>
      <c r="D278" s="413" t="s">
        <v>710</v>
      </c>
      <c r="E278" s="413" t="s">
        <v>137</v>
      </c>
      <c r="F278" s="413" t="s">
        <v>711</v>
      </c>
      <c r="G278" s="413" t="s">
        <v>724</v>
      </c>
      <c r="H278" s="415">
        <v>2310.0</v>
      </c>
      <c r="I278" s="416" t="b">
        <v>1</v>
      </c>
      <c r="J278" s="413" t="s">
        <v>472</v>
      </c>
      <c r="K278" s="415">
        <v>0.0</v>
      </c>
      <c r="L278" s="415">
        <v>0.0</v>
      </c>
      <c r="M278" s="413" t="s">
        <v>706</v>
      </c>
      <c r="N278" s="413" t="s">
        <v>1000</v>
      </c>
    </row>
    <row r="279">
      <c r="A279" s="409">
        <v>45590.0</v>
      </c>
      <c r="B279" s="102">
        <v>2024.0</v>
      </c>
      <c r="C279" s="410" t="s">
        <v>916</v>
      </c>
      <c r="D279" s="102" t="s">
        <v>723</v>
      </c>
      <c r="E279" s="102" t="s">
        <v>137</v>
      </c>
      <c r="F279" s="102" t="s">
        <v>703</v>
      </c>
      <c r="G279" s="102" t="s">
        <v>724</v>
      </c>
      <c r="H279" s="360">
        <v>2310.0</v>
      </c>
      <c r="I279" s="411" t="b">
        <v>1</v>
      </c>
      <c r="J279" s="102" t="s">
        <v>472</v>
      </c>
      <c r="K279" s="360">
        <v>0.0</v>
      </c>
      <c r="L279" s="360">
        <v>0.0</v>
      </c>
      <c r="M279" s="102" t="s">
        <v>706</v>
      </c>
      <c r="N279" s="102" t="s">
        <v>1000</v>
      </c>
    </row>
    <row r="280">
      <c r="A280" s="412">
        <v>45590.0</v>
      </c>
      <c r="B280" s="413">
        <v>2024.0</v>
      </c>
      <c r="C280" s="414" t="s">
        <v>916</v>
      </c>
      <c r="D280" s="413" t="s">
        <v>702</v>
      </c>
      <c r="E280" s="413" t="s">
        <v>465</v>
      </c>
      <c r="F280" s="413" t="s">
        <v>711</v>
      </c>
      <c r="G280" s="413" t="s">
        <v>730</v>
      </c>
      <c r="H280" s="415">
        <v>25.0</v>
      </c>
      <c r="I280" s="416" t="b">
        <v>0</v>
      </c>
      <c r="J280" s="413" t="s">
        <v>472</v>
      </c>
      <c r="K280" s="415">
        <v>3.4482758620689644</v>
      </c>
      <c r="L280" s="415">
        <v>21.551724137931036</v>
      </c>
      <c r="M280" s="413" t="s">
        <v>706</v>
      </c>
      <c r="N280" s="413" t="s">
        <v>1000</v>
      </c>
    </row>
    <row r="281">
      <c r="A281" s="409">
        <v>45590.0</v>
      </c>
      <c r="B281" s="102">
        <v>2024.0</v>
      </c>
      <c r="C281" s="410" t="s">
        <v>916</v>
      </c>
      <c r="D281" s="102" t="s">
        <v>710</v>
      </c>
      <c r="E281" s="102" t="s">
        <v>137</v>
      </c>
      <c r="F281" s="102" t="s">
        <v>703</v>
      </c>
      <c r="G281" s="102" t="s">
        <v>724</v>
      </c>
      <c r="H281" s="360">
        <v>820.0</v>
      </c>
      <c r="I281" s="411" t="b">
        <v>1</v>
      </c>
      <c r="J281" s="102" t="s">
        <v>472</v>
      </c>
      <c r="K281" s="360">
        <v>0.0</v>
      </c>
      <c r="L281" s="360">
        <v>0.0</v>
      </c>
      <c r="M281" s="102" t="s">
        <v>706</v>
      </c>
      <c r="N281" s="102" t="s">
        <v>1000</v>
      </c>
    </row>
    <row r="282">
      <c r="A282" s="412">
        <v>45590.0</v>
      </c>
      <c r="B282" s="413">
        <v>2024.0</v>
      </c>
      <c r="C282" s="414" t="s">
        <v>916</v>
      </c>
      <c r="D282" s="413" t="s">
        <v>710</v>
      </c>
      <c r="E282" s="413" t="s">
        <v>137</v>
      </c>
      <c r="F282" s="413" t="s">
        <v>703</v>
      </c>
      <c r="G282" s="413" t="s">
        <v>715</v>
      </c>
      <c r="H282" s="415">
        <v>495.0</v>
      </c>
      <c r="I282" s="416" t="b">
        <v>0</v>
      </c>
      <c r="J282" s="413" t="s">
        <v>472</v>
      </c>
      <c r="K282" s="415">
        <v>0.0</v>
      </c>
      <c r="L282" s="415">
        <v>495.0</v>
      </c>
      <c r="M282" s="413" t="s">
        <v>706</v>
      </c>
      <c r="N282" s="413" t="s">
        <v>1000</v>
      </c>
    </row>
    <row r="283">
      <c r="A283" s="409">
        <v>45590.0</v>
      </c>
      <c r="B283" s="102">
        <v>2024.0</v>
      </c>
      <c r="C283" s="410" t="s">
        <v>916</v>
      </c>
      <c r="D283" s="102" t="s">
        <v>723</v>
      </c>
      <c r="E283" s="102" t="s">
        <v>137</v>
      </c>
      <c r="F283" s="102" t="s">
        <v>711</v>
      </c>
      <c r="G283" s="102" t="s">
        <v>724</v>
      </c>
      <c r="H283" s="360">
        <v>820.0</v>
      </c>
      <c r="I283" s="411" t="b">
        <v>1</v>
      </c>
      <c r="J283" s="102" t="s">
        <v>472</v>
      </c>
      <c r="K283" s="360">
        <v>0.0</v>
      </c>
      <c r="L283" s="360">
        <v>0.0</v>
      </c>
      <c r="M283" s="102" t="s">
        <v>706</v>
      </c>
      <c r="N283" s="102" t="s">
        <v>1000</v>
      </c>
    </row>
    <row r="284">
      <c r="A284" s="412">
        <v>45590.0</v>
      </c>
      <c r="B284" s="413">
        <v>2024.0</v>
      </c>
      <c r="C284" s="414" t="s">
        <v>916</v>
      </c>
      <c r="D284" s="413" t="s">
        <v>710</v>
      </c>
      <c r="E284" s="413" t="s">
        <v>137</v>
      </c>
      <c r="F284" s="413" t="s">
        <v>703</v>
      </c>
      <c r="G284" s="413" t="s">
        <v>906</v>
      </c>
      <c r="H284" s="415">
        <v>2000.0</v>
      </c>
      <c r="I284" s="416" t="b">
        <v>0</v>
      </c>
      <c r="J284" s="413" t="s">
        <v>904</v>
      </c>
      <c r="K284" s="415">
        <v>0.0</v>
      </c>
      <c r="L284" s="415">
        <v>2000.0</v>
      </c>
      <c r="M284" s="413" t="s">
        <v>706</v>
      </c>
      <c r="N284" s="413" t="s">
        <v>1001</v>
      </c>
    </row>
    <row r="285">
      <c r="A285" s="409">
        <v>45590.0</v>
      </c>
      <c r="B285" s="102">
        <v>2024.0</v>
      </c>
      <c r="C285" s="410" t="s">
        <v>916</v>
      </c>
      <c r="D285" s="102" t="s">
        <v>710</v>
      </c>
      <c r="E285" s="102" t="s">
        <v>137</v>
      </c>
      <c r="F285" s="102" t="s">
        <v>703</v>
      </c>
      <c r="G285" s="102" t="s">
        <v>715</v>
      </c>
      <c r="H285" s="360">
        <v>1500.0</v>
      </c>
      <c r="I285" s="411" t="b">
        <v>0</v>
      </c>
      <c r="J285" s="102" t="s">
        <v>472</v>
      </c>
      <c r="K285" s="360">
        <v>0.0</v>
      </c>
      <c r="L285" s="360">
        <v>1500.0</v>
      </c>
      <c r="M285" s="102" t="s">
        <v>706</v>
      </c>
      <c r="N285" s="102" t="s">
        <v>1002</v>
      </c>
    </row>
    <row r="286">
      <c r="A286" s="412">
        <v>45590.0</v>
      </c>
      <c r="B286" s="413">
        <v>2024.0</v>
      </c>
      <c r="C286" s="414" t="s">
        <v>916</v>
      </c>
      <c r="D286" s="413" t="s">
        <v>702</v>
      </c>
      <c r="E286" s="413" t="s">
        <v>465</v>
      </c>
      <c r="F286" s="413" t="s">
        <v>703</v>
      </c>
      <c r="G286" s="413" t="s">
        <v>906</v>
      </c>
      <c r="H286" s="415">
        <v>3000.0</v>
      </c>
      <c r="I286" s="416" t="b">
        <v>0</v>
      </c>
      <c r="J286" s="413" t="s">
        <v>1003</v>
      </c>
      <c r="K286" s="415">
        <v>0.0</v>
      </c>
      <c r="L286" s="415">
        <v>3000.0</v>
      </c>
      <c r="M286" s="413" t="s">
        <v>706</v>
      </c>
      <c r="N286" s="413" t="s">
        <v>1002</v>
      </c>
    </row>
    <row r="287">
      <c r="A287" s="409">
        <v>45594.0</v>
      </c>
      <c r="B287" s="102">
        <v>2024.0</v>
      </c>
      <c r="C287" s="410" t="s">
        <v>916</v>
      </c>
      <c r="D287" s="102" t="s">
        <v>723</v>
      </c>
      <c r="E287" s="102" t="s">
        <v>137</v>
      </c>
      <c r="F287" s="102" t="s">
        <v>711</v>
      </c>
      <c r="G287" s="102" t="s">
        <v>715</v>
      </c>
      <c r="H287" s="360">
        <v>34.0</v>
      </c>
      <c r="I287" s="411" t="b">
        <v>0</v>
      </c>
      <c r="J287" s="102" t="s">
        <v>472</v>
      </c>
      <c r="K287" s="360">
        <v>0.0</v>
      </c>
      <c r="L287" s="360">
        <v>34.0</v>
      </c>
      <c r="M287" s="102" t="s">
        <v>706</v>
      </c>
      <c r="N287" s="102" t="s">
        <v>1004</v>
      </c>
    </row>
    <row r="288">
      <c r="A288" s="412">
        <v>45594.0</v>
      </c>
      <c r="B288" s="413">
        <v>2024.0</v>
      </c>
      <c r="C288" s="414" t="s">
        <v>916</v>
      </c>
      <c r="D288" s="413" t="s">
        <v>723</v>
      </c>
      <c r="E288" s="413" t="s">
        <v>137</v>
      </c>
      <c r="F288" s="413" t="s">
        <v>711</v>
      </c>
      <c r="G288" s="413" t="s">
        <v>734</v>
      </c>
      <c r="H288" s="415">
        <v>80.0</v>
      </c>
      <c r="I288" s="416" t="b">
        <v>0</v>
      </c>
      <c r="J288" s="413" t="s">
        <v>472</v>
      </c>
      <c r="K288" s="415">
        <v>0.0</v>
      </c>
      <c r="L288" s="415">
        <v>80.0</v>
      </c>
      <c r="M288" s="413" t="s">
        <v>706</v>
      </c>
      <c r="N288" s="413" t="s">
        <v>1004</v>
      </c>
    </row>
    <row r="289">
      <c r="A289" s="409">
        <v>45594.0</v>
      </c>
      <c r="B289" s="102">
        <v>2024.0</v>
      </c>
      <c r="C289" s="410" t="s">
        <v>916</v>
      </c>
      <c r="D289" s="102" t="s">
        <v>723</v>
      </c>
      <c r="E289" s="102" t="s">
        <v>137</v>
      </c>
      <c r="F289" s="102" t="s">
        <v>711</v>
      </c>
      <c r="G289" s="102" t="s">
        <v>734</v>
      </c>
      <c r="H289" s="360">
        <v>150.0</v>
      </c>
      <c r="I289" s="411" t="b">
        <v>0</v>
      </c>
      <c r="J289" s="102" t="s">
        <v>1005</v>
      </c>
      <c r="K289" s="360">
        <v>0.0</v>
      </c>
      <c r="L289" s="360">
        <v>150.0</v>
      </c>
      <c r="M289" s="102" t="s">
        <v>706</v>
      </c>
      <c r="N289" s="102" t="s">
        <v>1004</v>
      </c>
    </row>
    <row r="290">
      <c r="A290" s="412">
        <v>45594.0</v>
      </c>
      <c r="B290" s="413">
        <v>2024.0</v>
      </c>
      <c r="C290" s="414" t="s">
        <v>916</v>
      </c>
      <c r="D290" s="413" t="s">
        <v>723</v>
      </c>
      <c r="E290" s="413" t="s">
        <v>137</v>
      </c>
      <c r="F290" s="413" t="s">
        <v>711</v>
      </c>
      <c r="G290" s="413" t="s">
        <v>734</v>
      </c>
      <c r="H290" s="415">
        <v>120.0</v>
      </c>
      <c r="I290" s="416" t="b">
        <v>0</v>
      </c>
      <c r="J290" s="413" t="s">
        <v>998</v>
      </c>
      <c r="K290" s="415">
        <v>0.0</v>
      </c>
      <c r="L290" s="415">
        <v>120.0</v>
      </c>
      <c r="M290" s="413" t="s">
        <v>706</v>
      </c>
      <c r="N290" s="413" t="s">
        <v>1004</v>
      </c>
    </row>
    <row r="291">
      <c r="A291" s="409">
        <v>45594.0</v>
      </c>
      <c r="B291" s="102">
        <v>2024.0</v>
      </c>
      <c r="C291" s="410" t="s">
        <v>916</v>
      </c>
      <c r="D291" s="102" t="s">
        <v>723</v>
      </c>
      <c r="E291" s="102" t="s">
        <v>137</v>
      </c>
      <c r="F291" s="102" t="s">
        <v>711</v>
      </c>
      <c r="G291" s="102" t="s">
        <v>715</v>
      </c>
      <c r="H291" s="360">
        <v>30.0</v>
      </c>
      <c r="I291" s="411" t="b">
        <v>0</v>
      </c>
      <c r="J291" s="102" t="s">
        <v>472</v>
      </c>
      <c r="K291" s="360">
        <v>0.0</v>
      </c>
      <c r="L291" s="360">
        <v>30.0</v>
      </c>
      <c r="M291" s="102" t="s">
        <v>706</v>
      </c>
      <c r="N291" s="102" t="s">
        <v>1004</v>
      </c>
    </row>
    <row r="292">
      <c r="A292" s="412">
        <v>45594.0</v>
      </c>
      <c r="B292" s="413">
        <v>2024.0</v>
      </c>
      <c r="C292" s="414" t="s">
        <v>916</v>
      </c>
      <c r="D292" s="413" t="s">
        <v>723</v>
      </c>
      <c r="E292" s="413" t="s">
        <v>137</v>
      </c>
      <c r="F292" s="413" t="s">
        <v>711</v>
      </c>
      <c r="G292" s="413" t="s">
        <v>734</v>
      </c>
      <c r="H292" s="415">
        <v>150.0</v>
      </c>
      <c r="I292" s="416" t="b">
        <v>0</v>
      </c>
      <c r="J292" s="413" t="s">
        <v>988</v>
      </c>
      <c r="K292" s="415">
        <v>0.0</v>
      </c>
      <c r="L292" s="415">
        <v>150.0</v>
      </c>
      <c r="M292" s="413" t="s">
        <v>706</v>
      </c>
      <c r="N292" s="413" t="s">
        <v>1004</v>
      </c>
    </row>
    <row r="293">
      <c r="A293" s="409">
        <v>45594.0</v>
      </c>
      <c r="B293" s="102">
        <v>2024.0</v>
      </c>
      <c r="C293" s="410" t="s">
        <v>916</v>
      </c>
      <c r="D293" s="102" t="s">
        <v>723</v>
      </c>
      <c r="E293" s="102" t="s">
        <v>137</v>
      </c>
      <c r="F293" s="102" t="s">
        <v>711</v>
      </c>
      <c r="G293" s="102" t="s">
        <v>734</v>
      </c>
      <c r="H293" s="360">
        <v>150.0</v>
      </c>
      <c r="I293" s="411" t="b">
        <v>0</v>
      </c>
      <c r="J293" s="102" t="s">
        <v>1006</v>
      </c>
      <c r="K293" s="360">
        <v>0.0</v>
      </c>
      <c r="L293" s="360">
        <v>150.0</v>
      </c>
      <c r="M293" s="102" t="s">
        <v>706</v>
      </c>
      <c r="N293" s="102" t="s">
        <v>1004</v>
      </c>
    </row>
    <row r="294">
      <c r="A294" s="412">
        <v>45596.0</v>
      </c>
      <c r="B294" s="413">
        <v>2024.0</v>
      </c>
      <c r="C294" s="414" t="s">
        <v>916</v>
      </c>
      <c r="D294" s="413" t="s">
        <v>723</v>
      </c>
      <c r="E294" s="413" t="s">
        <v>137</v>
      </c>
      <c r="F294" s="413" t="s">
        <v>711</v>
      </c>
      <c r="G294" s="413" t="s">
        <v>767</v>
      </c>
      <c r="H294" s="415">
        <v>800.0</v>
      </c>
      <c r="I294" s="416" t="b">
        <v>0</v>
      </c>
      <c r="J294" s="413" t="s">
        <v>1007</v>
      </c>
      <c r="K294" s="415">
        <v>0.0</v>
      </c>
      <c r="L294" s="415">
        <v>800.0</v>
      </c>
      <c r="M294" s="413" t="s">
        <v>706</v>
      </c>
      <c r="N294" s="413" t="s">
        <v>1008</v>
      </c>
    </row>
    <row r="295">
      <c r="A295" s="409">
        <v>45596.0</v>
      </c>
      <c r="B295" s="102">
        <v>2024.0</v>
      </c>
      <c r="C295" s="410" t="s">
        <v>916</v>
      </c>
      <c r="D295" s="102" t="s">
        <v>723</v>
      </c>
      <c r="E295" s="102" t="s">
        <v>137</v>
      </c>
      <c r="F295" s="102" t="s">
        <v>711</v>
      </c>
      <c r="G295" s="102" t="s">
        <v>715</v>
      </c>
      <c r="H295" s="360">
        <v>27.0</v>
      </c>
      <c r="I295" s="411" t="b">
        <v>0</v>
      </c>
      <c r="J295" s="102" t="s">
        <v>472</v>
      </c>
      <c r="K295" s="360">
        <v>0.0</v>
      </c>
      <c r="L295" s="360">
        <v>27.0</v>
      </c>
      <c r="M295" s="102" t="s">
        <v>706</v>
      </c>
      <c r="N295" s="102" t="s">
        <v>1008</v>
      </c>
    </row>
    <row r="296">
      <c r="A296" s="412">
        <v>45598.0</v>
      </c>
      <c r="B296" s="413">
        <v>2024.0</v>
      </c>
      <c r="C296" s="414" t="s">
        <v>1009</v>
      </c>
      <c r="D296" s="413" t="s">
        <v>702</v>
      </c>
      <c r="E296" s="413" t="s">
        <v>465</v>
      </c>
      <c r="F296" s="413" t="s">
        <v>711</v>
      </c>
      <c r="G296" s="413" t="s">
        <v>767</v>
      </c>
      <c r="H296" s="415">
        <v>1199.0</v>
      </c>
      <c r="I296" s="416" t="b">
        <v>0</v>
      </c>
      <c r="J296" s="413" t="s">
        <v>1010</v>
      </c>
      <c r="K296" s="415">
        <v>165.37931034482745</v>
      </c>
      <c r="L296" s="415">
        <v>1033.6206896551726</v>
      </c>
      <c r="M296" s="413" t="s">
        <v>706</v>
      </c>
      <c r="N296" s="413" t="s">
        <v>1011</v>
      </c>
    </row>
    <row r="297">
      <c r="A297" s="409">
        <v>45598.0</v>
      </c>
      <c r="B297" s="102">
        <v>2024.0</v>
      </c>
      <c r="C297" s="410" t="s">
        <v>1009</v>
      </c>
      <c r="D297" s="102" t="s">
        <v>723</v>
      </c>
      <c r="E297" s="102" t="s">
        <v>137</v>
      </c>
      <c r="F297" s="102" t="s">
        <v>711</v>
      </c>
      <c r="G297" s="102" t="s">
        <v>734</v>
      </c>
      <c r="H297" s="360">
        <v>80.0</v>
      </c>
      <c r="I297" s="411" t="b">
        <v>0</v>
      </c>
      <c r="J297" s="102" t="s">
        <v>472</v>
      </c>
      <c r="K297" s="360">
        <v>0.0</v>
      </c>
      <c r="L297" s="360">
        <v>80.0</v>
      </c>
      <c r="M297" s="102" t="s">
        <v>706</v>
      </c>
      <c r="N297" s="102" t="s">
        <v>1011</v>
      </c>
    </row>
    <row r="298">
      <c r="A298" s="412">
        <v>45598.0</v>
      </c>
      <c r="B298" s="413">
        <v>2024.0</v>
      </c>
      <c r="C298" s="414" t="s">
        <v>1009</v>
      </c>
      <c r="D298" s="413" t="s">
        <v>710</v>
      </c>
      <c r="E298" s="413" t="s">
        <v>137</v>
      </c>
      <c r="F298" s="413" t="s">
        <v>703</v>
      </c>
      <c r="G298" s="413" t="s">
        <v>769</v>
      </c>
      <c r="H298" s="415">
        <v>8000.0</v>
      </c>
      <c r="I298" s="416" t="b">
        <v>0</v>
      </c>
      <c r="J298" s="413" t="s">
        <v>472</v>
      </c>
      <c r="K298" s="415">
        <v>0.0</v>
      </c>
      <c r="L298" s="415">
        <v>8000.0</v>
      </c>
      <c r="M298" s="413" t="s">
        <v>706</v>
      </c>
      <c r="N298" s="413" t="s">
        <v>1011</v>
      </c>
    </row>
    <row r="299">
      <c r="A299" s="409">
        <v>45598.0</v>
      </c>
      <c r="B299" s="102">
        <v>2024.0</v>
      </c>
      <c r="C299" s="410" t="s">
        <v>1009</v>
      </c>
      <c r="D299" s="102" t="s">
        <v>723</v>
      </c>
      <c r="E299" s="102" t="s">
        <v>137</v>
      </c>
      <c r="F299" s="102" t="s">
        <v>711</v>
      </c>
      <c r="G299" s="102" t="s">
        <v>715</v>
      </c>
      <c r="H299" s="360">
        <v>1300.0</v>
      </c>
      <c r="I299" s="411" t="b">
        <v>0</v>
      </c>
      <c r="J299" s="102" t="s">
        <v>1012</v>
      </c>
      <c r="K299" s="360">
        <v>0.0</v>
      </c>
      <c r="L299" s="360">
        <v>1300.0</v>
      </c>
      <c r="M299" s="102" t="s">
        <v>706</v>
      </c>
      <c r="N299" s="102" t="s">
        <v>1011</v>
      </c>
    </row>
    <row r="300">
      <c r="A300" s="412">
        <v>45598.0</v>
      </c>
      <c r="B300" s="413">
        <v>2024.0</v>
      </c>
      <c r="C300" s="414" t="s">
        <v>1009</v>
      </c>
      <c r="D300" s="413" t="s">
        <v>723</v>
      </c>
      <c r="E300" s="413" t="s">
        <v>137</v>
      </c>
      <c r="F300" s="413" t="s">
        <v>711</v>
      </c>
      <c r="G300" s="413" t="s">
        <v>734</v>
      </c>
      <c r="H300" s="415">
        <v>80.0</v>
      </c>
      <c r="I300" s="416" t="b">
        <v>0</v>
      </c>
      <c r="J300" s="413" t="s">
        <v>472</v>
      </c>
      <c r="K300" s="415">
        <v>0.0</v>
      </c>
      <c r="L300" s="415">
        <v>80.0</v>
      </c>
      <c r="M300" s="413" t="s">
        <v>706</v>
      </c>
      <c r="N300" s="413" t="s">
        <v>1011</v>
      </c>
    </row>
    <row r="301">
      <c r="A301" s="409">
        <v>45598.0</v>
      </c>
      <c r="B301" s="102">
        <v>2024.0</v>
      </c>
      <c r="C301" s="410" t="s">
        <v>1009</v>
      </c>
      <c r="D301" s="102" t="s">
        <v>723</v>
      </c>
      <c r="E301" s="102" t="s">
        <v>137</v>
      </c>
      <c r="F301" s="102" t="s">
        <v>711</v>
      </c>
      <c r="G301" s="102" t="s">
        <v>715</v>
      </c>
      <c r="H301" s="360">
        <v>650.0</v>
      </c>
      <c r="I301" s="411" t="b">
        <v>0</v>
      </c>
      <c r="J301" s="102" t="s">
        <v>1006</v>
      </c>
      <c r="K301" s="360">
        <v>0.0</v>
      </c>
      <c r="L301" s="360">
        <v>650.0</v>
      </c>
      <c r="M301" s="102" t="s">
        <v>706</v>
      </c>
      <c r="N301" s="102" t="s">
        <v>1011</v>
      </c>
    </row>
    <row r="302">
      <c r="A302" s="412">
        <v>45600.0</v>
      </c>
      <c r="B302" s="413">
        <v>2024.0</v>
      </c>
      <c r="C302" s="414" t="s">
        <v>1009</v>
      </c>
      <c r="D302" s="413" t="s">
        <v>702</v>
      </c>
      <c r="E302" s="413" t="s">
        <v>465</v>
      </c>
      <c r="F302" s="413" t="s">
        <v>711</v>
      </c>
      <c r="G302" s="413" t="s">
        <v>767</v>
      </c>
      <c r="H302" s="415">
        <v>950.0</v>
      </c>
      <c r="I302" s="416" t="b">
        <v>0</v>
      </c>
      <c r="J302" s="413" t="s">
        <v>472</v>
      </c>
      <c r="K302" s="415">
        <v>131.03448275862058</v>
      </c>
      <c r="L302" s="415">
        <v>818.9655172413794</v>
      </c>
      <c r="M302" s="413" t="s">
        <v>706</v>
      </c>
      <c r="N302" s="413" t="s">
        <v>1013</v>
      </c>
    </row>
    <row r="303">
      <c r="A303" s="409">
        <v>45600.0</v>
      </c>
      <c r="B303" s="102">
        <v>2024.0</v>
      </c>
      <c r="C303" s="410" t="s">
        <v>1009</v>
      </c>
      <c r="D303" s="102" t="s">
        <v>702</v>
      </c>
      <c r="E303" s="102" t="s">
        <v>465</v>
      </c>
      <c r="F303" s="102" t="s">
        <v>711</v>
      </c>
      <c r="G303" s="102" t="s">
        <v>767</v>
      </c>
      <c r="H303" s="360">
        <v>950.0</v>
      </c>
      <c r="I303" s="411" t="b">
        <v>0</v>
      </c>
      <c r="J303" s="102" t="s">
        <v>1014</v>
      </c>
      <c r="K303" s="360">
        <v>131.03448275862058</v>
      </c>
      <c r="L303" s="360">
        <v>818.9655172413794</v>
      </c>
      <c r="M303" s="102" t="s">
        <v>706</v>
      </c>
      <c r="N303" s="102" t="s">
        <v>1013</v>
      </c>
    </row>
    <row r="304">
      <c r="A304" s="412">
        <v>45600.0</v>
      </c>
      <c r="B304" s="413">
        <v>2024.0</v>
      </c>
      <c r="C304" s="414" t="s">
        <v>1009</v>
      </c>
      <c r="D304" s="413" t="s">
        <v>702</v>
      </c>
      <c r="E304" s="413" t="s">
        <v>465</v>
      </c>
      <c r="F304" s="413" t="s">
        <v>711</v>
      </c>
      <c r="G304" s="413" t="s">
        <v>767</v>
      </c>
      <c r="H304" s="415">
        <v>1150.0</v>
      </c>
      <c r="I304" s="416" t="b">
        <v>0</v>
      </c>
      <c r="J304" s="413" t="s">
        <v>1015</v>
      </c>
      <c r="K304" s="415">
        <v>158.62068965517233</v>
      </c>
      <c r="L304" s="415">
        <v>991.3793103448277</v>
      </c>
      <c r="M304" s="413" t="s">
        <v>706</v>
      </c>
      <c r="N304" s="413" t="s">
        <v>1013</v>
      </c>
    </row>
    <row r="305">
      <c r="A305" s="409">
        <v>45600.0</v>
      </c>
      <c r="B305" s="102">
        <v>2024.0</v>
      </c>
      <c r="C305" s="410" t="s">
        <v>1009</v>
      </c>
      <c r="D305" s="102" t="s">
        <v>702</v>
      </c>
      <c r="E305" s="102" t="s">
        <v>465</v>
      </c>
      <c r="F305" s="102" t="s">
        <v>711</v>
      </c>
      <c r="G305" s="102" t="s">
        <v>767</v>
      </c>
      <c r="H305" s="360">
        <v>800.0</v>
      </c>
      <c r="I305" s="411" t="b">
        <v>0</v>
      </c>
      <c r="J305" s="102" t="s">
        <v>1016</v>
      </c>
      <c r="K305" s="360">
        <v>110.34482758620686</v>
      </c>
      <c r="L305" s="360">
        <v>689.6551724137931</v>
      </c>
      <c r="M305" s="102" t="s">
        <v>706</v>
      </c>
      <c r="N305" s="102" t="s">
        <v>1013</v>
      </c>
    </row>
    <row r="306">
      <c r="A306" s="412">
        <v>45600.0</v>
      </c>
      <c r="B306" s="413">
        <v>2024.0</v>
      </c>
      <c r="C306" s="414" t="s">
        <v>1009</v>
      </c>
      <c r="D306" s="413" t="s">
        <v>723</v>
      </c>
      <c r="E306" s="413" t="s">
        <v>137</v>
      </c>
      <c r="F306" s="413" t="s">
        <v>711</v>
      </c>
      <c r="G306" s="413" t="s">
        <v>767</v>
      </c>
      <c r="H306" s="415">
        <v>800.0</v>
      </c>
      <c r="I306" s="416" t="b">
        <v>0</v>
      </c>
      <c r="J306" s="413" t="s">
        <v>1017</v>
      </c>
      <c r="K306" s="415">
        <v>0.0</v>
      </c>
      <c r="L306" s="415">
        <v>800.0</v>
      </c>
      <c r="M306" s="413" t="s">
        <v>706</v>
      </c>
      <c r="N306" s="413" t="s">
        <v>1013</v>
      </c>
    </row>
    <row r="307">
      <c r="A307" s="409">
        <v>45600.0</v>
      </c>
      <c r="B307" s="102">
        <v>2024.0</v>
      </c>
      <c r="C307" s="410" t="s">
        <v>1009</v>
      </c>
      <c r="D307" s="102" t="s">
        <v>723</v>
      </c>
      <c r="E307" s="102" t="s">
        <v>137</v>
      </c>
      <c r="F307" s="102" t="s">
        <v>711</v>
      </c>
      <c r="G307" s="102" t="s">
        <v>767</v>
      </c>
      <c r="H307" s="360">
        <v>950.0</v>
      </c>
      <c r="I307" s="411" t="b">
        <v>0</v>
      </c>
      <c r="J307" s="102" t="s">
        <v>1018</v>
      </c>
      <c r="K307" s="360">
        <v>0.0</v>
      </c>
      <c r="L307" s="360">
        <v>950.0</v>
      </c>
      <c r="M307" s="102" t="s">
        <v>706</v>
      </c>
      <c r="N307" s="102" t="s">
        <v>1013</v>
      </c>
    </row>
    <row r="308">
      <c r="A308" s="412">
        <v>45600.0</v>
      </c>
      <c r="B308" s="413">
        <v>2024.0</v>
      </c>
      <c r="C308" s="414" t="s">
        <v>1009</v>
      </c>
      <c r="D308" s="413" t="s">
        <v>723</v>
      </c>
      <c r="E308" s="413" t="s">
        <v>137</v>
      </c>
      <c r="F308" s="413" t="s">
        <v>711</v>
      </c>
      <c r="G308" s="413" t="s">
        <v>715</v>
      </c>
      <c r="H308" s="415">
        <v>15.0</v>
      </c>
      <c r="I308" s="416" t="b">
        <v>0</v>
      </c>
      <c r="J308" s="413" t="s">
        <v>472</v>
      </c>
      <c r="K308" s="415">
        <v>0.0</v>
      </c>
      <c r="L308" s="415">
        <v>15.0</v>
      </c>
      <c r="M308" s="413" t="s">
        <v>706</v>
      </c>
      <c r="N308" s="413" t="s">
        <v>1019</v>
      </c>
    </row>
    <row r="309">
      <c r="A309" s="409">
        <v>45600.0</v>
      </c>
      <c r="B309" s="102">
        <v>2024.0</v>
      </c>
      <c r="C309" s="410" t="s">
        <v>1009</v>
      </c>
      <c r="D309" s="102" t="s">
        <v>723</v>
      </c>
      <c r="E309" s="102" t="s">
        <v>137</v>
      </c>
      <c r="F309" s="102" t="s">
        <v>711</v>
      </c>
      <c r="G309" s="102" t="s">
        <v>715</v>
      </c>
      <c r="H309" s="360">
        <v>15.0</v>
      </c>
      <c r="I309" s="411" t="b">
        <v>0</v>
      </c>
      <c r="J309" s="102" t="s">
        <v>472</v>
      </c>
      <c r="K309" s="360">
        <v>0.0</v>
      </c>
      <c r="L309" s="360">
        <v>15.0</v>
      </c>
      <c r="M309" s="102" t="s">
        <v>706</v>
      </c>
      <c r="N309" s="102" t="s">
        <v>1019</v>
      </c>
    </row>
    <row r="310">
      <c r="A310" s="412">
        <v>45600.0</v>
      </c>
      <c r="B310" s="413">
        <v>2024.0</v>
      </c>
      <c r="C310" s="414" t="s">
        <v>1009</v>
      </c>
      <c r="D310" s="413" t="s">
        <v>723</v>
      </c>
      <c r="E310" s="413" t="s">
        <v>137</v>
      </c>
      <c r="F310" s="413" t="s">
        <v>711</v>
      </c>
      <c r="G310" s="413" t="s">
        <v>740</v>
      </c>
      <c r="H310" s="415">
        <v>10.0</v>
      </c>
      <c r="I310" s="416" t="b">
        <v>0</v>
      </c>
      <c r="J310" s="413" t="s">
        <v>472</v>
      </c>
      <c r="K310" s="415">
        <v>0.0</v>
      </c>
      <c r="L310" s="415">
        <v>10.0</v>
      </c>
      <c r="M310" s="413" t="s">
        <v>706</v>
      </c>
      <c r="N310" s="413" t="s">
        <v>1019</v>
      </c>
    </row>
    <row r="311">
      <c r="A311" s="409">
        <v>45600.0</v>
      </c>
      <c r="B311" s="102">
        <v>2024.0</v>
      </c>
      <c r="C311" s="410" t="s">
        <v>1009</v>
      </c>
      <c r="D311" s="102" t="s">
        <v>723</v>
      </c>
      <c r="E311" s="102" t="s">
        <v>137</v>
      </c>
      <c r="F311" s="102" t="s">
        <v>711</v>
      </c>
      <c r="G311" s="102" t="s">
        <v>767</v>
      </c>
      <c r="H311" s="360">
        <v>950.0</v>
      </c>
      <c r="I311" s="411" t="b">
        <v>0</v>
      </c>
      <c r="J311" s="102" t="s">
        <v>1020</v>
      </c>
      <c r="K311" s="360">
        <v>0.0</v>
      </c>
      <c r="L311" s="360">
        <v>950.0</v>
      </c>
      <c r="M311" s="102" t="s">
        <v>706</v>
      </c>
      <c r="N311" s="102" t="s">
        <v>1021</v>
      </c>
    </row>
    <row r="312">
      <c r="A312" s="412">
        <v>45600.0</v>
      </c>
      <c r="B312" s="413">
        <v>2024.0</v>
      </c>
      <c r="C312" s="414" t="s">
        <v>1009</v>
      </c>
      <c r="D312" s="413" t="s">
        <v>702</v>
      </c>
      <c r="E312" s="413" t="s">
        <v>465</v>
      </c>
      <c r="F312" s="413" t="s">
        <v>711</v>
      </c>
      <c r="G312" s="413" t="s">
        <v>767</v>
      </c>
      <c r="H312" s="415">
        <v>1349.0</v>
      </c>
      <c r="I312" s="416" t="b">
        <v>0</v>
      </c>
      <c r="J312" s="413" t="s">
        <v>1022</v>
      </c>
      <c r="K312" s="415">
        <v>186.0689655172414</v>
      </c>
      <c r="L312" s="415">
        <v>1162.9310344827586</v>
      </c>
      <c r="M312" s="413" t="s">
        <v>706</v>
      </c>
      <c r="N312" s="413" t="s">
        <v>1021</v>
      </c>
    </row>
    <row r="313">
      <c r="A313" s="409">
        <v>45601.0</v>
      </c>
      <c r="B313" s="102">
        <v>2024.0</v>
      </c>
      <c r="C313" s="410" t="s">
        <v>1009</v>
      </c>
      <c r="D313" s="102" t="s">
        <v>723</v>
      </c>
      <c r="E313" s="102" t="s">
        <v>137</v>
      </c>
      <c r="F313" s="102" t="s">
        <v>711</v>
      </c>
      <c r="G313" s="102" t="s">
        <v>740</v>
      </c>
      <c r="H313" s="360">
        <v>7.0</v>
      </c>
      <c r="I313" s="411" t="b">
        <v>0</v>
      </c>
      <c r="J313" s="102" t="s">
        <v>472</v>
      </c>
      <c r="K313" s="360">
        <v>0.0</v>
      </c>
      <c r="L313" s="360">
        <v>7.0</v>
      </c>
      <c r="M313" s="102" t="s">
        <v>706</v>
      </c>
      <c r="N313" s="102" t="s">
        <v>1023</v>
      </c>
    </row>
    <row r="314">
      <c r="A314" s="412">
        <v>45601.0</v>
      </c>
      <c r="B314" s="413">
        <v>2024.0</v>
      </c>
      <c r="C314" s="414" t="s">
        <v>1009</v>
      </c>
      <c r="D314" s="413" t="s">
        <v>702</v>
      </c>
      <c r="E314" s="413" t="s">
        <v>465</v>
      </c>
      <c r="F314" s="413" t="s">
        <v>711</v>
      </c>
      <c r="G314" s="413" t="s">
        <v>767</v>
      </c>
      <c r="H314" s="415">
        <v>950.0</v>
      </c>
      <c r="I314" s="416" t="b">
        <v>0</v>
      </c>
      <c r="J314" s="413" t="s">
        <v>1024</v>
      </c>
      <c r="K314" s="415">
        <v>131.03448275862058</v>
      </c>
      <c r="L314" s="415">
        <v>818.9655172413794</v>
      </c>
      <c r="M314" s="413" t="s">
        <v>706</v>
      </c>
      <c r="N314" s="413" t="s">
        <v>1023</v>
      </c>
    </row>
    <row r="315">
      <c r="A315" s="409">
        <v>45601.0</v>
      </c>
      <c r="B315" s="102">
        <v>2024.0</v>
      </c>
      <c r="C315" s="410" t="s">
        <v>1009</v>
      </c>
      <c r="D315" s="102" t="s">
        <v>702</v>
      </c>
      <c r="E315" s="102" t="s">
        <v>465</v>
      </c>
      <c r="F315" s="102" t="s">
        <v>711</v>
      </c>
      <c r="G315" s="102" t="s">
        <v>767</v>
      </c>
      <c r="H315" s="360">
        <v>950.0</v>
      </c>
      <c r="I315" s="411" t="b">
        <v>0</v>
      </c>
      <c r="J315" s="102" t="s">
        <v>1025</v>
      </c>
      <c r="K315" s="360">
        <v>131.03448275862058</v>
      </c>
      <c r="L315" s="360">
        <v>818.9655172413794</v>
      </c>
      <c r="M315" s="102" t="s">
        <v>706</v>
      </c>
      <c r="N315" s="102" t="s">
        <v>1023</v>
      </c>
    </row>
    <row r="316">
      <c r="A316" s="412">
        <v>45601.0</v>
      </c>
      <c r="B316" s="413">
        <v>2024.0</v>
      </c>
      <c r="C316" s="414" t="s">
        <v>1009</v>
      </c>
      <c r="D316" s="413" t="s">
        <v>723</v>
      </c>
      <c r="E316" s="413" t="s">
        <v>137</v>
      </c>
      <c r="F316" s="413" t="s">
        <v>711</v>
      </c>
      <c r="G316" s="413" t="s">
        <v>740</v>
      </c>
      <c r="H316" s="415">
        <v>7.0</v>
      </c>
      <c r="I316" s="416" t="b">
        <v>0</v>
      </c>
      <c r="J316" s="413" t="s">
        <v>472</v>
      </c>
      <c r="K316" s="415">
        <v>0.0</v>
      </c>
      <c r="L316" s="415">
        <v>7.0</v>
      </c>
      <c r="M316" s="413" t="s">
        <v>706</v>
      </c>
      <c r="N316" s="413" t="s">
        <v>1023</v>
      </c>
    </row>
    <row r="317">
      <c r="A317" s="409">
        <v>45601.0</v>
      </c>
      <c r="B317" s="102">
        <v>2024.0</v>
      </c>
      <c r="C317" s="410" t="s">
        <v>1009</v>
      </c>
      <c r="D317" s="102" t="s">
        <v>702</v>
      </c>
      <c r="E317" s="102" t="s">
        <v>465</v>
      </c>
      <c r="F317" s="102" t="s">
        <v>711</v>
      </c>
      <c r="G317" s="102" t="s">
        <v>767</v>
      </c>
      <c r="H317" s="360">
        <v>1900.0</v>
      </c>
      <c r="I317" s="411" t="b">
        <v>0</v>
      </c>
      <c r="J317" s="102" t="s">
        <v>1026</v>
      </c>
      <c r="K317" s="360">
        <v>262.06896551724117</v>
      </c>
      <c r="L317" s="360">
        <v>1637.9310344827588</v>
      </c>
      <c r="M317" s="102" t="s">
        <v>706</v>
      </c>
      <c r="N317" s="102" t="s">
        <v>1023</v>
      </c>
    </row>
    <row r="318">
      <c r="A318" s="412">
        <v>45601.0</v>
      </c>
      <c r="B318" s="413">
        <v>2024.0</v>
      </c>
      <c r="C318" s="414" t="s">
        <v>1009</v>
      </c>
      <c r="D318" s="413" t="s">
        <v>710</v>
      </c>
      <c r="E318" s="413" t="s">
        <v>137</v>
      </c>
      <c r="F318" s="413" t="s">
        <v>703</v>
      </c>
      <c r="G318" s="413" t="s">
        <v>724</v>
      </c>
      <c r="H318" s="415">
        <v>1700.0</v>
      </c>
      <c r="I318" s="416" t="b">
        <v>1</v>
      </c>
      <c r="J318" s="413" t="s">
        <v>472</v>
      </c>
      <c r="K318" s="415">
        <v>0.0</v>
      </c>
      <c r="L318" s="415">
        <v>0.0</v>
      </c>
      <c r="M318" s="413" t="s">
        <v>706</v>
      </c>
      <c r="N318" s="413" t="s">
        <v>1027</v>
      </c>
    </row>
    <row r="319">
      <c r="A319" s="409">
        <v>45601.0</v>
      </c>
      <c r="B319" s="102">
        <v>2024.0</v>
      </c>
      <c r="C319" s="410" t="s">
        <v>1009</v>
      </c>
      <c r="D319" s="102" t="s">
        <v>702</v>
      </c>
      <c r="E319" s="102" t="s">
        <v>465</v>
      </c>
      <c r="F319" s="102" t="s">
        <v>711</v>
      </c>
      <c r="G319" s="102" t="s">
        <v>730</v>
      </c>
      <c r="H319" s="360">
        <v>133.0</v>
      </c>
      <c r="I319" s="411" t="b">
        <v>0</v>
      </c>
      <c r="J319" s="102" t="s">
        <v>472</v>
      </c>
      <c r="K319" s="360">
        <v>18.34482758620689</v>
      </c>
      <c r="L319" s="360">
        <v>114.65517241379311</v>
      </c>
      <c r="M319" s="102" t="s">
        <v>706</v>
      </c>
      <c r="N319" s="102" t="s">
        <v>1027</v>
      </c>
    </row>
    <row r="320">
      <c r="A320" s="412">
        <v>45601.0</v>
      </c>
      <c r="B320" s="413">
        <v>2024.0</v>
      </c>
      <c r="C320" s="414" t="s">
        <v>1009</v>
      </c>
      <c r="D320" s="413" t="s">
        <v>702</v>
      </c>
      <c r="E320" s="413" t="s">
        <v>465</v>
      </c>
      <c r="F320" s="413" t="s">
        <v>711</v>
      </c>
      <c r="G320" s="413" t="s">
        <v>724</v>
      </c>
      <c r="H320" s="415">
        <v>1700.0</v>
      </c>
      <c r="I320" s="416" t="b">
        <v>1</v>
      </c>
      <c r="J320" s="413" t="s">
        <v>472</v>
      </c>
      <c r="K320" s="415">
        <v>0.0</v>
      </c>
      <c r="L320" s="415">
        <v>0.0</v>
      </c>
      <c r="M320" s="413" t="s">
        <v>706</v>
      </c>
      <c r="N320" s="413" t="s">
        <v>1027</v>
      </c>
    </row>
    <row r="321">
      <c r="A321" s="409">
        <v>45601.0</v>
      </c>
      <c r="B321" s="102">
        <v>2024.0</v>
      </c>
      <c r="C321" s="410" t="s">
        <v>1009</v>
      </c>
      <c r="D321" s="102" t="s">
        <v>710</v>
      </c>
      <c r="E321" s="102" t="s">
        <v>137</v>
      </c>
      <c r="F321" s="102" t="s">
        <v>703</v>
      </c>
      <c r="G321" s="102" t="s">
        <v>732</v>
      </c>
      <c r="H321" s="360">
        <v>475.0</v>
      </c>
      <c r="I321" s="411" t="b">
        <v>0</v>
      </c>
      <c r="J321" s="102" t="s">
        <v>472</v>
      </c>
      <c r="K321" s="360">
        <v>0.0</v>
      </c>
      <c r="L321" s="360">
        <v>475.0</v>
      </c>
      <c r="M321" s="102" t="s">
        <v>706</v>
      </c>
      <c r="N321" s="102" t="s">
        <v>1028</v>
      </c>
    </row>
    <row r="322">
      <c r="A322" s="412">
        <v>45601.0</v>
      </c>
      <c r="B322" s="413">
        <v>2024.0</v>
      </c>
      <c r="C322" s="414" t="s">
        <v>1009</v>
      </c>
      <c r="D322" s="413" t="s">
        <v>702</v>
      </c>
      <c r="E322" s="413" t="s">
        <v>465</v>
      </c>
      <c r="F322" s="413" t="s">
        <v>711</v>
      </c>
      <c r="G322" s="413" t="s">
        <v>767</v>
      </c>
      <c r="H322" s="415">
        <v>800.0</v>
      </c>
      <c r="I322" s="416" t="b">
        <v>0</v>
      </c>
      <c r="J322" s="413" t="s">
        <v>1029</v>
      </c>
      <c r="K322" s="415">
        <v>110.34482758620686</v>
      </c>
      <c r="L322" s="415">
        <v>689.6551724137931</v>
      </c>
      <c r="M322" s="413" t="s">
        <v>706</v>
      </c>
      <c r="N322" s="413" t="s">
        <v>1030</v>
      </c>
    </row>
    <row r="323">
      <c r="A323" s="409">
        <v>45601.0</v>
      </c>
      <c r="B323" s="102">
        <v>2024.0</v>
      </c>
      <c r="C323" s="410" t="s">
        <v>1009</v>
      </c>
      <c r="D323" s="102" t="s">
        <v>723</v>
      </c>
      <c r="E323" s="102" t="s">
        <v>137</v>
      </c>
      <c r="F323" s="102" t="s">
        <v>711</v>
      </c>
      <c r="G323" s="102" t="s">
        <v>734</v>
      </c>
      <c r="H323" s="360">
        <v>120.0</v>
      </c>
      <c r="I323" s="411" t="b">
        <v>0</v>
      </c>
      <c r="J323" s="102" t="s">
        <v>472</v>
      </c>
      <c r="K323" s="360">
        <v>0.0</v>
      </c>
      <c r="L323" s="360">
        <v>120.0</v>
      </c>
      <c r="M323" s="102" t="s">
        <v>706</v>
      </c>
      <c r="N323" s="102" t="s">
        <v>1030</v>
      </c>
    </row>
    <row r="324">
      <c r="A324" s="412">
        <v>45602.0</v>
      </c>
      <c r="B324" s="413">
        <v>2024.0</v>
      </c>
      <c r="C324" s="414" t="s">
        <v>1009</v>
      </c>
      <c r="D324" s="413" t="s">
        <v>723</v>
      </c>
      <c r="E324" s="413" t="s">
        <v>137</v>
      </c>
      <c r="F324" s="413" t="s">
        <v>711</v>
      </c>
      <c r="G324" s="413" t="s">
        <v>767</v>
      </c>
      <c r="H324" s="415">
        <v>950.0</v>
      </c>
      <c r="I324" s="416" t="b">
        <v>0</v>
      </c>
      <c r="J324" s="413" t="s">
        <v>1031</v>
      </c>
      <c r="K324" s="415">
        <v>0.0</v>
      </c>
      <c r="L324" s="415">
        <v>950.0</v>
      </c>
      <c r="M324" s="413" t="s">
        <v>706</v>
      </c>
      <c r="N324" s="413" t="s">
        <v>1032</v>
      </c>
    </row>
    <row r="325">
      <c r="A325" s="409">
        <v>45602.0</v>
      </c>
      <c r="B325" s="102">
        <v>2024.0</v>
      </c>
      <c r="C325" s="410" t="s">
        <v>1009</v>
      </c>
      <c r="D325" s="102" t="s">
        <v>702</v>
      </c>
      <c r="E325" s="102" t="s">
        <v>465</v>
      </c>
      <c r="F325" s="102" t="s">
        <v>703</v>
      </c>
      <c r="G325" s="102" t="s">
        <v>601</v>
      </c>
      <c r="H325" s="360">
        <v>1363.0</v>
      </c>
      <c r="I325" s="411" t="b">
        <v>0</v>
      </c>
      <c r="J325" s="102" t="s">
        <v>1033</v>
      </c>
      <c r="K325" s="360">
        <v>0.0</v>
      </c>
      <c r="L325" s="360">
        <v>1363.0</v>
      </c>
      <c r="M325" s="102" t="s">
        <v>706</v>
      </c>
      <c r="N325" s="102" t="s">
        <v>1032</v>
      </c>
    </row>
    <row r="326">
      <c r="A326" s="412">
        <v>45602.0</v>
      </c>
      <c r="B326" s="413">
        <v>2024.0</v>
      </c>
      <c r="C326" s="414" t="s">
        <v>1009</v>
      </c>
      <c r="D326" s="413" t="s">
        <v>702</v>
      </c>
      <c r="E326" s="413" t="s">
        <v>465</v>
      </c>
      <c r="F326" s="413" t="s">
        <v>711</v>
      </c>
      <c r="G326" s="413" t="s">
        <v>767</v>
      </c>
      <c r="H326" s="415">
        <v>950.0</v>
      </c>
      <c r="I326" s="416" t="b">
        <v>0</v>
      </c>
      <c r="J326" s="413" t="s">
        <v>1035</v>
      </c>
      <c r="K326" s="415">
        <v>131.03448275862058</v>
      </c>
      <c r="L326" s="415">
        <v>818.9655172413794</v>
      </c>
      <c r="M326" s="413" t="s">
        <v>706</v>
      </c>
      <c r="N326" s="413" t="s">
        <v>1036</v>
      </c>
    </row>
    <row r="327">
      <c r="A327" s="409">
        <v>45602.0</v>
      </c>
      <c r="B327" s="102">
        <v>2024.0</v>
      </c>
      <c r="C327" s="410" t="s">
        <v>1009</v>
      </c>
      <c r="D327" s="102" t="s">
        <v>723</v>
      </c>
      <c r="E327" s="102" t="s">
        <v>137</v>
      </c>
      <c r="F327" s="102" t="s">
        <v>711</v>
      </c>
      <c r="G327" s="102" t="s">
        <v>767</v>
      </c>
      <c r="H327" s="360">
        <v>950.0</v>
      </c>
      <c r="I327" s="411" t="b">
        <v>0</v>
      </c>
      <c r="J327" s="102" t="s">
        <v>1037</v>
      </c>
      <c r="K327" s="360">
        <v>0.0</v>
      </c>
      <c r="L327" s="360">
        <v>950.0</v>
      </c>
      <c r="M327" s="102" t="s">
        <v>706</v>
      </c>
      <c r="N327" s="102" t="s">
        <v>1036</v>
      </c>
    </row>
    <row r="328">
      <c r="A328" s="412">
        <v>45602.0</v>
      </c>
      <c r="B328" s="413">
        <v>2024.0</v>
      </c>
      <c r="C328" s="414" t="s">
        <v>1009</v>
      </c>
      <c r="D328" s="413" t="s">
        <v>702</v>
      </c>
      <c r="E328" s="413" t="s">
        <v>465</v>
      </c>
      <c r="F328" s="413" t="s">
        <v>711</v>
      </c>
      <c r="G328" s="413" t="s">
        <v>730</v>
      </c>
      <c r="H328" s="415">
        <v>10.0</v>
      </c>
      <c r="I328" s="416" t="b">
        <v>0</v>
      </c>
      <c r="J328" s="413" t="s">
        <v>472</v>
      </c>
      <c r="K328" s="415">
        <v>1.3793103448275854</v>
      </c>
      <c r="L328" s="415">
        <v>8.620689655172415</v>
      </c>
      <c r="M328" s="413" t="s">
        <v>706</v>
      </c>
      <c r="N328" s="413" t="s">
        <v>1038</v>
      </c>
    </row>
    <row r="329">
      <c r="A329" s="409">
        <v>45604.0</v>
      </c>
      <c r="B329" s="102">
        <v>2024.0</v>
      </c>
      <c r="C329" s="410" t="s">
        <v>1009</v>
      </c>
      <c r="D329" s="102" t="s">
        <v>723</v>
      </c>
      <c r="E329" s="102" t="s">
        <v>137</v>
      </c>
      <c r="F329" s="102" t="s">
        <v>711</v>
      </c>
      <c r="G329" s="102" t="s">
        <v>734</v>
      </c>
      <c r="H329" s="360">
        <v>150.0</v>
      </c>
      <c r="I329" s="411" t="b">
        <v>0</v>
      </c>
      <c r="J329" s="102" t="s">
        <v>472</v>
      </c>
      <c r="K329" s="360">
        <v>0.0</v>
      </c>
      <c r="L329" s="360">
        <v>150.0</v>
      </c>
      <c r="M329" s="102" t="s">
        <v>706</v>
      </c>
      <c r="N329" s="102" t="s">
        <v>1039</v>
      </c>
    </row>
    <row r="330">
      <c r="A330" s="412">
        <v>45604.0</v>
      </c>
      <c r="B330" s="413">
        <v>2024.0</v>
      </c>
      <c r="C330" s="414" t="s">
        <v>1009</v>
      </c>
      <c r="D330" s="413" t="s">
        <v>723</v>
      </c>
      <c r="E330" s="413" t="s">
        <v>137</v>
      </c>
      <c r="F330" s="413" t="s">
        <v>711</v>
      </c>
      <c r="G330" s="413" t="s">
        <v>740</v>
      </c>
      <c r="H330" s="415">
        <v>10.0</v>
      </c>
      <c r="I330" s="416" t="b">
        <v>0</v>
      </c>
      <c r="J330" s="413" t="s">
        <v>472</v>
      </c>
      <c r="K330" s="415">
        <v>0.0</v>
      </c>
      <c r="L330" s="415">
        <v>10.0</v>
      </c>
      <c r="M330" s="413" t="s">
        <v>706</v>
      </c>
      <c r="N330" s="413" t="s">
        <v>1040</v>
      </c>
    </row>
    <row r="331">
      <c r="A331" s="409">
        <v>45604.0</v>
      </c>
      <c r="B331" s="102">
        <v>2024.0</v>
      </c>
      <c r="C331" s="410" t="s">
        <v>1009</v>
      </c>
      <c r="D331" s="102" t="s">
        <v>723</v>
      </c>
      <c r="E331" s="102" t="s">
        <v>137</v>
      </c>
      <c r="F331" s="102" t="s">
        <v>711</v>
      </c>
      <c r="G331" s="102" t="s">
        <v>715</v>
      </c>
      <c r="H331" s="360">
        <v>15.0</v>
      </c>
      <c r="I331" s="411" t="b">
        <v>0</v>
      </c>
      <c r="J331" s="102" t="s">
        <v>472</v>
      </c>
      <c r="K331" s="360">
        <v>0.0</v>
      </c>
      <c r="L331" s="360">
        <v>15.0</v>
      </c>
      <c r="M331" s="102" t="s">
        <v>706</v>
      </c>
      <c r="N331" s="102" t="s">
        <v>1041</v>
      </c>
    </row>
    <row r="332">
      <c r="A332" s="412">
        <v>45604.0</v>
      </c>
      <c r="B332" s="413">
        <v>2024.0</v>
      </c>
      <c r="C332" s="414" t="s">
        <v>1009</v>
      </c>
      <c r="D332" s="413" t="s">
        <v>723</v>
      </c>
      <c r="E332" s="413" t="s">
        <v>137</v>
      </c>
      <c r="F332" s="413" t="s">
        <v>711</v>
      </c>
      <c r="G332" s="413" t="s">
        <v>715</v>
      </c>
      <c r="H332" s="415">
        <v>30.0</v>
      </c>
      <c r="I332" s="416" t="b">
        <v>0</v>
      </c>
      <c r="J332" s="413" t="s">
        <v>472</v>
      </c>
      <c r="K332" s="415">
        <v>0.0</v>
      </c>
      <c r="L332" s="415">
        <v>30.0</v>
      </c>
      <c r="M332" s="413" t="s">
        <v>706</v>
      </c>
      <c r="N332" s="413" t="s">
        <v>1042</v>
      </c>
    </row>
    <row r="333">
      <c r="A333" s="409">
        <v>45604.0</v>
      </c>
      <c r="B333" s="102">
        <v>2024.0</v>
      </c>
      <c r="C333" s="410" t="s">
        <v>1009</v>
      </c>
      <c r="D333" s="102" t="s">
        <v>723</v>
      </c>
      <c r="E333" s="102" t="s">
        <v>137</v>
      </c>
      <c r="F333" s="102" t="s">
        <v>711</v>
      </c>
      <c r="G333" s="102" t="s">
        <v>734</v>
      </c>
      <c r="H333" s="360">
        <v>120.0</v>
      </c>
      <c r="I333" s="411" t="b">
        <v>0</v>
      </c>
      <c r="J333" s="102" t="s">
        <v>472</v>
      </c>
      <c r="K333" s="360">
        <v>0.0</v>
      </c>
      <c r="L333" s="360">
        <v>120.0</v>
      </c>
      <c r="M333" s="102" t="s">
        <v>706</v>
      </c>
      <c r="N333" s="102" t="s">
        <v>1043</v>
      </c>
    </row>
    <row r="334">
      <c r="A334" s="412">
        <v>45605.0</v>
      </c>
      <c r="B334" s="413">
        <v>2024.0</v>
      </c>
      <c r="C334" s="414" t="s">
        <v>1009</v>
      </c>
      <c r="D334" s="413" t="s">
        <v>723</v>
      </c>
      <c r="E334" s="413" t="s">
        <v>137</v>
      </c>
      <c r="F334" s="413" t="s">
        <v>711</v>
      </c>
      <c r="G334" s="413" t="s">
        <v>715</v>
      </c>
      <c r="H334" s="415">
        <v>45.0</v>
      </c>
      <c r="I334" s="416" t="b">
        <v>0</v>
      </c>
      <c r="J334" s="413" t="s">
        <v>472</v>
      </c>
      <c r="K334" s="415">
        <v>0.0</v>
      </c>
      <c r="L334" s="415">
        <v>45.0</v>
      </c>
      <c r="M334" s="413" t="s">
        <v>706</v>
      </c>
      <c r="N334" s="413" t="s">
        <v>1044</v>
      </c>
    </row>
    <row r="335">
      <c r="A335" s="409">
        <v>45605.0</v>
      </c>
      <c r="B335" s="102">
        <v>2024.0</v>
      </c>
      <c r="C335" s="410" t="s">
        <v>1009</v>
      </c>
      <c r="D335" s="102" t="s">
        <v>723</v>
      </c>
      <c r="E335" s="102" t="s">
        <v>137</v>
      </c>
      <c r="F335" s="102" t="s">
        <v>711</v>
      </c>
      <c r="G335" s="102" t="s">
        <v>734</v>
      </c>
      <c r="H335" s="360">
        <v>150.0</v>
      </c>
      <c r="I335" s="411" t="b">
        <v>0</v>
      </c>
      <c r="J335" s="102" t="s">
        <v>472</v>
      </c>
      <c r="K335" s="360">
        <v>0.0</v>
      </c>
      <c r="L335" s="360">
        <v>150.0</v>
      </c>
      <c r="M335" s="102" t="s">
        <v>706</v>
      </c>
      <c r="N335" s="102" t="s">
        <v>1045</v>
      </c>
    </row>
    <row r="336">
      <c r="A336" s="412">
        <v>45605.0</v>
      </c>
      <c r="B336" s="413">
        <v>2024.0</v>
      </c>
      <c r="C336" s="414" t="s">
        <v>1009</v>
      </c>
      <c r="D336" s="413" t="s">
        <v>702</v>
      </c>
      <c r="E336" s="413" t="s">
        <v>465</v>
      </c>
      <c r="F336" s="413" t="s">
        <v>711</v>
      </c>
      <c r="G336" s="413" t="s">
        <v>767</v>
      </c>
      <c r="H336" s="415">
        <v>1270.0</v>
      </c>
      <c r="I336" s="416" t="b">
        <v>0</v>
      </c>
      <c r="J336" s="413" t="s">
        <v>472</v>
      </c>
      <c r="K336" s="415">
        <v>175.17241379310326</v>
      </c>
      <c r="L336" s="415">
        <v>1094.8275862068967</v>
      </c>
      <c r="M336" s="413" t="s">
        <v>706</v>
      </c>
      <c r="N336" s="413" t="s">
        <v>1046</v>
      </c>
    </row>
    <row r="337">
      <c r="A337" s="409">
        <v>45605.0</v>
      </c>
      <c r="B337" s="102">
        <v>2024.0</v>
      </c>
      <c r="C337" s="410" t="s">
        <v>1009</v>
      </c>
      <c r="D337" s="102" t="s">
        <v>702</v>
      </c>
      <c r="E337" s="102" t="s">
        <v>465</v>
      </c>
      <c r="F337" s="102" t="s">
        <v>711</v>
      </c>
      <c r="G337" s="102" t="s">
        <v>730</v>
      </c>
      <c r="H337" s="360">
        <v>18.0</v>
      </c>
      <c r="I337" s="411" t="b">
        <v>0</v>
      </c>
      <c r="J337" s="102" t="s">
        <v>472</v>
      </c>
      <c r="K337" s="360">
        <v>2.482758620689655</v>
      </c>
      <c r="L337" s="360">
        <v>15.517241379310345</v>
      </c>
      <c r="M337" s="102" t="s">
        <v>706</v>
      </c>
      <c r="N337" s="102" t="s">
        <v>1047</v>
      </c>
    </row>
    <row r="338">
      <c r="A338" s="412">
        <v>45605.0</v>
      </c>
      <c r="B338" s="413">
        <v>2024.0</v>
      </c>
      <c r="C338" s="414" t="s">
        <v>1009</v>
      </c>
      <c r="D338" s="413" t="s">
        <v>710</v>
      </c>
      <c r="E338" s="413" t="s">
        <v>137</v>
      </c>
      <c r="F338" s="413" t="s">
        <v>711</v>
      </c>
      <c r="G338" s="413" t="s">
        <v>724</v>
      </c>
      <c r="H338" s="415">
        <v>9765.0</v>
      </c>
      <c r="I338" s="416" t="b">
        <v>1</v>
      </c>
      <c r="J338" s="413" t="s">
        <v>472</v>
      </c>
      <c r="K338" s="415">
        <v>0.0</v>
      </c>
      <c r="L338" s="415">
        <v>0.0</v>
      </c>
      <c r="M338" s="413" t="s">
        <v>706</v>
      </c>
      <c r="N338" s="413" t="s">
        <v>1048</v>
      </c>
    </row>
    <row r="339">
      <c r="A339" s="409">
        <v>45605.0</v>
      </c>
      <c r="B339" s="102">
        <v>2024.0</v>
      </c>
      <c r="C339" s="410" t="s">
        <v>1009</v>
      </c>
      <c r="D339" s="102" t="s">
        <v>710</v>
      </c>
      <c r="E339" s="102" t="s">
        <v>137</v>
      </c>
      <c r="F339" s="102" t="s">
        <v>711</v>
      </c>
      <c r="G339" s="102" t="s">
        <v>715</v>
      </c>
      <c r="H339" s="360">
        <v>49.0</v>
      </c>
      <c r="I339" s="411" t="b">
        <v>0</v>
      </c>
      <c r="J339" s="102" t="s">
        <v>472</v>
      </c>
      <c r="K339" s="360">
        <v>0.0</v>
      </c>
      <c r="L339" s="360">
        <v>49.0</v>
      </c>
      <c r="M339" s="102" t="s">
        <v>706</v>
      </c>
      <c r="N339" s="102" t="s">
        <v>1048</v>
      </c>
    </row>
    <row r="340">
      <c r="A340" s="412">
        <v>45605.0</v>
      </c>
      <c r="B340" s="413">
        <v>2024.0</v>
      </c>
      <c r="C340" s="414" t="s">
        <v>1009</v>
      </c>
      <c r="D340" s="413" t="s">
        <v>723</v>
      </c>
      <c r="E340" s="413" t="s">
        <v>137</v>
      </c>
      <c r="F340" s="413" t="s">
        <v>703</v>
      </c>
      <c r="G340" s="413" t="s">
        <v>724</v>
      </c>
      <c r="H340" s="415">
        <v>9765.0</v>
      </c>
      <c r="I340" s="416" t="b">
        <v>1</v>
      </c>
      <c r="J340" s="413" t="s">
        <v>472</v>
      </c>
      <c r="K340" s="415">
        <v>0.0</v>
      </c>
      <c r="L340" s="415">
        <v>0.0</v>
      </c>
      <c r="M340" s="413" t="s">
        <v>706</v>
      </c>
      <c r="N340" s="413" t="s">
        <v>1048</v>
      </c>
    </row>
    <row r="341">
      <c r="A341" s="409">
        <v>45608.0</v>
      </c>
      <c r="B341" s="102">
        <v>2024.0</v>
      </c>
      <c r="C341" s="410" t="s">
        <v>1009</v>
      </c>
      <c r="D341" s="102" t="s">
        <v>723</v>
      </c>
      <c r="E341" s="102" t="s">
        <v>137</v>
      </c>
      <c r="F341" s="102" t="s">
        <v>711</v>
      </c>
      <c r="G341" s="102" t="s">
        <v>724</v>
      </c>
      <c r="H341" s="360">
        <v>880.0</v>
      </c>
      <c r="I341" s="411" t="b">
        <v>1</v>
      </c>
      <c r="J341" s="102" t="s">
        <v>472</v>
      </c>
      <c r="K341" s="360">
        <v>0.0</v>
      </c>
      <c r="L341" s="360">
        <v>0.0</v>
      </c>
      <c r="M341" s="102" t="s">
        <v>706</v>
      </c>
      <c r="N341" s="102" t="s">
        <v>1049</v>
      </c>
    </row>
    <row r="342">
      <c r="A342" s="412">
        <v>45608.0</v>
      </c>
      <c r="B342" s="413">
        <v>2024.0</v>
      </c>
      <c r="C342" s="414" t="s">
        <v>1009</v>
      </c>
      <c r="D342" s="413" t="s">
        <v>710</v>
      </c>
      <c r="E342" s="413" t="s">
        <v>137</v>
      </c>
      <c r="F342" s="413" t="s">
        <v>703</v>
      </c>
      <c r="G342" s="413" t="s">
        <v>724</v>
      </c>
      <c r="H342" s="415">
        <v>880.0</v>
      </c>
      <c r="I342" s="416" t="b">
        <v>1</v>
      </c>
      <c r="J342" s="413" t="s">
        <v>472</v>
      </c>
      <c r="K342" s="415">
        <v>0.0</v>
      </c>
      <c r="L342" s="415">
        <v>0.0</v>
      </c>
      <c r="M342" s="413" t="s">
        <v>706</v>
      </c>
      <c r="N342" s="413" t="s">
        <v>1049</v>
      </c>
    </row>
    <row r="343">
      <c r="A343" s="409">
        <v>45608.0</v>
      </c>
      <c r="B343" s="102">
        <v>2024.0</v>
      </c>
      <c r="C343" s="410" t="s">
        <v>1009</v>
      </c>
      <c r="D343" s="102" t="s">
        <v>723</v>
      </c>
      <c r="E343" s="102" t="s">
        <v>137</v>
      </c>
      <c r="F343" s="102" t="s">
        <v>711</v>
      </c>
      <c r="G343" s="102" t="s">
        <v>715</v>
      </c>
      <c r="H343" s="360">
        <v>45.0</v>
      </c>
      <c r="I343" s="411" t="b">
        <v>0</v>
      </c>
      <c r="J343" s="102" t="s">
        <v>472</v>
      </c>
      <c r="K343" s="360">
        <v>0.0</v>
      </c>
      <c r="L343" s="360">
        <v>45.0</v>
      </c>
      <c r="M343" s="102" t="s">
        <v>706</v>
      </c>
      <c r="N343" s="102" t="s">
        <v>1050</v>
      </c>
    </row>
    <row r="344">
      <c r="A344" s="412">
        <v>45608.0</v>
      </c>
      <c r="B344" s="413">
        <v>2024.0</v>
      </c>
      <c r="C344" s="414" t="s">
        <v>1009</v>
      </c>
      <c r="D344" s="413" t="s">
        <v>702</v>
      </c>
      <c r="E344" s="413" t="s">
        <v>465</v>
      </c>
      <c r="F344" s="413" t="s">
        <v>711</v>
      </c>
      <c r="G344" s="413" t="s">
        <v>767</v>
      </c>
      <c r="H344" s="415">
        <v>834.0</v>
      </c>
      <c r="I344" s="416" t="b">
        <v>0</v>
      </c>
      <c r="J344" s="413" t="s">
        <v>472</v>
      </c>
      <c r="K344" s="415">
        <v>115.03448275862058</v>
      </c>
      <c r="L344" s="415">
        <v>718.9655172413794</v>
      </c>
      <c r="M344" s="413" t="s">
        <v>706</v>
      </c>
      <c r="N344" s="413" t="s">
        <v>1051</v>
      </c>
    </row>
    <row r="345">
      <c r="A345" s="409">
        <v>45608.0</v>
      </c>
      <c r="B345" s="102">
        <v>2024.0</v>
      </c>
      <c r="C345" s="410" t="s">
        <v>1009</v>
      </c>
      <c r="D345" s="102" t="s">
        <v>723</v>
      </c>
      <c r="E345" s="102" t="s">
        <v>137</v>
      </c>
      <c r="F345" s="102" t="s">
        <v>711</v>
      </c>
      <c r="G345" s="102" t="s">
        <v>734</v>
      </c>
      <c r="H345" s="360">
        <v>120.0</v>
      </c>
      <c r="I345" s="411" t="b">
        <v>0</v>
      </c>
      <c r="J345" s="102" t="s">
        <v>472</v>
      </c>
      <c r="K345" s="360">
        <v>0.0</v>
      </c>
      <c r="L345" s="360">
        <v>120.0</v>
      </c>
      <c r="M345" s="102" t="s">
        <v>706</v>
      </c>
      <c r="N345" s="102" t="s">
        <v>1052</v>
      </c>
    </row>
    <row r="346">
      <c r="A346" s="412">
        <v>45608.0</v>
      </c>
      <c r="B346" s="413">
        <v>2024.0</v>
      </c>
      <c r="C346" s="414" t="s">
        <v>1009</v>
      </c>
      <c r="D346" s="413" t="s">
        <v>702</v>
      </c>
      <c r="E346" s="413" t="s">
        <v>465</v>
      </c>
      <c r="F346" s="413" t="s">
        <v>711</v>
      </c>
      <c r="G346" s="413" t="s">
        <v>767</v>
      </c>
      <c r="H346" s="415">
        <v>500.0</v>
      </c>
      <c r="I346" s="416" t="b">
        <v>0</v>
      </c>
      <c r="J346" s="413" t="s">
        <v>472</v>
      </c>
      <c r="K346" s="415">
        <v>68.9655172413793</v>
      </c>
      <c r="L346" s="415">
        <v>431.0344827586207</v>
      </c>
      <c r="M346" s="413" t="s">
        <v>706</v>
      </c>
      <c r="N346" s="413" t="s">
        <v>1053</v>
      </c>
    </row>
    <row r="347">
      <c r="A347" s="409">
        <v>45608.0</v>
      </c>
      <c r="B347" s="102">
        <v>2024.0</v>
      </c>
      <c r="C347" s="410" t="s">
        <v>1009</v>
      </c>
      <c r="D347" s="102" t="s">
        <v>702</v>
      </c>
      <c r="E347" s="102" t="s">
        <v>465</v>
      </c>
      <c r="F347" s="102" t="s">
        <v>711</v>
      </c>
      <c r="G347" s="102" t="s">
        <v>730</v>
      </c>
      <c r="H347" s="360">
        <v>38.0</v>
      </c>
      <c r="I347" s="411" t="b">
        <v>0</v>
      </c>
      <c r="J347" s="102" t="s">
        <v>472</v>
      </c>
      <c r="K347" s="360">
        <v>5.241379310344826</v>
      </c>
      <c r="L347" s="360">
        <v>32.758620689655174</v>
      </c>
      <c r="M347" s="102" t="s">
        <v>706</v>
      </c>
      <c r="N347" s="102" t="s">
        <v>1054</v>
      </c>
    </row>
    <row r="348">
      <c r="A348" s="412">
        <v>45610.0</v>
      </c>
      <c r="B348" s="413">
        <v>2024.0</v>
      </c>
      <c r="C348" s="414" t="s">
        <v>1009</v>
      </c>
      <c r="D348" s="413" t="s">
        <v>702</v>
      </c>
      <c r="E348" s="413" t="s">
        <v>465</v>
      </c>
      <c r="F348" s="413" t="s">
        <v>703</v>
      </c>
      <c r="G348" s="413" t="s">
        <v>1055</v>
      </c>
      <c r="H348" s="415">
        <v>1392.0</v>
      </c>
      <c r="I348" s="416" t="b">
        <v>0</v>
      </c>
      <c r="J348" s="413" t="s">
        <v>472</v>
      </c>
      <c r="K348" s="415">
        <v>0.0</v>
      </c>
      <c r="L348" s="415">
        <v>1392.0</v>
      </c>
      <c r="M348" s="413" t="s">
        <v>706</v>
      </c>
      <c r="N348" s="413" t="s">
        <v>1056</v>
      </c>
    </row>
    <row r="349">
      <c r="A349" s="409">
        <v>45610.0</v>
      </c>
      <c r="B349" s="102">
        <v>2024.0</v>
      </c>
      <c r="C349" s="410" t="s">
        <v>1009</v>
      </c>
      <c r="D349" s="102" t="s">
        <v>702</v>
      </c>
      <c r="E349" s="102" t="s">
        <v>465</v>
      </c>
      <c r="F349" s="102" t="s">
        <v>703</v>
      </c>
      <c r="G349" s="102" t="s">
        <v>732</v>
      </c>
      <c r="H349" s="360">
        <v>1280.0</v>
      </c>
      <c r="I349" s="411" t="b">
        <v>0</v>
      </c>
      <c r="J349" s="102" t="s">
        <v>472</v>
      </c>
      <c r="K349" s="360">
        <v>0.0</v>
      </c>
      <c r="L349" s="360">
        <v>1280.0</v>
      </c>
      <c r="M349" s="102" t="s">
        <v>706</v>
      </c>
      <c r="N349" s="102" t="s">
        <v>1056</v>
      </c>
    </row>
    <row r="350">
      <c r="A350" s="412">
        <v>45610.0</v>
      </c>
      <c r="B350" s="413">
        <v>2024.0</v>
      </c>
      <c r="C350" s="414" t="s">
        <v>1009</v>
      </c>
      <c r="D350" s="413" t="s">
        <v>702</v>
      </c>
      <c r="E350" s="413" t="s">
        <v>465</v>
      </c>
      <c r="F350" s="413" t="s">
        <v>703</v>
      </c>
      <c r="G350" s="413" t="s">
        <v>715</v>
      </c>
      <c r="H350" s="415">
        <v>3275.0</v>
      </c>
      <c r="I350" s="416" t="b">
        <v>0</v>
      </c>
      <c r="J350" s="413" t="s">
        <v>472</v>
      </c>
      <c r="K350" s="415">
        <v>0.0</v>
      </c>
      <c r="L350" s="415">
        <v>3275.0</v>
      </c>
      <c r="M350" s="413" t="s">
        <v>706</v>
      </c>
      <c r="N350" s="413" t="s">
        <v>1057</v>
      </c>
    </row>
    <row r="351">
      <c r="A351" s="409">
        <v>45610.0</v>
      </c>
      <c r="B351" s="102">
        <v>2024.0</v>
      </c>
      <c r="C351" s="410" t="s">
        <v>1009</v>
      </c>
      <c r="D351" s="102" t="s">
        <v>702</v>
      </c>
      <c r="E351" s="102" t="s">
        <v>465</v>
      </c>
      <c r="F351" s="102" t="s">
        <v>711</v>
      </c>
      <c r="G351" s="102" t="s">
        <v>730</v>
      </c>
      <c r="H351" s="360">
        <v>9.0</v>
      </c>
      <c r="I351" s="411" t="b">
        <v>0</v>
      </c>
      <c r="J351" s="102" t="s">
        <v>472</v>
      </c>
      <c r="K351" s="360">
        <v>1.2413793103448274</v>
      </c>
      <c r="L351" s="360">
        <v>7.758620689655173</v>
      </c>
      <c r="M351" s="102" t="s">
        <v>706</v>
      </c>
      <c r="N351" s="102" t="s">
        <v>1057</v>
      </c>
    </row>
    <row r="352">
      <c r="A352" s="412">
        <v>45610.0</v>
      </c>
      <c r="B352" s="413">
        <v>2024.0</v>
      </c>
      <c r="C352" s="414" t="s">
        <v>1009</v>
      </c>
      <c r="D352" s="413" t="s">
        <v>723</v>
      </c>
      <c r="E352" s="413" t="s">
        <v>137</v>
      </c>
      <c r="F352" s="413" t="s">
        <v>711</v>
      </c>
      <c r="G352" s="413" t="s">
        <v>715</v>
      </c>
      <c r="H352" s="415">
        <v>37.0</v>
      </c>
      <c r="I352" s="416" t="b">
        <v>0</v>
      </c>
      <c r="J352" s="413" t="s">
        <v>472</v>
      </c>
      <c r="K352" s="415">
        <v>0.0</v>
      </c>
      <c r="L352" s="415">
        <v>37.0</v>
      </c>
      <c r="M352" s="413" t="s">
        <v>706</v>
      </c>
      <c r="N352" s="413" t="s">
        <v>1057</v>
      </c>
    </row>
    <row r="353">
      <c r="A353" s="409">
        <v>45616.0</v>
      </c>
      <c r="B353" s="102">
        <v>2024.0</v>
      </c>
      <c r="C353" s="410" t="s">
        <v>1009</v>
      </c>
      <c r="D353" s="102" t="s">
        <v>723</v>
      </c>
      <c r="E353" s="102" t="s">
        <v>137</v>
      </c>
      <c r="F353" s="102" t="s">
        <v>711</v>
      </c>
      <c r="G353" s="102" t="s">
        <v>734</v>
      </c>
      <c r="H353" s="360">
        <v>120.0</v>
      </c>
      <c r="I353" s="411" t="b">
        <v>0</v>
      </c>
      <c r="J353" s="102" t="s">
        <v>472</v>
      </c>
      <c r="K353" s="360">
        <v>0.0</v>
      </c>
      <c r="L353" s="360">
        <v>120.0</v>
      </c>
      <c r="M353" s="102" t="s">
        <v>706</v>
      </c>
      <c r="N353" s="102" t="s">
        <v>1058</v>
      </c>
    </row>
    <row r="354">
      <c r="A354" s="412">
        <v>45616.0</v>
      </c>
      <c r="B354" s="413">
        <v>2024.0</v>
      </c>
      <c r="C354" s="414" t="s">
        <v>1009</v>
      </c>
      <c r="D354" s="413" t="s">
        <v>723</v>
      </c>
      <c r="E354" s="413" t="s">
        <v>137</v>
      </c>
      <c r="F354" s="413" t="s">
        <v>711</v>
      </c>
      <c r="G354" s="413" t="s">
        <v>734</v>
      </c>
      <c r="H354" s="415">
        <v>160.0</v>
      </c>
      <c r="I354" s="416" t="b">
        <v>0</v>
      </c>
      <c r="J354" s="413" t="s">
        <v>472</v>
      </c>
      <c r="K354" s="415">
        <v>0.0</v>
      </c>
      <c r="L354" s="415">
        <v>160.0</v>
      </c>
      <c r="M354" s="413" t="s">
        <v>706</v>
      </c>
      <c r="N354" s="413" t="s">
        <v>1059</v>
      </c>
    </row>
    <row r="355">
      <c r="A355" s="409">
        <v>45616.0</v>
      </c>
      <c r="B355" s="102">
        <v>2024.0</v>
      </c>
      <c r="C355" s="410" t="s">
        <v>1009</v>
      </c>
      <c r="D355" s="102" t="s">
        <v>723</v>
      </c>
      <c r="E355" s="102" t="s">
        <v>137</v>
      </c>
      <c r="F355" s="102" t="s">
        <v>711</v>
      </c>
      <c r="G355" s="102" t="s">
        <v>740</v>
      </c>
      <c r="H355" s="360">
        <v>14.0</v>
      </c>
      <c r="I355" s="411" t="b">
        <v>0</v>
      </c>
      <c r="J355" s="102" t="s">
        <v>472</v>
      </c>
      <c r="K355" s="360">
        <v>0.0</v>
      </c>
      <c r="L355" s="360">
        <v>14.0</v>
      </c>
      <c r="M355" s="102" t="s">
        <v>706</v>
      </c>
      <c r="N355" s="102" t="s">
        <v>1060</v>
      </c>
    </row>
    <row r="356">
      <c r="A356" s="412">
        <v>45616.0</v>
      </c>
      <c r="B356" s="413">
        <v>2024.0</v>
      </c>
      <c r="C356" s="414" t="s">
        <v>1009</v>
      </c>
      <c r="D356" s="413" t="s">
        <v>702</v>
      </c>
      <c r="E356" s="413" t="s">
        <v>465</v>
      </c>
      <c r="F356" s="413" t="s">
        <v>711</v>
      </c>
      <c r="G356" s="413" t="s">
        <v>767</v>
      </c>
      <c r="H356" s="415">
        <v>1270.0</v>
      </c>
      <c r="I356" s="416" t="b">
        <v>0</v>
      </c>
      <c r="J356" s="413" t="s">
        <v>472</v>
      </c>
      <c r="K356" s="415">
        <v>175.17241379310326</v>
      </c>
      <c r="L356" s="415">
        <v>1094.8275862068967</v>
      </c>
      <c r="M356" s="413" t="s">
        <v>706</v>
      </c>
      <c r="N356" s="413" t="s">
        <v>1061</v>
      </c>
    </row>
    <row r="357">
      <c r="A357" s="409">
        <v>45616.0</v>
      </c>
      <c r="B357" s="102">
        <v>2024.0</v>
      </c>
      <c r="C357" s="410" t="s">
        <v>1009</v>
      </c>
      <c r="D357" s="102" t="s">
        <v>723</v>
      </c>
      <c r="E357" s="102" t="s">
        <v>137</v>
      </c>
      <c r="F357" s="102" t="s">
        <v>703</v>
      </c>
      <c r="G357" s="102" t="s">
        <v>747</v>
      </c>
      <c r="H357" s="360">
        <v>200.0</v>
      </c>
      <c r="I357" s="411" t="b">
        <v>0</v>
      </c>
      <c r="J357" s="102" t="s">
        <v>472</v>
      </c>
      <c r="K357" s="360">
        <v>0.0</v>
      </c>
      <c r="L357" s="360">
        <v>200.0</v>
      </c>
      <c r="M357" s="102" t="s">
        <v>706</v>
      </c>
      <c r="N357" s="102" t="s">
        <v>1062</v>
      </c>
    </row>
    <row r="358">
      <c r="A358" s="412">
        <v>45616.0</v>
      </c>
      <c r="B358" s="413">
        <v>2024.0</v>
      </c>
      <c r="C358" s="414" t="s">
        <v>1009</v>
      </c>
      <c r="D358" s="413" t="s">
        <v>723</v>
      </c>
      <c r="E358" s="413" t="s">
        <v>137</v>
      </c>
      <c r="F358" s="413" t="s">
        <v>711</v>
      </c>
      <c r="G358" s="413" t="s">
        <v>740</v>
      </c>
      <c r="H358" s="415">
        <v>10.0</v>
      </c>
      <c r="I358" s="416" t="b">
        <v>0</v>
      </c>
      <c r="J358" s="413" t="s">
        <v>472</v>
      </c>
      <c r="K358" s="415">
        <v>0.0</v>
      </c>
      <c r="L358" s="415">
        <v>10.0</v>
      </c>
      <c r="M358" s="413" t="s">
        <v>706</v>
      </c>
      <c r="N358" s="413" t="s">
        <v>1063</v>
      </c>
    </row>
    <row r="359">
      <c r="A359" s="409">
        <v>45616.0</v>
      </c>
      <c r="B359" s="102">
        <v>2024.0</v>
      </c>
      <c r="C359" s="410" t="s">
        <v>1009</v>
      </c>
      <c r="D359" s="102" t="s">
        <v>723</v>
      </c>
      <c r="E359" s="102" t="s">
        <v>137</v>
      </c>
      <c r="F359" s="102" t="s">
        <v>711</v>
      </c>
      <c r="G359" s="102" t="s">
        <v>767</v>
      </c>
      <c r="H359" s="360">
        <v>1210.0</v>
      </c>
      <c r="I359" s="411" t="b">
        <v>0</v>
      </c>
      <c r="J359" s="102" t="s">
        <v>472</v>
      </c>
      <c r="K359" s="360">
        <v>0.0</v>
      </c>
      <c r="L359" s="360">
        <v>1210.0</v>
      </c>
      <c r="M359" s="102" t="s">
        <v>706</v>
      </c>
      <c r="N359" s="102" t="s">
        <v>1064</v>
      </c>
    </row>
    <row r="360">
      <c r="A360" s="412">
        <v>45616.0</v>
      </c>
      <c r="B360" s="413">
        <v>2024.0</v>
      </c>
      <c r="C360" s="414" t="s">
        <v>1009</v>
      </c>
      <c r="D360" s="413" t="s">
        <v>723</v>
      </c>
      <c r="E360" s="413" t="s">
        <v>137</v>
      </c>
      <c r="F360" s="413" t="s">
        <v>711</v>
      </c>
      <c r="G360" s="413" t="s">
        <v>734</v>
      </c>
      <c r="H360" s="415">
        <v>80.0</v>
      </c>
      <c r="I360" s="416" t="b">
        <v>0</v>
      </c>
      <c r="J360" s="413" t="s">
        <v>472</v>
      </c>
      <c r="K360" s="415">
        <v>0.0</v>
      </c>
      <c r="L360" s="415">
        <v>80.0</v>
      </c>
      <c r="M360" s="413" t="s">
        <v>706</v>
      </c>
      <c r="N360" s="413" t="s">
        <v>1065</v>
      </c>
    </row>
    <row r="361">
      <c r="A361" s="409">
        <v>45616.0</v>
      </c>
      <c r="B361" s="102">
        <v>2024.0</v>
      </c>
      <c r="C361" s="410" t="s">
        <v>1009</v>
      </c>
      <c r="D361" s="102" t="s">
        <v>723</v>
      </c>
      <c r="E361" s="102" t="s">
        <v>137</v>
      </c>
      <c r="F361" s="102" t="s">
        <v>711</v>
      </c>
      <c r="G361" s="102" t="s">
        <v>715</v>
      </c>
      <c r="H361" s="360">
        <v>216.0</v>
      </c>
      <c r="I361" s="411" t="b">
        <v>0</v>
      </c>
      <c r="J361" s="102" t="s">
        <v>472</v>
      </c>
      <c r="K361" s="360">
        <v>0.0</v>
      </c>
      <c r="L361" s="360">
        <v>216.0</v>
      </c>
      <c r="M361" s="102" t="s">
        <v>706</v>
      </c>
      <c r="N361" s="102" t="s">
        <v>1066</v>
      </c>
    </row>
    <row r="362">
      <c r="A362" s="412">
        <v>45617.0</v>
      </c>
      <c r="B362" s="413">
        <v>2024.0</v>
      </c>
      <c r="C362" s="414" t="s">
        <v>1009</v>
      </c>
      <c r="D362" s="413" t="s">
        <v>723</v>
      </c>
      <c r="E362" s="413" t="s">
        <v>137</v>
      </c>
      <c r="F362" s="413" t="s">
        <v>711</v>
      </c>
      <c r="G362" s="413" t="s">
        <v>734</v>
      </c>
      <c r="H362" s="415">
        <v>120.0</v>
      </c>
      <c r="I362" s="416" t="b">
        <v>0</v>
      </c>
      <c r="J362" s="413" t="s">
        <v>472</v>
      </c>
      <c r="K362" s="415">
        <v>0.0</v>
      </c>
      <c r="L362" s="415">
        <v>120.0</v>
      </c>
      <c r="M362" s="413" t="s">
        <v>706</v>
      </c>
      <c r="N362" s="413" t="s">
        <v>1067</v>
      </c>
    </row>
    <row r="363">
      <c r="A363" s="409">
        <v>45617.0</v>
      </c>
      <c r="B363" s="102">
        <v>2024.0</v>
      </c>
      <c r="C363" s="410" t="s">
        <v>1009</v>
      </c>
      <c r="D363" s="102" t="s">
        <v>723</v>
      </c>
      <c r="E363" s="102" t="s">
        <v>137</v>
      </c>
      <c r="F363" s="102" t="s">
        <v>711</v>
      </c>
      <c r="G363" s="102" t="s">
        <v>740</v>
      </c>
      <c r="H363" s="360">
        <v>10.0</v>
      </c>
      <c r="I363" s="411" t="b">
        <v>0</v>
      </c>
      <c r="J363" s="102" t="s">
        <v>472</v>
      </c>
      <c r="K363" s="360">
        <v>0.0</v>
      </c>
      <c r="L363" s="360">
        <v>10.0</v>
      </c>
      <c r="M363" s="102" t="s">
        <v>706</v>
      </c>
      <c r="N363" s="102" t="s">
        <v>1067</v>
      </c>
    </row>
    <row r="364">
      <c r="A364" s="412">
        <v>45617.0</v>
      </c>
      <c r="B364" s="413">
        <v>2024.0</v>
      </c>
      <c r="C364" s="414" t="s">
        <v>1009</v>
      </c>
      <c r="D364" s="413" t="s">
        <v>723</v>
      </c>
      <c r="E364" s="413" t="s">
        <v>137</v>
      </c>
      <c r="F364" s="413" t="s">
        <v>703</v>
      </c>
      <c r="G364" s="413" t="s">
        <v>724</v>
      </c>
      <c r="H364" s="415">
        <v>1841.0</v>
      </c>
      <c r="I364" s="416" t="b">
        <v>1</v>
      </c>
      <c r="J364" s="413" t="s">
        <v>472</v>
      </c>
      <c r="K364" s="415">
        <v>0.0</v>
      </c>
      <c r="L364" s="415">
        <v>0.0</v>
      </c>
      <c r="M364" s="413" t="s">
        <v>706</v>
      </c>
      <c r="N364" s="413" t="s">
        <v>1068</v>
      </c>
    </row>
    <row r="365">
      <c r="A365" s="409">
        <v>45617.0</v>
      </c>
      <c r="B365" s="102">
        <v>2024.0</v>
      </c>
      <c r="C365" s="410" t="s">
        <v>1009</v>
      </c>
      <c r="D365" s="102" t="s">
        <v>723</v>
      </c>
      <c r="E365" s="102" t="s">
        <v>137</v>
      </c>
      <c r="F365" s="102" t="s">
        <v>711</v>
      </c>
      <c r="G365" s="102" t="s">
        <v>740</v>
      </c>
      <c r="H365" s="360">
        <v>19.0</v>
      </c>
      <c r="I365" s="411" t="b">
        <v>0</v>
      </c>
      <c r="J365" s="102" t="s">
        <v>472</v>
      </c>
      <c r="K365" s="360">
        <v>0.0</v>
      </c>
      <c r="L365" s="360">
        <v>19.0</v>
      </c>
      <c r="M365" s="102" t="s">
        <v>706</v>
      </c>
      <c r="N365" s="102" t="s">
        <v>1068</v>
      </c>
    </row>
    <row r="366">
      <c r="A366" s="412">
        <v>45617.0</v>
      </c>
      <c r="B366" s="413">
        <v>2024.0</v>
      </c>
      <c r="C366" s="414" t="s">
        <v>1009</v>
      </c>
      <c r="D366" s="413" t="s">
        <v>710</v>
      </c>
      <c r="E366" s="413" t="s">
        <v>137</v>
      </c>
      <c r="F366" s="413" t="s">
        <v>711</v>
      </c>
      <c r="G366" s="413" t="s">
        <v>724</v>
      </c>
      <c r="H366" s="415">
        <v>1841.0</v>
      </c>
      <c r="I366" s="416" t="b">
        <v>1</v>
      </c>
      <c r="J366" s="413" t="s">
        <v>472</v>
      </c>
      <c r="K366" s="415">
        <v>0.0</v>
      </c>
      <c r="L366" s="415">
        <v>0.0</v>
      </c>
      <c r="M366" s="413" t="s">
        <v>706</v>
      </c>
      <c r="N366" s="413" t="s">
        <v>1068</v>
      </c>
    </row>
    <row r="367">
      <c r="A367" s="409">
        <v>45617.0</v>
      </c>
      <c r="B367" s="102">
        <v>2024.0</v>
      </c>
      <c r="C367" s="410" t="s">
        <v>1009</v>
      </c>
      <c r="D367" s="102" t="s">
        <v>702</v>
      </c>
      <c r="E367" s="102" t="s">
        <v>465</v>
      </c>
      <c r="F367" s="102" t="s">
        <v>711</v>
      </c>
      <c r="G367" s="102" t="s">
        <v>730</v>
      </c>
      <c r="H367" s="360">
        <v>65.0</v>
      </c>
      <c r="I367" s="411" t="b">
        <v>0</v>
      </c>
      <c r="J367" s="102" t="s">
        <v>472</v>
      </c>
      <c r="K367" s="360">
        <v>8.96551724137931</v>
      </c>
      <c r="L367" s="360">
        <v>56.03448275862069</v>
      </c>
      <c r="M367" s="102" t="s">
        <v>706</v>
      </c>
      <c r="N367" s="102" t="s">
        <v>1068</v>
      </c>
    </row>
    <row r="368">
      <c r="A368" s="412">
        <v>45618.0</v>
      </c>
      <c r="B368" s="413">
        <v>2024.0</v>
      </c>
      <c r="C368" s="414" t="s">
        <v>1009</v>
      </c>
      <c r="D368" s="413" t="s">
        <v>702</v>
      </c>
      <c r="E368" s="413" t="s">
        <v>465</v>
      </c>
      <c r="F368" s="413" t="s">
        <v>703</v>
      </c>
      <c r="G368" s="413" t="s">
        <v>724</v>
      </c>
      <c r="H368" s="415">
        <v>370.0</v>
      </c>
      <c r="I368" s="416" t="b">
        <v>1</v>
      </c>
      <c r="J368" s="413" t="s">
        <v>472</v>
      </c>
      <c r="K368" s="415">
        <v>0.0</v>
      </c>
      <c r="L368" s="415">
        <v>0.0</v>
      </c>
      <c r="M368" s="413" t="s">
        <v>706</v>
      </c>
      <c r="N368" s="413" t="s">
        <v>1069</v>
      </c>
    </row>
    <row r="369">
      <c r="A369" s="409">
        <v>45618.0</v>
      </c>
      <c r="B369" s="102">
        <v>2024.0</v>
      </c>
      <c r="C369" s="410" t="s">
        <v>1009</v>
      </c>
      <c r="D369" s="102" t="s">
        <v>710</v>
      </c>
      <c r="E369" s="102" t="s">
        <v>137</v>
      </c>
      <c r="F369" s="102" t="s">
        <v>711</v>
      </c>
      <c r="G369" s="102" t="s">
        <v>724</v>
      </c>
      <c r="H369" s="360">
        <v>370.0</v>
      </c>
      <c r="I369" s="411" t="b">
        <v>1</v>
      </c>
      <c r="J369" s="102" t="s">
        <v>472</v>
      </c>
      <c r="K369" s="360">
        <v>0.0</v>
      </c>
      <c r="L369" s="360">
        <v>0.0</v>
      </c>
      <c r="M369" s="102" t="s">
        <v>706</v>
      </c>
      <c r="N369" s="102" t="s">
        <v>1069</v>
      </c>
    </row>
    <row r="370">
      <c r="A370" s="412">
        <v>45618.0</v>
      </c>
      <c r="B370" s="413">
        <v>2024.0</v>
      </c>
      <c r="C370" s="414" t="s">
        <v>1009</v>
      </c>
      <c r="D370" s="413" t="s">
        <v>710</v>
      </c>
      <c r="E370" s="413" t="s">
        <v>137</v>
      </c>
      <c r="F370" s="413" t="s">
        <v>703</v>
      </c>
      <c r="G370" s="413" t="s">
        <v>715</v>
      </c>
      <c r="H370" s="415">
        <v>1000.0</v>
      </c>
      <c r="I370" s="416" t="b">
        <v>0</v>
      </c>
      <c r="J370" s="413" t="s">
        <v>775</v>
      </c>
      <c r="K370" s="415">
        <v>0.0</v>
      </c>
      <c r="L370" s="415">
        <v>1000.0</v>
      </c>
      <c r="M370" s="413" t="s">
        <v>706</v>
      </c>
      <c r="N370" s="413" t="s">
        <v>1070</v>
      </c>
    </row>
    <row r="371">
      <c r="A371" s="409">
        <v>45618.0</v>
      </c>
      <c r="B371" s="102">
        <v>2024.0</v>
      </c>
      <c r="C371" s="410" t="s">
        <v>1009</v>
      </c>
      <c r="D371" s="102" t="s">
        <v>702</v>
      </c>
      <c r="E371" s="102" t="s">
        <v>465</v>
      </c>
      <c r="F371" s="102" t="s">
        <v>703</v>
      </c>
      <c r="G371" s="102" t="s">
        <v>715</v>
      </c>
      <c r="H371" s="360">
        <v>1612.0</v>
      </c>
      <c r="I371" s="411" t="b">
        <v>0</v>
      </c>
      <c r="J371" s="102" t="s">
        <v>472</v>
      </c>
      <c r="K371" s="360">
        <v>0.0</v>
      </c>
      <c r="L371" s="360">
        <v>1612.0</v>
      </c>
      <c r="M371" s="102" t="s">
        <v>706</v>
      </c>
      <c r="N371" s="102" t="s">
        <v>1070</v>
      </c>
    </row>
    <row r="372">
      <c r="A372" s="412">
        <v>45618.0</v>
      </c>
      <c r="B372" s="413">
        <v>2024.0</v>
      </c>
      <c r="C372" s="414" t="s">
        <v>1009</v>
      </c>
      <c r="D372" s="413" t="s">
        <v>710</v>
      </c>
      <c r="E372" s="413" t="s">
        <v>137</v>
      </c>
      <c r="F372" s="413" t="s">
        <v>703</v>
      </c>
      <c r="G372" s="413" t="s">
        <v>906</v>
      </c>
      <c r="H372" s="415">
        <v>2000.0</v>
      </c>
      <c r="I372" s="416" t="b">
        <v>0</v>
      </c>
      <c r="J372" s="413" t="s">
        <v>472</v>
      </c>
      <c r="K372" s="415">
        <v>0.0</v>
      </c>
      <c r="L372" s="415">
        <v>2000.0</v>
      </c>
      <c r="M372" s="413" t="s">
        <v>706</v>
      </c>
      <c r="N372" s="413" t="s">
        <v>1070</v>
      </c>
    </row>
    <row r="373">
      <c r="A373" s="409">
        <v>45619.0</v>
      </c>
      <c r="B373" s="102">
        <v>2024.0</v>
      </c>
      <c r="C373" s="410" t="s">
        <v>1009</v>
      </c>
      <c r="D373" s="102" t="s">
        <v>723</v>
      </c>
      <c r="E373" s="102" t="s">
        <v>137</v>
      </c>
      <c r="F373" s="102" t="s">
        <v>711</v>
      </c>
      <c r="G373" s="102" t="s">
        <v>734</v>
      </c>
      <c r="H373" s="360">
        <v>120.0</v>
      </c>
      <c r="I373" s="411" t="b">
        <v>0</v>
      </c>
      <c r="J373" s="102" t="s">
        <v>472</v>
      </c>
      <c r="K373" s="360">
        <v>0.0</v>
      </c>
      <c r="L373" s="360">
        <v>120.0</v>
      </c>
      <c r="M373" s="102" t="s">
        <v>706</v>
      </c>
      <c r="N373" s="102" t="s">
        <v>1071</v>
      </c>
    </row>
    <row r="374">
      <c r="A374" s="412">
        <v>45619.0</v>
      </c>
      <c r="B374" s="413">
        <v>2024.0</v>
      </c>
      <c r="C374" s="414" t="s">
        <v>1009</v>
      </c>
      <c r="D374" s="413" t="s">
        <v>723</v>
      </c>
      <c r="E374" s="413" t="s">
        <v>137</v>
      </c>
      <c r="F374" s="413" t="s">
        <v>711</v>
      </c>
      <c r="G374" s="413" t="s">
        <v>734</v>
      </c>
      <c r="H374" s="415">
        <v>200.0</v>
      </c>
      <c r="I374" s="416" t="b">
        <v>0</v>
      </c>
      <c r="J374" s="413" t="s">
        <v>472</v>
      </c>
      <c r="K374" s="415">
        <v>0.0</v>
      </c>
      <c r="L374" s="415">
        <v>200.0</v>
      </c>
      <c r="M374" s="413" t="s">
        <v>706</v>
      </c>
      <c r="N374" s="413" t="s">
        <v>1072</v>
      </c>
    </row>
    <row r="375">
      <c r="A375" s="409">
        <v>45619.0</v>
      </c>
      <c r="B375" s="102">
        <v>2024.0</v>
      </c>
      <c r="C375" s="410" t="s">
        <v>1009</v>
      </c>
      <c r="D375" s="102" t="s">
        <v>723</v>
      </c>
      <c r="E375" s="102" t="s">
        <v>137</v>
      </c>
      <c r="F375" s="102" t="s">
        <v>711</v>
      </c>
      <c r="G375" s="102" t="s">
        <v>740</v>
      </c>
      <c r="H375" s="360">
        <v>10.0</v>
      </c>
      <c r="I375" s="411" t="b">
        <v>0</v>
      </c>
      <c r="J375" s="102" t="s">
        <v>472</v>
      </c>
      <c r="K375" s="360">
        <v>0.0</v>
      </c>
      <c r="L375" s="360">
        <v>10.0</v>
      </c>
      <c r="M375" s="102" t="s">
        <v>706</v>
      </c>
      <c r="N375" s="102" t="s">
        <v>1073</v>
      </c>
    </row>
    <row r="376">
      <c r="A376" s="412">
        <v>45619.0</v>
      </c>
      <c r="B376" s="413">
        <v>2024.0</v>
      </c>
      <c r="C376" s="414" t="s">
        <v>1009</v>
      </c>
      <c r="D376" s="413" t="s">
        <v>702</v>
      </c>
      <c r="E376" s="413" t="s">
        <v>465</v>
      </c>
      <c r="F376" s="413" t="s">
        <v>711</v>
      </c>
      <c r="G376" s="413" t="s">
        <v>730</v>
      </c>
      <c r="H376" s="415">
        <v>9.0</v>
      </c>
      <c r="I376" s="416" t="b">
        <v>0</v>
      </c>
      <c r="J376" s="413" t="s">
        <v>472</v>
      </c>
      <c r="K376" s="415">
        <v>1.2413793103448274</v>
      </c>
      <c r="L376" s="415">
        <v>7.758620689655173</v>
      </c>
      <c r="M376" s="413" t="s">
        <v>706</v>
      </c>
      <c r="N376" s="413" t="s">
        <v>1074</v>
      </c>
    </row>
    <row r="377">
      <c r="A377" s="409">
        <v>45622.0</v>
      </c>
      <c r="B377" s="102">
        <v>2024.0</v>
      </c>
      <c r="C377" s="410" t="s">
        <v>1009</v>
      </c>
      <c r="D377" s="102" t="s">
        <v>723</v>
      </c>
      <c r="E377" s="102" t="s">
        <v>137</v>
      </c>
      <c r="F377" s="102" t="s">
        <v>711</v>
      </c>
      <c r="G377" s="102" t="s">
        <v>767</v>
      </c>
      <c r="H377" s="360">
        <v>800.0</v>
      </c>
      <c r="I377" s="411" t="b">
        <v>0</v>
      </c>
      <c r="J377" s="102" t="s">
        <v>472</v>
      </c>
      <c r="K377" s="360">
        <v>0.0</v>
      </c>
      <c r="L377" s="360">
        <v>800.0</v>
      </c>
      <c r="M377" s="102" t="s">
        <v>706</v>
      </c>
      <c r="N377" s="102" t="s">
        <v>1075</v>
      </c>
    </row>
    <row r="378">
      <c r="A378" s="412">
        <v>45622.0</v>
      </c>
      <c r="B378" s="413">
        <v>2024.0</v>
      </c>
      <c r="C378" s="414" t="s">
        <v>1009</v>
      </c>
      <c r="D378" s="413" t="s">
        <v>723</v>
      </c>
      <c r="E378" s="413" t="s">
        <v>137</v>
      </c>
      <c r="F378" s="413" t="s">
        <v>711</v>
      </c>
      <c r="G378" s="413" t="s">
        <v>740</v>
      </c>
      <c r="H378" s="415">
        <v>10.0</v>
      </c>
      <c r="I378" s="416" t="b">
        <v>0</v>
      </c>
      <c r="J378" s="413" t="s">
        <v>472</v>
      </c>
      <c r="K378" s="415">
        <v>0.0</v>
      </c>
      <c r="L378" s="415">
        <v>10.0</v>
      </c>
      <c r="M378" s="413" t="s">
        <v>706</v>
      </c>
      <c r="N378" s="413" t="s">
        <v>1076</v>
      </c>
    </row>
    <row r="379">
      <c r="A379" s="409">
        <v>45622.0</v>
      </c>
      <c r="B379" s="102">
        <v>2024.0</v>
      </c>
      <c r="C379" s="410" t="s">
        <v>1009</v>
      </c>
      <c r="D379" s="102" t="s">
        <v>702</v>
      </c>
      <c r="E379" s="102" t="s">
        <v>465</v>
      </c>
      <c r="F379" s="102" t="s">
        <v>711</v>
      </c>
      <c r="G379" s="102" t="s">
        <v>734</v>
      </c>
      <c r="H379" s="360">
        <v>120.0</v>
      </c>
      <c r="I379" s="411" t="b">
        <v>0</v>
      </c>
      <c r="J379" s="102" t="s">
        <v>472</v>
      </c>
      <c r="K379" s="360">
        <v>16.551724137931032</v>
      </c>
      <c r="L379" s="360">
        <v>103.44827586206897</v>
      </c>
      <c r="M379" s="102" t="s">
        <v>706</v>
      </c>
      <c r="N379" s="102" t="s">
        <v>1077</v>
      </c>
    </row>
    <row r="380">
      <c r="A380" s="412">
        <v>45622.0</v>
      </c>
      <c r="B380" s="413">
        <v>2024.0</v>
      </c>
      <c r="C380" s="414" t="s">
        <v>1009</v>
      </c>
      <c r="D380" s="413" t="s">
        <v>702</v>
      </c>
      <c r="E380" s="413" t="s">
        <v>465</v>
      </c>
      <c r="F380" s="413" t="s">
        <v>711</v>
      </c>
      <c r="G380" s="413" t="s">
        <v>730</v>
      </c>
      <c r="H380" s="415">
        <v>37.0</v>
      </c>
      <c r="I380" s="416" t="b">
        <v>0</v>
      </c>
      <c r="J380" s="413" t="s">
        <v>472</v>
      </c>
      <c r="K380" s="415">
        <v>5.103448275862068</v>
      </c>
      <c r="L380" s="415">
        <v>31.896551724137932</v>
      </c>
      <c r="M380" s="413" t="s">
        <v>706</v>
      </c>
      <c r="N380" s="413" t="s">
        <v>1078</v>
      </c>
    </row>
    <row r="381">
      <c r="A381" s="409">
        <v>45624.0</v>
      </c>
      <c r="B381" s="102">
        <v>2024.0</v>
      </c>
      <c r="C381" s="410" t="s">
        <v>1009</v>
      </c>
      <c r="D381" s="102" t="s">
        <v>702</v>
      </c>
      <c r="E381" s="102" t="s">
        <v>465</v>
      </c>
      <c r="F381" s="102" t="s">
        <v>711</v>
      </c>
      <c r="G381" s="102" t="s">
        <v>767</v>
      </c>
      <c r="H381" s="360">
        <v>120.0</v>
      </c>
      <c r="I381" s="411" t="b">
        <v>0</v>
      </c>
      <c r="J381" s="102" t="s">
        <v>472</v>
      </c>
      <c r="K381" s="360">
        <v>16.551724137931032</v>
      </c>
      <c r="L381" s="360">
        <v>103.44827586206897</v>
      </c>
      <c r="M381" s="102" t="s">
        <v>706</v>
      </c>
      <c r="N381" s="102" t="s">
        <v>1079</v>
      </c>
    </row>
    <row r="382">
      <c r="A382" s="412">
        <v>45624.0</v>
      </c>
      <c r="B382" s="413">
        <v>2024.0</v>
      </c>
      <c r="C382" s="414" t="s">
        <v>1009</v>
      </c>
      <c r="D382" s="413" t="s">
        <v>702</v>
      </c>
      <c r="E382" s="413" t="s">
        <v>465</v>
      </c>
      <c r="F382" s="413" t="s">
        <v>711</v>
      </c>
      <c r="G382" s="413" t="s">
        <v>730</v>
      </c>
      <c r="H382" s="415">
        <v>18.0</v>
      </c>
      <c r="I382" s="416" t="b">
        <v>0</v>
      </c>
      <c r="J382" s="413" t="s">
        <v>472</v>
      </c>
      <c r="K382" s="415">
        <v>2.482758620689655</v>
      </c>
      <c r="L382" s="415">
        <v>15.517241379310345</v>
      </c>
      <c r="M382" s="413" t="s">
        <v>706</v>
      </c>
      <c r="N382" s="413" t="s">
        <v>1079</v>
      </c>
    </row>
    <row r="383">
      <c r="A383" s="409">
        <v>45624.0</v>
      </c>
      <c r="B383" s="102">
        <v>2024.0</v>
      </c>
      <c r="C383" s="410" t="s">
        <v>1009</v>
      </c>
      <c r="D383" s="102" t="s">
        <v>723</v>
      </c>
      <c r="E383" s="102" t="s">
        <v>137</v>
      </c>
      <c r="F383" s="102" t="s">
        <v>703</v>
      </c>
      <c r="G383" s="102" t="s">
        <v>910</v>
      </c>
      <c r="H383" s="360">
        <v>54.0</v>
      </c>
      <c r="I383" s="411" t="b">
        <v>0</v>
      </c>
      <c r="J383" s="102" t="s">
        <v>472</v>
      </c>
      <c r="K383" s="360">
        <v>0.0</v>
      </c>
      <c r="L383" s="360">
        <v>54.0</v>
      </c>
      <c r="M383" s="102" t="s">
        <v>706</v>
      </c>
      <c r="N383" s="102" t="s">
        <v>1080</v>
      </c>
    </row>
    <row r="384">
      <c r="A384" s="412">
        <v>45624.0</v>
      </c>
      <c r="B384" s="413">
        <v>2024.0</v>
      </c>
      <c r="C384" s="414" t="s">
        <v>1009</v>
      </c>
      <c r="D384" s="413" t="s">
        <v>723</v>
      </c>
      <c r="E384" s="413" t="s">
        <v>137</v>
      </c>
      <c r="F384" s="413" t="s">
        <v>711</v>
      </c>
      <c r="G384" s="413" t="s">
        <v>715</v>
      </c>
      <c r="H384" s="415">
        <v>30.0</v>
      </c>
      <c r="I384" s="416" t="b">
        <v>0</v>
      </c>
      <c r="J384" s="413" t="s">
        <v>472</v>
      </c>
      <c r="K384" s="415">
        <v>0.0</v>
      </c>
      <c r="L384" s="415">
        <v>30.0</v>
      </c>
      <c r="M384" s="413" t="s">
        <v>706</v>
      </c>
      <c r="N384" s="413" t="s">
        <v>1080</v>
      </c>
    </row>
    <row r="385">
      <c r="A385" s="409">
        <v>45624.0</v>
      </c>
      <c r="B385" s="102">
        <v>2024.0</v>
      </c>
      <c r="C385" s="410" t="s">
        <v>1009</v>
      </c>
      <c r="D385" s="102" t="s">
        <v>723</v>
      </c>
      <c r="E385" s="102" t="s">
        <v>137</v>
      </c>
      <c r="F385" s="102" t="s">
        <v>711</v>
      </c>
      <c r="G385" s="102" t="s">
        <v>740</v>
      </c>
      <c r="H385" s="360">
        <v>14.0</v>
      </c>
      <c r="I385" s="411" t="b">
        <v>0</v>
      </c>
      <c r="J385" s="102" t="s">
        <v>472</v>
      </c>
      <c r="K385" s="360">
        <v>0.0</v>
      </c>
      <c r="L385" s="360">
        <v>14.0</v>
      </c>
      <c r="M385" s="102" t="s">
        <v>706</v>
      </c>
      <c r="N385" s="102" t="s">
        <v>1080</v>
      </c>
    </row>
    <row r="386">
      <c r="A386" s="412">
        <v>45625.0</v>
      </c>
      <c r="B386" s="413">
        <v>2024.0</v>
      </c>
      <c r="C386" s="414" t="s">
        <v>1009</v>
      </c>
      <c r="D386" s="413" t="s">
        <v>723</v>
      </c>
      <c r="E386" s="413" t="s">
        <v>137</v>
      </c>
      <c r="F386" s="413" t="s">
        <v>711</v>
      </c>
      <c r="G386" s="413" t="s">
        <v>734</v>
      </c>
      <c r="H386" s="415">
        <v>105.0</v>
      </c>
      <c r="I386" s="416" t="b">
        <v>0</v>
      </c>
      <c r="J386" s="413" t="s">
        <v>472</v>
      </c>
      <c r="K386" s="415">
        <v>0.0</v>
      </c>
      <c r="L386" s="415">
        <v>105.0</v>
      </c>
      <c r="M386" s="413" t="s">
        <v>706</v>
      </c>
      <c r="N386" s="413" t="s">
        <v>1081</v>
      </c>
    </row>
    <row r="387">
      <c r="A387" s="409">
        <v>45626.0</v>
      </c>
      <c r="B387" s="102">
        <v>2024.0</v>
      </c>
      <c r="C387" s="410" t="s">
        <v>1009</v>
      </c>
      <c r="D387" s="102" t="s">
        <v>702</v>
      </c>
      <c r="E387" s="102" t="s">
        <v>465</v>
      </c>
      <c r="F387" s="102" t="s">
        <v>711</v>
      </c>
      <c r="G387" s="102" t="s">
        <v>767</v>
      </c>
      <c r="H387" s="360">
        <v>1055.0</v>
      </c>
      <c r="I387" s="411" t="b">
        <v>0</v>
      </c>
      <c r="J387" s="102" t="s">
        <v>472</v>
      </c>
      <c r="K387" s="360">
        <v>145.51724137931024</v>
      </c>
      <c r="L387" s="360">
        <v>909.4827586206898</v>
      </c>
      <c r="M387" s="102" t="s">
        <v>706</v>
      </c>
      <c r="N387" s="102" t="s">
        <v>1082</v>
      </c>
    </row>
    <row r="388">
      <c r="A388" s="412">
        <v>45626.0</v>
      </c>
      <c r="B388" s="413">
        <v>2024.0</v>
      </c>
      <c r="C388" s="414" t="s">
        <v>1009</v>
      </c>
      <c r="D388" s="413" t="s">
        <v>723</v>
      </c>
      <c r="E388" s="413" t="s">
        <v>137</v>
      </c>
      <c r="F388" s="413" t="s">
        <v>703</v>
      </c>
      <c r="G388" s="413" t="s">
        <v>715</v>
      </c>
      <c r="H388" s="415">
        <v>150.0</v>
      </c>
      <c r="I388" s="416" t="b">
        <v>0</v>
      </c>
      <c r="J388" s="413" t="s">
        <v>472</v>
      </c>
      <c r="K388" s="415">
        <v>0.0</v>
      </c>
      <c r="L388" s="415">
        <v>150.0</v>
      </c>
      <c r="M388" s="413" t="s">
        <v>706</v>
      </c>
      <c r="N388" s="413" t="s">
        <v>1082</v>
      </c>
    </row>
    <row r="389">
      <c r="A389" s="409">
        <v>45626.0</v>
      </c>
      <c r="B389" s="102">
        <v>2024.0</v>
      </c>
      <c r="C389" s="410" t="s">
        <v>1009</v>
      </c>
      <c r="D389" s="102" t="s">
        <v>723</v>
      </c>
      <c r="E389" s="102" t="s">
        <v>137</v>
      </c>
      <c r="F389" s="102" t="s">
        <v>711</v>
      </c>
      <c r="G389" s="102" t="s">
        <v>734</v>
      </c>
      <c r="H389" s="360">
        <v>150.0</v>
      </c>
      <c r="I389" s="411" t="b">
        <v>0</v>
      </c>
      <c r="J389" s="102" t="s">
        <v>472</v>
      </c>
      <c r="K389" s="360">
        <v>0.0</v>
      </c>
      <c r="L389" s="360">
        <v>150.0</v>
      </c>
      <c r="M389" s="102" t="s">
        <v>706</v>
      </c>
      <c r="N389" s="102" t="s">
        <v>1082</v>
      </c>
    </row>
    <row r="390">
      <c r="A390" s="412">
        <v>45626.0</v>
      </c>
      <c r="B390" s="413">
        <v>2024.0</v>
      </c>
      <c r="C390" s="414" t="s">
        <v>1009</v>
      </c>
      <c r="D390" s="413" t="s">
        <v>702</v>
      </c>
      <c r="E390" s="413" t="s">
        <v>465</v>
      </c>
      <c r="F390" s="413" t="s">
        <v>711</v>
      </c>
      <c r="G390" s="413" t="s">
        <v>730</v>
      </c>
      <c r="H390" s="415">
        <v>10.0</v>
      </c>
      <c r="I390" s="416" t="b">
        <v>0</v>
      </c>
      <c r="J390" s="413" t="s">
        <v>472</v>
      </c>
      <c r="K390" s="415">
        <v>1.3793103448275854</v>
      </c>
      <c r="L390" s="415">
        <v>8.620689655172415</v>
      </c>
      <c r="M390" s="413" t="s">
        <v>706</v>
      </c>
      <c r="N390" s="413" t="s">
        <v>1082</v>
      </c>
    </row>
    <row r="391">
      <c r="A391" s="409">
        <v>45626.0</v>
      </c>
      <c r="B391" s="102">
        <v>2024.0</v>
      </c>
      <c r="C391" s="410" t="s">
        <v>1009</v>
      </c>
      <c r="D391" s="102" t="s">
        <v>723</v>
      </c>
      <c r="E391" s="102" t="s">
        <v>137</v>
      </c>
      <c r="F391" s="102" t="s">
        <v>703</v>
      </c>
      <c r="G391" s="102" t="s">
        <v>724</v>
      </c>
      <c r="H391" s="360">
        <v>1443.0</v>
      </c>
      <c r="I391" s="411" t="b">
        <v>1</v>
      </c>
      <c r="J391" s="102" t="s">
        <v>472</v>
      </c>
      <c r="K391" s="360">
        <v>0.0</v>
      </c>
      <c r="L391" s="360">
        <v>0.0</v>
      </c>
      <c r="M391" s="102" t="s">
        <v>706</v>
      </c>
      <c r="N391" s="102" t="s">
        <v>1083</v>
      </c>
    </row>
    <row r="392">
      <c r="A392" s="412">
        <v>45626.0</v>
      </c>
      <c r="B392" s="413">
        <v>2024.0</v>
      </c>
      <c r="C392" s="414" t="s">
        <v>1009</v>
      </c>
      <c r="D392" s="413" t="s">
        <v>723</v>
      </c>
      <c r="E392" s="413" t="s">
        <v>137</v>
      </c>
      <c r="F392" s="413" t="s">
        <v>711</v>
      </c>
      <c r="G392" s="413" t="s">
        <v>740</v>
      </c>
      <c r="H392" s="415">
        <v>8.0</v>
      </c>
      <c r="I392" s="416" t="b">
        <v>0</v>
      </c>
      <c r="J392" s="413" t="s">
        <v>472</v>
      </c>
      <c r="K392" s="415">
        <v>0.0</v>
      </c>
      <c r="L392" s="415">
        <v>8.0</v>
      </c>
      <c r="M392" s="413" t="s">
        <v>706</v>
      </c>
      <c r="N392" s="413" t="s">
        <v>1083</v>
      </c>
    </row>
    <row r="393">
      <c r="A393" s="409">
        <v>45626.0</v>
      </c>
      <c r="B393" s="102">
        <v>2024.0</v>
      </c>
      <c r="C393" s="410" t="s">
        <v>1009</v>
      </c>
      <c r="D393" s="102" t="s">
        <v>710</v>
      </c>
      <c r="E393" s="102" t="s">
        <v>137</v>
      </c>
      <c r="F393" s="102" t="s">
        <v>703</v>
      </c>
      <c r="G393" s="102" t="s">
        <v>715</v>
      </c>
      <c r="H393" s="360">
        <v>9.0</v>
      </c>
      <c r="I393" s="411" t="b">
        <v>0</v>
      </c>
      <c r="J393" s="102" t="s">
        <v>472</v>
      </c>
      <c r="K393" s="360">
        <v>0.0</v>
      </c>
      <c r="L393" s="360">
        <v>9.0</v>
      </c>
      <c r="M393" s="102" t="s">
        <v>706</v>
      </c>
      <c r="N393" s="102" t="s">
        <v>1083</v>
      </c>
    </row>
    <row r="394">
      <c r="A394" s="412">
        <v>45626.0</v>
      </c>
      <c r="B394" s="413">
        <v>2024.0</v>
      </c>
      <c r="C394" s="414" t="s">
        <v>1009</v>
      </c>
      <c r="D394" s="413" t="s">
        <v>710</v>
      </c>
      <c r="E394" s="413" t="s">
        <v>137</v>
      </c>
      <c r="F394" s="413" t="s">
        <v>711</v>
      </c>
      <c r="G394" s="413" t="s">
        <v>724</v>
      </c>
      <c r="H394" s="415">
        <v>1443.0</v>
      </c>
      <c r="I394" s="416" t="b">
        <v>1</v>
      </c>
      <c r="J394" s="413" t="s">
        <v>472</v>
      </c>
      <c r="K394" s="415">
        <v>0.0</v>
      </c>
      <c r="L394" s="415">
        <v>0.0</v>
      </c>
      <c r="M394" s="413" t="s">
        <v>706</v>
      </c>
      <c r="N394" s="413" t="s">
        <v>1083</v>
      </c>
    </row>
    <row r="395">
      <c r="A395" s="409">
        <v>45629.0</v>
      </c>
      <c r="B395" s="102">
        <v>2024.0</v>
      </c>
      <c r="C395" s="410" t="s">
        <v>1084</v>
      </c>
      <c r="D395" s="102" t="s">
        <v>702</v>
      </c>
      <c r="E395" s="102" t="s">
        <v>465</v>
      </c>
      <c r="F395" s="102" t="s">
        <v>711</v>
      </c>
      <c r="G395" s="102" t="s">
        <v>767</v>
      </c>
      <c r="H395" s="360">
        <v>950.0</v>
      </c>
      <c r="I395" s="411" t="b">
        <v>0</v>
      </c>
      <c r="J395" s="102" t="s">
        <v>472</v>
      </c>
      <c r="K395" s="360">
        <v>131.03448275862058</v>
      </c>
      <c r="L395" s="360">
        <v>818.9655172413794</v>
      </c>
      <c r="M395" s="102" t="s">
        <v>706</v>
      </c>
      <c r="N395" s="102" t="s">
        <v>1085</v>
      </c>
    </row>
    <row r="396">
      <c r="A396" s="412">
        <v>45629.0</v>
      </c>
      <c r="B396" s="413">
        <v>2024.0</v>
      </c>
      <c r="C396" s="414" t="s">
        <v>1084</v>
      </c>
      <c r="D396" s="413" t="s">
        <v>723</v>
      </c>
      <c r="E396" s="413" t="s">
        <v>137</v>
      </c>
      <c r="F396" s="413" t="s">
        <v>711</v>
      </c>
      <c r="G396" s="413" t="s">
        <v>767</v>
      </c>
      <c r="H396" s="415">
        <v>950.0</v>
      </c>
      <c r="I396" s="416" t="b">
        <v>0</v>
      </c>
      <c r="J396" s="413" t="s">
        <v>472</v>
      </c>
      <c r="K396" s="415">
        <v>0.0</v>
      </c>
      <c r="L396" s="415">
        <v>950.0</v>
      </c>
      <c r="M396" s="413" t="s">
        <v>706</v>
      </c>
      <c r="N396" s="413" t="s">
        <v>1086</v>
      </c>
    </row>
    <row r="397">
      <c r="A397" s="409">
        <v>45629.0</v>
      </c>
      <c r="B397" s="102">
        <v>2024.0</v>
      </c>
      <c r="C397" s="410" t="s">
        <v>1084</v>
      </c>
      <c r="D397" s="102" t="s">
        <v>702</v>
      </c>
      <c r="E397" s="102" t="s">
        <v>465</v>
      </c>
      <c r="F397" s="102" t="s">
        <v>711</v>
      </c>
      <c r="G397" s="102" t="s">
        <v>767</v>
      </c>
      <c r="H397" s="360">
        <v>1100.0</v>
      </c>
      <c r="I397" s="411" t="b">
        <v>0</v>
      </c>
      <c r="J397" s="102" t="s">
        <v>472</v>
      </c>
      <c r="K397" s="360">
        <v>151.72413793103442</v>
      </c>
      <c r="L397" s="360">
        <v>948.2758620689656</v>
      </c>
      <c r="M397" s="102" t="s">
        <v>706</v>
      </c>
      <c r="N397" s="102" t="s">
        <v>1087</v>
      </c>
    </row>
    <row r="398">
      <c r="A398" s="412">
        <v>45629.0</v>
      </c>
      <c r="B398" s="413">
        <v>2024.0</v>
      </c>
      <c r="C398" s="414" t="s">
        <v>1084</v>
      </c>
      <c r="D398" s="413" t="s">
        <v>723</v>
      </c>
      <c r="E398" s="413" t="s">
        <v>137</v>
      </c>
      <c r="F398" s="413" t="s">
        <v>711</v>
      </c>
      <c r="G398" s="413" t="s">
        <v>767</v>
      </c>
      <c r="H398" s="415">
        <v>950.0</v>
      </c>
      <c r="I398" s="416" t="b">
        <v>0</v>
      </c>
      <c r="J398" s="413" t="s">
        <v>472</v>
      </c>
      <c r="K398" s="415">
        <v>0.0</v>
      </c>
      <c r="L398" s="415">
        <v>950.0</v>
      </c>
      <c r="M398" s="413" t="s">
        <v>706</v>
      </c>
      <c r="N398" s="413" t="s">
        <v>1088</v>
      </c>
    </row>
    <row r="399">
      <c r="A399" s="409">
        <v>45629.0</v>
      </c>
      <c r="B399" s="102">
        <v>2024.0</v>
      </c>
      <c r="C399" s="410" t="s">
        <v>1084</v>
      </c>
      <c r="D399" s="102" t="s">
        <v>710</v>
      </c>
      <c r="E399" s="102" t="s">
        <v>137</v>
      </c>
      <c r="F399" s="102" t="s">
        <v>703</v>
      </c>
      <c r="G399" s="102" t="s">
        <v>769</v>
      </c>
      <c r="H399" s="360">
        <v>8000.0</v>
      </c>
      <c r="I399" s="411" t="b">
        <v>0</v>
      </c>
      <c r="J399" s="102" t="s">
        <v>472</v>
      </c>
      <c r="K399" s="360">
        <v>0.0</v>
      </c>
      <c r="L399" s="360">
        <v>8000.0</v>
      </c>
      <c r="M399" s="102" t="s">
        <v>706</v>
      </c>
      <c r="N399" s="102" t="s">
        <v>1089</v>
      </c>
    </row>
    <row r="400">
      <c r="A400" s="412">
        <v>45629.0</v>
      </c>
      <c r="B400" s="413">
        <v>2024.0</v>
      </c>
      <c r="C400" s="414" t="s">
        <v>1084</v>
      </c>
      <c r="D400" s="413" t="s">
        <v>702</v>
      </c>
      <c r="E400" s="413" t="s">
        <v>465</v>
      </c>
      <c r="F400" s="413" t="s">
        <v>711</v>
      </c>
      <c r="G400" s="413" t="s">
        <v>767</v>
      </c>
      <c r="H400" s="415">
        <v>950.0</v>
      </c>
      <c r="I400" s="416" t="b">
        <v>0</v>
      </c>
      <c r="J400" s="413" t="s">
        <v>472</v>
      </c>
      <c r="K400" s="415">
        <v>131.03448275862058</v>
      </c>
      <c r="L400" s="415">
        <v>818.9655172413794</v>
      </c>
      <c r="M400" s="413" t="s">
        <v>706</v>
      </c>
      <c r="N400" s="413" t="s">
        <v>1090</v>
      </c>
    </row>
    <row r="401">
      <c r="A401" s="409">
        <v>45631.0</v>
      </c>
      <c r="B401" s="102">
        <v>2024.0</v>
      </c>
      <c r="C401" s="410" t="s">
        <v>1084</v>
      </c>
      <c r="D401" s="102" t="s">
        <v>702</v>
      </c>
      <c r="E401" s="102" t="s">
        <v>465</v>
      </c>
      <c r="F401" s="102" t="s">
        <v>711</v>
      </c>
      <c r="G401" s="102" t="s">
        <v>767</v>
      </c>
      <c r="H401" s="360">
        <v>950.0</v>
      </c>
      <c r="I401" s="411" t="b">
        <v>0</v>
      </c>
      <c r="J401" s="102" t="s">
        <v>472</v>
      </c>
      <c r="K401" s="360">
        <v>131.03448275862058</v>
      </c>
      <c r="L401" s="360">
        <v>818.9655172413794</v>
      </c>
      <c r="M401" s="102" t="s">
        <v>706</v>
      </c>
      <c r="N401" s="102" t="s">
        <v>1091</v>
      </c>
    </row>
    <row r="402">
      <c r="A402" s="412">
        <v>45631.0</v>
      </c>
      <c r="B402" s="413">
        <v>2024.0</v>
      </c>
      <c r="C402" s="414" t="s">
        <v>1084</v>
      </c>
      <c r="D402" s="413" t="s">
        <v>702</v>
      </c>
      <c r="E402" s="413" t="s">
        <v>465</v>
      </c>
      <c r="F402" s="413" t="s">
        <v>711</v>
      </c>
      <c r="G402" s="413" t="s">
        <v>767</v>
      </c>
      <c r="H402" s="415">
        <v>750.0</v>
      </c>
      <c r="I402" s="416" t="b">
        <v>0</v>
      </c>
      <c r="J402" s="413" t="s">
        <v>472</v>
      </c>
      <c r="K402" s="415">
        <v>103.44827586206895</v>
      </c>
      <c r="L402" s="415">
        <v>646.551724137931</v>
      </c>
      <c r="M402" s="413" t="s">
        <v>706</v>
      </c>
      <c r="N402" s="413" t="s">
        <v>1091</v>
      </c>
    </row>
    <row r="403">
      <c r="A403" s="409">
        <v>45631.0</v>
      </c>
      <c r="B403" s="102">
        <v>2024.0</v>
      </c>
      <c r="C403" s="410" t="s">
        <v>1084</v>
      </c>
      <c r="D403" s="102" t="s">
        <v>723</v>
      </c>
      <c r="E403" s="102" t="s">
        <v>137</v>
      </c>
      <c r="F403" s="102" t="s">
        <v>711</v>
      </c>
      <c r="G403" s="102" t="s">
        <v>734</v>
      </c>
      <c r="H403" s="360">
        <v>150.0</v>
      </c>
      <c r="I403" s="411" t="b">
        <v>0</v>
      </c>
      <c r="J403" s="102" t="s">
        <v>1093</v>
      </c>
      <c r="K403" s="360">
        <v>0.0</v>
      </c>
      <c r="L403" s="360">
        <v>150.0</v>
      </c>
      <c r="M403" s="102" t="s">
        <v>706</v>
      </c>
      <c r="N403" s="102" t="s">
        <v>1091</v>
      </c>
    </row>
    <row r="404">
      <c r="A404" s="412">
        <v>45631.0</v>
      </c>
      <c r="B404" s="413">
        <v>2024.0</v>
      </c>
      <c r="C404" s="414" t="s">
        <v>1084</v>
      </c>
      <c r="D404" s="413" t="s">
        <v>702</v>
      </c>
      <c r="E404" s="413" t="s">
        <v>465</v>
      </c>
      <c r="F404" s="413" t="s">
        <v>703</v>
      </c>
      <c r="G404" s="413" t="s">
        <v>715</v>
      </c>
      <c r="H404" s="415">
        <v>950.0</v>
      </c>
      <c r="I404" s="416" t="b">
        <v>0</v>
      </c>
      <c r="J404" s="413" t="s">
        <v>1094</v>
      </c>
      <c r="K404" s="415">
        <v>0.0</v>
      </c>
      <c r="L404" s="415">
        <v>950.0</v>
      </c>
      <c r="M404" s="413" t="s">
        <v>706</v>
      </c>
      <c r="N404" s="413" t="s">
        <v>1091</v>
      </c>
    </row>
    <row r="405">
      <c r="A405" s="409">
        <v>45631.0</v>
      </c>
      <c r="B405" s="102">
        <v>2024.0</v>
      </c>
      <c r="C405" s="410" t="s">
        <v>1084</v>
      </c>
      <c r="D405" s="102" t="s">
        <v>702</v>
      </c>
      <c r="E405" s="102" t="s">
        <v>465</v>
      </c>
      <c r="F405" s="102" t="s">
        <v>711</v>
      </c>
      <c r="G405" s="102" t="s">
        <v>767</v>
      </c>
      <c r="H405" s="360">
        <v>1055.0</v>
      </c>
      <c r="I405" s="411" t="b">
        <v>0</v>
      </c>
      <c r="J405" s="102" t="s">
        <v>472</v>
      </c>
      <c r="K405" s="360">
        <v>145.51724137931024</v>
      </c>
      <c r="L405" s="360">
        <v>909.4827586206898</v>
      </c>
      <c r="M405" s="102" t="s">
        <v>706</v>
      </c>
      <c r="N405" s="102" t="s">
        <v>1091</v>
      </c>
    </row>
    <row r="406">
      <c r="A406" s="412">
        <v>45631.0</v>
      </c>
      <c r="B406" s="413">
        <v>2024.0</v>
      </c>
      <c r="C406" s="414" t="s">
        <v>1084</v>
      </c>
      <c r="D406" s="413" t="s">
        <v>702</v>
      </c>
      <c r="E406" s="413" t="s">
        <v>465</v>
      </c>
      <c r="F406" s="413" t="s">
        <v>711</v>
      </c>
      <c r="G406" s="413" t="s">
        <v>730</v>
      </c>
      <c r="H406" s="415">
        <v>55.0</v>
      </c>
      <c r="I406" s="416" t="b">
        <v>0</v>
      </c>
      <c r="J406" s="413" t="s">
        <v>472</v>
      </c>
      <c r="K406" s="415">
        <v>7.586206896551722</v>
      </c>
      <c r="L406" s="415">
        <v>47.41379310344828</v>
      </c>
      <c r="M406" s="413" t="s">
        <v>706</v>
      </c>
      <c r="N406" s="413" t="s">
        <v>1095</v>
      </c>
    </row>
    <row r="407">
      <c r="A407" s="409">
        <v>45631.0</v>
      </c>
      <c r="B407" s="102">
        <v>2024.0</v>
      </c>
      <c r="C407" s="410" t="s">
        <v>1084</v>
      </c>
      <c r="D407" s="102" t="s">
        <v>723</v>
      </c>
      <c r="E407" s="102" t="s">
        <v>137</v>
      </c>
      <c r="F407" s="102" t="s">
        <v>711</v>
      </c>
      <c r="G407" s="102" t="s">
        <v>734</v>
      </c>
      <c r="H407" s="360">
        <v>120.0</v>
      </c>
      <c r="I407" s="411" t="b">
        <v>0</v>
      </c>
      <c r="J407" s="102" t="s">
        <v>472</v>
      </c>
      <c r="K407" s="360">
        <v>0.0</v>
      </c>
      <c r="L407" s="360">
        <v>120.0</v>
      </c>
      <c r="M407" s="102" t="s">
        <v>706</v>
      </c>
      <c r="N407" s="102" t="s">
        <v>1095</v>
      </c>
    </row>
    <row r="408">
      <c r="A408" s="412">
        <v>45631.0</v>
      </c>
      <c r="B408" s="413">
        <v>2024.0</v>
      </c>
      <c r="C408" s="414" t="s">
        <v>1084</v>
      </c>
      <c r="D408" s="413" t="s">
        <v>702</v>
      </c>
      <c r="E408" s="413" t="s">
        <v>465</v>
      </c>
      <c r="F408" s="413" t="s">
        <v>711</v>
      </c>
      <c r="G408" s="413" t="s">
        <v>767</v>
      </c>
      <c r="H408" s="415">
        <v>800.0</v>
      </c>
      <c r="I408" s="416" t="b">
        <v>0</v>
      </c>
      <c r="J408" s="413" t="s">
        <v>472</v>
      </c>
      <c r="K408" s="415">
        <v>110.34482758620686</v>
      </c>
      <c r="L408" s="415">
        <v>689.6551724137931</v>
      </c>
      <c r="M408" s="413" t="s">
        <v>706</v>
      </c>
      <c r="N408" s="413" t="s">
        <v>1095</v>
      </c>
    </row>
    <row r="409">
      <c r="A409" s="409">
        <v>45631.0</v>
      </c>
      <c r="B409" s="102">
        <v>2024.0</v>
      </c>
      <c r="C409" s="410" t="s">
        <v>1084</v>
      </c>
      <c r="D409" s="102" t="s">
        <v>723</v>
      </c>
      <c r="E409" s="102" t="s">
        <v>137</v>
      </c>
      <c r="F409" s="102" t="s">
        <v>711</v>
      </c>
      <c r="G409" s="102" t="s">
        <v>740</v>
      </c>
      <c r="H409" s="360">
        <v>20.0</v>
      </c>
      <c r="I409" s="411" t="b">
        <v>0</v>
      </c>
      <c r="J409" s="102" t="s">
        <v>472</v>
      </c>
      <c r="K409" s="360">
        <v>0.0</v>
      </c>
      <c r="L409" s="360">
        <v>20.0</v>
      </c>
      <c r="M409" s="102" t="s">
        <v>706</v>
      </c>
      <c r="N409" s="102" t="s">
        <v>1095</v>
      </c>
    </row>
    <row r="410">
      <c r="A410" s="412">
        <v>45631.0</v>
      </c>
      <c r="B410" s="413">
        <v>2024.0</v>
      </c>
      <c r="C410" s="414" t="s">
        <v>1084</v>
      </c>
      <c r="D410" s="413" t="s">
        <v>723</v>
      </c>
      <c r="E410" s="413" t="s">
        <v>137</v>
      </c>
      <c r="F410" s="413" t="s">
        <v>711</v>
      </c>
      <c r="G410" s="413" t="s">
        <v>715</v>
      </c>
      <c r="H410" s="415">
        <v>15.0</v>
      </c>
      <c r="I410" s="416" t="b">
        <v>0</v>
      </c>
      <c r="J410" s="413" t="s">
        <v>472</v>
      </c>
      <c r="K410" s="415">
        <v>0.0</v>
      </c>
      <c r="L410" s="415">
        <v>15.0</v>
      </c>
      <c r="M410" s="413" t="s">
        <v>706</v>
      </c>
      <c r="N410" s="413" t="s">
        <v>1095</v>
      </c>
    </row>
    <row r="411">
      <c r="A411" s="409">
        <v>45631.0</v>
      </c>
      <c r="B411" s="102">
        <v>2024.0</v>
      </c>
      <c r="C411" s="410" t="s">
        <v>1084</v>
      </c>
      <c r="D411" s="102" t="s">
        <v>702</v>
      </c>
      <c r="E411" s="102" t="s">
        <v>465</v>
      </c>
      <c r="F411" s="102" t="s">
        <v>711</v>
      </c>
      <c r="G411" s="102" t="s">
        <v>734</v>
      </c>
      <c r="H411" s="360">
        <v>120.0</v>
      </c>
      <c r="I411" s="411" t="b">
        <v>0</v>
      </c>
      <c r="J411" s="102" t="s">
        <v>472</v>
      </c>
      <c r="K411" s="360">
        <v>16.551724137931032</v>
      </c>
      <c r="L411" s="360">
        <v>103.44827586206897</v>
      </c>
      <c r="M411" s="102" t="s">
        <v>706</v>
      </c>
      <c r="N411" s="102" t="s">
        <v>1096</v>
      </c>
    </row>
    <row r="412">
      <c r="A412" s="412">
        <v>45631.0</v>
      </c>
      <c r="B412" s="413">
        <v>2024.0</v>
      </c>
      <c r="C412" s="414" t="s">
        <v>1084</v>
      </c>
      <c r="D412" s="413" t="s">
        <v>723</v>
      </c>
      <c r="E412" s="413" t="s">
        <v>137</v>
      </c>
      <c r="F412" s="413" t="s">
        <v>711</v>
      </c>
      <c r="G412" s="413" t="s">
        <v>734</v>
      </c>
      <c r="H412" s="415">
        <v>115.0</v>
      </c>
      <c r="I412" s="416" t="b">
        <v>0</v>
      </c>
      <c r="J412" s="413" t="s">
        <v>472</v>
      </c>
      <c r="K412" s="415">
        <v>0.0</v>
      </c>
      <c r="L412" s="415">
        <v>115.0</v>
      </c>
      <c r="M412" s="413" t="s">
        <v>706</v>
      </c>
      <c r="N412" s="413" t="s">
        <v>1097</v>
      </c>
    </row>
    <row r="413">
      <c r="A413" s="409">
        <v>45631.0</v>
      </c>
      <c r="B413" s="102">
        <v>2024.0</v>
      </c>
      <c r="C413" s="410" t="s">
        <v>1084</v>
      </c>
      <c r="D413" s="102" t="s">
        <v>723</v>
      </c>
      <c r="E413" s="102" t="s">
        <v>137</v>
      </c>
      <c r="F413" s="102" t="s">
        <v>711</v>
      </c>
      <c r="G413" s="102" t="s">
        <v>740</v>
      </c>
      <c r="H413" s="360">
        <v>10.0</v>
      </c>
      <c r="I413" s="411" t="b">
        <v>0</v>
      </c>
      <c r="J413" s="102" t="s">
        <v>472</v>
      </c>
      <c r="K413" s="360">
        <v>0.0</v>
      </c>
      <c r="L413" s="360">
        <v>10.0</v>
      </c>
      <c r="M413" s="102" t="s">
        <v>706</v>
      </c>
      <c r="N413" s="102" t="s">
        <v>1097</v>
      </c>
    </row>
    <row r="414">
      <c r="A414" s="412">
        <v>45631.0</v>
      </c>
      <c r="B414" s="413">
        <v>2024.0</v>
      </c>
      <c r="C414" s="414" t="s">
        <v>1084</v>
      </c>
      <c r="D414" s="413" t="s">
        <v>723</v>
      </c>
      <c r="E414" s="413" t="s">
        <v>137</v>
      </c>
      <c r="F414" s="413" t="s">
        <v>711</v>
      </c>
      <c r="G414" s="413" t="s">
        <v>767</v>
      </c>
      <c r="H414" s="415">
        <v>800.0</v>
      </c>
      <c r="I414" s="416" t="b">
        <v>0</v>
      </c>
      <c r="J414" s="413" t="s">
        <v>472</v>
      </c>
      <c r="K414" s="415">
        <v>0.0</v>
      </c>
      <c r="L414" s="415">
        <v>800.0</v>
      </c>
      <c r="M414" s="413" t="s">
        <v>706</v>
      </c>
      <c r="N414" s="413" t="s">
        <v>1097</v>
      </c>
    </row>
    <row r="415">
      <c r="A415" s="409">
        <v>45631.0</v>
      </c>
      <c r="B415" s="102">
        <v>2024.0</v>
      </c>
      <c r="C415" s="410" t="s">
        <v>1084</v>
      </c>
      <c r="D415" s="102" t="s">
        <v>702</v>
      </c>
      <c r="E415" s="102" t="s">
        <v>465</v>
      </c>
      <c r="F415" s="102" t="s">
        <v>711</v>
      </c>
      <c r="G415" s="102" t="s">
        <v>767</v>
      </c>
      <c r="H415" s="360">
        <v>800.0</v>
      </c>
      <c r="I415" s="411" t="b">
        <v>0</v>
      </c>
      <c r="J415" s="102" t="s">
        <v>472</v>
      </c>
      <c r="K415" s="360">
        <v>110.34482758620686</v>
      </c>
      <c r="L415" s="360">
        <v>689.6551724137931</v>
      </c>
      <c r="M415" s="102" t="s">
        <v>706</v>
      </c>
      <c r="N415" s="102" t="s">
        <v>1097</v>
      </c>
    </row>
    <row r="416">
      <c r="A416" s="412">
        <v>45631.0</v>
      </c>
      <c r="B416" s="413">
        <v>2024.0</v>
      </c>
      <c r="C416" s="414" t="s">
        <v>1084</v>
      </c>
      <c r="D416" s="413" t="s">
        <v>723</v>
      </c>
      <c r="E416" s="413" t="s">
        <v>137</v>
      </c>
      <c r="F416" s="413" t="s">
        <v>711</v>
      </c>
      <c r="G416" s="413" t="s">
        <v>715</v>
      </c>
      <c r="H416" s="415">
        <v>30.0</v>
      </c>
      <c r="I416" s="416" t="b">
        <v>0</v>
      </c>
      <c r="J416" s="413" t="s">
        <v>472</v>
      </c>
      <c r="K416" s="415">
        <v>0.0</v>
      </c>
      <c r="L416" s="415">
        <v>30.0</v>
      </c>
      <c r="M416" s="413" t="s">
        <v>706</v>
      </c>
      <c r="N416" s="413" t="s">
        <v>1097</v>
      </c>
    </row>
    <row r="417">
      <c r="A417" s="409">
        <v>45631.0</v>
      </c>
      <c r="B417" s="102">
        <v>2024.0</v>
      </c>
      <c r="C417" s="410" t="s">
        <v>1084</v>
      </c>
      <c r="D417" s="102" t="s">
        <v>702</v>
      </c>
      <c r="E417" s="102" t="s">
        <v>465</v>
      </c>
      <c r="F417" s="102" t="s">
        <v>711</v>
      </c>
      <c r="G417" s="102" t="s">
        <v>767</v>
      </c>
      <c r="H417" s="360">
        <v>990.0</v>
      </c>
      <c r="I417" s="411" t="b">
        <v>0</v>
      </c>
      <c r="J417" s="102" t="s">
        <v>472</v>
      </c>
      <c r="K417" s="360">
        <v>136.55172413793093</v>
      </c>
      <c r="L417" s="360">
        <v>853.4482758620691</v>
      </c>
      <c r="M417" s="102" t="s">
        <v>706</v>
      </c>
      <c r="N417" s="102" t="s">
        <v>1098</v>
      </c>
    </row>
    <row r="418">
      <c r="A418" s="412">
        <v>45633.0</v>
      </c>
      <c r="B418" s="413">
        <v>2024.0</v>
      </c>
      <c r="C418" s="414" t="s">
        <v>1084</v>
      </c>
      <c r="D418" s="413" t="s">
        <v>723</v>
      </c>
      <c r="E418" s="413" t="s">
        <v>137</v>
      </c>
      <c r="F418" s="413" t="s">
        <v>711</v>
      </c>
      <c r="G418" s="413" t="s">
        <v>767</v>
      </c>
      <c r="H418" s="415">
        <v>500.0</v>
      </c>
      <c r="I418" s="416" t="b">
        <v>0</v>
      </c>
      <c r="J418" s="413" t="s">
        <v>472</v>
      </c>
      <c r="K418" s="415">
        <v>0.0</v>
      </c>
      <c r="L418" s="415">
        <v>500.0</v>
      </c>
      <c r="M418" s="413" t="s">
        <v>706</v>
      </c>
      <c r="N418" s="413" t="s">
        <v>1099</v>
      </c>
    </row>
    <row r="419">
      <c r="A419" s="409">
        <v>45633.0</v>
      </c>
      <c r="B419" s="102">
        <v>2024.0</v>
      </c>
      <c r="C419" s="410" t="s">
        <v>1084</v>
      </c>
      <c r="D419" s="102" t="s">
        <v>723</v>
      </c>
      <c r="E419" s="102" t="s">
        <v>137</v>
      </c>
      <c r="F419" s="102" t="s">
        <v>711</v>
      </c>
      <c r="G419" s="102" t="s">
        <v>767</v>
      </c>
      <c r="H419" s="360">
        <v>500.0</v>
      </c>
      <c r="I419" s="411" t="b">
        <v>0</v>
      </c>
      <c r="J419" s="102" t="s">
        <v>472</v>
      </c>
      <c r="K419" s="360">
        <v>0.0</v>
      </c>
      <c r="L419" s="360">
        <v>500.0</v>
      </c>
      <c r="M419" s="102" t="s">
        <v>706</v>
      </c>
      <c r="N419" s="102" t="s">
        <v>1100</v>
      </c>
    </row>
    <row r="420">
      <c r="A420" s="412">
        <v>45633.0</v>
      </c>
      <c r="B420" s="413">
        <v>2024.0</v>
      </c>
      <c r="C420" s="414" t="s">
        <v>1084</v>
      </c>
      <c r="D420" s="413" t="s">
        <v>723</v>
      </c>
      <c r="E420" s="413" t="s">
        <v>137</v>
      </c>
      <c r="F420" s="413" t="s">
        <v>703</v>
      </c>
      <c r="G420" s="413" t="s">
        <v>933</v>
      </c>
      <c r="H420" s="415">
        <v>158.0</v>
      </c>
      <c r="I420" s="416" t="b">
        <v>0</v>
      </c>
      <c r="J420" s="413" t="s">
        <v>472</v>
      </c>
      <c r="K420" s="415">
        <v>0.0</v>
      </c>
      <c r="L420" s="415">
        <v>158.0</v>
      </c>
      <c r="M420" s="413" t="s">
        <v>706</v>
      </c>
      <c r="N420" s="413" t="s">
        <v>1101</v>
      </c>
    </row>
    <row r="421">
      <c r="A421" s="409">
        <v>45633.0</v>
      </c>
      <c r="B421" s="102">
        <v>2024.0</v>
      </c>
      <c r="C421" s="410" t="s">
        <v>1084</v>
      </c>
      <c r="D421" s="102" t="s">
        <v>723</v>
      </c>
      <c r="E421" s="102" t="s">
        <v>137</v>
      </c>
      <c r="F421" s="102" t="s">
        <v>711</v>
      </c>
      <c r="G421" s="102" t="s">
        <v>734</v>
      </c>
      <c r="H421" s="360">
        <v>150.0</v>
      </c>
      <c r="I421" s="411" t="b">
        <v>0</v>
      </c>
      <c r="J421" s="102" t="s">
        <v>472</v>
      </c>
      <c r="K421" s="360">
        <v>0.0</v>
      </c>
      <c r="L421" s="360">
        <v>150.0</v>
      </c>
      <c r="M421" s="102" t="s">
        <v>706</v>
      </c>
      <c r="N421" s="102" t="s">
        <v>1102</v>
      </c>
    </row>
    <row r="422">
      <c r="A422" s="412">
        <v>45633.0</v>
      </c>
      <c r="B422" s="413">
        <v>2024.0</v>
      </c>
      <c r="C422" s="414" t="s">
        <v>1084</v>
      </c>
      <c r="D422" s="413" t="s">
        <v>723</v>
      </c>
      <c r="E422" s="413" t="s">
        <v>137</v>
      </c>
      <c r="F422" s="413" t="s">
        <v>711</v>
      </c>
      <c r="G422" s="413" t="s">
        <v>740</v>
      </c>
      <c r="H422" s="415">
        <v>7.0</v>
      </c>
      <c r="I422" s="416" t="b">
        <v>0</v>
      </c>
      <c r="J422" s="413" t="s">
        <v>472</v>
      </c>
      <c r="K422" s="415">
        <v>0.0</v>
      </c>
      <c r="L422" s="415">
        <v>7.0</v>
      </c>
      <c r="M422" s="413" t="s">
        <v>706</v>
      </c>
      <c r="N422" s="413" t="s">
        <v>1103</v>
      </c>
    </row>
    <row r="423">
      <c r="A423" s="409">
        <v>45633.0</v>
      </c>
      <c r="B423" s="102">
        <v>2024.0</v>
      </c>
      <c r="C423" s="410" t="s">
        <v>1084</v>
      </c>
      <c r="D423" s="102" t="s">
        <v>702</v>
      </c>
      <c r="E423" s="102" t="s">
        <v>465</v>
      </c>
      <c r="F423" s="102" t="s">
        <v>711</v>
      </c>
      <c r="G423" s="102" t="s">
        <v>767</v>
      </c>
      <c r="H423" s="360">
        <v>500.0</v>
      </c>
      <c r="I423" s="411" t="b">
        <v>0</v>
      </c>
      <c r="J423" s="102" t="s">
        <v>472</v>
      </c>
      <c r="K423" s="360">
        <v>68.9655172413793</v>
      </c>
      <c r="L423" s="360">
        <v>431.0344827586207</v>
      </c>
      <c r="M423" s="102" t="s">
        <v>706</v>
      </c>
      <c r="N423" s="102" t="s">
        <v>1104</v>
      </c>
    </row>
    <row r="424">
      <c r="A424" s="412">
        <v>45633.0</v>
      </c>
      <c r="B424" s="413">
        <v>2024.0</v>
      </c>
      <c r="C424" s="414" t="s">
        <v>1084</v>
      </c>
      <c r="D424" s="413" t="s">
        <v>710</v>
      </c>
      <c r="E424" s="413" t="s">
        <v>137</v>
      </c>
      <c r="F424" s="413" t="s">
        <v>703</v>
      </c>
      <c r="G424" s="413" t="s">
        <v>715</v>
      </c>
      <c r="H424" s="415">
        <v>130.0</v>
      </c>
      <c r="I424" s="416" t="b">
        <v>0</v>
      </c>
      <c r="J424" s="413" t="s">
        <v>472</v>
      </c>
      <c r="K424" s="415">
        <v>0.0</v>
      </c>
      <c r="L424" s="415">
        <v>130.0</v>
      </c>
      <c r="M424" s="413" t="s">
        <v>706</v>
      </c>
      <c r="N424" s="413" t="s">
        <v>1105</v>
      </c>
    </row>
    <row r="425">
      <c r="A425" s="409">
        <v>45633.0</v>
      </c>
      <c r="B425" s="102">
        <v>2024.0</v>
      </c>
      <c r="C425" s="410" t="s">
        <v>1084</v>
      </c>
      <c r="D425" s="102" t="s">
        <v>723</v>
      </c>
      <c r="E425" s="102" t="s">
        <v>137</v>
      </c>
      <c r="F425" s="102" t="s">
        <v>711</v>
      </c>
      <c r="G425" s="102" t="s">
        <v>734</v>
      </c>
      <c r="H425" s="360">
        <v>120.0</v>
      </c>
      <c r="I425" s="411" t="b">
        <v>0</v>
      </c>
      <c r="J425" s="102" t="s">
        <v>472</v>
      </c>
      <c r="K425" s="360">
        <v>0.0</v>
      </c>
      <c r="L425" s="360">
        <v>120.0</v>
      </c>
      <c r="M425" s="102" t="s">
        <v>706</v>
      </c>
      <c r="N425" s="102" t="s">
        <v>1106</v>
      </c>
    </row>
    <row r="426">
      <c r="A426" s="412">
        <v>45633.0</v>
      </c>
      <c r="B426" s="413">
        <v>2024.0</v>
      </c>
      <c r="C426" s="414" t="s">
        <v>1084</v>
      </c>
      <c r="D426" s="413" t="s">
        <v>702</v>
      </c>
      <c r="E426" s="413" t="s">
        <v>465</v>
      </c>
      <c r="F426" s="413" t="s">
        <v>711</v>
      </c>
      <c r="G426" s="413" t="s">
        <v>730</v>
      </c>
      <c r="H426" s="415">
        <v>9.0</v>
      </c>
      <c r="I426" s="416" t="b">
        <v>0</v>
      </c>
      <c r="J426" s="413" t="s">
        <v>472</v>
      </c>
      <c r="K426" s="415">
        <v>1.2413793103448274</v>
      </c>
      <c r="L426" s="415">
        <v>7.758620689655173</v>
      </c>
      <c r="M426" s="413" t="s">
        <v>706</v>
      </c>
      <c r="N426" s="413" t="s">
        <v>1107</v>
      </c>
    </row>
    <row r="427">
      <c r="A427" s="409">
        <v>45633.0</v>
      </c>
      <c r="B427" s="102">
        <v>2024.0</v>
      </c>
      <c r="C427" s="410" t="s">
        <v>1084</v>
      </c>
      <c r="D427" s="102" t="s">
        <v>723</v>
      </c>
      <c r="E427" s="102" t="s">
        <v>137</v>
      </c>
      <c r="F427" s="102" t="s">
        <v>711</v>
      </c>
      <c r="G427" s="102" t="s">
        <v>767</v>
      </c>
      <c r="H427" s="360">
        <v>950.0</v>
      </c>
      <c r="I427" s="411" t="b">
        <v>0</v>
      </c>
      <c r="J427" s="102" t="s">
        <v>472</v>
      </c>
      <c r="K427" s="360">
        <v>0.0</v>
      </c>
      <c r="L427" s="360">
        <v>950.0</v>
      </c>
      <c r="M427" s="102" t="s">
        <v>706</v>
      </c>
      <c r="N427" s="102" t="s">
        <v>1108</v>
      </c>
    </row>
    <row r="428">
      <c r="A428" s="412">
        <v>45633.0</v>
      </c>
      <c r="B428" s="413">
        <v>2024.0</v>
      </c>
      <c r="C428" s="414" t="s">
        <v>1084</v>
      </c>
      <c r="D428" s="413" t="s">
        <v>723</v>
      </c>
      <c r="E428" s="413" t="s">
        <v>137</v>
      </c>
      <c r="F428" s="413" t="s">
        <v>711</v>
      </c>
      <c r="G428" s="413" t="s">
        <v>734</v>
      </c>
      <c r="H428" s="415">
        <v>107.0</v>
      </c>
      <c r="I428" s="416" t="b">
        <v>0</v>
      </c>
      <c r="J428" s="413" t="s">
        <v>472</v>
      </c>
      <c r="K428" s="415">
        <v>0.0</v>
      </c>
      <c r="L428" s="415">
        <v>107.0</v>
      </c>
      <c r="M428" s="413" t="s">
        <v>706</v>
      </c>
      <c r="N428" s="413" t="s">
        <v>1109</v>
      </c>
    </row>
    <row r="429">
      <c r="A429" s="409">
        <v>45634.0</v>
      </c>
      <c r="B429" s="102">
        <v>2024.0</v>
      </c>
      <c r="C429" s="410" t="s">
        <v>1084</v>
      </c>
      <c r="D429" s="102" t="s">
        <v>702</v>
      </c>
      <c r="E429" s="102" t="s">
        <v>465</v>
      </c>
      <c r="F429" s="102" t="s">
        <v>703</v>
      </c>
      <c r="G429" s="102" t="s">
        <v>715</v>
      </c>
      <c r="H429" s="360">
        <v>950.0</v>
      </c>
      <c r="I429" s="411" t="b">
        <v>0</v>
      </c>
      <c r="J429" s="102" t="s">
        <v>472</v>
      </c>
      <c r="K429" s="360">
        <v>0.0</v>
      </c>
      <c r="L429" s="360">
        <v>950.0</v>
      </c>
      <c r="M429" s="102" t="s">
        <v>706</v>
      </c>
      <c r="N429" s="102" t="s">
        <v>1110</v>
      </c>
    </row>
    <row r="430">
      <c r="A430" s="412">
        <v>45637.0</v>
      </c>
      <c r="B430" s="413">
        <v>2024.0</v>
      </c>
      <c r="C430" s="414" t="s">
        <v>1084</v>
      </c>
      <c r="D430" s="413" t="s">
        <v>723</v>
      </c>
      <c r="E430" s="413" t="s">
        <v>137</v>
      </c>
      <c r="F430" s="413" t="s">
        <v>711</v>
      </c>
      <c r="G430" s="413" t="s">
        <v>734</v>
      </c>
      <c r="H430" s="415">
        <v>200.0</v>
      </c>
      <c r="I430" s="416" t="b">
        <v>0</v>
      </c>
      <c r="J430" s="413" t="s">
        <v>472</v>
      </c>
      <c r="K430" s="415">
        <v>0.0</v>
      </c>
      <c r="L430" s="415">
        <v>200.0</v>
      </c>
      <c r="M430" s="413" t="s">
        <v>706</v>
      </c>
      <c r="N430" s="413" t="s">
        <v>1111</v>
      </c>
    </row>
    <row r="431">
      <c r="A431" s="409">
        <v>45637.0</v>
      </c>
      <c r="B431" s="102">
        <v>2024.0</v>
      </c>
      <c r="C431" s="410" t="s">
        <v>1084</v>
      </c>
      <c r="D431" s="102" t="s">
        <v>702</v>
      </c>
      <c r="E431" s="102" t="s">
        <v>465</v>
      </c>
      <c r="F431" s="102" t="s">
        <v>711</v>
      </c>
      <c r="G431" s="102" t="s">
        <v>767</v>
      </c>
      <c r="H431" s="360">
        <v>700.0</v>
      </c>
      <c r="I431" s="411" t="b">
        <v>0</v>
      </c>
      <c r="J431" s="102" t="s">
        <v>472</v>
      </c>
      <c r="K431" s="360">
        <v>96.55172413793105</v>
      </c>
      <c r="L431" s="360">
        <v>603.448275862069</v>
      </c>
      <c r="M431" s="102" t="s">
        <v>706</v>
      </c>
      <c r="N431" s="102" t="s">
        <v>1111</v>
      </c>
    </row>
    <row r="432">
      <c r="A432" s="412">
        <v>45637.0</v>
      </c>
      <c r="B432" s="413">
        <v>2024.0</v>
      </c>
      <c r="C432" s="414" t="s">
        <v>1084</v>
      </c>
      <c r="D432" s="413" t="s">
        <v>723</v>
      </c>
      <c r="E432" s="413" t="s">
        <v>137</v>
      </c>
      <c r="F432" s="413" t="s">
        <v>711</v>
      </c>
      <c r="G432" s="413" t="s">
        <v>740</v>
      </c>
      <c r="H432" s="415">
        <v>10.0</v>
      </c>
      <c r="I432" s="416" t="b">
        <v>0</v>
      </c>
      <c r="J432" s="413" t="s">
        <v>472</v>
      </c>
      <c r="K432" s="415">
        <v>0.0</v>
      </c>
      <c r="L432" s="415">
        <v>10.0</v>
      </c>
      <c r="M432" s="413" t="s">
        <v>706</v>
      </c>
      <c r="N432" s="413" t="s">
        <v>1111</v>
      </c>
    </row>
    <row r="433">
      <c r="A433" s="409">
        <v>45637.0</v>
      </c>
      <c r="B433" s="102">
        <v>2024.0</v>
      </c>
      <c r="C433" s="410" t="s">
        <v>1084</v>
      </c>
      <c r="D433" s="102" t="s">
        <v>710</v>
      </c>
      <c r="E433" s="102" t="s">
        <v>137</v>
      </c>
      <c r="F433" s="102" t="s">
        <v>703</v>
      </c>
      <c r="G433" s="102" t="s">
        <v>715</v>
      </c>
      <c r="H433" s="360">
        <v>1221.0</v>
      </c>
      <c r="I433" s="411" t="b">
        <v>0</v>
      </c>
      <c r="J433" s="102" t="s">
        <v>472</v>
      </c>
      <c r="K433" s="360">
        <v>0.0</v>
      </c>
      <c r="L433" s="360">
        <v>1221.0</v>
      </c>
      <c r="M433" s="102" t="s">
        <v>706</v>
      </c>
      <c r="N433" s="102" t="s">
        <v>1112</v>
      </c>
    </row>
    <row r="434">
      <c r="A434" s="412">
        <v>45637.0</v>
      </c>
      <c r="B434" s="413">
        <v>2024.0</v>
      </c>
      <c r="C434" s="414" t="s">
        <v>1084</v>
      </c>
      <c r="D434" s="413" t="s">
        <v>702</v>
      </c>
      <c r="E434" s="413" t="s">
        <v>465</v>
      </c>
      <c r="F434" s="413" t="s">
        <v>703</v>
      </c>
      <c r="G434" s="413" t="s">
        <v>715</v>
      </c>
      <c r="H434" s="415">
        <v>313.0</v>
      </c>
      <c r="I434" s="416" t="b">
        <v>0</v>
      </c>
      <c r="J434" s="413" t="s">
        <v>457</v>
      </c>
      <c r="K434" s="415">
        <v>0.0</v>
      </c>
      <c r="L434" s="415">
        <v>313.0</v>
      </c>
      <c r="M434" s="413" t="s">
        <v>706</v>
      </c>
      <c r="N434" s="413" t="s">
        <v>1112</v>
      </c>
    </row>
    <row r="435">
      <c r="A435" s="409">
        <v>45637.0</v>
      </c>
      <c r="B435" s="102">
        <v>2024.0</v>
      </c>
      <c r="C435" s="410" t="s">
        <v>1084</v>
      </c>
      <c r="D435" s="102" t="s">
        <v>723</v>
      </c>
      <c r="E435" s="102" t="s">
        <v>137</v>
      </c>
      <c r="F435" s="102" t="s">
        <v>703</v>
      </c>
      <c r="G435" s="102" t="s">
        <v>732</v>
      </c>
      <c r="H435" s="360">
        <v>1528.0</v>
      </c>
      <c r="I435" s="411" t="b">
        <v>0</v>
      </c>
      <c r="J435" s="102" t="s">
        <v>1113</v>
      </c>
      <c r="K435" s="360">
        <v>0.0</v>
      </c>
      <c r="L435" s="360">
        <v>1528.0</v>
      </c>
      <c r="M435" s="102" t="s">
        <v>706</v>
      </c>
      <c r="N435" s="102" t="s">
        <v>1112</v>
      </c>
    </row>
    <row r="436">
      <c r="A436" s="412">
        <v>45637.0</v>
      </c>
      <c r="B436" s="413">
        <v>2024.0</v>
      </c>
      <c r="C436" s="414" t="s">
        <v>1084</v>
      </c>
      <c r="D436" s="413" t="s">
        <v>702</v>
      </c>
      <c r="E436" s="413" t="s">
        <v>465</v>
      </c>
      <c r="F436" s="413" t="s">
        <v>703</v>
      </c>
      <c r="G436" s="413" t="s">
        <v>732</v>
      </c>
      <c r="H436" s="415">
        <v>2629.0</v>
      </c>
      <c r="I436" s="416" t="b">
        <v>0</v>
      </c>
      <c r="J436" s="413" t="s">
        <v>472</v>
      </c>
      <c r="K436" s="415">
        <v>0.0</v>
      </c>
      <c r="L436" s="415">
        <v>2629.0</v>
      </c>
      <c r="M436" s="413" t="s">
        <v>706</v>
      </c>
      <c r="N436" s="413" t="s">
        <v>1114</v>
      </c>
    </row>
    <row r="437">
      <c r="A437" s="409">
        <v>45637.0</v>
      </c>
      <c r="B437" s="102">
        <v>2024.0</v>
      </c>
      <c r="C437" s="410" t="s">
        <v>1084</v>
      </c>
      <c r="D437" s="102" t="s">
        <v>702</v>
      </c>
      <c r="E437" s="102" t="s">
        <v>465</v>
      </c>
      <c r="F437" s="102" t="s">
        <v>703</v>
      </c>
      <c r="G437" s="102" t="s">
        <v>715</v>
      </c>
      <c r="H437" s="360">
        <v>3871.0</v>
      </c>
      <c r="I437" s="411" t="b">
        <v>0</v>
      </c>
      <c r="J437" s="102" t="s">
        <v>472</v>
      </c>
      <c r="K437" s="360">
        <v>0.0</v>
      </c>
      <c r="L437" s="360">
        <v>3871.0</v>
      </c>
      <c r="M437" s="102" t="s">
        <v>706</v>
      </c>
      <c r="N437" s="102" t="s">
        <v>1114</v>
      </c>
    </row>
    <row r="438">
      <c r="A438" s="412">
        <v>45643.0</v>
      </c>
      <c r="B438" s="413">
        <v>2024.0</v>
      </c>
      <c r="C438" s="414" t="s">
        <v>1084</v>
      </c>
      <c r="D438" s="413" t="s">
        <v>723</v>
      </c>
      <c r="E438" s="413" t="s">
        <v>137</v>
      </c>
      <c r="F438" s="413" t="s">
        <v>711</v>
      </c>
      <c r="G438" s="413" t="s">
        <v>769</v>
      </c>
      <c r="H438" s="415">
        <v>350.0</v>
      </c>
      <c r="I438" s="416" t="b">
        <v>0</v>
      </c>
      <c r="J438" s="413" t="s">
        <v>472</v>
      </c>
      <c r="K438" s="415">
        <v>0.0</v>
      </c>
      <c r="L438" s="415">
        <v>350.0</v>
      </c>
      <c r="M438" s="413" t="s">
        <v>706</v>
      </c>
      <c r="N438" s="413" t="s">
        <v>1115</v>
      </c>
    </row>
    <row r="439">
      <c r="A439" s="409">
        <v>45643.0</v>
      </c>
      <c r="B439" s="102">
        <v>2024.0</v>
      </c>
      <c r="C439" s="410" t="s">
        <v>1084</v>
      </c>
      <c r="D439" s="102" t="s">
        <v>702</v>
      </c>
      <c r="E439" s="102" t="s">
        <v>465</v>
      </c>
      <c r="F439" s="102" t="s">
        <v>711</v>
      </c>
      <c r="G439" s="102" t="s">
        <v>734</v>
      </c>
      <c r="H439" s="360">
        <v>47.0</v>
      </c>
      <c r="I439" s="411" t="b">
        <v>0</v>
      </c>
      <c r="J439" s="102" t="s">
        <v>472</v>
      </c>
      <c r="K439" s="360">
        <v>6.482758620689651</v>
      </c>
      <c r="L439" s="360">
        <v>40.51724137931035</v>
      </c>
      <c r="M439" s="102" t="s">
        <v>706</v>
      </c>
      <c r="N439" s="102" t="s">
        <v>1116</v>
      </c>
    </row>
    <row r="440">
      <c r="A440" s="412">
        <v>45643.0</v>
      </c>
      <c r="B440" s="413">
        <v>2024.0</v>
      </c>
      <c r="C440" s="414" t="s">
        <v>1084</v>
      </c>
      <c r="D440" s="413" t="s">
        <v>702</v>
      </c>
      <c r="E440" s="413" t="s">
        <v>465</v>
      </c>
      <c r="F440" s="413" t="s">
        <v>711</v>
      </c>
      <c r="G440" s="413" t="s">
        <v>734</v>
      </c>
      <c r="H440" s="415">
        <v>165.0</v>
      </c>
      <c r="I440" s="416" t="b">
        <v>0</v>
      </c>
      <c r="J440" s="413" t="s">
        <v>472</v>
      </c>
      <c r="K440" s="415">
        <v>22.758620689655174</v>
      </c>
      <c r="L440" s="415">
        <v>142.24137931034483</v>
      </c>
      <c r="M440" s="413" t="s">
        <v>706</v>
      </c>
      <c r="N440" s="413" t="s">
        <v>1116</v>
      </c>
    </row>
    <row r="441">
      <c r="A441" s="409">
        <v>45643.0</v>
      </c>
      <c r="B441" s="102">
        <v>2024.0</v>
      </c>
      <c r="C441" s="410" t="s">
        <v>1084</v>
      </c>
      <c r="D441" s="102" t="s">
        <v>702</v>
      </c>
      <c r="E441" s="102" t="s">
        <v>465</v>
      </c>
      <c r="F441" s="102" t="s">
        <v>711</v>
      </c>
      <c r="G441" s="102" t="s">
        <v>730</v>
      </c>
      <c r="H441" s="360">
        <v>58.0</v>
      </c>
      <c r="I441" s="411" t="b">
        <v>0</v>
      </c>
      <c r="J441" s="102" t="s">
        <v>472</v>
      </c>
      <c r="K441" s="360">
        <v>8.0</v>
      </c>
      <c r="L441" s="360">
        <v>50.0</v>
      </c>
      <c r="M441" s="102" t="s">
        <v>706</v>
      </c>
      <c r="N441" s="102" t="s">
        <v>1116</v>
      </c>
    </row>
    <row r="442">
      <c r="A442" s="412">
        <v>45648.0</v>
      </c>
      <c r="B442" s="413">
        <v>2024.0</v>
      </c>
      <c r="C442" s="414" t="s">
        <v>1084</v>
      </c>
      <c r="D442" s="413" t="s">
        <v>710</v>
      </c>
      <c r="E442" s="413" t="s">
        <v>137</v>
      </c>
      <c r="F442" s="413" t="s">
        <v>711</v>
      </c>
      <c r="G442" s="413" t="s">
        <v>724</v>
      </c>
      <c r="H442" s="415">
        <v>5168.0</v>
      </c>
      <c r="I442" s="416" t="b">
        <v>1</v>
      </c>
      <c r="J442" s="413" t="s">
        <v>472</v>
      </c>
      <c r="K442" s="415">
        <v>0.0</v>
      </c>
      <c r="L442" s="415">
        <v>0.0</v>
      </c>
      <c r="M442" s="413" t="s">
        <v>706</v>
      </c>
      <c r="N442" s="413" t="s">
        <v>1117</v>
      </c>
    </row>
    <row r="443">
      <c r="A443" s="409">
        <v>45648.0</v>
      </c>
      <c r="B443" s="102">
        <v>2024.0</v>
      </c>
      <c r="C443" s="410" t="s">
        <v>1084</v>
      </c>
      <c r="D443" s="102" t="s">
        <v>723</v>
      </c>
      <c r="E443" s="102" t="s">
        <v>137</v>
      </c>
      <c r="F443" s="102" t="s">
        <v>703</v>
      </c>
      <c r="G443" s="102" t="s">
        <v>724</v>
      </c>
      <c r="H443" s="360">
        <v>5168.0</v>
      </c>
      <c r="I443" s="411" t="b">
        <v>1</v>
      </c>
      <c r="J443" s="102" t="s">
        <v>472</v>
      </c>
      <c r="K443" s="360">
        <v>0.0</v>
      </c>
      <c r="L443" s="360">
        <v>0.0</v>
      </c>
      <c r="M443" s="102" t="s">
        <v>706</v>
      </c>
      <c r="N443" s="102" t="s">
        <v>1117</v>
      </c>
    </row>
    <row r="444">
      <c r="A444" s="412">
        <v>45648.0</v>
      </c>
      <c r="B444" s="413">
        <v>2024.0</v>
      </c>
      <c r="C444" s="414" t="s">
        <v>1084</v>
      </c>
      <c r="D444" s="413" t="s">
        <v>710</v>
      </c>
      <c r="E444" s="413" t="s">
        <v>137</v>
      </c>
      <c r="F444" s="413" t="s">
        <v>711</v>
      </c>
      <c r="G444" s="413" t="s">
        <v>767</v>
      </c>
      <c r="H444" s="415">
        <v>642.0</v>
      </c>
      <c r="I444" s="416" t="b">
        <v>0</v>
      </c>
      <c r="J444" s="413" t="s">
        <v>472</v>
      </c>
      <c r="K444" s="415">
        <v>0.0</v>
      </c>
      <c r="L444" s="415">
        <v>642.0</v>
      </c>
      <c r="M444" s="413" t="s">
        <v>706</v>
      </c>
      <c r="N444" s="413" t="s">
        <v>1117</v>
      </c>
    </row>
    <row r="445">
      <c r="A445" s="409">
        <v>45648.0</v>
      </c>
      <c r="B445" s="102">
        <v>2024.0</v>
      </c>
      <c r="C445" s="410" t="s">
        <v>1084</v>
      </c>
      <c r="D445" s="102" t="s">
        <v>702</v>
      </c>
      <c r="E445" s="102" t="s">
        <v>465</v>
      </c>
      <c r="F445" s="102" t="s">
        <v>711</v>
      </c>
      <c r="G445" s="102" t="s">
        <v>730</v>
      </c>
      <c r="H445" s="360">
        <v>31.0</v>
      </c>
      <c r="I445" s="411" t="b">
        <v>0</v>
      </c>
      <c r="J445" s="102" t="s">
        <v>472</v>
      </c>
      <c r="K445" s="360">
        <v>4.275862068965516</v>
      </c>
      <c r="L445" s="360">
        <v>26.724137931034484</v>
      </c>
      <c r="M445" s="102" t="s">
        <v>706</v>
      </c>
      <c r="N445" s="102" t="s">
        <v>1118</v>
      </c>
    </row>
    <row r="446">
      <c r="A446" s="412">
        <v>45658.0</v>
      </c>
      <c r="B446" s="413">
        <v>2025.0</v>
      </c>
      <c r="C446" s="414" t="s">
        <v>1119</v>
      </c>
      <c r="D446" s="413" t="s">
        <v>710</v>
      </c>
      <c r="E446" s="413" t="s">
        <v>137</v>
      </c>
      <c r="F446" s="413" t="s">
        <v>703</v>
      </c>
      <c r="G446" s="413" t="s">
        <v>769</v>
      </c>
      <c r="H446" s="415">
        <v>8000.0</v>
      </c>
      <c r="I446" s="416" t="b">
        <v>0</v>
      </c>
      <c r="J446" s="413" t="s">
        <v>472</v>
      </c>
      <c r="K446" s="415">
        <v>0.0</v>
      </c>
      <c r="L446" s="415">
        <v>8000.0</v>
      </c>
      <c r="M446" s="413" t="s">
        <v>1120</v>
      </c>
      <c r="N446" s="413" t="s">
        <v>1121</v>
      </c>
    </row>
    <row r="447">
      <c r="A447" s="409">
        <v>45660.0</v>
      </c>
      <c r="B447" s="102">
        <v>2025.0</v>
      </c>
      <c r="C447" s="410" t="s">
        <v>1119</v>
      </c>
      <c r="D447" s="102" t="s">
        <v>702</v>
      </c>
      <c r="E447" s="102" t="s">
        <v>465</v>
      </c>
      <c r="F447" s="102" t="s">
        <v>703</v>
      </c>
      <c r="G447" s="102" t="s">
        <v>732</v>
      </c>
      <c r="H447" s="360">
        <v>856.0</v>
      </c>
      <c r="I447" s="411" t="b">
        <v>0</v>
      </c>
      <c r="J447" s="102" t="s">
        <v>1122</v>
      </c>
      <c r="K447" s="360">
        <v>0.0</v>
      </c>
      <c r="L447" s="360">
        <v>856.0</v>
      </c>
      <c r="M447" s="102" t="s">
        <v>1120</v>
      </c>
      <c r="N447" s="102" t="s">
        <v>1123</v>
      </c>
    </row>
    <row r="448">
      <c r="A448" s="412">
        <v>45660.0</v>
      </c>
      <c r="B448" s="413">
        <v>2025.0</v>
      </c>
      <c r="C448" s="414" t="s">
        <v>1119</v>
      </c>
      <c r="D448" s="413" t="s">
        <v>710</v>
      </c>
      <c r="E448" s="413" t="s">
        <v>137</v>
      </c>
      <c r="F448" s="413" t="s">
        <v>711</v>
      </c>
      <c r="G448" s="413" t="s">
        <v>715</v>
      </c>
      <c r="H448" s="415">
        <v>127.0</v>
      </c>
      <c r="I448" s="416" t="b">
        <v>0</v>
      </c>
      <c r="J448" s="413" t="s">
        <v>472</v>
      </c>
      <c r="K448" s="415">
        <v>0.0</v>
      </c>
      <c r="L448" s="415">
        <v>127.0</v>
      </c>
      <c r="M448" s="413" t="s">
        <v>1120</v>
      </c>
      <c r="N448" s="413" t="s">
        <v>1123</v>
      </c>
    </row>
    <row r="449">
      <c r="A449" s="409">
        <v>45660.0</v>
      </c>
      <c r="B449" s="102">
        <v>2025.0</v>
      </c>
      <c r="C449" s="410" t="s">
        <v>1119</v>
      </c>
      <c r="D449" s="102" t="s">
        <v>702</v>
      </c>
      <c r="E449" s="102" t="s">
        <v>465</v>
      </c>
      <c r="F449" s="102" t="s">
        <v>703</v>
      </c>
      <c r="G449" s="102" t="s">
        <v>732</v>
      </c>
      <c r="H449" s="360">
        <v>4000.0</v>
      </c>
      <c r="I449" s="411" t="b">
        <v>0</v>
      </c>
      <c r="J449" s="102" t="s">
        <v>1124</v>
      </c>
      <c r="K449" s="360">
        <v>0.0</v>
      </c>
      <c r="L449" s="360">
        <v>4000.0</v>
      </c>
      <c r="M449" s="102" t="s">
        <v>1120</v>
      </c>
      <c r="N449" s="102" t="s">
        <v>1125</v>
      </c>
    </row>
    <row r="450">
      <c r="A450" s="412">
        <v>45660.0</v>
      </c>
      <c r="B450" s="413">
        <v>2025.0</v>
      </c>
      <c r="C450" s="414" t="s">
        <v>1119</v>
      </c>
      <c r="D450" s="413" t="s">
        <v>702</v>
      </c>
      <c r="E450" s="413" t="s">
        <v>465</v>
      </c>
      <c r="F450" s="413" t="s">
        <v>711</v>
      </c>
      <c r="G450" s="413" t="s">
        <v>767</v>
      </c>
      <c r="H450" s="415">
        <v>800.0</v>
      </c>
      <c r="I450" s="416" t="b">
        <v>0</v>
      </c>
      <c r="J450" s="413" t="s">
        <v>1126</v>
      </c>
      <c r="K450" s="415">
        <v>110.34482758620686</v>
      </c>
      <c r="L450" s="415">
        <v>689.6551724137931</v>
      </c>
      <c r="M450" s="413" t="s">
        <v>1120</v>
      </c>
      <c r="N450" s="413" t="s">
        <v>1125</v>
      </c>
    </row>
    <row r="451">
      <c r="A451" s="409">
        <v>45663.0</v>
      </c>
      <c r="B451" s="102">
        <v>2025.0</v>
      </c>
      <c r="C451" s="410" t="s">
        <v>1119</v>
      </c>
      <c r="D451" s="102" t="s">
        <v>710</v>
      </c>
      <c r="E451" s="102" t="s">
        <v>137</v>
      </c>
      <c r="F451" s="102" t="s">
        <v>711</v>
      </c>
      <c r="G451" s="102" t="s">
        <v>767</v>
      </c>
      <c r="H451" s="360">
        <v>950.0</v>
      </c>
      <c r="I451" s="411" t="b">
        <v>0</v>
      </c>
      <c r="J451" s="102" t="s">
        <v>1127</v>
      </c>
      <c r="K451" s="360">
        <v>0.0</v>
      </c>
      <c r="L451" s="360">
        <v>950.0</v>
      </c>
      <c r="M451" s="102" t="s">
        <v>1120</v>
      </c>
      <c r="N451" s="102" t="s">
        <v>1128</v>
      </c>
    </row>
    <row r="452">
      <c r="A452" s="412">
        <v>45663.0</v>
      </c>
      <c r="B452" s="413">
        <v>2025.0</v>
      </c>
      <c r="C452" s="414" t="s">
        <v>1119</v>
      </c>
      <c r="D452" s="413" t="s">
        <v>702</v>
      </c>
      <c r="E452" s="413" t="s">
        <v>465</v>
      </c>
      <c r="F452" s="413" t="s">
        <v>711</v>
      </c>
      <c r="G452" s="413" t="s">
        <v>767</v>
      </c>
      <c r="H452" s="415">
        <v>950.0</v>
      </c>
      <c r="I452" s="416" t="b">
        <v>0</v>
      </c>
      <c r="J452" s="413" t="s">
        <v>1129</v>
      </c>
      <c r="K452" s="415">
        <v>131.03448275862058</v>
      </c>
      <c r="L452" s="415">
        <v>818.9655172413794</v>
      </c>
      <c r="M452" s="413" t="s">
        <v>1120</v>
      </c>
      <c r="N452" s="413" t="s">
        <v>1130</v>
      </c>
    </row>
    <row r="453">
      <c r="A453" s="409">
        <v>45663.0</v>
      </c>
      <c r="B453" s="102">
        <v>2025.0</v>
      </c>
      <c r="C453" s="410" t="s">
        <v>1119</v>
      </c>
      <c r="D453" s="102" t="s">
        <v>702</v>
      </c>
      <c r="E453" s="102" t="s">
        <v>465</v>
      </c>
      <c r="F453" s="102" t="s">
        <v>711</v>
      </c>
      <c r="G453" s="102" t="s">
        <v>767</v>
      </c>
      <c r="H453" s="360">
        <v>950.0</v>
      </c>
      <c r="I453" s="411" t="b">
        <v>0</v>
      </c>
      <c r="J453" s="102" t="s">
        <v>1131</v>
      </c>
      <c r="K453" s="360">
        <v>131.03448275862058</v>
      </c>
      <c r="L453" s="360">
        <v>818.9655172413794</v>
      </c>
      <c r="M453" s="102" t="s">
        <v>1120</v>
      </c>
      <c r="N453" s="102" t="s">
        <v>1130</v>
      </c>
    </row>
    <row r="454">
      <c r="A454" s="412">
        <v>45663.0</v>
      </c>
      <c r="B454" s="413">
        <v>2025.0</v>
      </c>
      <c r="C454" s="414" t="s">
        <v>1119</v>
      </c>
      <c r="D454" s="413" t="s">
        <v>710</v>
      </c>
      <c r="E454" s="413" t="s">
        <v>137</v>
      </c>
      <c r="F454" s="413" t="s">
        <v>711</v>
      </c>
      <c r="G454" s="413" t="s">
        <v>767</v>
      </c>
      <c r="H454" s="415">
        <v>950.0</v>
      </c>
      <c r="I454" s="416" t="b">
        <v>0</v>
      </c>
      <c r="J454" s="413" t="s">
        <v>1132</v>
      </c>
      <c r="K454" s="415">
        <v>0.0</v>
      </c>
      <c r="L454" s="415">
        <v>950.0</v>
      </c>
      <c r="M454" s="413" t="s">
        <v>1120</v>
      </c>
      <c r="N454" s="413" t="s">
        <v>1130</v>
      </c>
    </row>
    <row r="455">
      <c r="A455" s="409">
        <v>45663.0</v>
      </c>
      <c r="B455" s="102">
        <v>2025.0</v>
      </c>
      <c r="C455" s="410" t="s">
        <v>1119</v>
      </c>
      <c r="D455" s="102" t="s">
        <v>710</v>
      </c>
      <c r="E455" s="102" t="s">
        <v>137</v>
      </c>
      <c r="F455" s="102" t="s">
        <v>711</v>
      </c>
      <c r="G455" s="102" t="s">
        <v>767</v>
      </c>
      <c r="H455" s="360">
        <v>950.0</v>
      </c>
      <c r="I455" s="411" t="b">
        <v>0</v>
      </c>
      <c r="J455" s="102" t="s">
        <v>1133</v>
      </c>
      <c r="K455" s="360">
        <v>0.0</v>
      </c>
      <c r="L455" s="360">
        <v>950.0</v>
      </c>
      <c r="M455" s="102" t="s">
        <v>1120</v>
      </c>
      <c r="N455" s="102" t="s">
        <v>1130</v>
      </c>
    </row>
    <row r="456">
      <c r="A456" s="412">
        <v>45663.0</v>
      </c>
      <c r="B456" s="413">
        <v>2025.0</v>
      </c>
      <c r="C456" s="414" t="s">
        <v>1119</v>
      </c>
      <c r="D456" s="413" t="s">
        <v>702</v>
      </c>
      <c r="E456" s="413" t="s">
        <v>465</v>
      </c>
      <c r="F456" s="413" t="s">
        <v>711</v>
      </c>
      <c r="G456" s="413" t="s">
        <v>767</v>
      </c>
      <c r="H456" s="415">
        <v>1150.0</v>
      </c>
      <c r="I456" s="416" t="b">
        <v>0</v>
      </c>
      <c r="J456" s="413" t="s">
        <v>232</v>
      </c>
      <c r="K456" s="415">
        <v>158.62068965517233</v>
      </c>
      <c r="L456" s="415">
        <v>991.3793103448277</v>
      </c>
      <c r="M456" s="413" t="s">
        <v>1120</v>
      </c>
      <c r="N456" s="413" t="s">
        <v>1130</v>
      </c>
    </row>
    <row r="457">
      <c r="A457" s="409">
        <v>45663.0</v>
      </c>
      <c r="B457" s="102">
        <v>2025.0</v>
      </c>
      <c r="C457" s="410" t="s">
        <v>1119</v>
      </c>
      <c r="D457" s="102" t="s">
        <v>702</v>
      </c>
      <c r="E457" s="102" t="s">
        <v>465</v>
      </c>
      <c r="F457" s="102" t="s">
        <v>711</v>
      </c>
      <c r="G457" s="102" t="s">
        <v>767</v>
      </c>
      <c r="H457" s="360">
        <v>950.0</v>
      </c>
      <c r="I457" s="411" t="b">
        <v>0</v>
      </c>
      <c r="J457" s="102" t="s">
        <v>1134</v>
      </c>
      <c r="K457" s="360">
        <v>131.03448275862058</v>
      </c>
      <c r="L457" s="360">
        <v>818.9655172413794</v>
      </c>
      <c r="M457" s="102" t="s">
        <v>1120</v>
      </c>
      <c r="N457" s="102" t="s">
        <v>1130</v>
      </c>
    </row>
    <row r="458">
      <c r="A458" s="412">
        <v>45663.0</v>
      </c>
      <c r="B458" s="413">
        <v>2025.0</v>
      </c>
      <c r="C458" s="414" t="s">
        <v>1119</v>
      </c>
      <c r="D458" s="413" t="s">
        <v>702</v>
      </c>
      <c r="E458" s="413" t="s">
        <v>465</v>
      </c>
      <c r="F458" s="413" t="s">
        <v>711</v>
      </c>
      <c r="G458" s="413" t="s">
        <v>767</v>
      </c>
      <c r="H458" s="415">
        <v>950.0</v>
      </c>
      <c r="I458" s="416" t="b">
        <v>0</v>
      </c>
      <c r="J458" s="413" t="s">
        <v>1135</v>
      </c>
      <c r="K458" s="415">
        <v>131.03448275862058</v>
      </c>
      <c r="L458" s="415">
        <v>818.9655172413794</v>
      </c>
      <c r="M458" s="413" t="s">
        <v>1120</v>
      </c>
      <c r="N458" s="413" t="s">
        <v>1130</v>
      </c>
    </row>
    <row r="459">
      <c r="A459" s="409">
        <v>45663.0</v>
      </c>
      <c r="B459" s="102">
        <v>2025.0</v>
      </c>
      <c r="C459" s="410" t="s">
        <v>1119</v>
      </c>
      <c r="D459" s="102" t="s">
        <v>702</v>
      </c>
      <c r="E459" s="102" t="s">
        <v>465</v>
      </c>
      <c r="F459" s="102" t="s">
        <v>711</v>
      </c>
      <c r="G459" s="102" t="s">
        <v>767</v>
      </c>
      <c r="H459" s="360">
        <v>1150.0</v>
      </c>
      <c r="I459" s="411" t="b">
        <v>0</v>
      </c>
      <c r="J459" s="102" t="s">
        <v>1136</v>
      </c>
      <c r="K459" s="360">
        <v>158.62068965517233</v>
      </c>
      <c r="L459" s="360">
        <v>991.3793103448277</v>
      </c>
      <c r="M459" s="102" t="s">
        <v>1120</v>
      </c>
      <c r="N459" s="102" t="s">
        <v>1130</v>
      </c>
    </row>
    <row r="460">
      <c r="A460" s="412">
        <v>45667.0</v>
      </c>
      <c r="B460" s="413">
        <v>2025.0</v>
      </c>
      <c r="C460" s="414" t="s">
        <v>1119</v>
      </c>
      <c r="D460" s="413" t="s">
        <v>702</v>
      </c>
      <c r="E460" s="413" t="s">
        <v>465</v>
      </c>
      <c r="F460" s="413" t="s">
        <v>703</v>
      </c>
      <c r="G460" s="413" t="s">
        <v>715</v>
      </c>
      <c r="H460" s="415">
        <v>1100.0</v>
      </c>
      <c r="I460" s="416" t="b">
        <v>0</v>
      </c>
      <c r="J460" s="413" t="s">
        <v>472</v>
      </c>
      <c r="K460" s="415">
        <v>0.0</v>
      </c>
      <c r="L460" s="415">
        <v>1100.0</v>
      </c>
      <c r="M460" s="413" t="s">
        <v>1120</v>
      </c>
      <c r="N460" s="413" t="s">
        <v>1137</v>
      </c>
    </row>
    <row r="461">
      <c r="A461" s="409">
        <v>45667.0</v>
      </c>
      <c r="B461" s="102">
        <v>2025.0</v>
      </c>
      <c r="C461" s="410" t="s">
        <v>1119</v>
      </c>
      <c r="D461" s="102" t="s">
        <v>710</v>
      </c>
      <c r="E461" s="102" t="s">
        <v>137</v>
      </c>
      <c r="F461" s="102" t="s">
        <v>711</v>
      </c>
      <c r="G461" s="102" t="s">
        <v>734</v>
      </c>
      <c r="H461" s="360">
        <v>140.0</v>
      </c>
      <c r="I461" s="411" t="b">
        <v>0</v>
      </c>
      <c r="J461" s="102" t="s">
        <v>472</v>
      </c>
      <c r="K461" s="360">
        <v>0.0</v>
      </c>
      <c r="L461" s="360">
        <v>140.0</v>
      </c>
      <c r="M461" s="102" t="s">
        <v>1120</v>
      </c>
      <c r="N461" s="102" t="s">
        <v>1137</v>
      </c>
    </row>
    <row r="462">
      <c r="A462" s="412">
        <v>45667.0</v>
      </c>
      <c r="B462" s="413">
        <v>2025.0</v>
      </c>
      <c r="C462" s="414" t="s">
        <v>1119</v>
      </c>
      <c r="D462" s="413" t="s">
        <v>710</v>
      </c>
      <c r="E462" s="413" t="s">
        <v>137</v>
      </c>
      <c r="F462" s="413" t="s">
        <v>711</v>
      </c>
      <c r="G462" s="413" t="s">
        <v>767</v>
      </c>
      <c r="H462" s="415">
        <v>900.0</v>
      </c>
      <c r="I462" s="416" t="b">
        <v>0</v>
      </c>
      <c r="J462" s="413" t="s">
        <v>1138</v>
      </c>
      <c r="K462" s="415">
        <v>0.0</v>
      </c>
      <c r="L462" s="415">
        <v>900.0</v>
      </c>
      <c r="M462" s="413" t="s">
        <v>1120</v>
      </c>
      <c r="N462" s="413" t="s">
        <v>1137</v>
      </c>
    </row>
    <row r="463">
      <c r="A463" s="409">
        <v>45667.0</v>
      </c>
      <c r="B463" s="102">
        <v>2025.0</v>
      </c>
      <c r="C463" s="410" t="s">
        <v>1119</v>
      </c>
      <c r="D463" s="102" t="s">
        <v>702</v>
      </c>
      <c r="E463" s="102" t="s">
        <v>465</v>
      </c>
      <c r="F463" s="102" t="s">
        <v>711</v>
      </c>
      <c r="G463" s="102" t="s">
        <v>734</v>
      </c>
      <c r="H463" s="360">
        <v>140.0</v>
      </c>
      <c r="I463" s="411" t="b">
        <v>0</v>
      </c>
      <c r="J463" s="102" t="s">
        <v>472</v>
      </c>
      <c r="K463" s="360">
        <v>19.310344827586192</v>
      </c>
      <c r="L463" s="360">
        <v>120.68965517241381</v>
      </c>
      <c r="M463" s="102" t="s">
        <v>1120</v>
      </c>
      <c r="N463" s="102" t="s">
        <v>1137</v>
      </c>
    </row>
    <row r="464">
      <c r="A464" s="412">
        <v>45667.0</v>
      </c>
      <c r="B464" s="413">
        <v>2025.0</v>
      </c>
      <c r="C464" s="414" t="s">
        <v>1119</v>
      </c>
      <c r="D464" s="413" t="s">
        <v>710</v>
      </c>
      <c r="E464" s="413" t="s">
        <v>137</v>
      </c>
      <c r="F464" s="413" t="s">
        <v>711</v>
      </c>
      <c r="G464" s="413" t="s">
        <v>715</v>
      </c>
      <c r="H464" s="415">
        <v>15.0</v>
      </c>
      <c r="I464" s="416" t="b">
        <v>0</v>
      </c>
      <c r="J464" s="413" t="s">
        <v>472</v>
      </c>
      <c r="K464" s="415">
        <v>0.0</v>
      </c>
      <c r="L464" s="415">
        <v>15.0</v>
      </c>
      <c r="M464" s="413" t="s">
        <v>1120</v>
      </c>
      <c r="N464" s="413" t="s">
        <v>1137</v>
      </c>
    </row>
    <row r="465">
      <c r="A465" s="409">
        <v>45667.0</v>
      </c>
      <c r="B465" s="102">
        <v>2025.0</v>
      </c>
      <c r="C465" s="410" t="s">
        <v>1119</v>
      </c>
      <c r="D465" s="102" t="s">
        <v>702</v>
      </c>
      <c r="E465" s="102" t="s">
        <v>465</v>
      </c>
      <c r="F465" s="102" t="s">
        <v>711</v>
      </c>
      <c r="G465" s="102" t="s">
        <v>767</v>
      </c>
      <c r="H465" s="360">
        <v>800.0</v>
      </c>
      <c r="I465" s="411" t="b">
        <v>0</v>
      </c>
      <c r="J465" s="102" t="s">
        <v>1139</v>
      </c>
      <c r="K465" s="360">
        <v>110.34482758620686</v>
      </c>
      <c r="L465" s="360">
        <v>689.6551724137931</v>
      </c>
      <c r="M465" s="102" t="s">
        <v>1120</v>
      </c>
      <c r="N465" s="102" t="s">
        <v>1137</v>
      </c>
    </row>
    <row r="466">
      <c r="A466" s="412">
        <v>45667.0</v>
      </c>
      <c r="B466" s="413">
        <v>2025.0</v>
      </c>
      <c r="C466" s="414" t="s">
        <v>1119</v>
      </c>
      <c r="D466" s="413" t="s">
        <v>702</v>
      </c>
      <c r="E466" s="413" t="s">
        <v>465</v>
      </c>
      <c r="F466" s="413" t="s">
        <v>711</v>
      </c>
      <c r="G466" s="413" t="s">
        <v>767</v>
      </c>
      <c r="H466" s="415">
        <v>650.0</v>
      </c>
      <c r="I466" s="416" t="b">
        <v>0</v>
      </c>
      <c r="J466" s="413" t="s">
        <v>1140</v>
      </c>
      <c r="K466" s="415">
        <v>89.65517241379303</v>
      </c>
      <c r="L466" s="415">
        <v>560.344827586207</v>
      </c>
      <c r="M466" s="413" t="s">
        <v>1120</v>
      </c>
      <c r="N466" s="413" t="s">
        <v>1137</v>
      </c>
    </row>
    <row r="467">
      <c r="A467" s="409">
        <v>45667.0</v>
      </c>
      <c r="B467" s="102">
        <v>2025.0</v>
      </c>
      <c r="C467" s="410" t="s">
        <v>1119</v>
      </c>
      <c r="D467" s="102" t="s">
        <v>710</v>
      </c>
      <c r="E467" s="102" t="s">
        <v>137</v>
      </c>
      <c r="F467" s="102" t="s">
        <v>711</v>
      </c>
      <c r="G467" s="102" t="s">
        <v>767</v>
      </c>
      <c r="H467" s="360">
        <v>900.0</v>
      </c>
      <c r="I467" s="411" t="b">
        <v>0</v>
      </c>
      <c r="J467" s="102" t="s">
        <v>1141</v>
      </c>
      <c r="K467" s="360">
        <v>0.0</v>
      </c>
      <c r="L467" s="360">
        <v>900.0</v>
      </c>
      <c r="M467" s="102" t="s">
        <v>1120</v>
      </c>
      <c r="N467" s="102" t="s">
        <v>1137</v>
      </c>
    </row>
    <row r="468">
      <c r="A468" s="412">
        <v>45667.0</v>
      </c>
      <c r="B468" s="413">
        <v>2025.0</v>
      </c>
      <c r="C468" s="414" t="s">
        <v>1119</v>
      </c>
      <c r="D468" s="413" t="s">
        <v>710</v>
      </c>
      <c r="E468" s="413" t="s">
        <v>137</v>
      </c>
      <c r="F468" s="413" t="s">
        <v>711</v>
      </c>
      <c r="G468" s="413" t="s">
        <v>734</v>
      </c>
      <c r="H468" s="415">
        <v>180.0</v>
      </c>
      <c r="I468" s="416" t="b">
        <v>0</v>
      </c>
      <c r="J468" s="413" t="s">
        <v>472</v>
      </c>
      <c r="K468" s="415">
        <v>0.0</v>
      </c>
      <c r="L468" s="415">
        <v>180.0</v>
      </c>
      <c r="M468" s="413" t="s">
        <v>1120</v>
      </c>
      <c r="N468" s="413" t="s">
        <v>1137</v>
      </c>
    </row>
    <row r="469">
      <c r="A469" s="409">
        <v>45667.0</v>
      </c>
      <c r="B469" s="102">
        <v>2025.0</v>
      </c>
      <c r="C469" s="410" t="s">
        <v>1119</v>
      </c>
      <c r="D469" s="102" t="s">
        <v>710</v>
      </c>
      <c r="E469" s="102" t="s">
        <v>137</v>
      </c>
      <c r="F469" s="102" t="s">
        <v>711</v>
      </c>
      <c r="G469" s="102" t="s">
        <v>767</v>
      </c>
      <c r="H469" s="360">
        <v>950.0</v>
      </c>
      <c r="I469" s="411" t="b">
        <v>0</v>
      </c>
      <c r="J469" s="102" t="s">
        <v>1142</v>
      </c>
      <c r="K469" s="360">
        <v>0.0</v>
      </c>
      <c r="L469" s="360">
        <v>950.0</v>
      </c>
      <c r="M469" s="102" t="s">
        <v>1120</v>
      </c>
      <c r="N469" s="102" t="s">
        <v>1137</v>
      </c>
    </row>
    <row r="470">
      <c r="A470" s="412">
        <v>45667.0</v>
      </c>
      <c r="B470" s="413">
        <v>2025.0</v>
      </c>
      <c r="C470" s="414" t="s">
        <v>1119</v>
      </c>
      <c r="D470" s="413" t="s">
        <v>702</v>
      </c>
      <c r="E470" s="413" t="s">
        <v>465</v>
      </c>
      <c r="F470" s="413" t="s">
        <v>711</v>
      </c>
      <c r="G470" s="413" t="s">
        <v>767</v>
      </c>
      <c r="H470" s="415">
        <v>1050.0</v>
      </c>
      <c r="I470" s="416" t="b">
        <v>0</v>
      </c>
      <c r="J470" s="413" t="s">
        <v>1143</v>
      </c>
      <c r="K470" s="415">
        <v>144.8275862068965</v>
      </c>
      <c r="L470" s="415">
        <v>905.1724137931035</v>
      </c>
      <c r="M470" s="413" t="s">
        <v>1120</v>
      </c>
      <c r="N470" s="413" t="s">
        <v>1137</v>
      </c>
    </row>
    <row r="471">
      <c r="A471" s="409">
        <v>45667.0</v>
      </c>
      <c r="B471" s="102">
        <v>2025.0</v>
      </c>
      <c r="C471" s="410" t="s">
        <v>1119</v>
      </c>
      <c r="D471" s="102" t="s">
        <v>710</v>
      </c>
      <c r="E471" s="102" t="s">
        <v>137</v>
      </c>
      <c r="F471" s="102" t="s">
        <v>711</v>
      </c>
      <c r="G471" s="102" t="s">
        <v>734</v>
      </c>
      <c r="H471" s="360">
        <v>720.0</v>
      </c>
      <c r="I471" s="411" t="b">
        <v>0</v>
      </c>
      <c r="J471" s="102" t="s">
        <v>472</v>
      </c>
      <c r="K471" s="360">
        <v>0.0</v>
      </c>
      <c r="L471" s="360">
        <v>720.0</v>
      </c>
      <c r="M471" s="102" t="s">
        <v>1120</v>
      </c>
      <c r="N471" s="102" t="s">
        <v>1144</v>
      </c>
    </row>
    <row r="472">
      <c r="A472" s="412">
        <v>45667.0</v>
      </c>
      <c r="B472" s="413">
        <v>2025.0</v>
      </c>
      <c r="C472" s="414" t="s">
        <v>1119</v>
      </c>
      <c r="D472" s="413" t="s">
        <v>702</v>
      </c>
      <c r="E472" s="413" t="s">
        <v>465</v>
      </c>
      <c r="F472" s="413" t="s">
        <v>711</v>
      </c>
      <c r="G472" s="413" t="s">
        <v>730</v>
      </c>
      <c r="H472" s="415">
        <v>525.0</v>
      </c>
      <c r="I472" s="416" t="b">
        <v>0</v>
      </c>
      <c r="J472" s="413" t="s">
        <v>472</v>
      </c>
      <c r="K472" s="415">
        <v>72.41379310344826</v>
      </c>
      <c r="L472" s="415">
        <v>452.58620689655174</v>
      </c>
      <c r="M472" s="413" t="s">
        <v>1120</v>
      </c>
      <c r="N472" s="413" t="s">
        <v>1145</v>
      </c>
    </row>
    <row r="473">
      <c r="A473" s="409">
        <v>45667.0</v>
      </c>
      <c r="B473" s="102">
        <v>2025.0</v>
      </c>
      <c r="C473" s="410" t="s">
        <v>1119</v>
      </c>
      <c r="D473" s="102" t="s">
        <v>702</v>
      </c>
      <c r="E473" s="102" t="s">
        <v>465</v>
      </c>
      <c r="F473" s="102" t="s">
        <v>711</v>
      </c>
      <c r="G473" s="102" t="s">
        <v>767</v>
      </c>
      <c r="H473" s="360">
        <v>1250.0</v>
      </c>
      <c r="I473" s="411" t="b">
        <v>0</v>
      </c>
      <c r="J473" s="102" t="s">
        <v>1146</v>
      </c>
      <c r="K473" s="360">
        <v>172.41379310344814</v>
      </c>
      <c r="L473" s="360">
        <v>1077.5862068965519</v>
      </c>
      <c r="M473" s="102" t="s">
        <v>1120</v>
      </c>
      <c r="N473" s="102" t="s">
        <v>1147</v>
      </c>
    </row>
    <row r="474">
      <c r="A474" s="412">
        <v>45667.0</v>
      </c>
      <c r="B474" s="413">
        <v>2025.0</v>
      </c>
      <c r="C474" s="414" t="s">
        <v>1119</v>
      </c>
      <c r="D474" s="413" t="s">
        <v>710</v>
      </c>
      <c r="E474" s="413" t="s">
        <v>137</v>
      </c>
      <c r="F474" s="413" t="s">
        <v>711</v>
      </c>
      <c r="G474" s="413" t="s">
        <v>767</v>
      </c>
      <c r="H474" s="415">
        <v>1225.0</v>
      </c>
      <c r="I474" s="416" t="b">
        <v>0</v>
      </c>
      <c r="J474" s="413" t="s">
        <v>1148</v>
      </c>
      <c r="K474" s="415">
        <v>0.0</v>
      </c>
      <c r="L474" s="415">
        <v>1225.0</v>
      </c>
      <c r="M474" s="413" t="s">
        <v>1120</v>
      </c>
      <c r="N474" s="413" t="s">
        <v>1149</v>
      </c>
    </row>
    <row r="475">
      <c r="A475" s="409">
        <v>45668.0</v>
      </c>
      <c r="B475" s="102">
        <v>2025.0</v>
      </c>
      <c r="C475" s="410" t="s">
        <v>1119</v>
      </c>
      <c r="D475" s="102" t="s">
        <v>710</v>
      </c>
      <c r="E475" s="102" t="s">
        <v>137</v>
      </c>
      <c r="F475" s="102" t="s">
        <v>711</v>
      </c>
      <c r="G475" s="102" t="s">
        <v>734</v>
      </c>
      <c r="H475" s="360">
        <v>200.0</v>
      </c>
      <c r="I475" s="411" t="b">
        <v>0</v>
      </c>
      <c r="J475" s="102" t="s">
        <v>472</v>
      </c>
      <c r="K475" s="360">
        <v>0.0</v>
      </c>
      <c r="L475" s="360">
        <v>200.0</v>
      </c>
      <c r="M475" s="102" t="s">
        <v>1120</v>
      </c>
      <c r="N475" s="102" t="s">
        <v>1150</v>
      </c>
    </row>
    <row r="476">
      <c r="A476" s="412">
        <v>45668.0</v>
      </c>
      <c r="B476" s="413">
        <v>2025.0</v>
      </c>
      <c r="C476" s="414" t="s">
        <v>1119</v>
      </c>
      <c r="D476" s="413" t="s">
        <v>702</v>
      </c>
      <c r="E476" s="413" t="s">
        <v>465</v>
      </c>
      <c r="F476" s="413" t="s">
        <v>711</v>
      </c>
      <c r="G476" s="413" t="s">
        <v>734</v>
      </c>
      <c r="H476" s="415">
        <v>172.0</v>
      </c>
      <c r="I476" s="416" t="b">
        <v>0</v>
      </c>
      <c r="J476" s="413" t="s">
        <v>1151</v>
      </c>
      <c r="K476" s="415">
        <v>23.724137931034477</v>
      </c>
      <c r="L476" s="415">
        <v>148.27586206896552</v>
      </c>
      <c r="M476" s="413" t="s">
        <v>1120</v>
      </c>
      <c r="N476" s="413" t="s">
        <v>1152</v>
      </c>
    </row>
    <row r="477">
      <c r="A477" s="409">
        <v>45668.0</v>
      </c>
      <c r="B477" s="102">
        <v>2025.0</v>
      </c>
      <c r="C477" s="410" t="s">
        <v>1119</v>
      </c>
      <c r="D477" s="102" t="s">
        <v>710</v>
      </c>
      <c r="E477" s="102" t="s">
        <v>137</v>
      </c>
      <c r="F477" s="102" t="s">
        <v>711</v>
      </c>
      <c r="G477" s="102" t="s">
        <v>767</v>
      </c>
      <c r="H477" s="360">
        <v>1040.0</v>
      </c>
      <c r="I477" s="411" t="b">
        <v>0</v>
      </c>
      <c r="J477" s="102" t="s">
        <v>1153</v>
      </c>
      <c r="K477" s="360">
        <v>0.0</v>
      </c>
      <c r="L477" s="360">
        <v>1040.0</v>
      </c>
      <c r="M477" s="102" t="s">
        <v>1120</v>
      </c>
      <c r="N477" s="102" t="s">
        <v>1152</v>
      </c>
    </row>
    <row r="478">
      <c r="A478" s="412">
        <v>45668.0</v>
      </c>
      <c r="B478" s="413">
        <v>2025.0</v>
      </c>
      <c r="C478" s="414" t="s">
        <v>1119</v>
      </c>
      <c r="D478" s="413" t="s">
        <v>702</v>
      </c>
      <c r="E478" s="413" t="s">
        <v>465</v>
      </c>
      <c r="F478" s="413" t="s">
        <v>711</v>
      </c>
      <c r="G478" s="413" t="s">
        <v>767</v>
      </c>
      <c r="H478" s="415">
        <v>623.0</v>
      </c>
      <c r="I478" s="416" t="b">
        <v>0</v>
      </c>
      <c r="J478" s="413" t="s">
        <v>1154</v>
      </c>
      <c r="K478" s="415">
        <v>85.9310344827586</v>
      </c>
      <c r="L478" s="415">
        <v>537.0689655172414</v>
      </c>
      <c r="M478" s="413" t="s">
        <v>1120</v>
      </c>
      <c r="N478" s="413" t="s">
        <v>1152</v>
      </c>
    </row>
    <row r="479">
      <c r="A479" s="409">
        <v>45668.0</v>
      </c>
      <c r="B479" s="102">
        <v>2025.0</v>
      </c>
      <c r="C479" s="410" t="s">
        <v>1119</v>
      </c>
      <c r="D479" s="102" t="s">
        <v>710</v>
      </c>
      <c r="E479" s="102" t="s">
        <v>137</v>
      </c>
      <c r="F479" s="102" t="s">
        <v>711</v>
      </c>
      <c r="G479" s="102" t="s">
        <v>715</v>
      </c>
      <c r="H479" s="360">
        <v>25.0</v>
      </c>
      <c r="I479" s="411" t="b">
        <v>0</v>
      </c>
      <c r="J479" s="102" t="s">
        <v>472</v>
      </c>
      <c r="K479" s="360">
        <v>0.0</v>
      </c>
      <c r="L479" s="360">
        <v>25.0</v>
      </c>
      <c r="M479" s="102" t="s">
        <v>1120</v>
      </c>
      <c r="N479" s="102" t="s">
        <v>1155</v>
      </c>
    </row>
    <row r="480">
      <c r="A480" s="412">
        <v>45668.0</v>
      </c>
      <c r="B480" s="413">
        <v>2025.0</v>
      </c>
      <c r="C480" s="414" t="s">
        <v>1119</v>
      </c>
      <c r="D480" s="413" t="s">
        <v>710</v>
      </c>
      <c r="E480" s="413" t="s">
        <v>137</v>
      </c>
      <c r="F480" s="413" t="s">
        <v>703</v>
      </c>
      <c r="G480" s="413" t="s">
        <v>724</v>
      </c>
      <c r="H480" s="415">
        <v>970.0</v>
      </c>
      <c r="I480" s="416" t="b">
        <v>1</v>
      </c>
      <c r="J480" s="413" t="s">
        <v>472</v>
      </c>
      <c r="K480" s="415">
        <v>0.0</v>
      </c>
      <c r="L480" s="415">
        <v>0.0</v>
      </c>
      <c r="M480" s="413" t="s">
        <v>1120</v>
      </c>
      <c r="N480" s="413" t="s">
        <v>1155</v>
      </c>
    </row>
    <row r="481">
      <c r="A481" s="409">
        <v>45668.0</v>
      </c>
      <c r="B481" s="102">
        <v>2025.0</v>
      </c>
      <c r="C481" s="410" t="s">
        <v>1119</v>
      </c>
      <c r="D481" s="102" t="s">
        <v>723</v>
      </c>
      <c r="E481" s="102" t="s">
        <v>137</v>
      </c>
      <c r="F481" s="102" t="s">
        <v>711</v>
      </c>
      <c r="G481" s="102" t="s">
        <v>724</v>
      </c>
      <c r="H481" s="360">
        <v>970.0</v>
      </c>
      <c r="I481" s="411" t="b">
        <v>1</v>
      </c>
      <c r="J481" s="102" t="s">
        <v>472</v>
      </c>
      <c r="K481" s="360">
        <v>0.0</v>
      </c>
      <c r="L481" s="360">
        <v>0.0</v>
      </c>
      <c r="M481" s="102" t="s">
        <v>1120</v>
      </c>
      <c r="N481" s="102" t="s">
        <v>1155</v>
      </c>
    </row>
    <row r="482">
      <c r="A482" s="412">
        <v>45670.0</v>
      </c>
      <c r="B482" s="413">
        <v>2025.0</v>
      </c>
      <c r="C482" s="414" t="s">
        <v>1119</v>
      </c>
      <c r="D482" s="413" t="s">
        <v>702</v>
      </c>
      <c r="E482" s="413" t="s">
        <v>465</v>
      </c>
      <c r="F482" s="413" t="s">
        <v>703</v>
      </c>
      <c r="G482" s="413" t="s">
        <v>991</v>
      </c>
      <c r="H482" s="415">
        <v>679.0</v>
      </c>
      <c r="I482" s="416" t="b">
        <v>0</v>
      </c>
      <c r="J482" s="413" t="s">
        <v>1156</v>
      </c>
      <c r="K482" s="415">
        <v>0.0</v>
      </c>
      <c r="L482" s="415">
        <v>679.0</v>
      </c>
      <c r="M482" s="413" t="s">
        <v>1120</v>
      </c>
      <c r="N482" s="413" t="s">
        <v>1157</v>
      </c>
    </row>
    <row r="483">
      <c r="A483" s="409">
        <v>45670.0</v>
      </c>
      <c r="B483" s="102">
        <v>2025.0</v>
      </c>
      <c r="C483" s="410" t="s">
        <v>1119</v>
      </c>
      <c r="D483" s="102" t="s">
        <v>702</v>
      </c>
      <c r="E483" s="102" t="s">
        <v>465</v>
      </c>
      <c r="F483" s="102" t="s">
        <v>703</v>
      </c>
      <c r="G483" s="102" t="s">
        <v>933</v>
      </c>
      <c r="H483" s="360">
        <v>600.0</v>
      </c>
      <c r="I483" s="411" t="b">
        <v>0</v>
      </c>
      <c r="J483" s="102" t="s">
        <v>472</v>
      </c>
      <c r="K483" s="360">
        <v>0.0</v>
      </c>
      <c r="L483" s="360">
        <v>600.0</v>
      </c>
      <c r="M483" s="102" t="s">
        <v>1120</v>
      </c>
      <c r="N483" s="102" t="s">
        <v>1158</v>
      </c>
    </row>
    <row r="484">
      <c r="A484" s="412">
        <v>45671.0</v>
      </c>
      <c r="B484" s="413">
        <v>2025.0</v>
      </c>
      <c r="C484" s="414" t="s">
        <v>1119</v>
      </c>
      <c r="D484" s="413" t="s">
        <v>702</v>
      </c>
      <c r="E484" s="413" t="s">
        <v>465</v>
      </c>
      <c r="F484" s="413" t="s">
        <v>711</v>
      </c>
      <c r="G484" s="413" t="s">
        <v>730</v>
      </c>
      <c r="H484" s="415">
        <v>47.95</v>
      </c>
      <c r="I484" s="416" t="b">
        <v>0</v>
      </c>
      <c r="J484" s="413" t="s">
        <v>472</v>
      </c>
      <c r="K484" s="415">
        <v>6.613793103448273</v>
      </c>
      <c r="L484" s="415">
        <v>41.33620689655173</v>
      </c>
      <c r="M484" s="413" t="s">
        <v>1120</v>
      </c>
      <c r="N484" s="413" t="s">
        <v>1159</v>
      </c>
    </row>
    <row r="485">
      <c r="A485" s="409">
        <v>45671.0</v>
      </c>
      <c r="B485" s="102">
        <v>2025.0</v>
      </c>
      <c r="C485" s="410" t="s">
        <v>1119</v>
      </c>
      <c r="D485" s="102" t="s">
        <v>723</v>
      </c>
      <c r="E485" s="102" t="s">
        <v>137</v>
      </c>
      <c r="F485" s="102" t="s">
        <v>711</v>
      </c>
      <c r="G485" s="102" t="s">
        <v>767</v>
      </c>
      <c r="H485" s="360">
        <v>680.0</v>
      </c>
      <c r="I485" s="411" t="b">
        <v>0</v>
      </c>
      <c r="J485" s="102" t="s">
        <v>1160</v>
      </c>
      <c r="K485" s="360">
        <v>0.0</v>
      </c>
      <c r="L485" s="360">
        <v>680.0</v>
      </c>
      <c r="M485" s="102" t="s">
        <v>1120</v>
      </c>
      <c r="N485" s="102" t="s">
        <v>1161</v>
      </c>
    </row>
    <row r="486">
      <c r="A486" s="412">
        <v>45671.0</v>
      </c>
      <c r="B486" s="413">
        <v>2025.0</v>
      </c>
      <c r="C486" s="414" t="s">
        <v>1119</v>
      </c>
      <c r="D486" s="413" t="s">
        <v>702</v>
      </c>
      <c r="E486" s="413" t="s">
        <v>465</v>
      </c>
      <c r="F486" s="413" t="s">
        <v>703</v>
      </c>
      <c r="G486" s="413" t="s">
        <v>744</v>
      </c>
      <c r="H486" s="415">
        <v>332.0</v>
      </c>
      <c r="I486" s="416" t="b">
        <v>0</v>
      </c>
      <c r="J486" s="413" t="s">
        <v>472</v>
      </c>
      <c r="K486" s="415">
        <v>0.0</v>
      </c>
      <c r="L486" s="415">
        <v>332.0</v>
      </c>
      <c r="M486" s="413" t="s">
        <v>1120</v>
      </c>
      <c r="N486" s="413" t="s">
        <v>1162</v>
      </c>
    </row>
    <row r="487">
      <c r="A487" s="409">
        <v>45671.0</v>
      </c>
      <c r="B487" s="102">
        <v>2025.0</v>
      </c>
      <c r="C487" s="410" t="s">
        <v>1119</v>
      </c>
      <c r="D487" s="102" t="s">
        <v>702</v>
      </c>
      <c r="E487" s="102" t="s">
        <v>465</v>
      </c>
      <c r="F487" s="102" t="s">
        <v>711</v>
      </c>
      <c r="G487" s="102" t="s">
        <v>734</v>
      </c>
      <c r="H487" s="360">
        <v>140.0</v>
      </c>
      <c r="I487" s="411" t="b">
        <v>0</v>
      </c>
      <c r="J487" s="102" t="s">
        <v>472</v>
      </c>
      <c r="K487" s="360">
        <v>19.310344827586192</v>
      </c>
      <c r="L487" s="360">
        <v>120.68965517241381</v>
      </c>
      <c r="M487" s="102" t="s">
        <v>1120</v>
      </c>
      <c r="N487" s="102" t="s">
        <v>1163</v>
      </c>
    </row>
    <row r="488">
      <c r="A488" s="412">
        <v>45671.0</v>
      </c>
      <c r="B488" s="413">
        <v>2025.0</v>
      </c>
      <c r="C488" s="414" t="s">
        <v>1119</v>
      </c>
      <c r="D488" s="413" t="s">
        <v>702</v>
      </c>
      <c r="E488" s="413" t="s">
        <v>465</v>
      </c>
      <c r="F488" s="413" t="s">
        <v>711</v>
      </c>
      <c r="G488" s="413" t="s">
        <v>767</v>
      </c>
      <c r="H488" s="415">
        <v>1200.0</v>
      </c>
      <c r="I488" s="416" t="b">
        <v>0</v>
      </c>
      <c r="J488" s="413" t="s">
        <v>1164</v>
      </c>
      <c r="K488" s="415">
        <v>165.51724137931024</v>
      </c>
      <c r="L488" s="415">
        <v>1034.4827586206898</v>
      </c>
      <c r="M488" s="413" t="s">
        <v>1120</v>
      </c>
      <c r="N488" s="413" t="s">
        <v>1165</v>
      </c>
    </row>
    <row r="489">
      <c r="A489" s="409">
        <v>45673.0</v>
      </c>
      <c r="B489" s="102">
        <v>2025.0</v>
      </c>
      <c r="C489" s="410" t="s">
        <v>1119</v>
      </c>
      <c r="D489" s="102" t="s">
        <v>723</v>
      </c>
      <c r="E489" s="102" t="s">
        <v>137</v>
      </c>
      <c r="F489" s="102" t="s">
        <v>711</v>
      </c>
      <c r="G489" s="102" t="s">
        <v>740</v>
      </c>
      <c r="H489" s="360">
        <v>28.0</v>
      </c>
      <c r="I489" s="411" t="b">
        <v>0</v>
      </c>
      <c r="J489" s="102" t="s">
        <v>472</v>
      </c>
      <c r="K489" s="360">
        <v>0.0</v>
      </c>
      <c r="L489" s="360">
        <v>28.0</v>
      </c>
      <c r="M489" s="102" t="s">
        <v>1120</v>
      </c>
      <c r="N489" s="102" t="s">
        <v>1166</v>
      </c>
    </row>
    <row r="490">
      <c r="A490" s="412">
        <v>45673.0</v>
      </c>
      <c r="B490" s="413">
        <v>2025.0</v>
      </c>
      <c r="C490" s="414" t="s">
        <v>1119</v>
      </c>
      <c r="D490" s="413" t="s">
        <v>723</v>
      </c>
      <c r="E490" s="413" t="s">
        <v>137</v>
      </c>
      <c r="F490" s="413" t="s">
        <v>711</v>
      </c>
      <c r="G490" s="413" t="s">
        <v>715</v>
      </c>
      <c r="H490" s="415">
        <v>30.0</v>
      </c>
      <c r="I490" s="416" t="b">
        <v>0</v>
      </c>
      <c r="J490" s="413" t="s">
        <v>472</v>
      </c>
      <c r="K490" s="415">
        <v>0.0</v>
      </c>
      <c r="L490" s="415">
        <v>30.0</v>
      </c>
      <c r="M490" s="413" t="s">
        <v>1120</v>
      </c>
      <c r="N490" s="413" t="s">
        <v>1166</v>
      </c>
    </row>
    <row r="491">
      <c r="A491" s="409">
        <v>45674.0</v>
      </c>
      <c r="B491" s="102">
        <v>2025.0</v>
      </c>
      <c r="C491" s="410" t="s">
        <v>1119</v>
      </c>
      <c r="D491" s="102" t="s">
        <v>723</v>
      </c>
      <c r="E491" s="102" t="s">
        <v>137</v>
      </c>
      <c r="F491" s="102" t="s">
        <v>711</v>
      </c>
      <c r="G491" s="102" t="s">
        <v>734</v>
      </c>
      <c r="H491" s="360">
        <v>180.0</v>
      </c>
      <c r="I491" s="411" t="b">
        <v>0</v>
      </c>
      <c r="J491" s="102" t="s">
        <v>472</v>
      </c>
      <c r="K491" s="360">
        <v>0.0</v>
      </c>
      <c r="L491" s="360">
        <v>180.0</v>
      </c>
      <c r="M491" s="102" t="s">
        <v>1120</v>
      </c>
      <c r="N491" s="102" t="s">
        <v>1167</v>
      </c>
    </row>
    <row r="492">
      <c r="A492" s="412">
        <v>45674.0</v>
      </c>
      <c r="B492" s="413">
        <v>2025.0</v>
      </c>
      <c r="C492" s="414" t="s">
        <v>1119</v>
      </c>
      <c r="D492" s="413" t="s">
        <v>702</v>
      </c>
      <c r="E492" s="413" t="s">
        <v>465</v>
      </c>
      <c r="F492" s="413" t="s">
        <v>711</v>
      </c>
      <c r="G492" s="413" t="s">
        <v>734</v>
      </c>
      <c r="H492" s="415">
        <v>174.0</v>
      </c>
      <c r="I492" s="416" t="b">
        <v>0</v>
      </c>
      <c r="J492" s="413" t="s">
        <v>472</v>
      </c>
      <c r="K492" s="415">
        <v>24.0</v>
      </c>
      <c r="L492" s="415">
        <v>150.0</v>
      </c>
      <c r="M492" s="413" t="s">
        <v>1120</v>
      </c>
      <c r="N492" s="413" t="s">
        <v>1168</v>
      </c>
    </row>
    <row r="493">
      <c r="A493" s="409">
        <v>45674.0</v>
      </c>
      <c r="B493" s="102">
        <v>2025.0</v>
      </c>
      <c r="C493" s="410" t="s">
        <v>1119</v>
      </c>
      <c r="D493" s="102" t="s">
        <v>723</v>
      </c>
      <c r="E493" s="102" t="s">
        <v>137</v>
      </c>
      <c r="F493" s="102" t="s">
        <v>711</v>
      </c>
      <c r="G493" s="102" t="s">
        <v>734</v>
      </c>
      <c r="H493" s="360">
        <v>140.0</v>
      </c>
      <c r="I493" s="411" t="b">
        <v>0</v>
      </c>
      <c r="J493" s="102" t="s">
        <v>472</v>
      </c>
      <c r="K493" s="360">
        <v>0.0</v>
      </c>
      <c r="L493" s="360">
        <v>140.0</v>
      </c>
      <c r="M493" s="102" t="s">
        <v>1120</v>
      </c>
      <c r="N493" s="102" t="s">
        <v>1169</v>
      </c>
    </row>
    <row r="494">
      <c r="A494" s="412">
        <v>45674.0</v>
      </c>
      <c r="B494" s="413">
        <v>2025.0</v>
      </c>
      <c r="C494" s="414" t="s">
        <v>1119</v>
      </c>
      <c r="D494" s="413" t="s">
        <v>723</v>
      </c>
      <c r="E494" s="413" t="s">
        <v>137</v>
      </c>
      <c r="F494" s="413" t="s">
        <v>711</v>
      </c>
      <c r="G494" s="413" t="s">
        <v>767</v>
      </c>
      <c r="H494" s="415">
        <v>750.0</v>
      </c>
      <c r="I494" s="416" t="b">
        <v>0</v>
      </c>
      <c r="J494" s="413" t="s">
        <v>1170</v>
      </c>
      <c r="K494" s="415">
        <v>0.0</v>
      </c>
      <c r="L494" s="415">
        <v>750.0</v>
      </c>
      <c r="M494" s="413" t="s">
        <v>1120</v>
      </c>
      <c r="N494" s="413" t="s">
        <v>1171</v>
      </c>
    </row>
    <row r="495">
      <c r="A495" s="409">
        <v>45674.0</v>
      </c>
      <c r="B495" s="102">
        <v>2025.0</v>
      </c>
      <c r="C495" s="410" t="s">
        <v>1119</v>
      </c>
      <c r="D495" s="102" t="s">
        <v>702</v>
      </c>
      <c r="E495" s="102" t="s">
        <v>465</v>
      </c>
      <c r="F495" s="102" t="s">
        <v>711</v>
      </c>
      <c r="G495" s="102" t="s">
        <v>730</v>
      </c>
      <c r="H495" s="360">
        <v>36.0</v>
      </c>
      <c r="I495" s="411" t="b">
        <v>0</v>
      </c>
      <c r="J495" s="102" t="s">
        <v>472</v>
      </c>
      <c r="K495" s="360">
        <v>4.96551724137931</v>
      </c>
      <c r="L495" s="360">
        <v>31.03448275862069</v>
      </c>
      <c r="M495" s="102" t="s">
        <v>1120</v>
      </c>
      <c r="N495" s="102" t="s">
        <v>1172</v>
      </c>
    </row>
    <row r="496">
      <c r="A496" s="412">
        <v>45677.0</v>
      </c>
      <c r="B496" s="413">
        <v>2025.0</v>
      </c>
      <c r="C496" s="414" t="s">
        <v>1119</v>
      </c>
      <c r="D496" s="413" t="s">
        <v>723</v>
      </c>
      <c r="E496" s="413" t="s">
        <v>137</v>
      </c>
      <c r="F496" s="413" t="s">
        <v>711</v>
      </c>
      <c r="G496" s="413" t="s">
        <v>740</v>
      </c>
      <c r="H496" s="415">
        <v>7.0</v>
      </c>
      <c r="I496" s="416" t="b">
        <v>0</v>
      </c>
      <c r="J496" s="413" t="s">
        <v>472</v>
      </c>
      <c r="K496" s="415">
        <v>0.0</v>
      </c>
      <c r="L496" s="415">
        <v>7.0</v>
      </c>
      <c r="M496" s="413" t="s">
        <v>1120</v>
      </c>
      <c r="N496" s="413" t="s">
        <v>1173</v>
      </c>
    </row>
    <row r="497">
      <c r="A497" s="409">
        <v>45677.0</v>
      </c>
      <c r="B497" s="102">
        <v>2025.0</v>
      </c>
      <c r="C497" s="410" t="s">
        <v>1119</v>
      </c>
      <c r="D497" s="102" t="s">
        <v>710</v>
      </c>
      <c r="E497" s="102" t="s">
        <v>137</v>
      </c>
      <c r="F497" s="102" t="s">
        <v>703</v>
      </c>
      <c r="G497" s="102" t="s">
        <v>715</v>
      </c>
      <c r="H497" s="360">
        <v>430.0</v>
      </c>
      <c r="I497" s="411" t="b">
        <v>0</v>
      </c>
      <c r="J497" s="102" t="s">
        <v>1174</v>
      </c>
      <c r="K497" s="360">
        <v>0.0</v>
      </c>
      <c r="L497" s="360">
        <v>430.0</v>
      </c>
      <c r="M497" s="102" t="s">
        <v>1120</v>
      </c>
      <c r="N497" s="102" t="s">
        <v>1173</v>
      </c>
    </row>
    <row r="498">
      <c r="A498" s="412">
        <v>45677.0</v>
      </c>
      <c r="B498" s="413">
        <v>2025.0</v>
      </c>
      <c r="C498" s="414" t="s">
        <v>1119</v>
      </c>
      <c r="D498" s="413" t="s">
        <v>723</v>
      </c>
      <c r="E498" s="413" t="s">
        <v>137</v>
      </c>
      <c r="F498" s="413" t="s">
        <v>711</v>
      </c>
      <c r="G498" s="413" t="s">
        <v>715</v>
      </c>
      <c r="H498" s="415">
        <v>15.0</v>
      </c>
      <c r="I498" s="416" t="b">
        <v>0</v>
      </c>
      <c r="J498" s="413" t="s">
        <v>472</v>
      </c>
      <c r="K498" s="415">
        <v>0.0</v>
      </c>
      <c r="L498" s="415">
        <v>15.0</v>
      </c>
      <c r="M498" s="413" t="s">
        <v>1120</v>
      </c>
      <c r="N498" s="413" t="s">
        <v>1173</v>
      </c>
    </row>
    <row r="499">
      <c r="A499" s="409">
        <v>45677.0</v>
      </c>
      <c r="B499" s="102">
        <v>2025.0</v>
      </c>
      <c r="C499" s="410" t="s">
        <v>1119</v>
      </c>
      <c r="D499" s="102" t="s">
        <v>710</v>
      </c>
      <c r="E499" s="102" t="s">
        <v>137</v>
      </c>
      <c r="F499" s="102" t="s">
        <v>703</v>
      </c>
      <c r="G499" s="102" t="s">
        <v>715</v>
      </c>
      <c r="H499" s="360">
        <v>2000.0</v>
      </c>
      <c r="I499" s="411" t="b">
        <v>0</v>
      </c>
      <c r="J499" s="102" t="s">
        <v>472</v>
      </c>
      <c r="K499" s="360">
        <v>0.0</v>
      </c>
      <c r="L499" s="360">
        <v>2000.0</v>
      </c>
      <c r="M499" s="102" t="s">
        <v>1120</v>
      </c>
      <c r="N499" s="102" t="s">
        <v>1175</v>
      </c>
    </row>
    <row r="500">
      <c r="A500" s="412">
        <v>45677.0</v>
      </c>
      <c r="B500" s="413">
        <v>2025.0</v>
      </c>
      <c r="C500" s="414" t="s">
        <v>1119</v>
      </c>
      <c r="D500" s="413" t="s">
        <v>723</v>
      </c>
      <c r="E500" s="413" t="s">
        <v>137</v>
      </c>
      <c r="F500" s="413" t="s">
        <v>703</v>
      </c>
      <c r="G500" s="413" t="s">
        <v>724</v>
      </c>
      <c r="H500" s="415">
        <v>2800.0</v>
      </c>
      <c r="I500" s="416" t="b">
        <v>1</v>
      </c>
      <c r="J500" s="413" t="s">
        <v>472</v>
      </c>
      <c r="K500" s="415">
        <v>0.0</v>
      </c>
      <c r="L500" s="415">
        <v>0.0</v>
      </c>
      <c r="M500" s="413" t="s">
        <v>1120</v>
      </c>
      <c r="N500" s="413" t="s">
        <v>1175</v>
      </c>
    </row>
    <row r="501">
      <c r="A501" s="409">
        <v>45677.0</v>
      </c>
      <c r="B501" s="102">
        <v>2025.0</v>
      </c>
      <c r="C501" s="410" t="s">
        <v>1119</v>
      </c>
      <c r="D501" s="102" t="s">
        <v>702</v>
      </c>
      <c r="E501" s="102" t="s">
        <v>465</v>
      </c>
      <c r="F501" s="102" t="s">
        <v>703</v>
      </c>
      <c r="G501" s="102" t="s">
        <v>715</v>
      </c>
      <c r="H501" s="360">
        <v>3000.0</v>
      </c>
      <c r="I501" s="411" t="b">
        <v>0</v>
      </c>
      <c r="J501" s="102" t="s">
        <v>472</v>
      </c>
      <c r="K501" s="360">
        <v>0.0</v>
      </c>
      <c r="L501" s="360">
        <v>3000.0</v>
      </c>
      <c r="M501" s="102" t="s">
        <v>1120</v>
      </c>
      <c r="N501" s="102" t="s">
        <v>1175</v>
      </c>
    </row>
    <row r="502">
      <c r="A502" s="412">
        <v>45677.0</v>
      </c>
      <c r="B502" s="413">
        <v>2025.0</v>
      </c>
      <c r="C502" s="414" t="s">
        <v>1119</v>
      </c>
      <c r="D502" s="413" t="s">
        <v>710</v>
      </c>
      <c r="E502" s="413" t="s">
        <v>137</v>
      </c>
      <c r="F502" s="413" t="s">
        <v>711</v>
      </c>
      <c r="G502" s="413" t="s">
        <v>724</v>
      </c>
      <c r="H502" s="415">
        <v>2800.0</v>
      </c>
      <c r="I502" s="416" t="b">
        <v>1</v>
      </c>
      <c r="J502" s="413" t="s">
        <v>472</v>
      </c>
      <c r="K502" s="415">
        <v>0.0</v>
      </c>
      <c r="L502" s="415">
        <v>0.0</v>
      </c>
      <c r="M502" s="413" t="s">
        <v>1120</v>
      </c>
      <c r="N502" s="413" t="s">
        <v>1175</v>
      </c>
    </row>
    <row r="503">
      <c r="A503" s="409">
        <v>45677.0</v>
      </c>
      <c r="B503" s="102">
        <v>2025.0</v>
      </c>
      <c r="C503" s="410" t="s">
        <v>1119</v>
      </c>
      <c r="D503" s="102" t="s">
        <v>702</v>
      </c>
      <c r="E503" s="102" t="s">
        <v>465</v>
      </c>
      <c r="F503" s="102" t="s">
        <v>703</v>
      </c>
      <c r="G503" s="102" t="s">
        <v>906</v>
      </c>
      <c r="H503" s="360">
        <v>3195.0</v>
      </c>
      <c r="I503" s="411" t="b">
        <v>0</v>
      </c>
      <c r="J503" s="102" t="s">
        <v>472</v>
      </c>
      <c r="K503" s="360">
        <v>0.0</v>
      </c>
      <c r="L503" s="360">
        <v>3195.0</v>
      </c>
      <c r="M503" s="102" t="s">
        <v>1120</v>
      </c>
      <c r="N503" s="102" t="s">
        <v>1176</v>
      </c>
    </row>
    <row r="504">
      <c r="A504" s="412">
        <v>45678.0</v>
      </c>
      <c r="B504" s="413">
        <v>2025.0</v>
      </c>
      <c r="C504" s="414" t="s">
        <v>1119</v>
      </c>
      <c r="D504" s="413" t="s">
        <v>702</v>
      </c>
      <c r="E504" s="413" t="s">
        <v>465</v>
      </c>
      <c r="F504" s="413" t="s">
        <v>711</v>
      </c>
      <c r="G504" s="413" t="s">
        <v>730</v>
      </c>
      <c r="H504" s="415">
        <v>48.0</v>
      </c>
      <c r="I504" s="416" t="b">
        <v>0</v>
      </c>
      <c r="J504" s="413" t="s">
        <v>472</v>
      </c>
      <c r="K504" s="415">
        <v>6.620689655172413</v>
      </c>
      <c r="L504" s="415">
        <v>41.37931034482759</v>
      </c>
      <c r="M504" s="413" t="s">
        <v>1120</v>
      </c>
      <c r="N504" s="413" t="s">
        <v>1177</v>
      </c>
    </row>
    <row r="505">
      <c r="A505" s="409">
        <v>45678.0</v>
      </c>
      <c r="B505" s="102">
        <v>2025.0</v>
      </c>
      <c r="C505" s="410" t="s">
        <v>1119</v>
      </c>
      <c r="D505" s="102" t="s">
        <v>723</v>
      </c>
      <c r="E505" s="102" t="s">
        <v>137</v>
      </c>
      <c r="F505" s="102" t="s">
        <v>711</v>
      </c>
      <c r="G505" s="102" t="s">
        <v>734</v>
      </c>
      <c r="H505" s="360">
        <v>180.0</v>
      </c>
      <c r="I505" s="411" t="b">
        <v>0</v>
      </c>
      <c r="J505" s="102" t="s">
        <v>472</v>
      </c>
      <c r="K505" s="360">
        <v>0.0</v>
      </c>
      <c r="L505" s="360">
        <v>180.0</v>
      </c>
      <c r="M505" s="102" t="s">
        <v>1120</v>
      </c>
      <c r="N505" s="102" t="s">
        <v>1178</v>
      </c>
    </row>
    <row r="506">
      <c r="A506" s="412">
        <v>45680.0</v>
      </c>
      <c r="B506" s="413">
        <v>2025.0</v>
      </c>
      <c r="C506" s="414" t="s">
        <v>1119</v>
      </c>
      <c r="D506" s="413" t="s">
        <v>723</v>
      </c>
      <c r="E506" s="413" t="s">
        <v>137</v>
      </c>
      <c r="F506" s="413" t="s">
        <v>711</v>
      </c>
      <c r="G506" s="413" t="s">
        <v>734</v>
      </c>
      <c r="H506" s="415">
        <v>180.0</v>
      </c>
      <c r="I506" s="416" t="b">
        <v>0</v>
      </c>
      <c r="J506" s="413" t="s">
        <v>472</v>
      </c>
      <c r="K506" s="415">
        <v>0.0</v>
      </c>
      <c r="L506" s="415">
        <v>180.0</v>
      </c>
      <c r="M506" s="413" t="s">
        <v>1120</v>
      </c>
      <c r="N506" s="413" t="s">
        <v>1179</v>
      </c>
    </row>
    <row r="507">
      <c r="A507" s="409">
        <v>45680.0</v>
      </c>
      <c r="B507" s="102">
        <v>2025.0</v>
      </c>
      <c r="C507" s="410" t="s">
        <v>1119</v>
      </c>
      <c r="D507" s="102" t="s">
        <v>723</v>
      </c>
      <c r="E507" s="102" t="s">
        <v>137</v>
      </c>
      <c r="F507" s="102" t="s">
        <v>711</v>
      </c>
      <c r="G507" s="102" t="s">
        <v>715</v>
      </c>
      <c r="H507" s="360">
        <v>15.0</v>
      </c>
      <c r="I507" s="411" t="b">
        <v>0</v>
      </c>
      <c r="J507" s="102" t="s">
        <v>472</v>
      </c>
      <c r="K507" s="360">
        <v>0.0</v>
      </c>
      <c r="L507" s="360">
        <v>15.0</v>
      </c>
      <c r="M507" s="102" t="s">
        <v>1120</v>
      </c>
      <c r="N507" s="102" t="s">
        <v>1180</v>
      </c>
    </row>
    <row r="508">
      <c r="A508" s="412">
        <v>45680.0</v>
      </c>
      <c r="B508" s="413">
        <v>2025.0</v>
      </c>
      <c r="C508" s="414" t="s">
        <v>1119</v>
      </c>
      <c r="D508" s="413" t="s">
        <v>723</v>
      </c>
      <c r="E508" s="413" t="s">
        <v>137</v>
      </c>
      <c r="F508" s="413" t="s">
        <v>711</v>
      </c>
      <c r="G508" s="413" t="s">
        <v>740</v>
      </c>
      <c r="H508" s="415">
        <v>7.0</v>
      </c>
      <c r="I508" s="416" t="b">
        <v>0</v>
      </c>
      <c r="J508" s="413" t="s">
        <v>472</v>
      </c>
      <c r="K508" s="415">
        <v>0.0</v>
      </c>
      <c r="L508" s="415">
        <v>7.0</v>
      </c>
      <c r="M508" s="413" t="s">
        <v>1120</v>
      </c>
      <c r="N508" s="413" t="s">
        <v>1181</v>
      </c>
    </row>
    <row r="509">
      <c r="A509" s="409">
        <v>45682.0</v>
      </c>
      <c r="B509" s="102">
        <v>2025.0</v>
      </c>
      <c r="C509" s="410" t="s">
        <v>1119</v>
      </c>
      <c r="D509" s="102" t="s">
        <v>702</v>
      </c>
      <c r="E509" s="102" t="s">
        <v>465</v>
      </c>
      <c r="F509" s="102" t="s">
        <v>711</v>
      </c>
      <c r="G509" s="102" t="s">
        <v>734</v>
      </c>
      <c r="H509" s="360">
        <v>180.0</v>
      </c>
      <c r="I509" s="411" t="b">
        <v>0</v>
      </c>
      <c r="J509" s="102" t="s">
        <v>472</v>
      </c>
      <c r="K509" s="360">
        <v>24.82758620689654</v>
      </c>
      <c r="L509" s="360">
        <v>155.17241379310346</v>
      </c>
      <c r="M509" s="102" t="s">
        <v>1120</v>
      </c>
      <c r="N509" s="102" t="s">
        <v>1182</v>
      </c>
    </row>
    <row r="510">
      <c r="A510" s="412">
        <v>45682.0</v>
      </c>
      <c r="B510" s="413">
        <v>2025.0</v>
      </c>
      <c r="C510" s="414" t="s">
        <v>1119</v>
      </c>
      <c r="D510" s="413" t="s">
        <v>723</v>
      </c>
      <c r="E510" s="413" t="s">
        <v>137</v>
      </c>
      <c r="F510" s="413" t="s">
        <v>711</v>
      </c>
      <c r="G510" s="413" t="s">
        <v>734</v>
      </c>
      <c r="H510" s="415">
        <v>140.0</v>
      </c>
      <c r="I510" s="416" t="b">
        <v>0</v>
      </c>
      <c r="J510" s="413" t="s">
        <v>472</v>
      </c>
      <c r="K510" s="415">
        <v>0.0</v>
      </c>
      <c r="L510" s="415">
        <v>140.0</v>
      </c>
      <c r="M510" s="413" t="s">
        <v>1120</v>
      </c>
      <c r="N510" s="413" t="s">
        <v>1183</v>
      </c>
    </row>
    <row r="511">
      <c r="A511" s="409">
        <v>45682.0</v>
      </c>
      <c r="B511" s="102">
        <v>2025.0</v>
      </c>
      <c r="C511" s="410" t="s">
        <v>1119</v>
      </c>
      <c r="D511" s="102" t="s">
        <v>723</v>
      </c>
      <c r="E511" s="102" t="s">
        <v>137</v>
      </c>
      <c r="F511" s="102" t="s">
        <v>711</v>
      </c>
      <c r="G511" s="102" t="s">
        <v>767</v>
      </c>
      <c r="H511" s="360">
        <v>550.0</v>
      </c>
      <c r="I511" s="411" t="b">
        <v>0</v>
      </c>
      <c r="J511" s="102" t="s">
        <v>1184</v>
      </c>
      <c r="K511" s="360">
        <v>0.0</v>
      </c>
      <c r="L511" s="360">
        <v>550.0</v>
      </c>
      <c r="M511" s="102" t="s">
        <v>1120</v>
      </c>
      <c r="N511" s="102" t="s">
        <v>1185</v>
      </c>
    </row>
    <row r="512">
      <c r="A512" s="412">
        <v>45682.0</v>
      </c>
      <c r="B512" s="413">
        <v>2025.0</v>
      </c>
      <c r="C512" s="414" t="s">
        <v>1119</v>
      </c>
      <c r="D512" s="413" t="s">
        <v>723</v>
      </c>
      <c r="E512" s="413" t="s">
        <v>137</v>
      </c>
      <c r="F512" s="413" t="s">
        <v>711</v>
      </c>
      <c r="G512" s="413" t="s">
        <v>724</v>
      </c>
      <c r="H512" s="415">
        <v>484.0</v>
      </c>
      <c r="I512" s="416" t="b">
        <v>1</v>
      </c>
      <c r="J512" s="413" t="s">
        <v>472</v>
      </c>
      <c r="K512" s="415">
        <v>0.0</v>
      </c>
      <c r="L512" s="415">
        <v>0.0</v>
      </c>
      <c r="M512" s="413" t="s">
        <v>1120</v>
      </c>
      <c r="N512" s="413" t="s">
        <v>1186</v>
      </c>
    </row>
    <row r="513">
      <c r="A513" s="409">
        <v>45682.0</v>
      </c>
      <c r="B513" s="102">
        <v>2025.0</v>
      </c>
      <c r="C513" s="410" t="s">
        <v>1119</v>
      </c>
      <c r="D513" s="102" t="s">
        <v>710</v>
      </c>
      <c r="E513" s="102" t="s">
        <v>137</v>
      </c>
      <c r="F513" s="102" t="s">
        <v>703</v>
      </c>
      <c r="G513" s="102" t="s">
        <v>724</v>
      </c>
      <c r="H513" s="360">
        <v>484.0</v>
      </c>
      <c r="I513" s="411" t="b">
        <v>1</v>
      </c>
      <c r="J513" s="102" t="s">
        <v>472</v>
      </c>
      <c r="K513" s="360">
        <v>0.0</v>
      </c>
      <c r="L513" s="360">
        <v>0.0</v>
      </c>
      <c r="M513" s="102" t="s">
        <v>1120</v>
      </c>
      <c r="N513" s="102" t="s">
        <v>1186</v>
      </c>
    </row>
    <row r="514">
      <c r="A514" s="412">
        <v>45682.0</v>
      </c>
      <c r="B514" s="413">
        <v>2025.0</v>
      </c>
      <c r="C514" s="414" t="s">
        <v>1119</v>
      </c>
      <c r="D514" s="413" t="s">
        <v>702</v>
      </c>
      <c r="E514" s="413" t="s">
        <v>465</v>
      </c>
      <c r="F514" s="413" t="s">
        <v>711</v>
      </c>
      <c r="G514" s="413" t="s">
        <v>730</v>
      </c>
      <c r="H514" s="415">
        <v>27.0</v>
      </c>
      <c r="I514" s="416" t="b">
        <v>0</v>
      </c>
      <c r="J514" s="413" t="s">
        <v>472</v>
      </c>
      <c r="K514" s="415">
        <v>3.7241379310344804</v>
      </c>
      <c r="L514" s="415">
        <v>23.27586206896552</v>
      </c>
      <c r="M514" s="413" t="s">
        <v>1120</v>
      </c>
      <c r="N514" s="413" t="s">
        <v>1187</v>
      </c>
    </row>
    <row r="515">
      <c r="A515" s="409">
        <v>45684.0</v>
      </c>
      <c r="B515" s="102">
        <v>2025.0</v>
      </c>
      <c r="C515" s="410" t="s">
        <v>1119</v>
      </c>
      <c r="D515" s="102" t="s">
        <v>710</v>
      </c>
      <c r="E515" s="102" t="s">
        <v>137</v>
      </c>
      <c r="F515" s="102" t="s">
        <v>711</v>
      </c>
      <c r="G515" s="102" t="s">
        <v>740</v>
      </c>
      <c r="H515" s="360">
        <v>14.0</v>
      </c>
      <c r="I515" s="411" t="b">
        <v>0</v>
      </c>
      <c r="J515" s="102" t="s">
        <v>472</v>
      </c>
      <c r="K515" s="360">
        <v>0.0</v>
      </c>
      <c r="L515" s="360">
        <v>14.0</v>
      </c>
      <c r="M515" s="102" t="s">
        <v>1120</v>
      </c>
      <c r="N515" s="102" t="s">
        <v>1188</v>
      </c>
    </row>
    <row r="516">
      <c r="A516" s="412">
        <v>45684.0</v>
      </c>
      <c r="B516" s="413">
        <v>2025.0</v>
      </c>
      <c r="C516" s="414" t="s">
        <v>1119</v>
      </c>
      <c r="D516" s="413" t="s">
        <v>710</v>
      </c>
      <c r="E516" s="413" t="s">
        <v>137</v>
      </c>
      <c r="F516" s="413" t="s">
        <v>711</v>
      </c>
      <c r="G516" s="413" t="s">
        <v>724</v>
      </c>
      <c r="H516" s="415">
        <v>1556.0</v>
      </c>
      <c r="I516" s="416" t="b">
        <v>1</v>
      </c>
      <c r="J516" s="413" t="s">
        <v>472</v>
      </c>
      <c r="K516" s="415">
        <v>0.0</v>
      </c>
      <c r="L516" s="415">
        <v>0.0</v>
      </c>
      <c r="M516" s="413" t="s">
        <v>1120</v>
      </c>
      <c r="N516" s="413" t="s">
        <v>1188</v>
      </c>
    </row>
    <row r="517">
      <c r="A517" s="409">
        <v>45684.0</v>
      </c>
      <c r="B517" s="102">
        <v>2025.0</v>
      </c>
      <c r="C517" s="410" t="s">
        <v>1119</v>
      </c>
      <c r="D517" s="102" t="s">
        <v>723</v>
      </c>
      <c r="E517" s="102" t="s">
        <v>137</v>
      </c>
      <c r="F517" s="102" t="s">
        <v>703</v>
      </c>
      <c r="G517" s="102" t="s">
        <v>724</v>
      </c>
      <c r="H517" s="360">
        <v>1556.0</v>
      </c>
      <c r="I517" s="411" t="b">
        <v>1</v>
      </c>
      <c r="J517" s="102" t="s">
        <v>472</v>
      </c>
      <c r="K517" s="360">
        <v>0.0</v>
      </c>
      <c r="L517" s="360">
        <v>0.0</v>
      </c>
      <c r="M517" s="102" t="s">
        <v>1120</v>
      </c>
      <c r="N517" s="102" t="s">
        <v>1188</v>
      </c>
    </row>
    <row r="518">
      <c r="A518" s="412">
        <v>45684.0</v>
      </c>
      <c r="B518" s="413">
        <v>2025.0</v>
      </c>
      <c r="C518" s="414" t="s">
        <v>1119</v>
      </c>
      <c r="D518" s="413" t="s">
        <v>702</v>
      </c>
      <c r="E518" s="413" t="s">
        <v>465</v>
      </c>
      <c r="F518" s="413" t="s">
        <v>703</v>
      </c>
      <c r="G518" s="413" t="s">
        <v>715</v>
      </c>
      <c r="H518" s="415">
        <v>700.0</v>
      </c>
      <c r="I518" s="416" t="b">
        <v>0</v>
      </c>
      <c r="J518" s="413" t="s">
        <v>472</v>
      </c>
      <c r="K518" s="415">
        <v>0.0</v>
      </c>
      <c r="L518" s="415">
        <v>700.0</v>
      </c>
      <c r="M518" s="413" t="s">
        <v>1120</v>
      </c>
      <c r="N518" s="413" t="s">
        <v>1189</v>
      </c>
    </row>
    <row r="519">
      <c r="A519" s="409">
        <v>45684.0</v>
      </c>
      <c r="B519" s="102">
        <v>2025.0</v>
      </c>
      <c r="C519" s="410" t="s">
        <v>1119</v>
      </c>
      <c r="D519" s="102" t="s">
        <v>702</v>
      </c>
      <c r="E519" s="102" t="s">
        <v>465</v>
      </c>
      <c r="F519" s="102" t="s">
        <v>711</v>
      </c>
      <c r="G519" s="102" t="s">
        <v>730</v>
      </c>
      <c r="H519" s="360">
        <v>33.0</v>
      </c>
      <c r="I519" s="411" t="b">
        <v>0</v>
      </c>
      <c r="J519" s="102" t="s">
        <v>472</v>
      </c>
      <c r="K519" s="360">
        <v>4.551724137931032</v>
      </c>
      <c r="L519" s="360">
        <v>28.448275862068968</v>
      </c>
      <c r="M519" s="102" t="s">
        <v>1120</v>
      </c>
      <c r="N519" s="102" t="s">
        <v>1189</v>
      </c>
    </row>
    <row r="520">
      <c r="A520" s="412">
        <v>45684.0</v>
      </c>
      <c r="B520" s="413">
        <v>2025.0</v>
      </c>
      <c r="C520" s="414" t="s">
        <v>1119</v>
      </c>
      <c r="D520" s="413" t="s">
        <v>702</v>
      </c>
      <c r="E520" s="413" t="s">
        <v>465</v>
      </c>
      <c r="F520" s="413" t="s">
        <v>703</v>
      </c>
      <c r="G520" s="413" t="s">
        <v>715</v>
      </c>
      <c r="H520" s="415">
        <v>390.0</v>
      </c>
      <c r="I520" s="416" t="b">
        <v>0</v>
      </c>
      <c r="J520" s="413" t="s">
        <v>472</v>
      </c>
      <c r="K520" s="415">
        <v>0.0</v>
      </c>
      <c r="L520" s="415">
        <v>390.0</v>
      </c>
      <c r="M520" s="413" t="s">
        <v>1120</v>
      </c>
      <c r="N520" s="413" t="s">
        <v>1189</v>
      </c>
    </row>
    <row r="521">
      <c r="A521" s="409">
        <v>45685.0</v>
      </c>
      <c r="B521" s="102">
        <v>2025.0</v>
      </c>
      <c r="C521" s="410" t="s">
        <v>1119</v>
      </c>
      <c r="D521" s="102" t="s">
        <v>702</v>
      </c>
      <c r="E521" s="102" t="s">
        <v>465</v>
      </c>
      <c r="F521" s="102" t="s">
        <v>711</v>
      </c>
      <c r="G521" s="102" t="s">
        <v>767</v>
      </c>
      <c r="H521" s="360">
        <v>550.0</v>
      </c>
      <c r="I521" s="411" t="b">
        <v>0</v>
      </c>
      <c r="J521" s="102" t="s">
        <v>1190</v>
      </c>
      <c r="K521" s="360">
        <v>75.86206896551721</v>
      </c>
      <c r="L521" s="360">
        <v>474.1379310344828</v>
      </c>
      <c r="M521" s="102" t="s">
        <v>1120</v>
      </c>
      <c r="N521" s="102" t="s">
        <v>1191</v>
      </c>
    </row>
    <row r="522">
      <c r="A522" s="412">
        <v>45685.0</v>
      </c>
      <c r="B522" s="413">
        <v>2025.0</v>
      </c>
      <c r="C522" s="414" t="s">
        <v>1119</v>
      </c>
      <c r="D522" s="413" t="s">
        <v>710</v>
      </c>
      <c r="E522" s="413" t="s">
        <v>137</v>
      </c>
      <c r="F522" s="413" t="s">
        <v>711</v>
      </c>
      <c r="G522" s="413" t="s">
        <v>734</v>
      </c>
      <c r="H522" s="415">
        <v>140.0</v>
      </c>
      <c r="I522" s="416" t="b">
        <v>0</v>
      </c>
      <c r="J522" s="413" t="s">
        <v>472</v>
      </c>
      <c r="K522" s="415">
        <v>0.0</v>
      </c>
      <c r="L522" s="415">
        <v>140.0</v>
      </c>
      <c r="M522" s="413" t="s">
        <v>1120</v>
      </c>
      <c r="N522" s="413" t="s">
        <v>1192</v>
      </c>
    </row>
    <row r="523">
      <c r="A523" s="409">
        <v>45685.0</v>
      </c>
      <c r="B523" s="102">
        <v>2025.0</v>
      </c>
      <c r="C523" s="410" t="s">
        <v>1119</v>
      </c>
      <c r="D523" s="102" t="s">
        <v>710</v>
      </c>
      <c r="E523" s="102" t="s">
        <v>137</v>
      </c>
      <c r="F523" s="102" t="s">
        <v>711</v>
      </c>
      <c r="G523" s="102" t="s">
        <v>734</v>
      </c>
      <c r="H523" s="360">
        <v>140.0</v>
      </c>
      <c r="I523" s="411" t="b">
        <v>0</v>
      </c>
      <c r="J523" s="102" t="s">
        <v>472</v>
      </c>
      <c r="K523" s="360">
        <v>0.0</v>
      </c>
      <c r="L523" s="360">
        <v>140.0</v>
      </c>
      <c r="M523" s="102" t="s">
        <v>1120</v>
      </c>
      <c r="N523" s="102" t="s">
        <v>1193</v>
      </c>
    </row>
    <row r="524">
      <c r="A524" s="412">
        <v>45685.0</v>
      </c>
      <c r="B524" s="413">
        <v>2025.0</v>
      </c>
      <c r="C524" s="414" t="s">
        <v>1119</v>
      </c>
      <c r="D524" s="413" t="s">
        <v>710</v>
      </c>
      <c r="E524" s="413" t="s">
        <v>137</v>
      </c>
      <c r="F524" s="413" t="s">
        <v>711</v>
      </c>
      <c r="G524" s="413" t="s">
        <v>740</v>
      </c>
      <c r="H524" s="415">
        <v>7.0</v>
      </c>
      <c r="I524" s="416" t="b">
        <v>0</v>
      </c>
      <c r="J524" s="413" t="s">
        <v>472</v>
      </c>
      <c r="K524" s="415">
        <v>0.0</v>
      </c>
      <c r="L524" s="415">
        <v>7.0</v>
      </c>
      <c r="M524" s="413" t="s">
        <v>1120</v>
      </c>
      <c r="N524" s="413" t="s">
        <v>1194</v>
      </c>
    </row>
    <row r="525">
      <c r="A525" s="409">
        <v>45685.0</v>
      </c>
      <c r="B525" s="102">
        <v>2025.0</v>
      </c>
      <c r="C525" s="410" t="s">
        <v>1119</v>
      </c>
      <c r="D525" s="102" t="s">
        <v>710</v>
      </c>
      <c r="E525" s="102" t="s">
        <v>137</v>
      </c>
      <c r="F525" s="102" t="s">
        <v>711</v>
      </c>
      <c r="G525" s="102" t="s">
        <v>715</v>
      </c>
      <c r="H525" s="360">
        <v>15.0</v>
      </c>
      <c r="I525" s="411" t="b">
        <v>0</v>
      </c>
      <c r="J525" s="102" t="s">
        <v>472</v>
      </c>
      <c r="K525" s="360">
        <v>0.0</v>
      </c>
      <c r="L525" s="360">
        <v>15.0</v>
      </c>
      <c r="M525" s="102" t="s">
        <v>1120</v>
      </c>
      <c r="N525" s="102" t="s">
        <v>1195</v>
      </c>
    </row>
    <row r="526">
      <c r="A526" s="412">
        <v>45685.0</v>
      </c>
      <c r="B526" s="413">
        <v>2025.0</v>
      </c>
      <c r="C526" s="414" t="s">
        <v>1119</v>
      </c>
      <c r="D526" s="413" t="s">
        <v>710</v>
      </c>
      <c r="E526" s="413" t="s">
        <v>137</v>
      </c>
      <c r="F526" s="413" t="s">
        <v>711</v>
      </c>
      <c r="G526" s="413" t="s">
        <v>740</v>
      </c>
      <c r="H526" s="415">
        <v>7.0</v>
      </c>
      <c r="I526" s="416" t="b">
        <v>0</v>
      </c>
      <c r="J526" s="413" t="s">
        <v>472</v>
      </c>
      <c r="K526" s="415">
        <v>0.0</v>
      </c>
      <c r="L526" s="415">
        <v>7.0</v>
      </c>
      <c r="M526" s="413" t="s">
        <v>1120</v>
      </c>
      <c r="N526" s="413" t="s">
        <v>1196</v>
      </c>
    </row>
    <row r="527">
      <c r="A527" s="409">
        <v>45685.0</v>
      </c>
      <c r="B527" s="102">
        <v>2025.0</v>
      </c>
      <c r="C527" s="410" t="s">
        <v>1119</v>
      </c>
      <c r="D527" s="102" t="s">
        <v>710</v>
      </c>
      <c r="E527" s="102" t="s">
        <v>137</v>
      </c>
      <c r="F527" s="102" t="s">
        <v>711</v>
      </c>
      <c r="G527" s="102" t="s">
        <v>767</v>
      </c>
      <c r="H527" s="360">
        <v>800.0</v>
      </c>
      <c r="I527" s="411" t="b">
        <v>0</v>
      </c>
      <c r="J527" s="102" t="s">
        <v>1197</v>
      </c>
      <c r="K527" s="360">
        <v>0.0</v>
      </c>
      <c r="L527" s="360">
        <v>800.0</v>
      </c>
      <c r="M527" s="102" t="s">
        <v>1120</v>
      </c>
      <c r="N527" s="102" t="s">
        <v>1198</v>
      </c>
    </row>
    <row r="528">
      <c r="A528" s="412">
        <v>45687.0</v>
      </c>
      <c r="B528" s="413">
        <v>2025.0</v>
      </c>
      <c r="C528" s="414" t="s">
        <v>1119</v>
      </c>
      <c r="D528" s="413" t="s">
        <v>710</v>
      </c>
      <c r="E528" s="413" t="s">
        <v>137</v>
      </c>
      <c r="F528" s="413" t="s">
        <v>711</v>
      </c>
      <c r="G528" s="413" t="s">
        <v>767</v>
      </c>
      <c r="H528" s="415">
        <v>800.0</v>
      </c>
      <c r="I528" s="416" t="b">
        <v>0</v>
      </c>
      <c r="J528" s="413" t="s">
        <v>1199</v>
      </c>
      <c r="K528" s="415">
        <v>0.0</v>
      </c>
      <c r="L528" s="415">
        <v>800.0</v>
      </c>
      <c r="M528" s="413" t="s">
        <v>1120</v>
      </c>
      <c r="N528" s="413" t="s">
        <v>1200</v>
      </c>
    </row>
    <row r="529">
      <c r="A529" s="409">
        <v>45687.0</v>
      </c>
      <c r="B529" s="102">
        <v>2025.0</v>
      </c>
      <c r="C529" s="410" t="s">
        <v>1119</v>
      </c>
      <c r="D529" s="102" t="s">
        <v>710</v>
      </c>
      <c r="E529" s="102" t="s">
        <v>137</v>
      </c>
      <c r="F529" s="102" t="s">
        <v>711</v>
      </c>
      <c r="G529" s="102" t="s">
        <v>734</v>
      </c>
      <c r="H529" s="360">
        <v>140.0</v>
      </c>
      <c r="I529" s="411" t="b">
        <v>0</v>
      </c>
      <c r="J529" s="102" t="s">
        <v>472</v>
      </c>
      <c r="K529" s="360">
        <v>0.0</v>
      </c>
      <c r="L529" s="360">
        <v>140.0</v>
      </c>
      <c r="M529" s="102" t="s">
        <v>1120</v>
      </c>
      <c r="N529" s="102" t="s">
        <v>1201</v>
      </c>
    </row>
    <row r="530">
      <c r="A530" s="412">
        <v>45687.0</v>
      </c>
      <c r="B530" s="413">
        <v>2025.0</v>
      </c>
      <c r="C530" s="414" t="s">
        <v>1119</v>
      </c>
      <c r="D530" s="413" t="s">
        <v>702</v>
      </c>
      <c r="E530" s="413" t="s">
        <v>465</v>
      </c>
      <c r="F530" s="413" t="s">
        <v>711</v>
      </c>
      <c r="G530" s="413" t="s">
        <v>730</v>
      </c>
      <c r="H530" s="415">
        <v>30.0</v>
      </c>
      <c r="I530" s="416" t="b">
        <v>0</v>
      </c>
      <c r="J530" s="413" t="s">
        <v>472</v>
      </c>
      <c r="K530" s="415">
        <v>4.137931034482758</v>
      </c>
      <c r="L530" s="415">
        <v>25.862068965517242</v>
      </c>
      <c r="M530" s="413" t="s">
        <v>1120</v>
      </c>
      <c r="N530" s="413" t="s">
        <v>1202</v>
      </c>
    </row>
    <row r="531">
      <c r="A531" s="409">
        <v>45687.0</v>
      </c>
      <c r="B531" s="102">
        <v>2025.0</v>
      </c>
      <c r="C531" s="410" t="s">
        <v>1119</v>
      </c>
      <c r="D531" s="102" t="s">
        <v>710</v>
      </c>
      <c r="E531" s="102" t="s">
        <v>137</v>
      </c>
      <c r="F531" s="102" t="s">
        <v>711</v>
      </c>
      <c r="G531" s="102" t="s">
        <v>734</v>
      </c>
      <c r="H531" s="360">
        <v>180.0</v>
      </c>
      <c r="I531" s="411" t="b">
        <v>0</v>
      </c>
      <c r="J531" s="102" t="s">
        <v>472</v>
      </c>
      <c r="K531" s="360">
        <v>0.0</v>
      </c>
      <c r="L531" s="360">
        <v>180.0</v>
      </c>
      <c r="M531" s="102" t="s">
        <v>1120</v>
      </c>
      <c r="N531" s="102" t="s">
        <v>1203</v>
      </c>
    </row>
    <row r="532">
      <c r="A532" s="412">
        <v>45687.0</v>
      </c>
      <c r="B532" s="413">
        <v>2025.0</v>
      </c>
      <c r="C532" s="414" t="s">
        <v>1119</v>
      </c>
      <c r="D532" s="413" t="s">
        <v>710</v>
      </c>
      <c r="E532" s="413" t="s">
        <v>137</v>
      </c>
      <c r="F532" s="413" t="s">
        <v>703</v>
      </c>
      <c r="G532" s="413" t="s">
        <v>732</v>
      </c>
      <c r="H532" s="415">
        <v>126.0</v>
      </c>
      <c r="I532" s="416" t="b">
        <v>0</v>
      </c>
      <c r="J532" s="413" t="s">
        <v>472</v>
      </c>
      <c r="K532" s="415">
        <v>0.0</v>
      </c>
      <c r="L532" s="415">
        <v>126.0</v>
      </c>
      <c r="M532" s="413" t="s">
        <v>1120</v>
      </c>
      <c r="N532" s="413" t="s">
        <v>1204</v>
      </c>
    </row>
    <row r="533">
      <c r="A533" s="409">
        <v>45687.0</v>
      </c>
      <c r="B533" s="102">
        <v>2025.0</v>
      </c>
      <c r="C533" s="410" t="s">
        <v>1119</v>
      </c>
      <c r="D533" s="102" t="s">
        <v>710</v>
      </c>
      <c r="E533" s="102" t="s">
        <v>137</v>
      </c>
      <c r="F533" s="102" t="s">
        <v>711</v>
      </c>
      <c r="G533" s="102" t="s">
        <v>715</v>
      </c>
      <c r="H533" s="360">
        <v>108.0</v>
      </c>
      <c r="I533" s="411" t="b">
        <v>0</v>
      </c>
      <c r="J533" s="102" t="s">
        <v>472</v>
      </c>
      <c r="K533" s="360">
        <v>0.0</v>
      </c>
      <c r="L533" s="360">
        <v>108.0</v>
      </c>
      <c r="M533" s="102" t="s">
        <v>1120</v>
      </c>
      <c r="N533" s="102" t="s">
        <v>1205</v>
      </c>
    </row>
    <row r="534">
      <c r="A534" s="412">
        <v>45689.0</v>
      </c>
      <c r="B534" s="413">
        <v>2025.0</v>
      </c>
      <c r="C534" s="414" t="s">
        <v>1206</v>
      </c>
      <c r="D534" s="413" t="s">
        <v>710</v>
      </c>
      <c r="E534" s="413" t="s">
        <v>137</v>
      </c>
      <c r="F534" s="413" t="s">
        <v>711</v>
      </c>
      <c r="G534" s="413" t="s">
        <v>734</v>
      </c>
      <c r="H534" s="415">
        <v>180.0</v>
      </c>
      <c r="I534" s="416" t="b">
        <v>0</v>
      </c>
      <c r="J534" s="413" t="s">
        <v>472</v>
      </c>
      <c r="K534" s="415">
        <v>0.0</v>
      </c>
      <c r="L534" s="415">
        <v>180.0</v>
      </c>
      <c r="M534" s="413" t="s">
        <v>1120</v>
      </c>
      <c r="N534" s="413" t="s">
        <v>1207</v>
      </c>
    </row>
    <row r="535">
      <c r="A535" s="409">
        <v>45689.0</v>
      </c>
      <c r="B535" s="102">
        <v>2025.0</v>
      </c>
      <c r="C535" s="410" t="s">
        <v>1206</v>
      </c>
      <c r="D535" s="102" t="s">
        <v>702</v>
      </c>
      <c r="E535" s="102" t="s">
        <v>465</v>
      </c>
      <c r="F535" s="102" t="s">
        <v>711</v>
      </c>
      <c r="G535" s="102" t="s">
        <v>734</v>
      </c>
      <c r="H535" s="360">
        <v>140.0</v>
      </c>
      <c r="I535" s="411" t="b">
        <v>0</v>
      </c>
      <c r="J535" s="102" t="s">
        <v>472</v>
      </c>
      <c r="K535" s="360">
        <v>19.310344827586192</v>
      </c>
      <c r="L535" s="360">
        <v>120.68965517241381</v>
      </c>
      <c r="M535" s="102" t="s">
        <v>1120</v>
      </c>
      <c r="N535" s="102" t="s">
        <v>1208</v>
      </c>
    </row>
    <row r="536">
      <c r="A536" s="412">
        <v>45691.0</v>
      </c>
      <c r="B536" s="413">
        <v>2025.0</v>
      </c>
      <c r="C536" s="414" t="s">
        <v>1206</v>
      </c>
      <c r="D536" s="413" t="s">
        <v>710</v>
      </c>
      <c r="E536" s="413" t="s">
        <v>137</v>
      </c>
      <c r="F536" s="413" t="s">
        <v>703</v>
      </c>
      <c r="G536" s="413" t="s">
        <v>769</v>
      </c>
      <c r="H536" s="415">
        <v>8000.0</v>
      </c>
      <c r="I536" s="416" t="b">
        <v>0</v>
      </c>
      <c r="J536" s="413" t="s">
        <v>472</v>
      </c>
      <c r="K536" s="415">
        <v>0.0</v>
      </c>
      <c r="L536" s="415">
        <v>8000.0</v>
      </c>
      <c r="M536" s="413" t="s">
        <v>1120</v>
      </c>
      <c r="N536" s="413" t="s">
        <v>1209</v>
      </c>
    </row>
    <row r="537">
      <c r="A537" s="409">
        <v>45691.0</v>
      </c>
      <c r="B537" s="102">
        <v>2025.0</v>
      </c>
      <c r="C537" s="410" t="s">
        <v>1206</v>
      </c>
      <c r="D537" s="102" t="s">
        <v>710</v>
      </c>
      <c r="E537" s="102" t="s">
        <v>137</v>
      </c>
      <c r="F537" s="102" t="s">
        <v>703</v>
      </c>
      <c r="G537" s="102" t="s">
        <v>715</v>
      </c>
      <c r="H537" s="360">
        <v>314.0</v>
      </c>
      <c r="I537" s="411" t="b">
        <v>0</v>
      </c>
      <c r="J537" s="102" t="s">
        <v>472</v>
      </c>
      <c r="K537" s="360">
        <v>0.0</v>
      </c>
      <c r="L537" s="360">
        <v>314.0</v>
      </c>
      <c r="M537" s="102" t="s">
        <v>1120</v>
      </c>
      <c r="N537" s="102" t="s">
        <v>1210</v>
      </c>
    </row>
    <row r="538">
      <c r="A538" s="412">
        <v>45691.0</v>
      </c>
      <c r="B538" s="413">
        <v>2025.0</v>
      </c>
      <c r="C538" s="414" t="s">
        <v>1206</v>
      </c>
      <c r="D538" s="413" t="s">
        <v>702</v>
      </c>
      <c r="E538" s="413" t="s">
        <v>465</v>
      </c>
      <c r="F538" s="413" t="s">
        <v>703</v>
      </c>
      <c r="G538" s="413" t="s">
        <v>1211</v>
      </c>
      <c r="H538" s="415">
        <v>500.0</v>
      </c>
      <c r="I538" s="416" t="b">
        <v>0</v>
      </c>
      <c r="J538" s="413" t="s">
        <v>472</v>
      </c>
      <c r="K538" s="415">
        <v>0.0</v>
      </c>
      <c r="L538" s="415">
        <v>500.0</v>
      </c>
      <c r="M538" s="413" t="s">
        <v>1120</v>
      </c>
      <c r="N538" s="413" t="s">
        <v>1212</v>
      </c>
    </row>
    <row r="539">
      <c r="A539" s="409">
        <v>45691.0</v>
      </c>
      <c r="B539" s="102">
        <v>2025.0</v>
      </c>
      <c r="C539" s="410" t="s">
        <v>1206</v>
      </c>
      <c r="D539" s="102" t="s">
        <v>702</v>
      </c>
      <c r="E539" s="102" t="s">
        <v>465</v>
      </c>
      <c r="F539" s="102" t="s">
        <v>711</v>
      </c>
      <c r="G539" s="102" t="s">
        <v>767</v>
      </c>
      <c r="H539" s="360">
        <v>527.0</v>
      </c>
      <c r="I539" s="411" t="b">
        <v>0</v>
      </c>
      <c r="J539" s="102" t="s">
        <v>1213</v>
      </c>
      <c r="K539" s="360">
        <v>72.68965517241378</v>
      </c>
      <c r="L539" s="360">
        <v>454.3103448275862</v>
      </c>
      <c r="M539" s="102" t="s">
        <v>1120</v>
      </c>
      <c r="N539" s="102" t="s">
        <v>1214</v>
      </c>
    </row>
    <row r="540">
      <c r="A540" s="412">
        <v>45691.0</v>
      </c>
      <c r="B540" s="413">
        <v>2025.0</v>
      </c>
      <c r="C540" s="414" t="s">
        <v>1206</v>
      </c>
      <c r="D540" s="413" t="s">
        <v>702</v>
      </c>
      <c r="E540" s="413" t="s">
        <v>465</v>
      </c>
      <c r="F540" s="413" t="s">
        <v>711</v>
      </c>
      <c r="G540" s="413" t="s">
        <v>730</v>
      </c>
      <c r="H540" s="415">
        <v>11.0</v>
      </c>
      <c r="I540" s="416" t="b">
        <v>0</v>
      </c>
      <c r="J540" s="413" t="s">
        <v>472</v>
      </c>
      <c r="K540" s="415">
        <v>1.5172413793103434</v>
      </c>
      <c r="L540" s="415">
        <v>9.482758620689657</v>
      </c>
      <c r="M540" s="413" t="s">
        <v>1120</v>
      </c>
      <c r="N540" s="413" t="s">
        <v>1215</v>
      </c>
    </row>
    <row r="541">
      <c r="A541" s="409">
        <v>45691.0</v>
      </c>
      <c r="B541" s="102">
        <v>2025.0</v>
      </c>
      <c r="C541" s="410" t="s">
        <v>1206</v>
      </c>
      <c r="D541" s="102" t="s">
        <v>710</v>
      </c>
      <c r="E541" s="102" t="s">
        <v>137</v>
      </c>
      <c r="F541" s="102" t="s">
        <v>711</v>
      </c>
      <c r="G541" s="102" t="s">
        <v>767</v>
      </c>
      <c r="H541" s="360">
        <v>550.0</v>
      </c>
      <c r="I541" s="411" t="b">
        <v>0</v>
      </c>
      <c r="J541" s="102" t="s">
        <v>1216</v>
      </c>
      <c r="K541" s="360">
        <v>0.0</v>
      </c>
      <c r="L541" s="360">
        <v>550.0</v>
      </c>
      <c r="M541" s="102" t="s">
        <v>1120</v>
      </c>
      <c r="N541" s="102" t="s">
        <v>1217</v>
      </c>
    </row>
    <row r="542">
      <c r="A542" s="412">
        <v>45692.0</v>
      </c>
      <c r="B542" s="413">
        <v>2025.0</v>
      </c>
      <c r="C542" s="414" t="s">
        <v>1206</v>
      </c>
      <c r="D542" s="413" t="s">
        <v>702</v>
      </c>
      <c r="E542" s="413" t="s">
        <v>465</v>
      </c>
      <c r="F542" s="413" t="s">
        <v>711</v>
      </c>
      <c r="G542" s="413" t="s">
        <v>734</v>
      </c>
      <c r="H542" s="415">
        <v>140.0</v>
      </c>
      <c r="I542" s="416" t="b">
        <v>0</v>
      </c>
      <c r="J542" s="413" t="s">
        <v>1218</v>
      </c>
      <c r="K542" s="415">
        <v>19.310344827586192</v>
      </c>
      <c r="L542" s="415">
        <v>120.68965517241381</v>
      </c>
      <c r="M542" s="413" t="s">
        <v>1120</v>
      </c>
      <c r="N542" s="413" t="s">
        <v>1219</v>
      </c>
    </row>
    <row r="543">
      <c r="A543" s="409">
        <v>45692.0</v>
      </c>
      <c r="B543" s="102">
        <v>2025.0</v>
      </c>
      <c r="C543" s="410" t="s">
        <v>1206</v>
      </c>
      <c r="D543" s="102" t="s">
        <v>710</v>
      </c>
      <c r="E543" s="102" t="s">
        <v>137</v>
      </c>
      <c r="F543" s="102" t="s">
        <v>711</v>
      </c>
      <c r="G543" s="102" t="s">
        <v>767</v>
      </c>
      <c r="H543" s="360">
        <v>950.0</v>
      </c>
      <c r="I543" s="411" t="b">
        <v>0</v>
      </c>
      <c r="J543" s="102" t="s">
        <v>1218</v>
      </c>
      <c r="K543" s="360">
        <v>0.0</v>
      </c>
      <c r="L543" s="360">
        <v>950.0</v>
      </c>
      <c r="M543" s="102" t="s">
        <v>1120</v>
      </c>
      <c r="N543" s="102" t="s">
        <v>1220</v>
      </c>
    </row>
    <row r="544">
      <c r="A544" s="412">
        <v>45692.0</v>
      </c>
      <c r="B544" s="413">
        <v>2025.0</v>
      </c>
      <c r="C544" s="414" t="s">
        <v>1206</v>
      </c>
      <c r="D544" s="413" t="s">
        <v>702</v>
      </c>
      <c r="E544" s="413" t="s">
        <v>465</v>
      </c>
      <c r="F544" s="413" t="s">
        <v>711</v>
      </c>
      <c r="G544" s="413" t="s">
        <v>767</v>
      </c>
      <c r="H544" s="415">
        <v>950.0</v>
      </c>
      <c r="I544" s="416" t="b">
        <v>0</v>
      </c>
      <c r="J544" s="413" t="s">
        <v>1221</v>
      </c>
      <c r="K544" s="415">
        <v>131.03448275862058</v>
      </c>
      <c r="L544" s="415">
        <v>818.9655172413794</v>
      </c>
      <c r="M544" s="413" t="s">
        <v>1120</v>
      </c>
      <c r="N544" s="413" t="s">
        <v>1222</v>
      </c>
    </row>
    <row r="545">
      <c r="A545" s="409">
        <v>45692.0</v>
      </c>
      <c r="B545" s="102">
        <v>2025.0</v>
      </c>
      <c r="C545" s="410" t="s">
        <v>1206</v>
      </c>
      <c r="D545" s="102" t="s">
        <v>710</v>
      </c>
      <c r="E545" s="102" t="s">
        <v>137</v>
      </c>
      <c r="F545" s="102" t="s">
        <v>711</v>
      </c>
      <c r="G545" s="102" t="s">
        <v>767</v>
      </c>
      <c r="H545" s="360">
        <v>1150.0</v>
      </c>
      <c r="I545" s="411" t="b">
        <v>0</v>
      </c>
      <c r="J545" s="102" t="s">
        <v>1197</v>
      </c>
      <c r="K545" s="360">
        <v>0.0</v>
      </c>
      <c r="L545" s="360">
        <v>1150.0</v>
      </c>
      <c r="M545" s="102" t="s">
        <v>1120</v>
      </c>
      <c r="N545" s="102" t="s">
        <v>1223</v>
      </c>
    </row>
    <row r="546">
      <c r="A546" s="412">
        <v>45692.0</v>
      </c>
      <c r="B546" s="413">
        <v>2025.0</v>
      </c>
      <c r="C546" s="414" t="s">
        <v>1206</v>
      </c>
      <c r="D546" s="413" t="s">
        <v>702</v>
      </c>
      <c r="E546" s="413" t="s">
        <v>465</v>
      </c>
      <c r="F546" s="413" t="s">
        <v>711</v>
      </c>
      <c r="G546" s="413" t="s">
        <v>767</v>
      </c>
      <c r="H546" s="415">
        <v>950.0</v>
      </c>
      <c r="I546" s="416" t="b">
        <v>0</v>
      </c>
      <c r="J546" s="413" t="s">
        <v>1224</v>
      </c>
      <c r="K546" s="415">
        <v>131.03448275862058</v>
      </c>
      <c r="L546" s="415">
        <v>818.9655172413794</v>
      </c>
      <c r="M546" s="413" t="s">
        <v>1120</v>
      </c>
      <c r="N546" s="413" t="s">
        <v>1225</v>
      </c>
    </row>
    <row r="547">
      <c r="A547" s="409">
        <v>45692.0</v>
      </c>
      <c r="B547" s="102">
        <v>2025.0</v>
      </c>
      <c r="C547" s="410" t="s">
        <v>1206</v>
      </c>
      <c r="D547" s="102" t="s">
        <v>702</v>
      </c>
      <c r="E547" s="102" t="s">
        <v>465</v>
      </c>
      <c r="F547" s="102" t="s">
        <v>711</v>
      </c>
      <c r="G547" s="102" t="s">
        <v>767</v>
      </c>
      <c r="H547" s="360">
        <v>950.0</v>
      </c>
      <c r="I547" s="411" t="b">
        <v>0</v>
      </c>
      <c r="J547" s="102" t="s">
        <v>1146</v>
      </c>
      <c r="K547" s="360">
        <v>131.03448275862058</v>
      </c>
      <c r="L547" s="360">
        <v>818.9655172413794</v>
      </c>
      <c r="M547" s="102" t="s">
        <v>1120</v>
      </c>
      <c r="N547" s="102" t="s">
        <v>1226</v>
      </c>
    </row>
    <row r="548">
      <c r="A548" s="412">
        <v>45693.0</v>
      </c>
      <c r="B548" s="413">
        <v>2025.0</v>
      </c>
      <c r="C548" s="414" t="s">
        <v>1206</v>
      </c>
      <c r="D548" s="413" t="s">
        <v>710</v>
      </c>
      <c r="E548" s="413" t="s">
        <v>137</v>
      </c>
      <c r="F548" s="413" t="s">
        <v>711</v>
      </c>
      <c r="G548" s="413" t="s">
        <v>767</v>
      </c>
      <c r="H548" s="415">
        <v>1050.0</v>
      </c>
      <c r="I548" s="416" t="b">
        <v>0</v>
      </c>
      <c r="J548" s="413" t="s">
        <v>472</v>
      </c>
      <c r="K548" s="415">
        <v>0.0</v>
      </c>
      <c r="L548" s="415">
        <v>1050.0</v>
      </c>
      <c r="M548" s="413" t="s">
        <v>1120</v>
      </c>
      <c r="N548" s="413" t="s">
        <v>1227</v>
      </c>
    </row>
    <row r="549">
      <c r="A549" s="409">
        <v>45693.0</v>
      </c>
      <c r="B549" s="102">
        <v>2025.0</v>
      </c>
      <c r="C549" s="410" t="s">
        <v>1206</v>
      </c>
      <c r="D549" s="102" t="s">
        <v>710</v>
      </c>
      <c r="E549" s="102" t="s">
        <v>137</v>
      </c>
      <c r="F549" s="102" t="s">
        <v>711</v>
      </c>
      <c r="G549" s="102" t="s">
        <v>730</v>
      </c>
      <c r="H549" s="360">
        <v>59.0</v>
      </c>
      <c r="I549" s="411" t="b">
        <v>0</v>
      </c>
      <c r="J549" s="102" t="s">
        <v>472</v>
      </c>
      <c r="K549" s="360">
        <v>0.0</v>
      </c>
      <c r="L549" s="360">
        <v>59.0</v>
      </c>
      <c r="M549" s="102" t="s">
        <v>1120</v>
      </c>
      <c r="N549" s="102" t="s">
        <v>1228</v>
      </c>
    </row>
    <row r="550">
      <c r="A550" s="412">
        <v>45693.0</v>
      </c>
      <c r="B550" s="413">
        <v>2025.0</v>
      </c>
      <c r="C550" s="414" t="s">
        <v>1206</v>
      </c>
      <c r="D550" s="413" t="s">
        <v>710</v>
      </c>
      <c r="E550" s="413" t="s">
        <v>137</v>
      </c>
      <c r="F550" s="413" t="s">
        <v>703</v>
      </c>
      <c r="G550" s="413" t="s">
        <v>724</v>
      </c>
      <c r="H550" s="415">
        <v>925.0</v>
      </c>
      <c r="I550" s="416" t="b">
        <v>1</v>
      </c>
      <c r="J550" s="413" t="s">
        <v>472</v>
      </c>
      <c r="K550" s="415">
        <v>0.0</v>
      </c>
      <c r="L550" s="415">
        <v>0.0</v>
      </c>
      <c r="M550" s="413" t="s">
        <v>1120</v>
      </c>
      <c r="N550" s="413" t="s">
        <v>1229</v>
      </c>
    </row>
    <row r="551">
      <c r="A551" s="409">
        <v>45693.0</v>
      </c>
      <c r="B551" s="102">
        <v>2025.0</v>
      </c>
      <c r="C551" s="410" t="s">
        <v>1206</v>
      </c>
      <c r="D551" s="102" t="s">
        <v>723</v>
      </c>
      <c r="E551" s="102" t="s">
        <v>137</v>
      </c>
      <c r="F551" s="102" t="s">
        <v>711</v>
      </c>
      <c r="G551" s="102" t="s">
        <v>724</v>
      </c>
      <c r="H551" s="360">
        <v>925.0</v>
      </c>
      <c r="I551" s="411" t="b">
        <v>1</v>
      </c>
      <c r="J551" s="102" t="s">
        <v>472</v>
      </c>
      <c r="K551" s="360">
        <v>0.0</v>
      </c>
      <c r="L551" s="360">
        <v>0.0</v>
      </c>
      <c r="M551" s="102" t="s">
        <v>1120</v>
      </c>
      <c r="N551" s="102" t="s">
        <v>1229</v>
      </c>
    </row>
    <row r="552">
      <c r="A552" s="412">
        <v>45694.0</v>
      </c>
      <c r="B552" s="413">
        <v>2025.0</v>
      </c>
      <c r="C552" s="414" t="s">
        <v>1206</v>
      </c>
      <c r="D552" s="413" t="s">
        <v>723</v>
      </c>
      <c r="E552" s="413" t="s">
        <v>137</v>
      </c>
      <c r="F552" s="413" t="s">
        <v>711</v>
      </c>
      <c r="G552" s="413" t="s">
        <v>767</v>
      </c>
      <c r="H552" s="415">
        <v>950.0</v>
      </c>
      <c r="I552" s="416" t="b">
        <v>0</v>
      </c>
      <c r="J552" s="413" t="s">
        <v>1230</v>
      </c>
      <c r="K552" s="415">
        <v>0.0</v>
      </c>
      <c r="L552" s="415">
        <v>950.0</v>
      </c>
      <c r="M552" s="413" t="s">
        <v>1120</v>
      </c>
      <c r="N552" s="413" t="s">
        <v>1231</v>
      </c>
    </row>
    <row r="553">
      <c r="A553" s="409">
        <v>45694.0</v>
      </c>
      <c r="B553" s="102">
        <v>2025.0</v>
      </c>
      <c r="C553" s="410" t="s">
        <v>1206</v>
      </c>
      <c r="D553" s="102" t="s">
        <v>723</v>
      </c>
      <c r="E553" s="102" t="s">
        <v>137</v>
      </c>
      <c r="F553" s="102" t="s">
        <v>711</v>
      </c>
      <c r="G553" s="102" t="s">
        <v>767</v>
      </c>
      <c r="H553" s="360">
        <v>950.0</v>
      </c>
      <c r="I553" s="411" t="b">
        <v>0</v>
      </c>
      <c r="J553" s="102" t="s">
        <v>1232</v>
      </c>
      <c r="K553" s="360">
        <v>0.0</v>
      </c>
      <c r="L553" s="360">
        <v>950.0</v>
      </c>
      <c r="M553" s="102" t="s">
        <v>1120</v>
      </c>
      <c r="N553" s="102" t="s">
        <v>1233</v>
      </c>
    </row>
    <row r="554">
      <c r="A554" s="412">
        <v>45694.0</v>
      </c>
      <c r="B554" s="413">
        <v>2025.0</v>
      </c>
      <c r="C554" s="414" t="s">
        <v>1206</v>
      </c>
      <c r="D554" s="413" t="s">
        <v>723</v>
      </c>
      <c r="E554" s="413" t="s">
        <v>137</v>
      </c>
      <c r="F554" s="413" t="s">
        <v>711</v>
      </c>
      <c r="G554" s="413" t="s">
        <v>734</v>
      </c>
      <c r="H554" s="415">
        <v>80.0</v>
      </c>
      <c r="I554" s="416" t="b">
        <v>0</v>
      </c>
      <c r="J554" s="413" t="s">
        <v>472</v>
      </c>
      <c r="K554" s="415">
        <v>0.0</v>
      </c>
      <c r="L554" s="415">
        <v>80.0</v>
      </c>
      <c r="M554" s="413" t="s">
        <v>1120</v>
      </c>
      <c r="N554" s="413" t="s">
        <v>1234</v>
      </c>
    </row>
    <row r="555">
      <c r="A555" s="409">
        <v>45694.0</v>
      </c>
      <c r="B555" s="102">
        <v>2025.0</v>
      </c>
      <c r="C555" s="410" t="s">
        <v>1206</v>
      </c>
      <c r="D555" s="102" t="s">
        <v>702</v>
      </c>
      <c r="E555" s="102" t="s">
        <v>465</v>
      </c>
      <c r="F555" s="102" t="s">
        <v>711</v>
      </c>
      <c r="G555" s="102" t="s">
        <v>767</v>
      </c>
      <c r="H555" s="360">
        <v>1150.0</v>
      </c>
      <c r="I555" s="411" t="b">
        <v>0</v>
      </c>
      <c r="J555" s="102" t="s">
        <v>1235</v>
      </c>
      <c r="K555" s="360">
        <v>158.62068965517233</v>
      </c>
      <c r="L555" s="360">
        <v>991.3793103448277</v>
      </c>
      <c r="M555" s="102" t="s">
        <v>1120</v>
      </c>
      <c r="N555" s="102" t="s">
        <v>1236</v>
      </c>
    </row>
    <row r="556">
      <c r="A556" s="412">
        <v>45694.0</v>
      </c>
      <c r="B556" s="413">
        <v>2025.0</v>
      </c>
      <c r="C556" s="414" t="s">
        <v>1206</v>
      </c>
      <c r="D556" s="413" t="s">
        <v>702</v>
      </c>
      <c r="E556" s="413" t="s">
        <v>465</v>
      </c>
      <c r="F556" s="413" t="s">
        <v>711</v>
      </c>
      <c r="G556" s="413" t="s">
        <v>767</v>
      </c>
      <c r="H556" s="415">
        <v>800.0</v>
      </c>
      <c r="I556" s="416" t="b">
        <v>0</v>
      </c>
      <c r="J556" s="413" t="s">
        <v>1237</v>
      </c>
      <c r="K556" s="415">
        <v>110.34482758620686</v>
      </c>
      <c r="L556" s="415">
        <v>689.6551724137931</v>
      </c>
      <c r="M556" s="413" t="s">
        <v>1120</v>
      </c>
      <c r="N556" s="413" t="s">
        <v>1238</v>
      </c>
    </row>
    <row r="557">
      <c r="A557" s="409">
        <v>45694.0</v>
      </c>
      <c r="B557" s="102">
        <v>2025.0</v>
      </c>
      <c r="C557" s="410" t="s">
        <v>1206</v>
      </c>
      <c r="D557" s="102" t="s">
        <v>723</v>
      </c>
      <c r="E557" s="102" t="s">
        <v>137</v>
      </c>
      <c r="F557" s="102" t="s">
        <v>711</v>
      </c>
      <c r="G557" s="102" t="s">
        <v>734</v>
      </c>
      <c r="H557" s="360">
        <v>180.0</v>
      </c>
      <c r="I557" s="411" t="b">
        <v>0</v>
      </c>
      <c r="J557" s="102" t="s">
        <v>472</v>
      </c>
      <c r="K557" s="360">
        <v>0.0</v>
      </c>
      <c r="L557" s="360">
        <v>180.0</v>
      </c>
      <c r="M557" s="102" t="s">
        <v>1120</v>
      </c>
      <c r="N557" s="102" t="s">
        <v>1239</v>
      </c>
    </row>
    <row r="558">
      <c r="A558" s="412">
        <v>45694.0</v>
      </c>
      <c r="B558" s="413">
        <v>2025.0</v>
      </c>
      <c r="C558" s="414" t="s">
        <v>1206</v>
      </c>
      <c r="D558" s="413" t="s">
        <v>723</v>
      </c>
      <c r="E558" s="413" t="s">
        <v>137</v>
      </c>
      <c r="F558" s="413" t="s">
        <v>711</v>
      </c>
      <c r="G558" s="413" t="s">
        <v>767</v>
      </c>
      <c r="H558" s="415">
        <v>900.0</v>
      </c>
      <c r="I558" s="416" t="b">
        <v>0</v>
      </c>
      <c r="J558" s="413" t="s">
        <v>1240</v>
      </c>
      <c r="K558" s="415">
        <v>0.0</v>
      </c>
      <c r="L558" s="415">
        <v>900.0</v>
      </c>
      <c r="M558" s="413" t="s">
        <v>1120</v>
      </c>
      <c r="N558" s="413" t="s">
        <v>1241</v>
      </c>
    </row>
    <row r="559">
      <c r="A559" s="409">
        <v>45694.0</v>
      </c>
      <c r="B559" s="102">
        <v>2025.0</v>
      </c>
      <c r="C559" s="410" t="s">
        <v>1206</v>
      </c>
      <c r="D559" s="102" t="s">
        <v>723</v>
      </c>
      <c r="E559" s="102" t="s">
        <v>137</v>
      </c>
      <c r="F559" s="102" t="s">
        <v>711</v>
      </c>
      <c r="G559" s="102" t="s">
        <v>767</v>
      </c>
      <c r="H559" s="360">
        <v>900.0</v>
      </c>
      <c r="I559" s="411" t="b">
        <v>0</v>
      </c>
      <c r="J559" s="102" t="s">
        <v>1160</v>
      </c>
      <c r="K559" s="360">
        <v>0.0</v>
      </c>
      <c r="L559" s="360">
        <v>900.0</v>
      </c>
      <c r="M559" s="102" t="s">
        <v>1120</v>
      </c>
      <c r="N559" s="102" t="s">
        <v>1242</v>
      </c>
    </row>
    <row r="560">
      <c r="A560" s="412">
        <v>45694.0</v>
      </c>
      <c r="B560" s="413">
        <v>2025.0</v>
      </c>
      <c r="C560" s="414" t="s">
        <v>1206</v>
      </c>
      <c r="D560" s="413" t="s">
        <v>702</v>
      </c>
      <c r="E560" s="413" t="s">
        <v>465</v>
      </c>
      <c r="F560" s="413" t="s">
        <v>711</v>
      </c>
      <c r="G560" s="413" t="s">
        <v>767</v>
      </c>
      <c r="H560" s="415">
        <v>950.0</v>
      </c>
      <c r="I560" s="416" t="b">
        <v>0</v>
      </c>
      <c r="J560" s="413" t="s">
        <v>1243</v>
      </c>
      <c r="K560" s="415">
        <v>131.03448275862058</v>
      </c>
      <c r="L560" s="415">
        <v>818.9655172413794</v>
      </c>
      <c r="M560" s="413" t="s">
        <v>1120</v>
      </c>
      <c r="N560" s="413" t="s">
        <v>1244</v>
      </c>
    </row>
    <row r="561">
      <c r="A561" s="409">
        <v>45694.0</v>
      </c>
      <c r="B561" s="102">
        <v>2025.0</v>
      </c>
      <c r="C561" s="410" t="s">
        <v>1206</v>
      </c>
      <c r="D561" s="102" t="s">
        <v>702</v>
      </c>
      <c r="E561" s="102" t="s">
        <v>465</v>
      </c>
      <c r="F561" s="102" t="s">
        <v>711</v>
      </c>
      <c r="G561" s="102" t="s">
        <v>734</v>
      </c>
      <c r="H561" s="360">
        <v>140.0</v>
      </c>
      <c r="I561" s="411" t="b">
        <v>0</v>
      </c>
      <c r="J561" s="102" t="s">
        <v>472</v>
      </c>
      <c r="K561" s="360">
        <v>19.310344827586192</v>
      </c>
      <c r="L561" s="360">
        <v>120.68965517241381</v>
      </c>
      <c r="M561" s="102" t="s">
        <v>1120</v>
      </c>
      <c r="N561" s="102" t="s">
        <v>1245</v>
      </c>
    </row>
    <row r="562">
      <c r="A562" s="412">
        <v>45694.0</v>
      </c>
      <c r="B562" s="413">
        <v>2025.0</v>
      </c>
      <c r="C562" s="414" t="s">
        <v>1206</v>
      </c>
      <c r="D562" s="413" t="s">
        <v>702</v>
      </c>
      <c r="E562" s="413" t="s">
        <v>465</v>
      </c>
      <c r="F562" s="413" t="s">
        <v>711</v>
      </c>
      <c r="G562" s="413" t="s">
        <v>767</v>
      </c>
      <c r="H562" s="415">
        <v>950.0</v>
      </c>
      <c r="I562" s="416" t="b">
        <v>0</v>
      </c>
      <c r="J562" s="413" t="s">
        <v>1246</v>
      </c>
      <c r="K562" s="415">
        <v>131.03448275862058</v>
      </c>
      <c r="L562" s="415">
        <v>818.9655172413794</v>
      </c>
      <c r="M562" s="413" t="s">
        <v>1120</v>
      </c>
      <c r="N562" s="413" t="s">
        <v>1247</v>
      </c>
    </row>
    <row r="563">
      <c r="A563" s="409">
        <v>45694.0</v>
      </c>
      <c r="B563" s="102">
        <v>2025.0</v>
      </c>
      <c r="C563" s="410" t="s">
        <v>1206</v>
      </c>
      <c r="D563" s="102" t="s">
        <v>702</v>
      </c>
      <c r="E563" s="102" t="s">
        <v>465</v>
      </c>
      <c r="F563" s="102" t="s">
        <v>711</v>
      </c>
      <c r="G563" s="102" t="s">
        <v>767</v>
      </c>
      <c r="H563" s="360">
        <v>1247.0</v>
      </c>
      <c r="I563" s="411" t="b">
        <v>0</v>
      </c>
      <c r="J563" s="102" t="s">
        <v>1248</v>
      </c>
      <c r="K563" s="360">
        <v>172.0</v>
      </c>
      <c r="L563" s="360">
        <v>1075.0</v>
      </c>
      <c r="M563" s="102" t="s">
        <v>1120</v>
      </c>
      <c r="N563" s="102" t="s">
        <v>1249</v>
      </c>
    </row>
    <row r="564">
      <c r="A564" s="412">
        <v>45694.0</v>
      </c>
      <c r="B564" s="413">
        <v>2025.0</v>
      </c>
      <c r="C564" s="414" t="s">
        <v>1206</v>
      </c>
      <c r="D564" s="413" t="s">
        <v>702</v>
      </c>
      <c r="E564" s="413" t="s">
        <v>465</v>
      </c>
      <c r="F564" s="413" t="s">
        <v>711</v>
      </c>
      <c r="G564" s="413" t="s">
        <v>730</v>
      </c>
      <c r="H564" s="415">
        <v>61.0</v>
      </c>
      <c r="I564" s="416" t="b">
        <v>0</v>
      </c>
      <c r="J564" s="413" t="s">
        <v>472</v>
      </c>
      <c r="K564" s="415">
        <v>8.41379310344827</v>
      </c>
      <c r="L564" s="415">
        <v>52.58620689655173</v>
      </c>
      <c r="M564" s="413" t="s">
        <v>1120</v>
      </c>
      <c r="N564" s="413" t="s">
        <v>1250</v>
      </c>
    </row>
    <row r="565">
      <c r="A565" s="409">
        <v>45694.0</v>
      </c>
      <c r="B565" s="102">
        <v>2025.0</v>
      </c>
      <c r="C565" s="410" t="s">
        <v>1206</v>
      </c>
      <c r="D565" s="102" t="s">
        <v>723</v>
      </c>
      <c r="E565" s="102" t="s">
        <v>137</v>
      </c>
      <c r="F565" s="102" t="s">
        <v>711</v>
      </c>
      <c r="G565" s="102" t="s">
        <v>715</v>
      </c>
      <c r="H565" s="360">
        <v>30.0</v>
      </c>
      <c r="I565" s="411" t="b">
        <v>0</v>
      </c>
      <c r="J565" s="102" t="s">
        <v>472</v>
      </c>
      <c r="K565" s="360">
        <v>0.0</v>
      </c>
      <c r="L565" s="360">
        <v>30.0</v>
      </c>
      <c r="M565" s="102" t="s">
        <v>1120</v>
      </c>
      <c r="N565" s="102" t="s">
        <v>1251</v>
      </c>
    </row>
    <row r="566">
      <c r="A566" s="412">
        <v>45694.0</v>
      </c>
      <c r="B566" s="413">
        <v>2025.0</v>
      </c>
      <c r="C566" s="414" t="s">
        <v>1206</v>
      </c>
      <c r="D566" s="413" t="s">
        <v>723</v>
      </c>
      <c r="E566" s="413" t="s">
        <v>137</v>
      </c>
      <c r="F566" s="413" t="s">
        <v>711</v>
      </c>
      <c r="G566" s="413" t="s">
        <v>715</v>
      </c>
      <c r="H566" s="415">
        <v>15.0</v>
      </c>
      <c r="I566" s="416" t="b">
        <v>0</v>
      </c>
      <c r="J566" s="413" t="s">
        <v>472</v>
      </c>
      <c r="K566" s="415">
        <v>0.0</v>
      </c>
      <c r="L566" s="415">
        <v>15.0</v>
      </c>
      <c r="M566" s="413" t="s">
        <v>1120</v>
      </c>
      <c r="N566" s="413" t="s">
        <v>1252</v>
      </c>
    </row>
    <row r="567">
      <c r="A567" s="409">
        <v>45695.0</v>
      </c>
      <c r="B567" s="102">
        <v>2025.0</v>
      </c>
      <c r="C567" s="410" t="s">
        <v>1206</v>
      </c>
      <c r="D567" s="102" t="s">
        <v>702</v>
      </c>
      <c r="E567" s="102" t="s">
        <v>465</v>
      </c>
      <c r="F567" s="102" t="s">
        <v>711</v>
      </c>
      <c r="G567" s="102" t="s">
        <v>767</v>
      </c>
      <c r="H567" s="360">
        <v>950.0</v>
      </c>
      <c r="I567" s="411" t="b">
        <v>0</v>
      </c>
      <c r="J567" s="102" t="s">
        <v>1253</v>
      </c>
      <c r="K567" s="360">
        <v>131.03448275862058</v>
      </c>
      <c r="L567" s="360">
        <v>818.9655172413794</v>
      </c>
      <c r="M567" s="102" t="s">
        <v>1120</v>
      </c>
      <c r="N567" s="102" t="s">
        <v>1254</v>
      </c>
    </row>
    <row r="568">
      <c r="A568" s="412">
        <v>45695.0</v>
      </c>
      <c r="B568" s="413">
        <v>2025.0</v>
      </c>
      <c r="C568" s="414" t="s">
        <v>1206</v>
      </c>
      <c r="D568" s="413" t="s">
        <v>702</v>
      </c>
      <c r="E568" s="413" t="s">
        <v>465</v>
      </c>
      <c r="F568" s="413" t="s">
        <v>711</v>
      </c>
      <c r="G568" s="413" t="s">
        <v>767</v>
      </c>
      <c r="H568" s="415">
        <v>950.0</v>
      </c>
      <c r="I568" s="416" t="b">
        <v>0</v>
      </c>
      <c r="J568" s="413" t="s">
        <v>1255</v>
      </c>
      <c r="K568" s="415">
        <v>131.03448275862058</v>
      </c>
      <c r="L568" s="415">
        <v>818.9655172413794</v>
      </c>
      <c r="M568" s="413" t="s">
        <v>1120</v>
      </c>
      <c r="N568" s="413" t="s">
        <v>1256</v>
      </c>
    </row>
    <row r="569">
      <c r="A569" s="409">
        <v>45695.0</v>
      </c>
      <c r="B569" s="102">
        <v>2025.0</v>
      </c>
      <c r="C569" s="410" t="s">
        <v>1206</v>
      </c>
      <c r="D569" s="102" t="s">
        <v>702</v>
      </c>
      <c r="E569" s="102" t="s">
        <v>465</v>
      </c>
      <c r="F569" s="102" t="s">
        <v>711</v>
      </c>
      <c r="G569" s="102" t="s">
        <v>767</v>
      </c>
      <c r="H569" s="360">
        <v>950.0</v>
      </c>
      <c r="I569" s="411" t="b">
        <v>0</v>
      </c>
      <c r="J569" s="102" t="s">
        <v>1257</v>
      </c>
      <c r="K569" s="360">
        <v>131.03448275862058</v>
      </c>
      <c r="L569" s="360">
        <v>818.9655172413794</v>
      </c>
      <c r="M569" s="102" t="s">
        <v>1120</v>
      </c>
      <c r="N569" s="102" t="s">
        <v>1258</v>
      </c>
    </row>
    <row r="570">
      <c r="A570" s="412">
        <v>45695.0</v>
      </c>
      <c r="B570" s="413">
        <v>2025.0</v>
      </c>
      <c r="C570" s="414" t="s">
        <v>1206</v>
      </c>
      <c r="D570" s="413" t="s">
        <v>723</v>
      </c>
      <c r="E570" s="413" t="s">
        <v>137</v>
      </c>
      <c r="F570" s="413" t="s">
        <v>711</v>
      </c>
      <c r="G570" s="413" t="s">
        <v>734</v>
      </c>
      <c r="H570" s="415">
        <v>140.0</v>
      </c>
      <c r="I570" s="416" t="b">
        <v>0</v>
      </c>
      <c r="J570" s="413" t="s">
        <v>472</v>
      </c>
      <c r="K570" s="415">
        <v>0.0</v>
      </c>
      <c r="L570" s="415">
        <v>140.0</v>
      </c>
      <c r="M570" s="413" t="s">
        <v>1120</v>
      </c>
      <c r="N570" s="413" t="s">
        <v>1259</v>
      </c>
    </row>
    <row r="571">
      <c r="A571" s="409">
        <v>45696.0</v>
      </c>
      <c r="B571" s="102">
        <v>2025.0</v>
      </c>
      <c r="C571" s="410" t="s">
        <v>1206</v>
      </c>
      <c r="D571" s="102" t="s">
        <v>702</v>
      </c>
      <c r="E571" s="102" t="s">
        <v>465</v>
      </c>
      <c r="F571" s="102" t="s">
        <v>711</v>
      </c>
      <c r="G571" s="102" t="s">
        <v>737</v>
      </c>
      <c r="H571" s="360">
        <v>500.0</v>
      </c>
      <c r="I571" s="411" t="b">
        <v>0</v>
      </c>
      <c r="J571" s="102" t="s">
        <v>472</v>
      </c>
      <c r="K571" s="360">
        <v>68.9655172413793</v>
      </c>
      <c r="L571" s="360">
        <v>431.0344827586207</v>
      </c>
      <c r="M571" s="102" t="s">
        <v>1120</v>
      </c>
      <c r="N571" s="102" t="s">
        <v>1260</v>
      </c>
    </row>
    <row r="572">
      <c r="A572" s="412">
        <v>45696.0</v>
      </c>
      <c r="B572" s="413">
        <v>2025.0</v>
      </c>
      <c r="C572" s="414" t="s">
        <v>1206</v>
      </c>
      <c r="D572" s="413" t="s">
        <v>702</v>
      </c>
      <c r="E572" s="413" t="s">
        <v>465</v>
      </c>
      <c r="F572" s="413" t="s">
        <v>711</v>
      </c>
      <c r="G572" s="413" t="s">
        <v>767</v>
      </c>
      <c r="H572" s="415">
        <v>1199.0</v>
      </c>
      <c r="I572" s="416" t="b">
        <v>0</v>
      </c>
      <c r="J572" s="413" t="s">
        <v>1164</v>
      </c>
      <c r="K572" s="415">
        <v>165.37931034482745</v>
      </c>
      <c r="L572" s="415">
        <v>1033.6206896551726</v>
      </c>
      <c r="M572" s="413" t="s">
        <v>1120</v>
      </c>
      <c r="N572" s="413" t="s">
        <v>1261</v>
      </c>
    </row>
    <row r="573">
      <c r="A573" s="409">
        <v>45696.0</v>
      </c>
      <c r="B573" s="102">
        <v>2025.0</v>
      </c>
      <c r="C573" s="410" t="s">
        <v>1206</v>
      </c>
      <c r="D573" s="102" t="s">
        <v>723</v>
      </c>
      <c r="E573" s="102" t="s">
        <v>137</v>
      </c>
      <c r="F573" s="102" t="s">
        <v>711</v>
      </c>
      <c r="G573" s="102" t="s">
        <v>715</v>
      </c>
      <c r="H573" s="360">
        <v>45.0</v>
      </c>
      <c r="I573" s="411" t="b">
        <v>0</v>
      </c>
      <c r="J573" s="102" t="s">
        <v>472</v>
      </c>
      <c r="K573" s="360">
        <v>0.0</v>
      </c>
      <c r="L573" s="360">
        <v>45.0</v>
      </c>
      <c r="M573" s="102" t="s">
        <v>1120</v>
      </c>
      <c r="N573" s="102" t="s">
        <v>1262</v>
      </c>
    </row>
    <row r="574">
      <c r="A574" s="412">
        <v>45696.0</v>
      </c>
      <c r="B574" s="413">
        <v>2025.0</v>
      </c>
      <c r="C574" s="414" t="s">
        <v>1206</v>
      </c>
      <c r="D574" s="413" t="s">
        <v>723</v>
      </c>
      <c r="E574" s="413" t="s">
        <v>137</v>
      </c>
      <c r="F574" s="413" t="s">
        <v>703</v>
      </c>
      <c r="G574" s="413" t="s">
        <v>715</v>
      </c>
      <c r="H574" s="415">
        <v>120.0</v>
      </c>
      <c r="I574" s="416" t="b">
        <v>0</v>
      </c>
      <c r="J574" s="413" t="s">
        <v>472</v>
      </c>
      <c r="K574" s="415">
        <v>0.0</v>
      </c>
      <c r="L574" s="415">
        <v>120.0</v>
      </c>
      <c r="M574" s="413" t="s">
        <v>1120</v>
      </c>
      <c r="N574" s="413" t="s">
        <v>1263</v>
      </c>
    </row>
    <row r="575">
      <c r="A575" s="409">
        <v>45696.0</v>
      </c>
      <c r="B575" s="102">
        <v>2025.0</v>
      </c>
      <c r="C575" s="410" t="s">
        <v>1206</v>
      </c>
      <c r="D575" s="102" t="s">
        <v>723</v>
      </c>
      <c r="E575" s="102" t="s">
        <v>137</v>
      </c>
      <c r="F575" s="102" t="s">
        <v>711</v>
      </c>
      <c r="G575" s="102" t="s">
        <v>715</v>
      </c>
      <c r="H575" s="360">
        <v>9.0</v>
      </c>
      <c r="I575" s="411" t="b">
        <v>0</v>
      </c>
      <c r="J575" s="102" t="s">
        <v>472</v>
      </c>
      <c r="K575" s="360">
        <v>0.0</v>
      </c>
      <c r="L575" s="360">
        <v>9.0</v>
      </c>
      <c r="M575" s="102" t="s">
        <v>1120</v>
      </c>
      <c r="N575" s="102" t="s">
        <v>1264</v>
      </c>
    </row>
    <row r="576">
      <c r="A576" s="412">
        <v>45696.0</v>
      </c>
      <c r="B576" s="413">
        <v>2025.0</v>
      </c>
      <c r="C576" s="414" t="s">
        <v>1206</v>
      </c>
      <c r="D576" s="413" t="s">
        <v>723</v>
      </c>
      <c r="E576" s="413" t="s">
        <v>137</v>
      </c>
      <c r="F576" s="413" t="s">
        <v>711</v>
      </c>
      <c r="G576" s="413" t="s">
        <v>767</v>
      </c>
      <c r="H576" s="415">
        <v>500.0</v>
      </c>
      <c r="I576" s="416" t="b">
        <v>0</v>
      </c>
      <c r="J576" s="413" t="s">
        <v>1265</v>
      </c>
      <c r="K576" s="415">
        <v>0.0</v>
      </c>
      <c r="L576" s="415">
        <v>500.0</v>
      </c>
      <c r="M576" s="413" t="s">
        <v>1120</v>
      </c>
      <c r="N576" s="413" t="s">
        <v>1266</v>
      </c>
    </row>
    <row r="577">
      <c r="A577" s="409">
        <v>45696.0</v>
      </c>
      <c r="B577" s="102">
        <v>2025.0</v>
      </c>
      <c r="C577" s="410" t="s">
        <v>1206</v>
      </c>
      <c r="D577" s="102" t="s">
        <v>710</v>
      </c>
      <c r="E577" s="102" t="s">
        <v>137</v>
      </c>
      <c r="F577" s="102" t="s">
        <v>703</v>
      </c>
      <c r="G577" s="102" t="s">
        <v>715</v>
      </c>
      <c r="H577" s="360">
        <v>2653.0</v>
      </c>
      <c r="I577" s="411" t="b">
        <v>0</v>
      </c>
      <c r="J577" s="102" t="s">
        <v>472</v>
      </c>
      <c r="K577" s="360">
        <v>0.0</v>
      </c>
      <c r="L577" s="360">
        <v>2653.0</v>
      </c>
      <c r="M577" s="102" t="s">
        <v>1120</v>
      </c>
      <c r="N577" s="102" t="s">
        <v>1267</v>
      </c>
    </row>
    <row r="578">
      <c r="A578" s="412">
        <v>45696.0</v>
      </c>
      <c r="B578" s="413">
        <v>2025.0</v>
      </c>
      <c r="C578" s="414" t="s">
        <v>1206</v>
      </c>
      <c r="D578" s="413" t="s">
        <v>702</v>
      </c>
      <c r="E578" s="413" t="s">
        <v>465</v>
      </c>
      <c r="F578" s="413" t="s">
        <v>711</v>
      </c>
      <c r="G578" s="413" t="s">
        <v>730</v>
      </c>
      <c r="H578" s="415">
        <v>16.0</v>
      </c>
      <c r="I578" s="416" t="b">
        <v>0</v>
      </c>
      <c r="J578" s="413" t="s">
        <v>472</v>
      </c>
      <c r="K578" s="415">
        <v>2.206896551724137</v>
      </c>
      <c r="L578" s="415">
        <v>13.793103448275863</v>
      </c>
      <c r="M578" s="413" t="s">
        <v>1120</v>
      </c>
      <c r="N578" s="413" t="s">
        <v>1268</v>
      </c>
    </row>
    <row r="579">
      <c r="A579" s="409">
        <v>45698.0</v>
      </c>
      <c r="B579" s="102">
        <v>2025.0</v>
      </c>
      <c r="C579" s="410" t="s">
        <v>1206</v>
      </c>
      <c r="D579" s="102" t="s">
        <v>702</v>
      </c>
      <c r="E579" s="102" t="s">
        <v>465</v>
      </c>
      <c r="F579" s="102" t="s">
        <v>703</v>
      </c>
      <c r="G579" s="102" t="s">
        <v>715</v>
      </c>
      <c r="H579" s="360">
        <v>600.0</v>
      </c>
      <c r="I579" s="411" t="b">
        <v>0</v>
      </c>
      <c r="J579" s="102" t="s">
        <v>472</v>
      </c>
      <c r="K579" s="360">
        <v>0.0</v>
      </c>
      <c r="L579" s="360">
        <v>600.0</v>
      </c>
      <c r="M579" s="102" t="s">
        <v>1120</v>
      </c>
      <c r="N579" s="102" t="s">
        <v>1270</v>
      </c>
    </row>
    <row r="580">
      <c r="A580" s="412">
        <v>45698.0</v>
      </c>
      <c r="B580" s="413">
        <v>2025.0</v>
      </c>
      <c r="C580" s="414" t="s">
        <v>1206</v>
      </c>
      <c r="D580" s="413" t="s">
        <v>710</v>
      </c>
      <c r="E580" s="413" t="s">
        <v>137</v>
      </c>
      <c r="F580" s="413" t="s">
        <v>711</v>
      </c>
      <c r="G580" s="413" t="s">
        <v>724</v>
      </c>
      <c r="H580" s="415">
        <v>270.0</v>
      </c>
      <c r="I580" s="416" t="b">
        <v>1</v>
      </c>
      <c r="J580" s="413" t="s">
        <v>472</v>
      </c>
      <c r="K580" s="415">
        <v>0.0</v>
      </c>
      <c r="L580" s="415">
        <v>0.0</v>
      </c>
      <c r="M580" s="413" t="s">
        <v>1120</v>
      </c>
      <c r="N580" s="413" t="s">
        <v>1271</v>
      </c>
    </row>
    <row r="581">
      <c r="A581" s="409">
        <v>45698.0</v>
      </c>
      <c r="B581" s="102">
        <v>2025.0</v>
      </c>
      <c r="C581" s="410" t="s">
        <v>1206</v>
      </c>
      <c r="D581" s="102" t="s">
        <v>702</v>
      </c>
      <c r="E581" s="102" t="s">
        <v>465</v>
      </c>
      <c r="F581" s="102" t="s">
        <v>703</v>
      </c>
      <c r="G581" s="102" t="s">
        <v>724</v>
      </c>
      <c r="H581" s="360">
        <v>270.0</v>
      </c>
      <c r="I581" s="411" t="b">
        <v>1</v>
      </c>
      <c r="J581" s="102" t="s">
        <v>472</v>
      </c>
      <c r="K581" s="360">
        <v>0.0</v>
      </c>
      <c r="L581" s="360">
        <v>0.0</v>
      </c>
      <c r="M581" s="102" t="s">
        <v>1120</v>
      </c>
      <c r="N581" s="102" t="s">
        <v>1271</v>
      </c>
    </row>
    <row r="582">
      <c r="A582" s="412">
        <v>45698.0</v>
      </c>
      <c r="B582" s="413">
        <v>2025.0</v>
      </c>
      <c r="C582" s="414" t="s">
        <v>1206</v>
      </c>
      <c r="D582" s="413" t="s">
        <v>723</v>
      </c>
      <c r="E582" s="413" t="s">
        <v>137</v>
      </c>
      <c r="F582" s="413" t="s">
        <v>711</v>
      </c>
      <c r="G582" s="413" t="s">
        <v>734</v>
      </c>
      <c r="H582" s="415">
        <v>180.0</v>
      </c>
      <c r="I582" s="416" t="b">
        <v>0</v>
      </c>
      <c r="J582" s="413" t="s">
        <v>472</v>
      </c>
      <c r="K582" s="415">
        <v>0.0</v>
      </c>
      <c r="L582" s="415">
        <v>180.0</v>
      </c>
      <c r="M582" s="413" t="s">
        <v>1120</v>
      </c>
      <c r="N582" s="413" t="s">
        <v>1272</v>
      </c>
    </row>
    <row r="583">
      <c r="A583" s="409">
        <v>45698.0</v>
      </c>
      <c r="B583" s="102">
        <v>2025.0</v>
      </c>
      <c r="C583" s="410" t="s">
        <v>1206</v>
      </c>
      <c r="D583" s="102" t="s">
        <v>723</v>
      </c>
      <c r="E583" s="102" t="s">
        <v>137</v>
      </c>
      <c r="F583" s="102" t="s">
        <v>711</v>
      </c>
      <c r="G583" s="102" t="s">
        <v>767</v>
      </c>
      <c r="H583" s="360">
        <v>810.0</v>
      </c>
      <c r="I583" s="411" t="b">
        <v>0</v>
      </c>
      <c r="J583" s="102" t="s">
        <v>1246</v>
      </c>
      <c r="K583" s="360">
        <v>0.0</v>
      </c>
      <c r="L583" s="360">
        <v>810.0</v>
      </c>
      <c r="M583" s="102" t="s">
        <v>1120</v>
      </c>
      <c r="N583" s="102" t="s">
        <v>1273</v>
      </c>
    </row>
    <row r="584">
      <c r="A584" s="412">
        <v>45700.0</v>
      </c>
      <c r="B584" s="413">
        <v>2025.0</v>
      </c>
      <c r="C584" s="414" t="s">
        <v>1206</v>
      </c>
      <c r="D584" s="413" t="s">
        <v>723</v>
      </c>
      <c r="E584" s="413" t="s">
        <v>137</v>
      </c>
      <c r="F584" s="413" t="s">
        <v>711</v>
      </c>
      <c r="G584" s="413" t="s">
        <v>767</v>
      </c>
      <c r="H584" s="415">
        <v>2100.0</v>
      </c>
      <c r="I584" s="416" t="b">
        <v>0</v>
      </c>
      <c r="J584" s="413" t="s">
        <v>1274</v>
      </c>
      <c r="K584" s="415">
        <v>0.0</v>
      </c>
      <c r="L584" s="415">
        <v>2100.0</v>
      </c>
      <c r="M584" s="413" t="s">
        <v>1120</v>
      </c>
      <c r="N584" s="413" t="s">
        <v>1275</v>
      </c>
    </row>
    <row r="585">
      <c r="A585" s="409">
        <v>45700.0</v>
      </c>
      <c r="B585" s="102">
        <v>2025.0</v>
      </c>
      <c r="C585" s="410" t="s">
        <v>1206</v>
      </c>
      <c r="D585" s="102" t="s">
        <v>702</v>
      </c>
      <c r="E585" s="102" t="s">
        <v>465</v>
      </c>
      <c r="F585" s="102" t="s">
        <v>711</v>
      </c>
      <c r="G585" s="102" t="s">
        <v>734</v>
      </c>
      <c r="H585" s="360">
        <v>140.0</v>
      </c>
      <c r="I585" s="411" t="b">
        <v>0</v>
      </c>
      <c r="J585" s="102" t="s">
        <v>472</v>
      </c>
      <c r="K585" s="360">
        <v>19.310344827586192</v>
      </c>
      <c r="L585" s="360">
        <v>120.68965517241381</v>
      </c>
      <c r="M585" s="102" t="s">
        <v>1120</v>
      </c>
      <c r="N585" s="102" t="s">
        <v>1276</v>
      </c>
    </row>
    <row r="586">
      <c r="A586" s="412">
        <v>45702.0</v>
      </c>
      <c r="B586" s="413">
        <v>2025.0</v>
      </c>
      <c r="C586" s="414" t="s">
        <v>1206</v>
      </c>
      <c r="D586" s="413" t="s">
        <v>710</v>
      </c>
      <c r="E586" s="413" t="s">
        <v>137</v>
      </c>
      <c r="F586" s="413" t="s">
        <v>711</v>
      </c>
      <c r="G586" s="413" t="s">
        <v>734</v>
      </c>
      <c r="H586" s="415">
        <v>180.0</v>
      </c>
      <c r="I586" s="416" t="b">
        <v>0</v>
      </c>
      <c r="J586" s="413" t="s">
        <v>472</v>
      </c>
      <c r="K586" s="415">
        <v>0.0</v>
      </c>
      <c r="L586" s="415">
        <v>180.0</v>
      </c>
      <c r="M586" s="413" t="s">
        <v>1120</v>
      </c>
      <c r="N586" s="413" t="s">
        <v>1277</v>
      </c>
    </row>
    <row r="587">
      <c r="A587" s="409">
        <v>45702.0</v>
      </c>
      <c r="B587" s="102">
        <v>2025.0</v>
      </c>
      <c r="C587" s="410" t="s">
        <v>1206</v>
      </c>
      <c r="D587" s="102" t="s">
        <v>702</v>
      </c>
      <c r="E587" s="102" t="s">
        <v>465</v>
      </c>
      <c r="F587" s="102" t="s">
        <v>711</v>
      </c>
      <c r="G587" s="102" t="s">
        <v>734</v>
      </c>
      <c r="H587" s="360">
        <v>140.0</v>
      </c>
      <c r="I587" s="411" t="b">
        <v>0</v>
      </c>
      <c r="J587" s="102" t="s">
        <v>472</v>
      </c>
      <c r="K587" s="360">
        <v>19.310344827586192</v>
      </c>
      <c r="L587" s="360">
        <v>120.68965517241381</v>
      </c>
      <c r="M587" s="102" t="s">
        <v>1120</v>
      </c>
      <c r="N587" s="102" t="s">
        <v>1277</v>
      </c>
    </row>
    <row r="588">
      <c r="A588" s="412">
        <v>45702.0</v>
      </c>
      <c r="B588" s="413">
        <v>2025.0</v>
      </c>
      <c r="C588" s="414" t="s">
        <v>1206</v>
      </c>
      <c r="D588" s="413" t="s">
        <v>710</v>
      </c>
      <c r="E588" s="413" t="s">
        <v>137</v>
      </c>
      <c r="F588" s="413" t="s">
        <v>711</v>
      </c>
      <c r="G588" s="413" t="s">
        <v>734</v>
      </c>
      <c r="H588" s="415">
        <v>180.0</v>
      </c>
      <c r="I588" s="416" t="b">
        <v>0</v>
      </c>
      <c r="J588" s="413" t="s">
        <v>472</v>
      </c>
      <c r="K588" s="415">
        <v>0.0</v>
      </c>
      <c r="L588" s="415">
        <v>180.0</v>
      </c>
      <c r="M588" s="413" t="s">
        <v>1120</v>
      </c>
      <c r="N588" s="413" t="s">
        <v>1277</v>
      </c>
    </row>
    <row r="589">
      <c r="A589" s="409">
        <v>45702.0</v>
      </c>
      <c r="B589" s="102">
        <v>2025.0</v>
      </c>
      <c r="C589" s="410" t="s">
        <v>1206</v>
      </c>
      <c r="D589" s="102" t="s">
        <v>723</v>
      </c>
      <c r="E589" s="102" t="s">
        <v>137</v>
      </c>
      <c r="F589" s="102" t="s">
        <v>703</v>
      </c>
      <c r="G589" s="102" t="s">
        <v>724</v>
      </c>
      <c r="H589" s="360">
        <v>8594.0</v>
      </c>
      <c r="I589" s="411" t="b">
        <v>1</v>
      </c>
      <c r="J589" s="102" t="s">
        <v>472</v>
      </c>
      <c r="K589" s="360">
        <v>0.0</v>
      </c>
      <c r="L589" s="360">
        <v>0.0</v>
      </c>
      <c r="M589" s="102" t="s">
        <v>1120</v>
      </c>
      <c r="N589" s="102" t="s">
        <v>1278</v>
      </c>
    </row>
    <row r="590">
      <c r="A590" s="412">
        <v>45702.0</v>
      </c>
      <c r="B590" s="413">
        <v>2025.0</v>
      </c>
      <c r="C590" s="414" t="s">
        <v>1206</v>
      </c>
      <c r="D590" s="413" t="s">
        <v>710</v>
      </c>
      <c r="E590" s="413" t="s">
        <v>137</v>
      </c>
      <c r="F590" s="413" t="s">
        <v>711</v>
      </c>
      <c r="G590" s="413" t="s">
        <v>724</v>
      </c>
      <c r="H590" s="415">
        <v>8594.0</v>
      </c>
      <c r="I590" s="416" t="b">
        <v>1</v>
      </c>
      <c r="J590" s="413" t="s">
        <v>472</v>
      </c>
      <c r="K590" s="415">
        <v>0.0</v>
      </c>
      <c r="L590" s="415">
        <v>0.0</v>
      </c>
      <c r="M590" s="413" t="s">
        <v>1120</v>
      </c>
      <c r="N590" s="413" t="s">
        <v>1278</v>
      </c>
    </row>
    <row r="591">
      <c r="A591" s="409">
        <v>45702.0</v>
      </c>
      <c r="B591" s="102">
        <v>2025.0</v>
      </c>
      <c r="C591" s="410" t="s">
        <v>1206</v>
      </c>
      <c r="D591" s="102" t="s">
        <v>710</v>
      </c>
      <c r="E591" s="102" t="s">
        <v>137</v>
      </c>
      <c r="F591" s="102" t="s">
        <v>711</v>
      </c>
      <c r="G591" s="102" t="s">
        <v>715</v>
      </c>
      <c r="H591" s="360">
        <v>111.0</v>
      </c>
      <c r="I591" s="411" t="b">
        <v>0</v>
      </c>
      <c r="J591" s="102" t="s">
        <v>472</v>
      </c>
      <c r="K591" s="360">
        <v>0.0</v>
      </c>
      <c r="L591" s="360">
        <v>111.0</v>
      </c>
      <c r="M591" s="102" t="s">
        <v>1120</v>
      </c>
      <c r="N591" s="102" t="s">
        <v>1278</v>
      </c>
    </row>
    <row r="592">
      <c r="A592" s="412">
        <v>45702.0</v>
      </c>
      <c r="B592" s="413">
        <v>2025.0</v>
      </c>
      <c r="C592" s="414" t="s">
        <v>1206</v>
      </c>
      <c r="D592" s="413" t="s">
        <v>702</v>
      </c>
      <c r="E592" s="413" t="s">
        <v>465</v>
      </c>
      <c r="F592" s="413" t="s">
        <v>711</v>
      </c>
      <c r="G592" s="413" t="s">
        <v>767</v>
      </c>
      <c r="H592" s="415">
        <v>900.0</v>
      </c>
      <c r="I592" s="416" t="b">
        <v>0</v>
      </c>
      <c r="J592" s="413" t="s">
        <v>1279</v>
      </c>
      <c r="K592" s="415">
        <v>124.13793103448268</v>
      </c>
      <c r="L592" s="415">
        <v>775.8620689655173</v>
      </c>
      <c r="M592" s="413" t="s">
        <v>1120</v>
      </c>
      <c r="N592" s="413" t="s">
        <v>1278</v>
      </c>
    </row>
    <row r="593">
      <c r="A593" s="409">
        <v>45702.0</v>
      </c>
      <c r="B593" s="102">
        <v>2025.0</v>
      </c>
      <c r="C593" s="410" t="s">
        <v>1206</v>
      </c>
      <c r="D593" s="102" t="s">
        <v>702</v>
      </c>
      <c r="E593" s="102" t="s">
        <v>465</v>
      </c>
      <c r="F593" s="102" t="s">
        <v>711</v>
      </c>
      <c r="G593" s="102" t="s">
        <v>767</v>
      </c>
      <c r="H593" s="360">
        <v>50.0</v>
      </c>
      <c r="I593" s="411" t="b">
        <v>0</v>
      </c>
      <c r="J593" s="102" t="s">
        <v>472</v>
      </c>
      <c r="K593" s="360">
        <v>6.896551724137929</v>
      </c>
      <c r="L593" s="360">
        <v>43.10344827586207</v>
      </c>
      <c r="M593" s="102" t="s">
        <v>1120</v>
      </c>
      <c r="N593" s="102" t="s">
        <v>1278</v>
      </c>
    </row>
    <row r="594">
      <c r="A594" s="412">
        <v>45702.0</v>
      </c>
      <c r="B594" s="413">
        <v>2025.0</v>
      </c>
      <c r="C594" s="414" t="s">
        <v>1206</v>
      </c>
      <c r="D594" s="413" t="s">
        <v>702</v>
      </c>
      <c r="E594" s="413" t="s">
        <v>465</v>
      </c>
      <c r="F594" s="413" t="s">
        <v>711</v>
      </c>
      <c r="G594" s="413" t="s">
        <v>715</v>
      </c>
      <c r="H594" s="415">
        <v>325.0</v>
      </c>
      <c r="I594" s="416" t="b">
        <v>0</v>
      </c>
      <c r="J594" s="413" t="s">
        <v>472</v>
      </c>
      <c r="K594" s="415">
        <v>44.82758620689651</v>
      </c>
      <c r="L594" s="415">
        <v>280.1724137931035</v>
      </c>
      <c r="M594" s="413" t="s">
        <v>1120</v>
      </c>
      <c r="N594" s="413" t="s">
        <v>1278</v>
      </c>
    </row>
    <row r="595">
      <c r="A595" s="409">
        <v>45702.0</v>
      </c>
      <c r="B595" s="102">
        <v>2025.0</v>
      </c>
      <c r="C595" s="410" t="s">
        <v>1206</v>
      </c>
      <c r="D595" s="102" t="s">
        <v>710</v>
      </c>
      <c r="E595" s="102" t="s">
        <v>137</v>
      </c>
      <c r="F595" s="102" t="s">
        <v>703</v>
      </c>
      <c r="G595" s="102" t="s">
        <v>732</v>
      </c>
      <c r="H595" s="360">
        <v>549.0</v>
      </c>
      <c r="I595" s="411" t="b">
        <v>0</v>
      </c>
      <c r="J595" s="102" t="s">
        <v>1280</v>
      </c>
      <c r="K595" s="360">
        <v>0.0</v>
      </c>
      <c r="L595" s="360">
        <v>549.0</v>
      </c>
      <c r="M595" s="102" t="s">
        <v>1120</v>
      </c>
      <c r="N595" s="102" t="s">
        <v>1278</v>
      </c>
    </row>
    <row r="596">
      <c r="A596" s="412">
        <v>45702.0</v>
      </c>
      <c r="B596" s="413">
        <v>2025.0</v>
      </c>
      <c r="C596" s="414" t="s">
        <v>1206</v>
      </c>
      <c r="D596" s="413" t="s">
        <v>702</v>
      </c>
      <c r="E596" s="413" t="s">
        <v>465</v>
      </c>
      <c r="F596" s="413" t="s">
        <v>703</v>
      </c>
      <c r="G596" s="413" t="s">
        <v>715</v>
      </c>
      <c r="H596" s="415">
        <v>900.0</v>
      </c>
      <c r="I596" s="416" t="b">
        <v>0</v>
      </c>
      <c r="J596" s="413" t="s">
        <v>472</v>
      </c>
      <c r="K596" s="415">
        <v>0.0</v>
      </c>
      <c r="L596" s="415">
        <v>900.0</v>
      </c>
      <c r="M596" s="413" t="s">
        <v>1120</v>
      </c>
      <c r="N596" s="413" t="s">
        <v>1281</v>
      </c>
    </row>
    <row r="597">
      <c r="A597" s="409">
        <v>45703.0</v>
      </c>
      <c r="B597" s="102">
        <v>2025.0</v>
      </c>
      <c r="C597" s="410" t="s">
        <v>1206</v>
      </c>
      <c r="D597" s="102" t="s">
        <v>710</v>
      </c>
      <c r="E597" s="102" t="s">
        <v>137</v>
      </c>
      <c r="F597" s="102" t="s">
        <v>703</v>
      </c>
      <c r="G597" s="102" t="s">
        <v>732</v>
      </c>
      <c r="H597" s="360">
        <v>270.0</v>
      </c>
      <c r="I597" s="411" t="b">
        <v>0</v>
      </c>
      <c r="J597" s="102" t="s">
        <v>472</v>
      </c>
      <c r="K597" s="360">
        <v>0.0</v>
      </c>
      <c r="L597" s="360">
        <v>270.0</v>
      </c>
      <c r="M597" s="102" t="s">
        <v>1120</v>
      </c>
      <c r="N597" s="102" t="s">
        <v>1282</v>
      </c>
    </row>
    <row r="598">
      <c r="A598" s="412">
        <v>45704.0</v>
      </c>
      <c r="B598" s="413">
        <v>2025.0</v>
      </c>
      <c r="C598" s="414" t="s">
        <v>1206</v>
      </c>
      <c r="D598" s="413" t="s">
        <v>710</v>
      </c>
      <c r="E598" s="413" t="s">
        <v>137</v>
      </c>
      <c r="F598" s="413" t="s">
        <v>703</v>
      </c>
      <c r="G598" s="413" t="s">
        <v>732</v>
      </c>
      <c r="H598" s="415">
        <v>301.0</v>
      </c>
      <c r="I598" s="416" t="b">
        <v>0</v>
      </c>
      <c r="J598" s="413" t="s">
        <v>472</v>
      </c>
      <c r="K598" s="415">
        <v>0.0</v>
      </c>
      <c r="L598" s="415">
        <v>301.0</v>
      </c>
      <c r="M598" s="413" t="s">
        <v>1120</v>
      </c>
      <c r="N598" s="413" t="s">
        <v>1283</v>
      </c>
    </row>
    <row r="599">
      <c r="A599" s="409">
        <v>45704.0</v>
      </c>
      <c r="B599" s="102">
        <v>2025.0</v>
      </c>
      <c r="C599" s="410" t="s">
        <v>1206</v>
      </c>
      <c r="D599" s="102" t="s">
        <v>710</v>
      </c>
      <c r="E599" s="102" t="s">
        <v>137</v>
      </c>
      <c r="F599" s="102" t="s">
        <v>711</v>
      </c>
      <c r="G599" s="102" t="s">
        <v>715</v>
      </c>
      <c r="H599" s="360">
        <v>5.0</v>
      </c>
      <c r="I599" s="411" t="b">
        <v>0</v>
      </c>
      <c r="J599" s="102" t="s">
        <v>472</v>
      </c>
      <c r="K599" s="360">
        <v>0.0</v>
      </c>
      <c r="L599" s="360">
        <v>5.0</v>
      </c>
      <c r="M599" s="102" t="s">
        <v>1120</v>
      </c>
      <c r="N599" s="102" t="s">
        <v>1284</v>
      </c>
    </row>
    <row r="600">
      <c r="A600" s="412">
        <v>45708.0</v>
      </c>
      <c r="B600" s="413">
        <v>2025.0</v>
      </c>
      <c r="C600" s="414" t="s">
        <v>1206</v>
      </c>
      <c r="D600" s="413" t="s">
        <v>710</v>
      </c>
      <c r="E600" s="413" t="s">
        <v>137</v>
      </c>
      <c r="F600" s="413" t="s">
        <v>711</v>
      </c>
      <c r="G600" s="413" t="s">
        <v>734</v>
      </c>
      <c r="H600" s="415">
        <v>280.0</v>
      </c>
      <c r="I600" s="416" t="b">
        <v>0</v>
      </c>
      <c r="J600" s="413" t="s">
        <v>472</v>
      </c>
      <c r="K600" s="415">
        <v>0.0</v>
      </c>
      <c r="L600" s="415">
        <v>280.0</v>
      </c>
      <c r="M600" s="413" t="s">
        <v>1120</v>
      </c>
      <c r="N600" s="413" t="s">
        <v>1285</v>
      </c>
    </row>
    <row r="601">
      <c r="A601" s="409">
        <v>45708.0</v>
      </c>
      <c r="B601" s="102">
        <v>2025.0</v>
      </c>
      <c r="C601" s="410" t="s">
        <v>1206</v>
      </c>
      <c r="D601" s="102" t="s">
        <v>710</v>
      </c>
      <c r="E601" s="102" t="s">
        <v>137</v>
      </c>
      <c r="F601" s="102" t="s">
        <v>711</v>
      </c>
      <c r="G601" s="102" t="s">
        <v>715</v>
      </c>
      <c r="H601" s="360">
        <v>15.0</v>
      </c>
      <c r="I601" s="411" t="b">
        <v>0</v>
      </c>
      <c r="J601" s="102" t="s">
        <v>472</v>
      </c>
      <c r="K601" s="360">
        <v>0.0</v>
      </c>
      <c r="L601" s="360">
        <v>15.0</v>
      </c>
      <c r="M601" s="102" t="s">
        <v>1120</v>
      </c>
      <c r="N601" s="102" t="s">
        <v>1286</v>
      </c>
    </row>
    <row r="602">
      <c r="A602" s="412">
        <v>45708.0</v>
      </c>
      <c r="B602" s="413">
        <v>2025.0</v>
      </c>
      <c r="C602" s="414" t="s">
        <v>1206</v>
      </c>
      <c r="D602" s="413" t="s">
        <v>710</v>
      </c>
      <c r="E602" s="413" t="s">
        <v>137</v>
      </c>
      <c r="F602" s="413" t="s">
        <v>711</v>
      </c>
      <c r="G602" s="413" t="s">
        <v>734</v>
      </c>
      <c r="H602" s="415">
        <v>334.0</v>
      </c>
      <c r="I602" s="416" t="b">
        <v>0</v>
      </c>
      <c r="J602" s="413" t="s">
        <v>472</v>
      </c>
      <c r="K602" s="415">
        <v>0.0</v>
      </c>
      <c r="L602" s="415">
        <v>334.0</v>
      </c>
      <c r="M602" s="413" t="s">
        <v>1120</v>
      </c>
      <c r="N602" s="413" t="s">
        <v>1287</v>
      </c>
    </row>
    <row r="603">
      <c r="A603" s="409">
        <v>45708.0</v>
      </c>
      <c r="B603" s="102">
        <v>2025.0</v>
      </c>
      <c r="C603" s="410" t="s">
        <v>1206</v>
      </c>
      <c r="D603" s="102" t="s">
        <v>710</v>
      </c>
      <c r="E603" s="102" t="s">
        <v>137</v>
      </c>
      <c r="F603" s="102" t="s">
        <v>703</v>
      </c>
      <c r="G603" s="102" t="s">
        <v>724</v>
      </c>
      <c r="H603" s="360">
        <v>850.0</v>
      </c>
      <c r="I603" s="411" t="b">
        <v>1</v>
      </c>
      <c r="J603" s="102" t="s">
        <v>472</v>
      </c>
      <c r="K603" s="360">
        <v>0.0</v>
      </c>
      <c r="L603" s="360">
        <v>0.0</v>
      </c>
      <c r="M603" s="102" t="s">
        <v>1120</v>
      </c>
      <c r="N603" s="102" t="s">
        <v>1288</v>
      </c>
    </row>
    <row r="604">
      <c r="A604" s="412">
        <v>45708.0</v>
      </c>
      <c r="B604" s="413">
        <v>2025.0</v>
      </c>
      <c r="C604" s="414" t="s">
        <v>1206</v>
      </c>
      <c r="D604" s="413" t="s">
        <v>723</v>
      </c>
      <c r="E604" s="413" t="s">
        <v>137</v>
      </c>
      <c r="F604" s="413" t="s">
        <v>711</v>
      </c>
      <c r="G604" s="413" t="s">
        <v>724</v>
      </c>
      <c r="H604" s="415">
        <v>850.0</v>
      </c>
      <c r="I604" s="416" t="b">
        <v>1</v>
      </c>
      <c r="J604" s="413" t="s">
        <v>472</v>
      </c>
      <c r="K604" s="415">
        <v>0.0</v>
      </c>
      <c r="L604" s="415">
        <v>0.0</v>
      </c>
      <c r="M604" s="413" t="s">
        <v>1120</v>
      </c>
      <c r="N604" s="413" t="s">
        <v>1288</v>
      </c>
    </row>
    <row r="605">
      <c r="A605" s="409">
        <v>45708.0</v>
      </c>
      <c r="B605" s="102">
        <v>2025.0</v>
      </c>
      <c r="C605" s="410" t="s">
        <v>1206</v>
      </c>
      <c r="D605" s="102" t="s">
        <v>702</v>
      </c>
      <c r="E605" s="102" t="s">
        <v>465</v>
      </c>
      <c r="F605" s="102" t="s">
        <v>703</v>
      </c>
      <c r="G605" s="102" t="s">
        <v>715</v>
      </c>
      <c r="H605" s="360">
        <v>222.0</v>
      </c>
      <c r="I605" s="411" t="b">
        <v>0</v>
      </c>
      <c r="J605" s="102" t="s">
        <v>472</v>
      </c>
      <c r="K605" s="360">
        <v>0.0</v>
      </c>
      <c r="L605" s="360">
        <v>222.0</v>
      </c>
      <c r="M605" s="102" t="s">
        <v>1120</v>
      </c>
      <c r="N605" s="102" t="s">
        <v>1290</v>
      </c>
    </row>
    <row r="606">
      <c r="A606" s="412">
        <v>45708.0</v>
      </c>
      <c r="B606" s="413">
        <v>2025.0</v>
      </c>
      <c r="C606" s="414" t="s">
        <v>1206</v>
      </c>
      <c r="D606" s="413" t="s">
        <v>702</v>
      </c>
      <c r="E606" s="413" t="s">
        <v>465</v>
      </c>
      <c r="F606" s="413" t="s">
        <v>711</v>
      </c>
      <c r="G606" s="413" t="s">
        <v>734</v>
      </c>
      <c r="H606" s="415">
        <v>454.0</v>
      </c>
      <c r="I606" s="416" t="b">
        <v>0</v>
      </c>
      <c r="J606" s="413" t="s">
        <v>472</v>
      </c>
      <c r="K606" s="415">
        <v>62.620689655172384</v>
      </c>
      <c r="L606" s="415">
        <v>391.3793103448276</v>
      </c>
      <c r="M606" s="413" t="s">
        <v>1120</v>
      </c>
      <c r="N606" s="413" t="s">
        <v>1291</v>
      </c>
    </row>
    <row r="607">
      <c r="A607" s="409">
        <v>45710.0</v>
      </c>
      <c r="B607" s="102">
        <v>2025.0</v>
      </c>
      <c r="C607" s="410" t="s">
        <v>1206</v>
      </c>
      <c r="D607" s="102" t="s">
        <v>723</v>
      </c>
      <c r="E607" s="102" t="s">
        <v>137</v>
      </c>
      <c r="F607" s="102" t="s">
        <v>711</v>
      </c>
      <c r="G607" s="102" t="s">
        <v>740</v>
      </c>
      <c r="H607" s="360">
        <v>29.0</v>
      </c>
      <c r="I607" s="411" t="b">
        <v>0</v>
      </c>
      <c r="J607" s="102" t="s">
        <v>472</v>
      </c>
      <c r="K607" s="360">
        <v>0.0</v>
      </c>
      <c r="L607" s="360">
        <v>29.0</v>
      </c>
      <c r="M607" s="102" t="s">
        <v>1120</v>
      </c>
      <c r="N607" s="102" t="s">
        <v>1292</v>
      </c>
    </row>
    <row r="608">
      <c r="A608" s="412">
        <v>45711.0</v>
      </c>
      <c r="B608" s="413">
        <v>2025.0</v>
      </c>
      <c r="C608" s="414" t="s">
        <v>1206</v>
      </c>
      <c r="D608" s="413" t="s">
        <v>702</v>
      </c>
      <c r="E608" s="413" t="s">
        <v>465</v>
      </c>
      <c r="F608" s="413" t="s">
        <v>703</v>
      </c>
      <c r="G608" s="413" t="s">
        <v>732</v>
      </c>
      <c r="H608" s="415">
        <v>1200.0</v>
      </c>
      <c r="I608" s="416" t="b">
        <v>0</v>
      </c>
      <c r="J608" s="413" t="s">
        <v>472</v>
      </c>
      <c r="K608" s="415">
        <v>0.0</v>
      </c>
      <c r="L608" s="415">
        <v>1200.0</v>
      </c>
      <c r="M608" s="413" t="s">
        <v>1120</v>
      </c>
      <c r="N608" s="413" t="s">
        <v>1293</v>
      </c>
    </row>
    <row r="609">
      <c r="A609" s="409">
        <v>45711.0</v>
      </c>
      <c r="B609" s="102">
        <v>2025.0</v>
      </c>
      <c r="C609" s="410" t="s">
        <v>1206</v>
      </c>
      <c r="D609" s="102" t="s">
        <v>702</v>
      </c>
      <c r="E609" s="102" t="s">
        <v>465</v>
      </c>
      <c r="F609" s="102" t="s">
        <v>703</v>
      </c>
      <c r="G609" s="102" t="s">
        <v>715</v>
      </c>
      <c r="H609" s="360">
        <v>6000.0</v>
      </c>
      <c r="I609" s="411" t="b">
        <v>0</v>
      </c>
      <c r="J609" s="102" t="s">
        <v>472</v>
      </c>
      <c r="K609" s="360">
        <v>0.0</v>
      </c>
      <c r="L609" s="360">
        <v>6000.0</v>
      </c>
      <c r="M609" s="102" t="s">
        <v>1120</v>
      </c>
      <c r="N609" s="102" t="s">
        <v>1294</v>
      </c>
    </row>
    <row r="610">
      <c r="A610" s="412">
        <v>45712.0</v>
      </c>
      <c r="B610" s="413">
        <v>2025.0</v>
      </c>
      <c r="C610" s="414" t="s">
        <v>1206</v>
      </c>
      <c r="D610" s="413" t="s">
        <v>723</v>
      </c>
      <c r="E610" s="413" t="s">
        <v>137</v>
      </c>
      <c r="F610" s="413" t="s">
        <v>711</v>
      </c>
      <c r="G610" s="413" t="s">
        <v>715</v>
      </c>
      <c r="H610" s="415">
        <v>22.0</v>
      </c>
      <c r="I610" s="416" t="b">
        <v>0</v>
      </c>
      <c r="J610" s="413" t="s">
        <v>472</v>
      </c>
      <c r="K610" s="415">
        <v>0.0</v>
      </c>
      <c r="L610" s="415">
        <v>22.0</v>
      </c>
      <c r="M610" s="413" t="s">
        <v>1120</v>
      </c>
      <c r="N610" s="413" t="s">
        <v>1295</v>
      </c>
    </row>
    <row r="611">
      <c r="A611" s="409">
        <v>45712.0</v>
      </c>
      <c r="B611" s="102">
        <v>2025.0</v>
      </c>
      <c r="C611" s="410" t="s">
        <v>1206</v>
      </c>
      <c r="D611" s="102" t="s">
        <v>702</v>
      </c>
      <c r="E611" s="102" t="s">
        <v>465</v>
      </c>
      <c r="F611" s="102" t="s">
        <v>711</v>
      </c>
      <c r="G611" s="102" t="s">
        <v>767</v>
      </c>
      <c r="H611" s="360">
        <v>1103.0</v>
      </c>
      <c r="I611" s="411" t="b">
        <v>0</v>
      </c>
      <c r="J611" s="102" t="s">
        <v>1274</v>
      </c>
      <c r="K611" s="360">
        <v>152.13793103448268</v>
      </c>
      <c r="L611" s="360">
        <v>950.8620689655173</v>
      </c>
      <c r="M611" s="102" t="s">
        <v>1120</v>
      </c>
      <c r="N611" s="102" t="s">
        <v>1296</v>
      </c>
    </row>
    <row r="612">
      <c r="A612" s="412">
        <v>45713.0</v>
      </c>
      <c r="B612" s="413">
        <v>2025.0</v>
      </c>
      <c r="C612" s="414" t="s">
        <v>1206</v>
      </c>
      <c r="D612" s="413" t="s">
        <v>723</v>
      </c>
      <c r="E612" s="413" t="s">
        <v>137</v>
      </c>
      <c r="F612" s="413" t="s">
        <v>711</v>
      </c>
      <c r="G612" s="413" t="s">
        <v>767</v>
      </c>
      <c r="H612" s="415">
        <v>800.0</v>
      </c>
      <c r="I612" s="416" t="b">
        <v>0</v>
      </c>
      <c r="J612" s="413" t="s">
        <v>1297</v>
      </c>
      <c r="K612" s="415">
        <v>0.0</v>
      </c>
      <c r="L612" s="415">
        <v>800.0</v>
      </c>
      <c r="M612" s="413" t="s">
        <v>1120</v>
      </c>
      <c r="N612" s="413" t="s">
        <v>1298</v>
      </c>
    </row>
    <row r="613">
      <c r="A613" s="409">
        <v>45714.0</v>
      </c>
      <c r="B613" s="102">
        <v>2025.0</v>
      </c>
      <c r="C613" s="410" t="s">
        <v>1206</v>
      </c>
      <c r="D613" s="102" t="s">
        <v>702</v>
      </c>
      <c r="E613" s="102" t="s">
        <v>465</v>
      </c>
      <c r="F613" s="102" t="s">
        <v>711</v>
      </c>
      <c r="G613" s="102" t="s">
        <v>734</v>
      </c>
      <c r="H613" s="360">
        <v>140.0</v>
      </c>
      <c r="I613" s="411" t="b">
        <v>0</v>
      </c>
      <c r="J613" s="102" t="s">
        <v>472</v>
      </c>
      <c r="K613" s="360">
        <v>19.310344827586192</v>
      </c>
      <c r="L613" s="360">
        <v>120.68965517241381</v>
      </c>
      <c r="M613" s="102" t="s">
        <v>1120</v>
      </c>
      <c r="N613" s="102" t="s">
        <v>1299</v>
      </c>
    </row>
    <row r="614">
      <c r="A614" s="412">
        <v>45714.0</v>
      </c>
      <c r="B614" s="413">
        <v>2025.0</v>
      </c>
      <c r="C614" s="414" t="s">
        <v>1206</v>
      </c>
      <c r="D614" s="413" t="s">
        <v>702</v>
      </c>
      <c r="E614" s="413" t="s">
        <v>465</v>
      </c>
      <c r="F614" s="413" t="s">
        <v>711</v>
      </c>
      <c r="G614" s="413" t="s">
        <v>740</v>
      </c>
      <c r="H614" s="415">
        <v>7.0</v>
      </c>
      <c r="I614" s="416" t="b">
        <v>0</v>
      </c>
      <c r="J614" s="413" t="s">
        <v>472</v>
      </c>
      <c r="K614" s="415">
        <v>0.9655172413793096</v>
      </c>
      <c r="L614" s="415">
        <v>6.03448275862069</v>
      </c>
      <c r="M614" s="413" t="s">
        <v>1120</v>
      </c>
      <c r="N614" s="413" t="s">
        <v>1300</v>
      </c>
    </row>
    <row r="615">
      <c r="A615" s="409">
        <v>45714.0</v>
      </c>
      <c r="B615" s="102">
        <v>2025.0</v>
      </c>
      <c r="C615" s="410" t="s">
        <v>1206</v>
      </c>
      <c r="D615" s="102" t="s">
        <v>702</v>
      </c>
      <c r="E615" s="102" t="s">
        <v>465</v>
      </c>
      <c r="F615" s="102" t="s">
        <v>711</v>
      </c>
      <c r="G615" s="102" t="s">
        <v>734</v>
      </c>
      <c r="H615" s="360">
        <v>261.0</v>
      </c>
      <c r="I615" s="411" t="b">
        <v>0</v>
      </c>
      <c r="J615" s="102" t="s">
        <v>472</v>
      </c>
      <c r="K615" s="360">
        <v>35.99999999999997</v>
      </c>
      <c r="L615" s="360">
        <v>225.00000000000003</v>
      </c>
      <c r="M615" s="102" t="s">
        <v>1120</v>
      </c>
      <c r="N615" s="102" t="s">
        <v>1301</v>
      </c>
    </row>
    <row r="616">
      <c r="A616" s="412">
        <v>45714.0</v>
      </c>
      <c r="B616" s="413">
        <v>2025.0</v>
      </c>
      <c r="C616" s="414" t="s">
        <v>1206</v>
      </c>
      <c r="D616" s="413" t="s">
        <v>710</v>
      </c>
      <c r="E616" s="413" t="s">
        <v>137</v>
      </c>
      <c r="F616" s="413" t="s">
        <v>703</v>
      </c>
      <c r="G616" s="413" t="s">
        <v>715</v>
      </c>
      <c r="H616" s="415">
        <v>3000.0</v>
      </c>
      <c r="I616" s="416" t="b">
        <v>0</v>
      </c>
      <c r="J616" s="413" t="s">
        <v>472</v>
      </c>
      <c r="K616" s="415">
        <v>0.0</v>
      </c>
      <c r="L616" s="415">
        <v>3000.0</v>
      </c>
      <c r="M616" s="413" t="s">
        <v>1120</v>
      </c>
      <c r="N616" s="413" t="s">
        <v>1302</v>
      </c>
    </row>
    <row r="617">
      <c r="A617" s="409">
        <v>45714.0</v>
      </c>
      <c r="B617" s="102">
        <v>2025.0</v>
      </c>
      <c r="C617" s="410" t="s">
        <v>1206</v>
      </c>
      <c r="D617" s="102" t="s">
        <v>710</v>
      </c>
      <c r="E617" s="102" t="s">
        <v>137</v>
      </c>
      <c r="F617" s="102" t="s">
        <v>711</v>
      </c>
      <c r="G617" s="102" t="s">
        <v>715</v>
      </c>
      <c r="H617" s="360">
        <v>15.0</v>
      </c>
      <c r="I617" s="411" t="b">
        <v>0</v>
      </c>
      <c r="J617" s="102" t="s">
        <v>472</v>
      </c>
      <c r="K617" s="360">
        <v>0.0</v>
      </c>
      <c r="L617" s="360">
        <v>15.0</v>
      </c>
      <c r="M617" s="102" t="s">
        <v>1120</v>
      </c>
      <c r="N617" s="102" t="s">
        <v>1303</v>
      </c>
    </row>
    <row r="618">
      <c r="A618" s="412">
        <v>45714.0</v>
      </c>
      <c r="B618" s="413">
        <v>2025.0</v>
      </c>
      <c r="C618" s="414" t="s">
        <v>1206</v>
      </c>
      <c r="D618" s="413" t="s">
        <v>723</v>
      </c>
      <c r="E618" s="413" t="s">
        <v>137</v>
      </c>
      <c r="F618" s="413" t="s">
        <v>711</v>
      </c>
      <c r="G618" s="413" t="s">
        <v>715</v>
      </c>
      <c r="H618" s="415">
        <v>10.0</v>
      </c>
      <c r="I618" s="416" t="b">
        <v>0</v>
      </c>
      <c r="J618" s="413" t="s">
        <v>472</v>
      </c>
      <c r="K618" s="415">
        <v>0.0</v>
      </c>
      <c r="L618" s="415">
        <v>10.0</v>
      </c>
      <c r="M618" s="413" t="s">
        <v>1120</v>
      </c>
      <c r="N618" s="413" t="s">
        <v>1304</v>
      </c>
    </row>
    <row r="619">
      <c r="A619" s="409">
        <v>45714.0</v>
      </c>
      <c r="B619" s="102">
        <v>2025.0</v>
      </c>
      <c r="C619" s="410" t="s">
        <v>1206</v>
      </c>
      <c r="D619" s="102" t="s">
        <v>723</v>
      </c>
      <c r="E619" s="102" t="s">
        <v>137</v>
      </c>
      <c r="F619" s="102" t="s">
        <v>703</v>
      </c>
      <c r="G619" s="102" t="s">
        <v>724</v>
      </c>
      <c r="H619" s="360">
        <v>1080.0</v>
      </c>
      <c r="I619" s="411" t="b">
        <v>1</v>
      </c>
      <c r="J619" s="102" t="s">
        <v>472</v>
      </c>
      <c r="K619" s="360">
        <v>0.0</v>
      </c>
      <c r="L619" s="360">
        <v>0.0</v>
      </c>
      <c r="M619" s="102" t="s">
        <v>1120</v>
      </c>
      <c r="N619" s="102" t="s">
        <v>1305</v>
      </c>
    </row>
    <row r="620">
      <c r="A620" s="412">
        <v>45714.0</v>
      </c>
      <c r="B620" s="413">
        <v>2025.0</v>
      </c>
      <c r="C620" s="414" t="s">
        <v>1206</v>
      </c>
      <c r="D620" s="413" t="s">
        <v>710</v>
      </c>
      <c r="E620" s="413" t="s">
        <v>137</v>
      </c>
      <c r="F620" s="413" t="s">
        <v>711</v>
      </c>
      <c r="G620" s="413" t="s">
        <v>724</v>
      </c>
      <c r="H620" s="415">
        <v>1080.0</v>
      </c>
      <c r="I620" s="416" t="b">
        <v>1</v>
      </c>
      <c r="J620" s="413" t="s">
        <v>472</v>
      </c>
      <c r="K620" s="415">
        <v>0.0</v>
      </c>
      <c r="L620" s="415">
        <v>0.0</v>
      </c>
      <c r="M620" s="413" t="s">
        <v>1120</v>
      </c>
      <c r="N620" s="413" t="s">
        <v>1305</v>
      </c>
    </row>
    <row r="621">
      <c r="A621" s="409">
        <v>45719.0</v>
      </c>
      <c r="B621" s="102">
        <v>2025.0</v>
      </c>
      <c r="C621" s="410" t="s">
        <v>1306</v>
      </c>
      <c r="D621" s="102" t="s">
        <v>702</v>
      </c>
      <c r="E621" s="102" t="s">
        <v>465</v>
      </c>
      <c r="F621" s="102" t="s">
        <v>711</v>
      </c>
      <c r="G621" s="102" t="s">
        <v>730</v>
      </c>
      <c r="H621" s="360">
        <v>188.0</v>
      </c>
      <c r="I621" s="411" t="b">
        <v>0</v>
      </c>
      <c r="J621" s="102" t="s">
        <v>472</v>
      </c>
      <c r="K621" s="360">
        <v>25.931034482758605</v>
      </c>
      <c r="L621" s="360">
        <v>162.0689655172414</v>
      </c>
      <c r="M621" s="102" t="s">
        <v>1120</v>
      </c>
      <c r="N621" s="102" t="s">
        <v>1307</v>
      </c>
    </row>
    <row r="622">
      <c r="A622" s="412">
        <v>45719.0</v>
      </c>
      <c r="B622" s="413">
        <v>2025.0</v>
      </c>
      <c r="C622" s="414" t="s">
        <v>1306</v>
      </c>
      <c r="D622" s="413" t="s">
        <v>723</v>
      </c>
      <c r="E622" s="413" t="s">
        <v>137</v>
      </c>
      <c r="F622" s="413" t="s">
        <v>711</v>
      </c>
      <c r="G622" s="413" t="s">
        <v>734</v>
      </c>
      <c r="H622" s="415">
        <v>140.0</v>
      </c>
      <c r="I622" s="416" t="b">
        <v>0</v>
      </c>
      <c r="J622" s="413" t="s">
        <v>472</v>
      </c>
      <c r="K622" s="415">
        <v>0.0</v>
      </c>
      <c r="L622" s="415">
        <v>140.0</v>
      </c>
      <c r="M622" s="413" t="s">
        <v>1120</v>
      </c>
      <c r="N622" s="413" t="s">
        <v>1308</v>
      </c>
    </row>
    <row r="623">
      <c r="A623" s="409">
        <v>45719.0</v>
      </c>
      <c r="B623" s="102">
        <v>2025.0</v>
      </c>
      <c r="C623" s="410" t="s">
        <v>1306</v>
      </c>
      <c r="D623" s="102" t="s">
        <v>723</v>
      </c>
      <c r="E623" s="102" t="s">
        <v>137</v>
      </c>
      <c r="F623" s="102" t="s">
        <v>711</v>
      </c>
      <c r="G623" s="102" t="s">
        <v>767</v>
      </c>
      <c r="H623" s="360">
        <v>1150.0</v>
      </c>
      <c r="I623" s="411" t="b">
        <v>0</v>
      </c>
      <c r="J623" s="102" t="s">
        <v>1197</v>
      </c>
      <c r="K623" s="360">
        <v>0.0</v>
      </c>
      <c r="L623" s="360">
        <v>1150.0</v>
      </c>
      <c r="M623" s="102" t="s">
        <v>1120</v>
      </c>
      <c r="N623" s="102" t="s">
        <v>1309</v>
      </c>
    </row>
    <row r="624">
      <c r="A624" s="412">
        <v>45719.0</v>
      </c>
      <c r="B624" s="413">
        <v>2025.0</v>
      </c>
      <c r="C624" s="414" t="s">
        <v>1306</v>
      </c>
      <c r="D624" s="413" t="s">
        <v>723</v>
      </c>
      <c r="E624" s="413" t="s">
        <v>137</v>
      </c>
      <c r="F624" s="413" t="s">
        <v>711</v>
      </c>
      <c r="G624" s="413" t="s">
        <v>767</v>
      </c>
      <c r="H624" s="415">
        <v>550.0</v>
      </c>
      <c r="I624" s="416" t="b">
        <v>0</v>
      </c>
      <c r="J624" s="413" t="s">
        <v>1265</v>
      </c>
      <c r="K624" s="415">
        <v>0.0</v>
      </c>
      <c r="L624" s="415">
        <v>550.0</v>
      </c>
      <c r="M624" s="413" t="s">
        <v>1120</v>
      </c>
      <c r="N624" s="413" t="s">
        <v>1310</v>
      </c>
    </row>
    <row r="625">
      <c r="A625" s="409">
        <v>45719.0</v>
      </c>
      <c r="B625" s="102">
        <v>2025.0</v>
      </c>
      <c r="C625" s="410" t="s">
        <v>1306</v>
      </c>
      <c r="D625" s="102" t="s">
        <v>710</v>
      </c>
      <c r="E625" s="102" t="s">
        <v>137</v>
      </c>
      <c r="F625" s="102" t="s">
        <v>711</v>
      </c>
      <c r="G625" s="102" t="s">
        <v>724</v>
      </c>
      <c r="H625" s="360">
        <v>1921.0</v>
      </c>
      <c r="I625" s="411" t="b">
        <v>1</v>
      </c>
      <c r="J625" s="102" t="s">
        <v>472</v>
      </c>
      <c r="K625" s="360">
        <v>0.0</v>
      </c>
      <c r="L625" s="360">
        <v>0.0</v>
      </c>
      <c r="M625" s="102" t="s">
        <v>1120</v>
      </c>
      <c r="N625" s="102" t="s">
        <v>1311</v>
      </c>
    </row>
    <row r="626">
      <c r="A626" s="412">
        <v>45719.0</v>
      </c>
      <c r="B626" s="413">
        <v>2025.0</v>
      </c>
      <c r="C626" s="414" t="s">
        <v>1306</v>
      </c>
      <c r="D626" s="413" t="s">
        <v>710</v>
      </c>
      <c r="E626" s="413" t="s">
        <v>137</v>
      </c>
      <c r="F626" s="413" t="s">
        <v>703</v>
      </c>
      <c r="G626" s="413" t="s">
        <v>769</v>
      </c>
      <c r="H626" s="415">
        <v>8000.0</v>
      </c>
      <c r="I626" s="416" t="b">
        <v>0</v>
      </c>
      <c r="J626" s="413" t="s">
        <v>472</v>
      </c>
      <c r="K626" s="415">
        <v>0.0</v>
      </c>
      <c r="L626" s="415">
        <v>8000.0</v>
      </c>
      <c r="M626" s="413" t="s">
        <v>1120</v>
      </c>
      <c r="N626" s="413" t="s">
        <v>1311</v>
      </c>
    </row>
    <row r="627">
      <c r="A627" s="409">
        <v>45719.0</v>
      </c>
      <c r="B627" s="102">
        <v>2025.0</v>
      </c>
      <c r="C627" s="410" t="s">
        <v>1306</v>
      </c>
      <c r="D627" s="102" t="s">
        <v>710</v>
      </c>
      <c r="E627" s="102" t="s">
        <v>137</v>
      </c>
      <c r="F627" s="102" t="s">
        <v>703</v>
      </c>
      <c r="G627" s="102" t="s">
        <v>732</v>
      </c>
      <c r="H627" s="360">
        <v>1543.0</v>
      </c>
      <c r="I627" s="411" t="b">
        <v>0</v>
      </c>
      <c r="J627" s="102" t="s">
        <v>472</v>
      </c>
      <c r="K627" s="360">
        <v>0.0</v>
      </c>
      <c r="L627" s="360">
        <v>1543.0</v>
      </c>
      <c r="M627" s="102" t="s">
        <v>1120</v>
      </c>
      <c r="N627" s="102" t="s">
        <v>1311</v>
      </c>
    </row>
    <row r="628">
      <c r="A628" s="412">
        <v>45719.0</v>
      </c>
      <c r="B628" s="413">
        <v>2025.0</v>
      </c>
      <c r="C628" s="414" t="s">
        <v>1306</v>
      </c>
      <c r="D628" s="413" t="s">
        <v>723</v>
      </c>
      <c r="E628" s="413" t="s">
        <v>137</v>
      </c>
      <c r="F628" s="413" t="s">
        <v>703</v>
      </c>
      <c r="G628" s="413" t="s">
        <v>724</v>
      </c>
      <c r="H628" s="415">
        <v>1921.0</v>
      </c>
      <c r="I628" s="416" t="b">
        <v>1</v>
      </c>
      <c r="J628" s="413" t="s">
        <v>472</v>
      </c>
      <c r="K628" s="415">
        <v>0.0</v>
      </c>
      <c r="L628" s="415">
        <v>0.0</v>
      </c>
      <c r="M628" s="413" t="s">
        <v>1120</v>
      </c>
      <c r="N628" s="413" t="s">
        <v>1311</v>
      </c>
    </row>
    <row r="629">
      <c r="A629" s="409">
        <v>45719.0</v>
      </c>
      <c r="B629" s="102">
        <v>2025.0</v>
      </c>
      <c r="C629" s="410" t="s">
        <v>1306</v>
      </c>
      <c r="D629" s="102" t="s">
        <v>710</v>
      </c>
      <c r="E629" s="102" t="s">
        <v>137</v>
      </c>
      <c r="F629" s="102" t="s">
        <v>711</v>
      </c>
      <c r="G629" s="102" t="s">
        <v>767</v>
      </c>
      <c r="H629" s="360">
        <v>550.0</v>
      </c>
      <c r="I629" s="411" t="b">
        <v>0</v>
      </c>
      <c r="J629" s="102" t="s">
        <v>1312</v>
      </c>
      <c r="K629" s="360">
        <v>0.0</v>
      </c>
      <c r="L629" s="360">
        <v>550.0</v>
      </c>
      <c r="M629" s="102" t="s">
        <v>1120</v>
      </c>
      <c r="N629" s="102" t="s">
        <v>1311</v>
      </c>
    </row>
    <row r="630">
      <c r="A630" s="412">
        <v>45719.0</v>
      </c>
      <c r="B630" s="413">
        <v>2025.0</v>
      </c>
      <c r="C630" s="414" t="s">
        <v>1306</v>
      </c>
      <c r="D630" s="413" t="s">
        <v>702</v>
      </c>
      <c r="E630" s="413" t="s">
        <v>465</v>
      </c>
      <c r="F630" s="413" t="s">
        <v>711</v>
      </c>
      <c r="G630" s="413" t="s">
        <v>767</v>
      </c>
      <c r="H630" s="415">
        <v>550.0</v>
      </c>
      <c r="I630" s="416" t="b">
        <v>0</v>
      </c>
      <c r="J630" s="413" t="s">
        <v>1313</v>
      </c>
      <c r="K630" s="415">
        <v>75.86206896551721</v>
      </c>
      <c r="L630" s="415">
        <v>474.1379310344828</v>
      </c>
      <c r="M630" s="413" t="s">
        <v>1120</v>
      </c>
      <c r="N630" s="413" t="s">
        <v>1311</v>
      </c>
    </row>
    <row r="631">
      <c r="A631" s="409">
        <v>45719.0</v>
      </c>
      <c r="B631" s="102">
        <v>2025.0</v>
      </c>
      <c r="C631" s="410" t="s">
        <v>1306</v>
      </c>
      <c r="D631" s="102" t="s">
        <v>710</v>
      </c>
      <c r="E631" s="102" t="s">
        <v>137</v>
      </c>
      <c r="F631" s="102" t="s">
        <v>703</v>
      </c>
      <c r="G631" s="102" t="s">
        <v>724</v>
      </c>
      <c r="H631" s="360">
        <v>960.0</v>
      </c>
      <c r="I631" s="411" t="b">
        <v>1</v>
      </c>
      <c r="J631" s="102" t="s">
        <v>472</v>
      </c>
      <c r="K631" s="360">
        <v>0.0</v>
      </c>
      <c r="L631" s="360">
        <v>0.0</v>
      </c>
      <c r="M631" s="102" t="s">
        <v>1120</v>
      </c>
      <c r="N631" s="102" t="s">
        <v>1314</v>
      </c>
    </row>
    <row r="632">
      <c r="A632" s="412">
        <v>45719.0</v>
      </c>
      <c r="B632" s="413">
        <v>2025.0</v>
      </c>
      <c r="C632" s="414" t="s">
        <v>1306</v>
      </c>
      <c r="D632" s="413" t="s">
        <v>723</v>
      </c>
      <c r="E632" s="413" t="s">
        <v>137</v>
      </c>
      <c r="F632" s="413" t="s">
        <v>711</v>
      </c>
      <c r="G632" s="413" t="s">
        <v>724</v>
      </c>
      <c r="H632" s="415">
        <v>960.0</v>
      </c>
      <c r="I632" s="416" t="b">
        <v>1</v>
      </c>
      <c r="J632" s="413" t="s">
        <v>472</v>
      </c>
      <c r="K632" s="415">
        <v>0.0</v>
      </c>
      <c r="L632" s="415">
        <v>0.0</v>
      </c>
      <c r="M632" s="413" t="s">
        <v>1120</v>
      </c>
      <c r="N632" s="413" t="s">
        <v>1314</v>
      </c>
    </row>
    <row r="633">
      <c r="A633" s="409">
        <v>45719.0</v>
      </c>
      <c r="B633" s="102">
        <v>2025.0</v>
      </c>
      <c r="C633" s="410" t="s">
        <v>1306</v>
      </c>
      <c r="D633" s="102" t="s">
        <v>723</v>
      </c>
      <c r="E633" s="102" t="s">
        <v>137</v>
      </c>
      <c r="F633" s="102" t="s">
        <v>703</v>
      </c>
      <c r="G633" s="102" t="s">
        <v>724</v>
      </c>
      <c r="H633" s="360">
        <v>550.0</v>
      </c>
      <c r="I633" s="411" t="b">
        <v>1</v>
      </c>
      <c r="J633" s="102" t="s">
        <v>472</v>
      </c>
      <c r="K633" s="360">
        <v>0.0</v>
      </c>
      <c r="L633" s="360">
        <v>0.0</v>
      </c>
      <c r="M633" s="102" t="s">
        <v>1120</v>
      </c>
      <c r="N633" s="102" t="s">
        <v>1315</v>
      </c>
    </row>
    <row r="634">
      <c r="A634" s="412">
        <v>45719.0</v>
      </c>
      <c r="B634" s="413">
        <v>2025.0</v>
      </c>
      <c r="C634" s="414" t="s">
        <v>1306</v>
      </c>
      <c r="D634" s="413" t="s">
        <v>702</v>
      </c>
      <c r="E634" s="413" t="s">
        <v>465</v>
      </c>
      <c r="F634" s="413" t="s">
        <v>711</v>
      </c>
      <c r="G634" s="413" t="s">
        <v>730</v>
      </c>
      <c r="H634" s="415">
        <v>13.0</v>
      </c>
      <c r="I634" s="416" t="b">
        <v>0</v>
      </c>
      <c r="J634" s="413" t="s">
        <v>472</v>
      </c>
      <c r="K634" s="415">
        <v>1.7931034482758612</v>
      </c>
      <c r="L634" s="415">
        <v>11.206896551724139</v>
      </c>
      <c r="M634" s="413" t="s">
        <v>1120</v>
      </c>
      <c r="N634" s="413" t="s">
        <v>1315</v>
      </c>
    </row>
    <row r="635">
      <c r="A635" s="409">
        <v>45719.0</v>
      </c>
      <c r="B635" s="102">
        <v>2025.0</v>
      </c>
      <c r="C635" s="410" t="s">
        <v>1306</v>
      </c>
      <c r="D635" s="102" t="s">
        <v>710</v>
      </c>
      <c r="E635" s="102" t="s">
        <v>137</v>
      </c>
      <c r="F635" s="102" t="s">
        <v>711</v>
      </c>
      <c r="G635" s="102" t="s">
        <v>724</v>
      </c>
      <c r="H635" s="360">
        <v>550.0</v>
      </c>
      <c r="I635" s="411" t="b">
        <v>1</v>
      </c>
      <c r="J635" s="102" t="s">
        <v>472</v>
      </c>
      <c r="K635" s="360">
        <v>0.0</v>
      </c>
      <c r="L635" s="360">
        <v>0.0</v>
      </c>
      <c r="M635" s="102" t="s">
        <v>1120</v>
      </c>
      <c r="N635" s="102" t="s">
        <v>1315</v>
      </c>
    </row>
    <row r="636">
      <c r="A636" s="412">
        <v>45719.0</v>
      </c>
      <c r="B636" s="413">
        <v>2025.0</v>
      </c>
      <c r="C636" s="414" t="s">
        <v>1306</v>
      </c>
      <c r="D636" s="413" t="s">
        <v>710</v>
      </c>
      <c r="E636" s="413" t="s">
        <v>137</v>
      </c>
      <c r="F636" s="413" t="s">
        <v>703</v>
      </c>
      <c r="G636" s="413" t="s">
        <v>715</v>
      </c>
      <c r="H636" s="415">
        <v>90.0</v>
      </c>
      <c r="I636" s="416" t="b">
        <v>0</v>
      </c>
      <c r="J636" s="413" t="s">
        <v>472</v>
      </c>
      <c r="K636" s="415">
        <v>0.0</v>
      </c>
      <c r="L636" s="415">
        <v>90.0</v>
      </c>
      <c r="M636" s="413" t="s">
        <v>1120</v>
      </c>
      <c r="N636" s="413" t="s">
        <v>1316</v>
      </c>
    </row>
    <row r="637">
      <c r="A637" s="409">
        <v>45720.0</v>
      </c>
      <c r="B637" s="102">
        <v>2025.0</v>
      </c>
      <c r="C637" s="410" t="s">
        <v>1306</v>
      </c>
      <c r="D637" s="102" t="s">
        <v>702</v>
      </c>
      <c r="E637" s="102" t="s">
        <v>465</v>
      </c>
      <c r="F637" s="102" t="s">
        <v>711</v>
      </c>
      <c r="G637" s="102" t="s">
        <v>767</v>
      </c>
      <c r="H637" s="360">
        <v>1247.0</v>
      </c>
      <c r="I637" s="411" t="b">
        <v>0</v>
      </c>
      <c r="J637" s="102" t="s">
        <v>1248</v>
      </c>
      <c r="K637" s="360">
        <v>172.0</v>
      </c>
      <c r="L637" s="360">
        <v>1075.0</v>
      </c>
      <c r="M637" s="102" t="s">
        <v>1120</v>
      </c>
      <c r="N637" s="102" t="s">
        <v>1317</v>
      </c>
    </row>
    <row r="638">
      <c r="A638" s="412">
        <v>45720.0</v>
      </c>
      <c r="B638" s="413">
        <v>2025.0</v>
      </c>
      <c r="C638" s="414" t="s">
        <v>1306</v>
      </c>
      <c r="D638" s="413" t="s">
        <v>702</v>
      </c>
      <c r="E638" s="413" t="s">
        <v>465</v>
      </c>
      <c r="F638" s="413" t="s">
        <v>711</v>
      </c>
      <c r="G638" s="413" t="s">
        <v>767</v>
      </c>
      <c r="H638" s="415">
        <v>1103.0</v>
      </c>
      <c r="I638" s="416" t="b">
        <v>0</v>
      </c>
      <c r="J638" s="413" t="s">
        <v>1164</v>
      </c>
      <c r="K638" s="415">
        <v>152.13793103448268</v>
      </c>
      <c r="L638" s="415">
        <v>950.8620689655173</v>
      </c>
      <c r="M638" s="413" t="s">
        <v>1120</v>
      </c>
      <c r="N638" s="413" t="s">
        <v>1318</v>
      </c>
    </row>
    <row r="639">
      <c r="A639" s="409">
        <v>45720.0</v>
      </c>
      <c r="B639" s="102">
        <v>2025.0</v>
      </c>
      <c r="C639" s="410" t="s">
        <v>1306</v>
      </c>
      <c r="D639" s="102" t="s">
        <v>702</v>
      </c>
      <c r="E639" s="102" t="s">
        <v>465</v>
      </c>
      <c r="F639" s="102" t="s">
        <v>711</v>
      </c>
      <c r="G639" s="102" t="s">
        <v>767</v>
      </c>
      <c r="H639" s="360">
        <v>800.0</v>
      </c>
      <c r="I639" s="411" t="b">
        <v>0</v>
      </c>
      <c r="J639" s="102" t="s">
        <v>1240</v>
      </c>
      <c r="K639" s="360">
        <v>110.34482758620686</v>
      </c>
      <c r="L639" s="360">
        <v>689.6551724137931</v>
      </c>
      <c r="M639" s="102" t="s">
        <v>1120</v>
      </c>
      <c r="N639" s="102" t="s">
        <v>1319</v>
      </c>
    </row>
    <row r="640">
      <c r="A640" s="412">
        <v>45726.0</v>
      </c>
      <c r="B640" s="413">
        <v>2025.0</v>
      </c>
      <c r="C640" s="414" t="s">
        <v>1306</v>
      </c>
      <c r="D640" s="413" t="s">
        <v>723</v>
      </c>
      <c r="E640" s="413" t="s">
        <v>137</v>
      </c>
      <c r="F640" s="413" t="s">
        <v>711</v>
      </c>
      <c r="G640" s="413" t="s">
        <v>767</v>
      </c>
      <c r="H640" s="415">
        <v>950.0</v>
      </c>
      <c r="I640" s="416" t="b">
        <v>0</v>
      </c>
      <c r="J640" s="413" t="s">
        <v>1320</v>
      </c>
      <c r="K640" s="415">
        <v>0.0</v>
      </c>
      <c r="L640" s="415">
        <v>950.0</v>
      </c>
      <c r="M640" s="413" t="s">
        <v>1120</v>
      </c>
      <c r="N640" s="413" t="s">
        <v>1321</v>
      </c>
    </row>
    <row r="641">
      <c r="A641" s="409">
        <v>45726.0</v>
      </c>
      <c r="B641" s="102">
        <v>2025.0</v>
      </c>
      <c r="C641" s="410" t="s">
        <v>1306</v>
      </c>
      <c r="D641" s="102" t="s">
        <v>723</v>
      </c>
      <c r="E641" s="102" t="s">
        <v>137</v>
      </c>
      <c r="F641" s="102" t="s">
        <v>711</v>
      </c>
      <c r="G641" s="102" t="s">
        <v>734</v>
      </c>
      <c r="H641" s="360">
        <v>80.0</v>
      </c>
      <c r="I641" s="411" t="b">
        <v>0</v>
      </c>
      <c r="J641" s="102" t="s">
        <v>1322</v>
      </c>
      <c r="K641" s="360">
        <v>0.0</v>
      </c>
      <c r="L641" s="360">
        <v>80.0</v>
      </c>
      <c r="M641" s="102" t="s">
        <v>1120</v>
      </c>
      <c r="N641" s="102" t="s">
        <v>1323</v>
      </c>
    </row>
    <row r="642">
      <c r="A642" s="412">
        <v>45726.0</v>
      </c>
      <c r="B642" s="413">
        <v>2025.0</v>
      </c>
      <c r="C642" s="414" t="s">
        <v>1306</v>
      </c>
      <c r="D642" s="413" t="s">
        <v>702</v>
      </c>
      <c r="E642" s="413" t="s">
        <v>465</v>
      </c>
      <c r="F642" s="413" t="s">
        <v>711</v>
      </c>
      <c r="G642" s="413" t="s">
        <v>767</v>
      </c>
      <c r="H642" s="415">
        <v>1050.0</v>
      </c>
      <c r="I642" s="416" t="b">
        <v>0</v>
      </c>
      <c r="J642" s="413" t="s">
        <v>1324</v>
      </c>
      <c r="K642" s="415">
        <v>144.8275862068965</v>
      </c>
      <c r="L642" s="415">
        <v>905.1724137931035</v>
      </c>
      <c r="M642" s="413" t="s">
        <v>1120</v>
      </c>
      <c r="N642" s="413" t="s">
        <v>1325</v>
      </c>
    </row>
    <row r="643">
      <c r="A643" s="409">
        <v>45726.0</v>
      </c>
      <c r="B643" s="102">
        <v>2025.0</v>
      </c>
      <c r="C643" s="410" t="s">
        <v>1306</v>
      </c>
      <c r="D643" s="102" t="s">
        <v>702</v>
      </c>
      <c r="E643" s="102" t="s">
        <v>465</v>
      </c>
      <c r="F643" s="102" t="s">
        <v>711</v>
      </c>
      <c r="G643" s="102" t="s">
        <v>767</v>
      </c>
      <c r="H643" s="360">
        <v>800.0</v>
      </c>
      <c r="I643" s="411" t="b">
        <v>0</v>
      </c>
      <c r="J643" s="102" t="s">
        <v>1326</v>
      </c>
      <c r="K643" s="360">
        <v>110.34482758620686</v>
      </c>
      <c r="L643" s="360">
        <v>689.6551724137931</v>
      </c>
      <c r="M643" s="102" t="s">
        <v>1120</v>
      </c>
      <c r="N643" s="102" t="s">
        <v>1327</v>
      </c>
    </row>
    <row r="644">
      <c r="A644" s="412">
        <v>45726.0</v>
      </c>
      <c r="B644" s="413">
        <v>2025.0</v>
      </c>
      <c r="C644" s="414" t="s">
        <v>1306</v>
      </c>
      <c r="D644" s="413" t="s">
        <v>702</v>
      </c>
      <c r="E644" s="413" t="s">
        <v>465</v>
      </c>
      <c r="F644" s="413" t="s">
        <v>711</v>
      </c>
      <c r="G644" s="413" t="s">
        <v>767</v>
      </c>
      <c r="H644" s="415">
        <v>950.0</v>
      </c>
      <c r="I644" s="416" t="b">
        <v>0</v>
      </c>
      <c r="J644" s="413" t="s">
        <v>1246</v>
      </c>
      <c r="K644" s="415">
        <v>131.03448275862058</v>
      </c>
      <c r="L644" s="415">
        <v>818.9655172413794</v>
      </c>
      <c r="M644" s="413" t="s">
        <v>1120</v>
      </c>
      <c r="N644" s="413" t="s">
        <v>1328</v>
      </c>
    </row>
    <row r="645">
      <c r="A645" s="409">
        <v>45726.0</v>
      </c>
      <c r="B645" s="102">
        <v>2025.0</v>
      </c>
      <c r="C645" s="410" t="s">
        <v>1306</v>
      </c>
      <c r="D645" s="102" t="s">
        <v>702</v>
      </c>
      <c r="E645" s="102" t="s">
        <v>465</v>
      </c>
      <c r="F645" s="102" t="s">
        <v>711</v>
      </c>
      <c r="G645" s="102" t="s">
        <v>767</v>
      </c>
      <c r="H645" s="360">
        <v>800.0</v>
      </c>
      <c r="I645" s="411" t="b">
        <v>0</v>
      </c>
      <c r="J645" s="102" t="s">
        <v>1237</v>
      </c>
      <c r="K645" s="360">
        <v>110.34482758620686</v>
      </c>
      <c r="L645" s="360">
        <v>689.6551724137931</v>
      </c>
      <c r="M645" s="102" t="s">
        <v>1120</v>
      </c>
      <c r="N645" s="102" t="s">
        <v>1329</v>
      </c>
    </row>
    <row r="646">
      <c r="A646" s="412">
        <v>45726.0</v>
      </c>
      <c r="B646" s="413">
        <v>2025.0</v>
      </c>
      <c r="C646" s="414" t="s">
        <v>1306</v>
      </c>
      <c r="D646" s="413" t="s">
        <v>702</v>
      </c>
      <c r="E646" s="413" t="s">
        <v>465</v>
      </c>
      <c r="F646" s="413" t="s">
        <v>711</v>
      </c>
      <c r="G646" s="413" t="s">
        <v>767</v>
      </c>
      <c r="H646" s="415">
        <v>800.0</v>
      </c>
      <c r="I646" s="416" t="b">
        <v>0</v>
      </c>
      <c r="J646" s="413" t="s">
        <v>1218</v>
      </c>
      <c r="K646" s="415">
        <v>110.34482758620686</v>
      </c>
      <c r="L646" s="415">
        <v>689.6551724137931</v>
      </c>
      <c r="M646" s="413" t="s">
        <v>1120</v>
      </c>
      <c r="N646" s="413" t="s">
        <v>1330</v>
      </c>
    </row>
    <row r="647">
      <c r="A647" s="409">
        <v>45726.0</v>
      </c>
      <c r="B647" s="102">
        <v>2025.0</v>
      </c>
      <c r="C647" s="410" t="s">
        <v>1306</v>
      </c>
      <c r="D647" s="102" t="s">
        <v>702</v>
      </c>
      <c r="E647" s="102" t="s">
        <v>465</v>
      </c>
      <c r="F647" s="102" t="s">
        <v>711</v>
      </c>
      <c r="G647" s="102" t="s">
        <v>767</v>
      </c>
      <c r="H647" s="360">
        <v>950.0</v>
      </c>
      <c r="I647" s="411" t="b">
        <v>0</v>
      </c>
      <c r="J647" s="102" t="s">
        <v>1221</v>
      </c>
      <c r="K647" s="360">
        <v>131.03448275862058</v>
      </c>
      <c r="L647" s="360">
        <v>818.9655172413794</v>
      </c>
      <c r="M647" s="102" t="s">
        <v>1120</v>
      </c>
      <c r="N647" s="102" t="s">
        <v>1331</v>
      </c>
    </row>
    <row r="648">
      <c r="A648" s="412">
        <v>45726.0</v>
      </c>
      <c r="B648" s="413">
        <v>2025.0</v>
      </c>
      <c r="C648" s="414" t="s">
        <v>1306</v>
      </c>
      <c r="D648" s="413" t="s">
        <v>723</v>
      </c>
      <c r="E648" s="413" t="s">
        <v>137</v>
      </c>
      <c r="F648" s="413" t="s">
        <v>711</v>
      </c>
      <c r="G648" s="413" t="s">
        <v>767</v>
      </c>
      <c r="H648" s="415">
        <v>950.0</v>
      </c>
      <c r="I648" s="416" t="b">
        <v>0</v>
      </c>
      <c r="J648" s="413" t="s">
        <v>1274</v>
      </c>
      <c r="K648" s="415">
        <v>0.0</v>
      </c>
      <c r="L648" s="415">
        <v>950.0</v>
      </c>
      <c r="M648" s="413" t="s">
        <v>1120</v>
      </c>
      <c r="N648" s="413" t="s">
        <v>1332</v>
      </c>
    </row>
    <row r="649">
      <c r="A649" s="409">
        <v>45726.0</v>
      </c>
      <c r="B649" s="102">
        <v>2025.0</v>
      </c>
      <c r="C649" s="410" t="s">
        <v>1306</v>
      </c>
      <c r="D649" s="102" t="s">
        <v>702</v>
      </c>
      <c r="E649" s="102" t="s">
        <v>465</v>
      </c>
      <c r="F649" s="102" t="s">
        <v>703</v>
      </c>
      <c r="G649" s="102" t="s">
        <v>797</v>
      </c>
      <c r="H649" s="360">
        <v>603.0</v>
      </c>
      <c r="I649" s="411" t="b">
        <v>0</v>
      </c>
      <c r="J649" s="102" t="s">
        <v>472</v>
      </c>
      <c r="K649" s="360">
        <v>0.0</v>
      </c>
      <c r="L649" s="360">
        <v>603.0</v>
      </c>
      <c r="M649" s="102" t="s">
        <v>1120</v>
      </c>
      <c r="N649" s="102" t="s">
        <v>1333</v>
      </c>
    </row>
    <row r="650">
      <c r="A650" s="412">
        <v>45726.0</v>
      </c>
      <c r="B650" s="413">
        <v>2025.0</v>
      </c>
      <c r="C650" s="414" t="s">
        <v>1306</v>
      </c>
      <c r="D650" s="413" t="s">
        <v>702</v>
      </c>
      <c r="E650" s="413" t="s">
        <v>465</v>
      </c>
      <c r="F650" s="413" t="s">
        <v>703</v>
      </c>
      <c r="G650" s="413" t="s">
        <v>715</v>
      </c>
      <c r="H650" s="415">
        <v>580.0</v>
      </c>
      <c r="I650" s="416" t="b">
        <v>0</v>
      </c>
      <c r="J650" s="413" t="s">
        <v>472</v>
      </c>
      <c r="K650" s="415">
        <v>0.0</v>
      </c>
      <c r="L650" s="415">
        <v>580.0</v>
      </c>
      <c r="M650" s="413" t="s">
        <v>1120</v>
      </c>
      <c r="N650" s="413" t="s">
        <v>1334</v>
      </c>
    </row>
    <row r="651">
      <c r="A651" s="409">
        <v>45726.0</v>
      </c>
      <c r="B651" s="102">
        <v>2025.0</v>
      </c>
      <c r="C651" s="410" t="s">
        <v>1306</v>
      </c>
      <c r="D651" s="102" t="s">
        <v>702</v>
      </c>
      <c r="E651" s="102" t="s">
        <v>465</v>
      </c>
      <c r="F651" s="102" t="s">
        <v>711</v>
      </c>
      <c r="G651" s="102" t="s">
        <v>730</v>
      </c>
      <c r="H651" s="360">
        <v>98.0</v>
      </c>
      <c r="I651" s="411" t="b">
        <v>0</v>
      </c>
      <c r="J651" s="102" t="s">
        <v>472</v>
      </c>
      <c r="K651" s="360">
        <v>13.517241379310335</v>
      </c>
      <c r="L651" s="360">
        <v>84.48275862068967</v>
      </c>
      <c r="M651" s="102" t="s">
        <v>1120</v>
      </c>
      <c r="N651" s="102" t="s">
        <v>1335</v>
      </c>
    </row>
    <row r="652">
      <c r="A652" s="412">
        <v>45726.0</v>
      </c>
      <c r="B652" s="413">
        <v>2025.0</v>
      </c>
      <c r="C652" s="414" t="s">
        <v>1306</v>
      </c>
      <c r="D652" s="413" t="s">
        <v>710</v>
      </c>
      <c r="E652" s="413" t="s">
        <v>137</v>
      </c>
      <c r="F652" s="413" t="s">
        <v>703</v>
      </c>
      <c r="G652" s="413" t="s">
        <v>715</v>
      </c>
      <c r="H652" s="415">
        <v>572.0</v>
      </c>
      <c r="I652" s="416" t="b">
        <v>0</v>
      </c>
      <c r="J652" s="413" t="s">
        <v>472</v>
      </c>
      <c r="K652" s="415">
        <v>0.0</v>
      </c>
      <c r="L652" s="415">
        <v>572.0</v>
      </c>
      <c r="M652" s="413" t="s">
        <v>1120</v>
      </c>
      <c r="N652" s="413" t="s">
        <v>1336</v>
      </c>
    </row>
    <row r="653">
      <c r="A653" s="409">
        <v>45726.0</v>
      </c>
      <c r="B653" s="102">
        <v>2025.0</v>
      </c>
      <c r="C653" s="410" t="s">
        <v>1306</v>
      </c>
      <c r="D653" s="102" t="s">
        <v>723</v>
      </c>
      <c r="E653" s="102" t="s">
        <v>137</v>
      </c>
      <c r="F653" s="102" t="s">
        <v>711</v>
      </c>
      <c r="G653" s="102" t="s">
        <v>767</v>
      </c>
      <c r="H653" s="360">
        <v>1000.0</v>
      </c>
      <c r="I653" s="411" t="b">
        <v>0</v>
      </c>
      <c r="J653" s="102" t="s">
        <v>1337</v>
      </c>
      <c r="K653" s="360">
        <v>0.0</v>
      </c>
      <c r="L653" s="360">
        <v>1000.0</v>
      </c>
      <c r="M653" s="102" t="s">
        <v>1120</v>
      </c>
      <c r="N653" s="102" t="s">
        <v>1338</v>
      </c>
    </row>
    <row r="654">
      <c r="A654" s="412">
        <v>45726.0</v>
      </c>
      <c r="B654" s="413">
        <v>2025.0</v>
      </c>
      <c r="C654" s="414" t="s">
        <v>1306</v>
      </c>
      <c r="D654" s="413" t="s">
        <v>723</v>
      </c>
      <c r="E654" s="413" t="s">
        <v>137</v>
      </c>
      <c r="F654" s="413" t="s">
        <v>711</v>
      </c>
      <c r="G654" s="413" t="s">
        <v>767</v>
      </c>
      <c r="H654" s="415">
        <v>950.0</v>
      </c>
      <c r="I654" s="416" t="b">
        <v>0</v>
      </c>
      <c r="J654" s="413" t="s">
        <v>1006</v>
      </c>
      <c r="K654" s="415">
        <v>0.0</v>
      </c>
      <c r="L654" s="415">
        <v>950.0</v>
      </c>
      <c r="M654" s="413" t="s">
        <v>1120</v>
      </c>
      <c r="N654" s="413" t="s">
        <v>1339</v>
      </c>
    </row>
    <row r="655">
      <c r="A655" s="409">
        <v>45726.0</v>
      </c>
      <c r="B655" s="102">
        <v>2025.0</v>
      </c>
      <c r="C655" s="410" t="s">
        <v>1306</v>
      </c>
      <c r="D655" s="102" t="s">
        <v>723</v>
      </c>
      <c r="E655" s="102" t="s">
        <v>137</v>
      </c>
      <c r="F655" s="102" t="s">
        <v>711</v>
      </c>
      <c r="G655" s="102" t="s">
        <v>740</v>
      </c>
      <c r="H655" s="360">
        <v>90.0</v>
      </c>
      <c r="I655" s="411" t="b">
        <v>0</v>
      </c>
      <c r="J655" s="102" t="s">
        <v>472</v>
      </c>
      <c r="K655" s="360">
        <v>0.0</v>
      </c>
      <c r="L655" s="360">
        <v>90.0</v>
      </c>
      <c r="M655" s="102" t="s">
        <v>1120</v>
      </c>
      <c r="N655" s="102" t="s">
        <v>1339</v>
      </c>
    </row>
    <row r="656">
      <c r="A656" s="412">
        <v>45726.0</v>
      </c>
      <c r="B656" s="413">
        <v>2025.0</v>
      </c>
      <c r="C656" s="414" t="s">
        <v>1306</v>
      </c>
      <c r="D656" s="413" t="s">
        <v>723</v>
      </c>
      <c r="E656" s="413" t="s">
        <v>137</v>
      </c>
      <c r="F656" s="413" t="s">
        <v>711</v>
      </c>
      <c r="G656" s="413" t="s">
        <v>715</v>
      </c>
      <c r="H656" s="415">
        <v>30.0</v>
      </c>
      <c r="I656" s="416" t="b">
        <v>0</v>
      </c>
      <c r="J656" s="413" t="s">
        <v>472</v>
      </c>
      <c r="K656" s="415">
        <v>0.0</v>
      </c>
      <c r="L656" s="415">
        <v>30.0</v>
      </c>
      <c r="M656" s="413" t="s">
        <v>1120</v>
      </c>
      <c r="N656" s="413" t="s">
        <v>1339</v>
      </c>
    </row>
    <row r="657">
      <c r="A657" s="409">
        <v>45726.0</v>
      </c>
      <c r="B657" s="102">
        <v>2025.0</v>
      </c>
      <c r="C657" s="410" t="s">
        <v>1306</v>
      </c>
      <c r="D657" s="102" t="s">
        <v>723</v>
      </c>
      <c r="E657" s="102" t="s">
        <v>137</v>
      </c>
      <c r="F657" s="102" t="s">
        <v>711</v>
      </c>
      <c r="G657" s="102" t="s">
        <v>715</v>
      </c>
      <c r="H657" s="360">
        <v>30.0</v>
      </c>
      <c r="I657" s="411" t="b">
        <v>0</v>
      </c>
      <c r="J657" s="102" t="s">
        <v>472</v>
      </c>
      <c r="K657" s="360">
        <v>0.0</v>
      </c>
      <c r="L657" s="360">
        <v>30.0</v>
      </c>
      <c r="M657" s="102" t="s">
        <v>1120</v>
      </c>
      <c r="N657" s="102" t="s">
        <v>1339</v>
      </c>
    </row>
    <row r="658">
      <c r="A658" s="412">
        <v>45726.0</v>
      </c>
      <c r="B658" s="413">
        <v>2025.0</v>
      </c>
      <c r="C658" s="414" t="s">
        <v>1306</v>
      </c>
      <c r="D658" s="413" t="s">
        <v>723</v>
      </c>
      <c r="E658" s="413" t="s">
        <v>137</v>
      </c>
      <c r="F658" s="413" t="s">
        <v>711</v>
      </c>
      <c r="G658" s="413" t="s">
        <v>715</v>
      </c>
      <c r="H658" s="415">
        <v>20.0</v>
      </c>
      <c r="I658" s="416" t="b">
        <v>0</v>
      </c>
      <c r="J658" s="413" t="s">
        <v>472</v>
      </c>
      <c r="K658" s="415">
        <v>0.0</v>
      </c>
      <c r="L658" s="415">
        <v>20.0</v>
      </c>
      <c r="M658" s="413" t="s">
        <v>1120</v>
      </c>
      <c r="N658" s="413" t="s">
        <v>1339</v>
      </c>
    </row>
    <row r="659">
      <c r="A659" s="409">
        <v>45727.0</v>
      </c>
      <c r="B659" s="102">
        <v>2025.0</v>
      </c>
      <c r="C659" s="410" t="s">
        <v>1306</v>
      </c>
      <c r="D659" s="102" t="s">
        <v>702</v>
      </c>
      <c r="E659" s="102" t="s">
        <v>465</v>
      </c>
      <c r="F659" s="102" t="s">
        <v>711</v>
      </c>
      <c r="G659" s="102" t="s">
        <v>767</v>
      </c>
      <c r="H659" s="360">
        <v>1050.0</v>
      </c>
      <c r="I659" s="411" t="b">
        <v>0</v>
      </c>
      <c r="J659" s="102" t="s">
        <v>1243</v>
      </c>
      <c r="K659" s="360">
        <v>144.8275862068965</v>
      </c>
      <c r="L659" s="360">
        <v>905.1724137931035</v>
      </c>
      <c r="M659" s="102" t="s">
        <v>1120</v>
      </c>
      <c r="N659" s="102" t="s">
        <v>1340</v>
      </c>
    </row>
    <row r="660">
      <c r="A660" s="412">
        <v>45728.0</v>
      </c>
      <c r="B660" s="413">
        <v>2025.0</v>
      </c>
      <c r="C660" s="414" t="s">
        <v>1306</v>
      </c>
      <c r="D660" s="413" t="s">
        <v>723</v>
      </c>
      <c r="E660" s="413" t="s">
        <v>137</v>
      </c>
      <c r="F660" s="413" t="s">
        <v>711</v>
      </c>
      <c r="G660" s="413" t="s">
        <v>715</v>
      </c>
      <c r="H660" s="415">
        <v>75.0</v>
      </c>
      <c r="I660" s="416" t="b">
        <v>0</v>
      </c>
      <c r="J660" s="413" t="s">
        <v>472</v>
      </c>
      <c r="K660" s="415">
        <v>0.0</v>
      </c>
      <c r="L660" s="415">
        <v>75.0</v>
      </c>
      <c r="M660" s="413" t="s">
        <v>1120</v>
      </c>
      <c r="N660" s="413" t="s">
        <v>1341</v>
      </c>
    </row>
    <row r="661">
      <c r="A661" s="409">
        <v>45728.0</v>
      </c>
      <c r="B661" s="102">
        <v>2025.0</v>
      </c>
      <c r="C661" s="410" t="s">
        <v>1306</v>
      </c>
      <c r="D661" s="102" t="s">
        <v>702</v>
      </c>
      <c r="E661" s="102" t="s">
        <v>465</v>
      </c>
      <c r="F661" s="102" t="s">
        <v>711</v>
      </c>
      <c r="G661" s="102" t="s">
        <v>767</v>
      </c>
      <c r="H661" s="360">
        <v>900.0</v>
      </c>
      <c r="I661" s="411" t="b">
        <v>0</v>
      </c>
      <c r="J661" s="102" t="s">
        <v>1160</v>
      </c>
      <c r="K661" s="360">
        <v>124.13793103448268</v>
      </c>
      <c r="L661" s="360">
        <v>775.8620689655173</v>
      </c>
      <c r="M661" s="102" t="s">
        <v>1120</v>
      </c>
      <c r="N661" s="102" t="s">
        <v>1342</v>
      </c>
    </row>
    <row r="662">
      <c r="A662" s="412">
        <v>45730.0</v>
      </c>
      <c r="B662" s="413">
        <v>2025.0</v>
      </c>
      <c r="C662" s="414" t="s">
        <v>1306</v>
      </c>
      <c r="D662" s="413" t="s">
        <v>723</v>
      </c>
      <c r="E662" s="413" t="s">
        <v>137</v>
      </c>
      <c r="F662" s="413" t="s">
        <v>711</v>
      </c>
      <c r="G662" s="413" t="s">
        <v>767</v>
      </c>
      <c r="H662" s="415">
        <v>1000.0</v>
      </c>
      <c r="I662" s="416" t="b">
        <v>0</v>
      </c>
      <c r="J662" s="413" t="s">
        <v>1343</v>
      </c>
      <c r="K662" s="415">
        <v>0.0</v>
      </c>
      <c r="L662" s="415">
        <v>1000.0</v>
      </c>
      <c r="M662" s="413" t="s">
        <v>1120</v>
      </c>
      <c r="N662" s="413" t="s">
        <v>1344</v>
      </c>
    </row>
    <row r="663">
      <c r="A663" s="409">
        <v>45730.0</v>
      </c>
      <c r="B663" s="102">
        <v>2025.0</v>
      </c>
      <c r="C663" s="410" t="s">
        <v>1306</v>
      </c>
      <c r="D663" s="102" t="s">
        <v>723</v>
      </c>
      <c r="E663" s="102" t="s">
        <v>137</v>
      </c>
      <c r="F663" s="102" t="s">
        <v>711</v>
      </c>
      <c r="G663" s="102" t="s">
        <v>740</v>
      </c>
      <c r="H663" s="360">
        <v>14.0</v>
      </c>
      <c r="I663" s="411" t="b">
        <v>0</v>
      </c>
      <c r="J663" s="102" t="s">
        <v>472</v>
      </c>
      <c r="K663" s="360">
        <v>0.0</v>
      </c>
      <c r="L663" s="360">
        <v>14.0</v>
      </c>
      <c r="M663" s="102" t="s">
        <v>1120</v>
      </c>
      <c r="N663" s="102" t="s">
        <v>1345</v>
      </c>
    </row>
    <row r="664">
      <c r="A664" s="412">
        <v>45730.0</v>
      </c>
      <c r="B664" s="413">
        <v>2025.0</v>
      </c>
      <c r="C664" s="414" t="s">
        <v>1306</v>
      </c>
      <c r="D664" s="413" t="s">
        <v>723</v>
      </c>
      <c r="E664" s="413" t="s">
        <v>137</v>
      </c>
      <c r="F664" s="413" t="s">
        <v>711</v>
      </c>
      <c r="G664" s="413" t="s">
        <v>740</v>
      </c>
      <c r="H664" s="415">
        <v>10.0</v>
      </c>
      <c r="I664" s="416" t="b">
        <v>0</v>
      </c>
      <c r="J664" s="413" t="s">
        <v>472</v>
      </c>
      <c r="K664" s="415">
        <v>0.0</v>
      </c>
      <c r="L664" s="415">
        <v>10.0</v>
      </c>
      <c r="M664" s="413" t="s">
        <v>1120</v>
      </c>
      <c r="N664" s="413" t="s">
        <v>1346</v>
      </c>
    </row>
    <row r="665">
      <c r="A665" s="409">
        <v>45730.0</v>
      </c>
      <c r="B665" s="102">
        <v>2025.0</v>
      </c>
      <c r="C665" s="410" t="s">
        <v>1306</v>
      </c>
      <c r="D665" s="102" t="s">
        <v>702</v>
      </c>
      <c r="E665" s="102" t="s">
        <v>465</v>
      </c>
      <c r="F665" s="102" t="s">
        <v>711</v>
      </c>
      <c r="G665" s="102" t="s">
        <v>730</v>
      </c>
      <c r="H665" s="360">
        <v>62.0</v>
      </c>
      <c r="I665" s="411" t="b">
        <v>0</v>
      </c>
      <c r="J665" s="102" t="s">
        <v>472</v>
      </c>
      <c r="K665" s="360">
        <v>8.551724137931032</v>
      </c>
      <c r="L665" s="360">
        <v>53.44827586206897</v>
      </c>
      <c r="M665" s="102" t="s">
        <v>1120</v>
      </c>
      <c r="N665" s="102" t="s">
        <v>1347</v>
      </c>
    </row>
    <row r="666">
      <c r="A666" s="412">
        <v>45730.0</v>
      </c>
      <c r="B666" s="413">
        <v>2025.0</v>
      </c>
      <c r="C666" s="414" t="s">
        <v>1306</v>
      </c>
      <c r="D666" s="413" t="s">
        <v>723</v>
      </c>
      <c r="E666" s="413" t="s">
        <v>137</v>
      </c>
      <c r="F666" s="413" t="s">
        <v>711</v>
      </c>
      <c r="G666" s="413" t="s">
        <v>767</v>
      </c>
      <c r="H666" s="415">
        <v>840.0</v>
      </c>
      <c r="I666" s="416" t="b">
        <v>0</v>
      </c>
      <c r="J666" s="413" t="s">
        <v>1348</v>
      </c>
      <c r="K666" s="415">
        <v>0.0</v>
      </c>
      <c r="L666" s="415">
        <v>840.0</v>
      </c>
      <c r="M666" s="413" t="s">
        <v>1120</v>
      </c>
      <c r="N666" s="413" t="s">
        <v>1349</v>
      </c>
    </row>
    <row r="667">
      <c r="A667" s="409">
        <v>45730.0</v>
      </c>
      <c r="B667" s="102">
        <v>2025.0</v>
      </c>
      <c r="C667" s="410" t="s">
        <v>1306</v>
      </c>
      <c r="D667" s="102" t="s">
        <v>702</v>
      </c>
      <c r="E667" s="102" t="s">
        <v>465</v>
      </c>
      <c r="F667" s="102" t="s">
        <v>711</v>
      </c>
      <c r="G667" s="102" t="s">
        <v>767</v>
      </c>
      <c r="H667" s="360">
        <v>950.0</v>
      </c>
      <c r="I667" s="411" t="b">
        <v>0</v>
      </c>
      <c r="J667" s="102" t="s">
        <v>1350</v>
      </c>
      <c r="K667" s="360">
        <v>131.03448275862058</v>
      </c>
      <c r="L667" s="360">
        <v>818.9655172413794</v>
      </c>
      <c r="M667" s="102" t="s">
        <v>1120</v>
      </c>
      <c r="N667" s="102" t="s">
        <v>1351</v>
      </c>
    </row>
    <row r="668">
      <c r="A668" s="412">
        <v>45730.0</v>
      </c>
      <c r="B668" s="413">
        <v>2025.0</v>
      </c>
      <c r="C668" s="414" t="s">
        <v>1306</v>
      </c>
      <c r="D668" s="413" t="s">
        <v>702</v>
      </c>
      <c r="E668" s="413" t="s">
        <v>465</v>
      </c>
      <c r="F668" s="413" t="s">
        <v>711</v>
      </c>
      <c r="G668" s="413" t="s">
        <v>767</v>
      </c>
      <c r="H668" s="415">
        <v>950.0</v>
      </c>
      <c r="I668" s="416" t="b">
        <v>0</v>
      </c>
      <c r="J668" s="413" t="s">
        <v>1255</v>
      </c>
      <c r="K668" s="415">
        <v>131.03448275862058</v>
      </c>
      <c r="L668" s="415">
        <v>818.9655172413794</v>
      </c>
      <c r="M668" s="413" t="s">
        <v>1120</v>
      </c>
      <c r="N668" s="413" t="s">
        <v>1352</v>
      </c>
    </row>
    <row r="669">
      <c r="A669" s="409">
        <v>45731.0</v>
      </c>
      <c r="B669" s="102">
        <v>2025.0</v>
      </c>
      <c r="C669" s="410" t="s">
        <v>1306</v>
      </c>
      <c r="D669" s="102" t="s">
        <v>723</v>
      </c>
      <c r="E669" s="102" t="s">
        <v>137</v>
      </c>
      <c r="F669" s="102" t="s">
        <v>711</v>
      </c>
      <c r="G669" s="102" t="s">
        <v>767</v>
      </c>
      <c r="H669" s="360">
        <v>525.0</v>
      </c>
      <c r="I669" s="411" t="b">
        <v>0</v>
      </c>
      <c r="J669" s="102" t="s">
        <v>1232</v>
      </c>
      <c r="K669" s="360">
        <v>0.0</v>
      </c>
      <c r="L669" s="360">
        <v>525.0</v>
      </c>
      <c r="M669" s="102" t="s">
        <v>1120</v>
      </c>
      <c r="N669" s="102" t="s">
        <v>1353</v>
      </c>
    </row>
    <row r="670">
      <c r="A670" s="412">
        <v>45731.0</v>
      </c>
      <c r="B670" s="413">
        <v>2025.0</v>
      </c>
      <c r="C670" s="414" t="s">
        <v>1306</v>
      </c>
      <c r="D670" s="413" t="s">
        <v>723</v>
      </c>
      <c r="E670" s="413" t="s">
        <v>137</v>
      </c>
      <c r="F670" s="413" t="s">
        <v>711</v>
      </c>
      <c r="G670" s="413" t="s">
        <v>715</v>
      </c>
      <c r="H670" s="415">
        <v>22.0</v>
      </c>
      <c r="I670" s="416" t="b">
        <v>0</v>
      </c>
      <c r="J670" s="413" t="s">
        <v>472</v>
      </c>
      <c r="K670" s="415">
        <v>0.0</v>
      </c>
      <c r="L670" s="415">
        <v>22.0</v>
      </c>
      <c r="M670" s="413" t="s">
        <v>1120</v>
      </c>
      <c r="N670" s="413" t="s">
        <v>1354</v>
      </c>
    </row>
    <row r="671">
      <c r="A671" s="409">
        <v>45731.0</v>
      </c>
      <c r="B671" s="102">
        <v>2025.0</v>
      </c>
      <c r="C671" s="410" t="s">
        <v>1306</v>
      </c>
      <c r="D671" s="102" t="s">
        <v>723</v>
      </c>
      <c r="E671" s="102" t="s">
        <v>137</v>
      </c>
      <c r="F671" s="102" t="s">
        <v>711</v>
      </c>
      <c r="G671" s="102" t="s">
        <v>740</v>
      </c>
      <c r="H671" s="360">
        <v>15.0</v>
      </c>
      <c r="I671" s="411" t="b">
        <v>0</v>
      </c>
      <c r="J671" s="102" t="s">
        <v>472</v>
      </c>
      <c r="K671" s="360">
        <v>0.0</v>
      </c>
      <c r="L671" s="360">
        <v>15.0</v>
      </c>
      <c r="M671" s="102" t="s">
        <v>1120</v>
      </c>
      <c r="N671" s="102" t="s">
        <v>1355</v>
      </c>
    </row>
    <row r="672">
      <c r="A672" s="412">
        <v>45731.0</v>
      </c>
      <c r="B672" s="413">
        <v>2025.0</v>
      </c>
      <c r="C672" s="414" t="s">
        <v>1306</v>
      </c>
      <c r="D672" s="413" t="s">
        <v>723</v>
      </c>
      <c r="E672" s="413" t="s">
        <v>137</v>
      </c>
      <c r="F672" s="413" t="s">
        <v>711</v>
      </c>
      <c r="G672" s="413" t="s">
        <v>715</v>
      </c>
      <c r="H672" s="415">
        <v>78.0</v>
      </c>
      <c r="I672" s="416" t="b">
        <v>0</v>
      </c>
      <c r="J672" s="413" t="s">
        <v>472</v>
      </c>
      <c r="K672" s="415">
        <v>0.0</v>
      </c>
      <c r="L672" s="415">
        <v>78.0</v>
      </c>
      <c r="M672" s="413" t="s">
        <v>1120</v>
      </c>
      <c r="N672" s="413" t="s">
        <v>1356</v>
      </c>
    </row>
    <row r="673">
      <c r="A673" s="409">
        <v>45731.0</v>
      </c>
      <c r="B673" s="102">
        <v>2025.0</v>
      </c>
      <c r="C673" s="410" t="s">
        <v>1306</v>
      </c>
      <c r="D673" s="102" t="s">
        <v>702</v>
      </c>
      <c r="E673" s="102" t="s">
        <v>465</v>
      </c>
      <c r="F673" s="102" t="s">
        <v>711</v>
      </c>
      <c r="G673" s="102" t="s">
        <v>730</v>
      </c>
      <c r="H673" s="360">
        <v>7.0</v>
      </c>
      <c r="I673" s="411" t="b">
        <v>0</v>
      </c>
      <c r="J673" s="102" t="s">
        <v>472</v>
      </c>
      <c r="K673" s="360">
        <v>0.9655172413793096</v>
      </c>
      <c r="L673" s="360">
        <v>6.03448275862069</v>
      </c>
      <c r="M673" s="102" t="s">
        <v>1120</v>
      </c>
      <c r="N673" s="102" t="s">
        <v>1357</v>
      </c>
    </row>
    <row r="674">
      <c r="A674" s="412">
        <v>45734.0</v>
      </c>
      <c r="B674" s="413">
        <v>2025.0</v>
      </c>
      <c r="C674" s="414" t="s">
        <v>1306</v>
      </c>
      <c r="D674" s="413" t="s">
        <v>702</v>
      </c>
      <c r="E674" s="413" t="s">
        <v>465</v>
      </c>
      <c r="F674" s="413" t="s">
        <v>711</v>
      </c>
      <c r="G674" s="413" t="s">
        <v>767</v>
      </c>
      <c r="H674" s="415">
        <v>500.0</v>
      </c>
      <c r="I674" s="416" t="b">
        <v>0</v>
      </c>
      <c r="J674" s="413" t="s">
        <v>1246</v>
      </c>
      <c r="K674" s="415">
        <v>68.9655172413793</v>
      </c>
      <c r="L674" s="415">
        <v>431.0344827586207</v>
      </c>
      <c r="M674" s="413" t="s">
        <v>1120</v>
      </c>
      <c r="N674" s="413" t="s">
        <v>1358</v>
      </c>
    </row>
    <row r="675">
      <c r="A675" s="409">
        <v>45734.0</v>
      </c>
      <c r="B675" s="102">
        <v>2025.0</v>
      </c>
      <c r="C675" s="410" t="s">
        <v>1306</v>
      </c>
      <c r="D675" s="102" t="s">
        <v>723</v>
      </c>
      <c r="E675" s="102" t="s">
        <v>137</v>
      </c>
      <c r="F675" s="102" t="s">
        <v>711</v>
      </c>
      <c r="G675" s="102" t="s">
        <v>767</v>
      </c>
      <c r="H675" s="360">
        <v>550.0</v>
      </c>
      <c r="I675" s="411" t="b">
        <v>0</v>
      </c>
      <c r="J675" s="102" t="s">
        <v>1246</v>
      </c>
      <c r="K675" s="360">
        <v>0.0</v>
      </c>
      <c r="L675" s="360">
        <v>550.0</v>
      </c>
      <c r="M675" s="102" t="s">
        <v>1120</v>
      </c>
      <c r="N675" s="102" t="s">
        <v>1359</v>
      </c>
    </row>
    <row r="676">
      <c r="A676" s="412">
        <v>45740.0</v>
      </c>
      <c r="B676" s="413">
        <v>2025.0</v>
      </c>
      <c r="C676" s="414" t="s">
        <v>1306</v>
      </c>
      <c r="D676" s="413" t="s">
        <v>723</v>
      </c>
      <c r="E676" s="413" t="s">
        <v>137</v>
      </c>
      <c r="F676" s="413" t="s">
        <v>711</v>
      </c>
      <c r="G676" s="413" t="s">
        <v>767</v>
      </c>
      <c r="H676" s="415">
        <v>550.0</v>
      </c>
      <c r="I676" s="416" t="b">
        <v>0</v>
      </c>
      <c r="J676" s="413" t="s">
        <v>1216</v>
      </c>
      <c r="K676" s="415">
        <v>0.0</v>
      </c>
      <c r="L676" s="415">
        <v>550.0</v>
      </c>
      <c r="M676" s="413" t="s">
        <v>1120</v>
      </c>
      <c r="N676" s="413" t="s">
        <v>1360</v>
      </c>
    </row>
    <row r="677">
      <c r="A677" s="409">
        <v>45740.0</v>
      </c>
      <c r="B677" s="102">
        <v>2025.0</v>
      </c>
      <c r="C677" s="410" t="s">
        <v>1306</v>
      </c>
      <c r="D677" s="102" t="s">
        <v>723</v>
      </c>
      <c r="E677" s="102" t="s">
        <v>137</v>
      </c>
      <c r="F677" s="102" t="s">
        <v>711</v>
      </c>
      <c r="G677" s="102" t="s">
        <v>734</v>
      </c>
      <c r="H677" s="360">
        <v>180.0</v>
      </c>
      <c r="I677" s="411" t="b">
        <v>0</v>
      </c>
      <c r="J677" s="102" t="s">
        <v>472</v>
      </c>
      <c r="K677" s="360">
        <v>0.0</v>
      </c>
      <c r="L677" s="360">
        <v>180.0</v>
      </c>
      <c r="M677" s="102" t="s">
        <v>1120</v>
      </c>
      <c r="N677" s="102" t="s">
        <v>1361</v>
      </c>
    </row>
    <row r="678">
      <c r="A678" s="412">
        <v>45740.0</v>
      </c>
      <c r="B678" s="413">
        <v>2025.0</v>
      </c>
      <c r="C678" s="414" t="s">
        <v>1306</v>
      </c>
      <c r="D678" s="413" t="s">
        <v>702</v>
      </c>
      <c r="E678" s="413" t="s">
        <v>465</v>
      </c>
      <c r="F678" s="413" t="s">
        <v>703</v>
      </c>
      <c r="G678" s="413" t="s">
        <v>715</v>
      </c>
      <c r="H678" s="415">
        <v>2295.0</v>
      </c>
      <c r="I678" s="416" t="b">
        <v>0</v>
      </c>
      <c r="J678" s="413" t="s">
        <v>472</v>
      </c>
      <c r="K678" s="415">
        <v>0.0</v>
      </c>
      <c r="L678" s="415">
        <v>2295.0</v>
      </c>
      <c r="M678" s="413" t="s">
        <v>1120</v>
      </c>
      <c r="N678" s="413" t="s">
        <v>1362</v>
      </c>
    </row>
    <row r="679">
      <c r="A679" s="409">
        <v>45740.0</v>
      </c>
      <c r="B679" s="102">
        <v>2025.0</v>
      </c>
      <c r="C679" s="410" t="s">
        <v>1306</v>
      </c>
      <c r="D679" s="102" t="s">
        <v>702</v>
      </c>
      <c r="E679" s="102" t="s">
        <v>465</v>
      </c>
      <c r="F679" s="102" t="s">
        <v>703</v>
      </c>
      <c r="G679" s="102" t="s">
        <v>715</v>
      </c>
      <c r="H679" s="360">
        <v>7030.0</v>
      </c>
      <c r="I679" s="411" t="b">
        <v>0</v>
      </c>
      <c r="J679" s="102" t="s">
        <v>472</v>
      </c>
      <c r="K679" s="360">
        <v>0.0</v>
      </c>
      <c r="L679" s="360">
        <v>7030.0</v>
      </c>
      <c r="M679" s="102" t="s">
        <v>1120</v>
      </c>
      <c r="N679" s="102" t="s">
        <v>1363</v>
      </c>
    </row>
    <row r="680">
      <c r="A680" s="412">
        <v>45740.0</v>
      </c>
      <c r="B680" s="413">
        <v>2025.0</v>
      </c>
      <c r="C680" s="414" t="s">
        <v>1306</v>
      </c>
      <c r="D680" s="413" t="s">
        <v>702</v>
      </c>
      <c r="E680" s="413" t="s">
        <v>465</v>
      </c>
      <c r="F680" s="413" t="s">
        <v>711</v>
      </c>
      <c r="G680" s="413" t="s">
        <v>730</v>
      </c>
      <c r="H680" s="415">
        <v>156.0</v>
      </c>
      <c r="I680" s="416" t="b">
        <v>0</v>
      </c>
      <c r="J680" s="413" t="s">
        <v>472</v>
      </c>
      <c r="K680" s="415">
        <v>21.51724137931035</v>
      </c>
      <c r="L680" s="415">
        <v>134.48275862068965</v>
      </c>
      <c r="M680" s="413" t="s">
        <v>1120</v>
      </c>
      <c r="N680" s="413" t="s">
        <v>1364</v>
      </c>
    </row>
    <row r="681">
      <c r="A681" s="409">
        <v>45740.0</v>
      </c>
      <c r="B681" s="102">
        <v>2025.0</v>
      </c>
      <c r="C681" s="410" t="s">
        <v>1306</v>
      </c>
      <c r="D681" s="102" t="s">
        <v>723</v>
      </c>
      <c r="E681" s="102" t="s">
        <v>137</v>
      </c>
      <c r="F681" s="102" t="s">
        <v>703</v>
      </c>
      <c r="G681" s="102" t="s">
        <v>732</v>
      </c>
      <c r="H681" s="360">
        <v>51.0</v>
      </c>
      <c r="I681" s="411" t="b">
        <v>0</v>
      </c>
      <c r="J681" s="102" t="s">
        <v>472</v>
      </c>
      <c r="K681" s="360">
        <v>0.0</v>
      </c>
      <c r="L681" s="360">
        <v>51.0</v>
      </c>
      <c r="M681" s="102" t="s">
        <v>1120</v>
      </c>
      <c r="N681" s="102" t="s">
        <v>1365</v>
      </c>
    </row>
    <row r="682">
      <c r="A682" s="412">
        <v>45740.0</v>
      </c>
      <c r="B682" s="413">
        <v>2025.0</v>
      </c>
      <c r="C682" s="414" t="s">
        <v>1306</v>
      </c>
      <c r="D682" s="413" t="s">
        <v>702</v>
      </c>
      <c r="E682" s="413" t="s">
        <v>465</v>
      </c>
      <c r="F682" s="413" t="s">
        <v>703</v>
      </c>
      <c r="G682" s="413" t="s">
        <v>715</v>
      </c>
      <c r="H682" s="415">
        <v>250.0</v>
      </c>
      <c r="I682" s="416" t="b">
        <v>0</v>
      </c>
      <c r="J682" s="413" t="s">
        <v>472</v>
      </c>
      <c r="K682" s="415">
        <v>0.0</v>
      </c>
      <c r="L682" s="415">
        <v>250.0</v>
      </c>
      <c r="M682" s="413" t="s">
        <v>1120</v>
      </c>
      <c r="N682" s="413" t="s">
        <v>1365</v>
      </c>
    </row>
    <row r="683">
      <c r="A683" s="409">
        <v>45747.0</v>
      </c>
      <c r="B683" s="102">
        <v>2025.0</v>
      </c>
      <c r="C683" s="410" t="s">
        <v>1306</v>
      </c>
      <c r="D683" s="102" t="s">
        <v>710</v>
      </c>
      <c r="E683" s="102" t="s">
        <v>137</v>
      </c>
      <c r="F683" s="102" t="s">
        <v>703</v>
      </c>
      <c r="G683" s="102" t="s">
        <v>715</v>
      </c>
      <c r="H683" s="360">
        <v>2000.0</v>
      </c>
      <c r="I683" s="411" t="b">
        <v>0</v>
      </c>
      <c r="J683" s="102" t="s">
        <v>472</v>
      </c>
      <c r="K683" s="360">
        <v>0.0</v>
      </c>
      <c r="L683" s="360">
        <v>2000.0</v>
      </c>
      <c r="M683" s="102" t="s">
        <v>1120</v>
      </c>
      <c r="N683" s="102" t="s">
        <v>1366</v>
      </c>
    </row>
    <row r="684">
      <c r="A684" s="412">
        <v>45747.0</v>
      </c>
      <c r="B684" s="413">
        <v>2025.0</v>
      </c>
      <c r="C684" s="414" t="s">
        <v>1306</v>
      </c>
      <c r="D684" s="413" t="s">
        <v>723</v>
      </c>
      <c r="E684" s="413" t="s">
        <v>137</v>
      </c>
      <c r="F684" s="413" t="s">
        <v>711</v>
      </c>
      <c r="G684" s="413" t="s">
        <v>767</v>
      </c>
      <c r="H684" s="415">
        <v>550.0</v>
      </c>
      <c r="I684" s="416" t="b">
        <v>0</v>
      </c>
      <c r="J684" s="413" t="s">
        <v>1367</v>
      </c>
      <c r="K684" s="415">
        <v>0.0</v>
      </c>
      <c r="L684" s="415">
        <v>550.0</v>
      </c>
      <c r="M684" s="413" t="s">
        <v>1120</v>
      </c>
      <c r="N684" s="413" t="s">
        <v>1368</v>
      </c>
    </row>
    <row r="685">
      <c r="A685" s="409">
        <v>45747.0</v>
      </c>
      <c r="B685" s="102">
        <v>2025.0</v>
      </c>
      <c r="C685" s="410" t="s">
        <v>1306</v>
      </c>
      <c r="D685" s="102" t="s">
        <v>723</v>
      </c>
      <c r="E685" s="102" t="s">
        <v>137</v>
      </c>
      <c r="F685" s="102" t="s">
        <v>711</v>
      </c>
      <c r="G685" s="102" t="s">
        <v>767</v>
      </c>
      <c r="H685" s="360">
        <v>950.0</v>
      </c>
      <c r="I685" s="411" t="b">
        <v>0</v>
      </c>
      <c r="J685" s="102" t="s">
        <v>1297</v>
      </c>
      <c r="K685" s="360">
        <v>0.0</v>
      </c>
      <c r="L685" s="360">
        <v>950.0</v>
      </c>
      <c r="M685" s="102" t="s">
        <v>1120</v>
      </c>
      <c r="N685" s="102" t="s">
        <v>1369</v>
      </c>
    </row>
    <row r="686">
      <c r="A686" s="412">
        <v>45747.0</v>
      </c>
      <c r="B686" s="413">
        <v>2025.0</v>
      </c>
      <c r="C686" s="414" t="s">
        <v>1306</v>
      </c>
      <c r="D686" s="413" t="s">
        <v>723</v>
      </c>
      <c r="E686" s="413" t="s">
        <v>137</v>
      </c>
      <c r="F686" s="413" t="s">
        <v>703</v>
      </c>
      <c r="G686" s="413" t="s">
        <v>724</v>
      </c>
      <c r="H686" s="415">
        <v>10368.0</v>
      </c>
      <c r="I686" s="416" t="b">
        <v>1</v>
      </c>
      <c r="J686" s="413" t="s">
        <v>472</v>
      </c>
      <c r="K686" s="415">
        <v>0.0</v>
      </c>
      <c r="L686" s="415">
        <v>0.0</v>
      </c>
      <c r="M686" s="413" t="s">
        <v>1120</v>
      </c>
      <c r="N686" s="413" t="s">
        <v>1370</v>
      </c>
    </row>
    <row r="687">
      <c r="A687" s="409">
        <v>45747.0</v>
      </c>
      <c r="B687" s="102">
        <v>2025.0</v>
      </c>
      <c r="C687" s="410" t="s">
        <v>1306</v>
      </c>
      <c r="D687" s="102" t="s">
        <v>710</v>
      </c>
      <c r="E687" s="102" t="s">
        <v>137</v>
      </c>
      <c r="F687" s="102" t="s">
        <v>711</v>
      </c>
      <c r="G687" s="102" t="s">
        <v>724</v>
      </c>
      <c r="H687" s="360">
        <v>10368.0</v>
      </c>
      <c r="I687" s="411" t="b">
        <v>1</v>
      </c>
      <c r="J687" s="102" t="s">
        <v>472</v>
      </c>
      <c r="K687" s="360">
        <v>0.0</v>
      </c>
      <c r="L687" s="360">
        <v>0.0</v>
      </c>
      <c r="M687" s="102" t="s">
        <v>1120</v>
      </c>
      <c r="N687" s="102" t="s">
        <v>1370</v>
      </c>
    </row>
    <row r="688">
      <c r="A688" s="412">
        <v>45747.0</v>
      </c>
      <c r="B688" s="413">
        <v>2025.0</v>
      </c>
      <c r="C688" s="414" t="s">
        <v>1306</v>
      </c>
      <c r="D688" s="413" t="s">
        <v>710</v>
      </c>
      <c r="E688" s="413" t="s">
        <v>137</v>
      </c>
      <c r="F688" s="413" t="s">
        <v>711</v>
      </c>
      <c r="G688" s="413" t="s">
        <v>734</v>
      </c>
      <c r="H688" s="415">
        <v>550.0</v>
      </c>
      <c r="I688" s="416" t="b">
        <v>0</v>
      </c>
      <c r="J688" s="413" t="s">
        <v>1371</v>
      </c>
      <c r="K688" s="415">
        <v>0.0</v>
      </c>
      <c r="L688" s="415">
        <v>550.0</v>
      </c>
      <c r="M688" s="413" t="s">
        <v>1120</v>
      </c>
      <c r="N688" s="413" t="s">
        <v>1372</v>
      </c>
    </row>
    <row r="689">
      <c r="A689" s="409">
        <v>45747.0</v>
      </c>
      <c r="B689" s="102">
        <v>2025.0</v>
      </c>
      <c r="C689" s="410" t="s">
        <v>1306</v>
      </c>
      <c r="D689" s="102" t="s">
        <v>710</v>
      </c>
      <c r="E689" s="102" t="s">
        <v>137</v>
      </c>
      <c r="F689" s="102" t="s">
        <v>711</v>
      </c>
      <c r="G689" s="102" t="s">
        <v>734</v>
      </c>
      <c r="H689" s="360">
        <v>731.0</v>
      </c>
      <c r="I689" s="411" t="b">
        <v>0</v>
      </c>
      <c r="J689" s="102" t="s">
        <v>472</v>
      </c>
      <c r="K689" s="360">
        <v>0.0</v>
      </c>
      <c r="L689" s="360">
        <v>731.0</v>
      </c>
      <c r="M689" s="102" t="s">
        <v>1120</v>
      </c>
      <c r="N689" s="102" t="s">
        <v>1373</v>
      </c>
    </row>
    <row r="690">
      <c r="A690" s="412">
        <v>45748.0</v>
      </c>
      <c r="B690" s="413">
        <v>2025.0</v>
      </c>
      <c r="C690" s="414" t="s">
        <v>1374</v>
      </c>
      <c r="D690" s="413" t="s">
        <v>702</v>
      </c>
      <c r="E690" s="413" t="s">
        <v>465</v>
      </c>
      <c r="F690" s="413" t="s">
        <v>703</v>
      </c>
      <c r="G690" s="413" t="s">
        <v>715</v>
      </c>
      <c r="H690" s="415">
        <v>1054.0</v>
      </c>
      <c r="I690" s="416" t="b">
        <v>0</v>
      </c>
      <c r="J690" s="413" t="s">
        <v>472</v>
      </c>
      <c r="K690" s="415">
        <v>0.0</v>
      </c>
      <c r="L690" s="415">
        <v>1054.0</v>
      </c>
      <c r="M690" s="413" t="s">
        <v>1120</v>
      </c>
      <c r="N690" s="413" t="s">
        <v>1375</v>
      </c>
    </row>
    <row r="691">
      <c r="A691" s="409">
        <v>45748.0</v>
      </c>
      <c r="B691" s="102">
        <v>2025.0</v>
      </c>
      <c r="C691" s="410" t="s">
        <v>1374</v>
      </c>
      <c r="D691" s="102" t="s">
        <v>702</v>
      </c>
      <c r="E691" s="102" t="s">
        <v>465</v>
      </c>
      <c r="F691" s="102" t="s">
        <v>703</v>
      </c>
      <c r="G691" s="102" t="s">
        <v>732</v>
      </c>
      <c r="H691" s="360">
        <v>680.0</v>
      </c>
      <c r="I691" s="411" t="b">
        <v>0</v>
      </c>
      <c r="J691" s="102" t="s">
        <v>472</v>
      </c>
      <c r="K691" s="360">
        <v>0.0</v>
      </c>
      <c r="L691" s="360">
        <v>680.0</v>
      </c>
      <c r="M691" s="102" t="s">
        <v>1120</v>
      </c>
      <c r="N691" s="102" t="s">
        <v>1376</v>
      </c>
    </row>
    <row r="692">
      <c r="A692" s="412">
        <v>45748.0</v>
      </c>
      <c r="B692" s="413">
        <v>2025.0</v>
      </c>
      <c r="C692" s="414" t="s">
        <v>1374</v>
      </c>
      <c r="D692" s="413" t="s">
        <v>710</v>
      </c>
      <c r="E692" s="413" t="s">
        <v>137</v>
      </c>
      <c r="F692" s="413" t="s">
        <v>703</v>
      </c>
      <c r="G692" s="413" t="s">
        <v>732</v>
      </c>
      <c r="H692" s="415">
        <v>110.0</v>
      </c>
      <c r="I692" s="416" t="b">
        <v>0</v>
      </c>
      <c r="J692" s="413" t="s">
        <v>472</v>
      </c>
      <c r="K692" s="415">
        <v>0.0</v>
      </c>
      <c r="L692" s="415">
        <v>110.0</v>
      </c>
      <c r="M692" s="413" t="s">
        <v>1120</v>
      </c>
      <c r="N692" s="413" t="s">
        <v>1377</v>
      </c>
    </row>
    <row r="693">
      <c r="A693" s="409">
        <v>45749.0</v>
      </c>
      <c r="B693" s="102">
        <v>2025.0</v>
      </c>
      <c r="C693" s="410" t="s">
        <v>1374</v>
      </c>
      <c r="D693" s="102" t="s">
        <v>710</v>
      </c>
      <c r="E693" s="102" t="s">
        <v>137</v>
      </c>
      <c r="F693" s="102" t="s">
        <v>711</v>
      </c>
      <c r="G693" s="102" t="s">
        <v>767</v>
      </c>
      <c r="H693" s="360">
        <v>1300.0</v>
      </c>
      <c r="I693" s="411" t="b">
        <v>0</v>
      </c>
      <c r="J693" s="102" t="s">
        <v>1248</v>
      </c>
      <c r="K693" s="360">
        <v>0.0</v>
      </c>
      <c r="L693" s="360">
        <v>1300.0</v>
      </c>
      <c r="M693" s="102" t="s">
        <v>1120</v>
      </c>
      <c r="N693" s="102" t="s">
        <v>1378</v>
      </c>
    </row>
    <row r="694">
      <c r="A694" s="412">
        <v>45749.0</v>
      </c>
      <c r="B694" s="413">
        <v>2025.0</v>
      </c>
      <c r="C694" s="414" t="s">
        <v>1374</v>
      </c>
      <c r="D694" s="413" t="s">
        <v>702</v>
      </c>
      <c r="E694" s="413" t="s">
        <v>465</v>
      </c>
      <c r="F694" s="413" t="s">
        <v>711</v>
      </c>
      <c r="G694" s="413" t="s">
        <v>767</v>
      </c>
      <c r="H694" s="415">
        <v>550.0</v>
      </c>
      <c r="I694" s="416" t="b">
        <v>0</v>
      </c>
      <c r="J694" s="413" t="s">
        <v>1190</v>
      </c>
      <c r="K694" s="415">
        <v>75.86206896551721</v>
      </c>
      <c r="L694" s="415">
        <v>474.1379310344828</v>
      </c>
      <c r="M694" s="413" t="s">
        <v>1120</v>
      </c>
      <c r="N694" s="413" t="s">
        <v>1379</v>
      </c>
    </row>
    <row r="695">
      <c r="A695" s="409">
        <v>45750.0</v>
      </c>
      <c r="B695" s="102">
        <v>2025.0</v>
      </c>
      <c r="C695" s="410" t="s">
        <v>1374</v>
      </c>
      <c r="D695" s="102" t="s">
        <v>710</v>
      </c>
      <c r="E695" s="102" t="s">
        <v>137</v>
      </c>
      <c r="F695" s="102" t="s">
        <v>711</v>
      </c>
      <c r="G695" s="102" t="s">
        <v>767</v>
      </c>
      <c r="H695" s="360">
        <v>800.0</v>
      </c>
      <c r="I695" s="411" t="b">
        <v>0</v>
      </c>
      <c r="J695" s="102" t="s">
        <v>458</v>
      </c>
      <c r="K695" s="360">
        <v>0.0</v>
      </c>
      <c r="L695" s="360">
        <v>800.0</v>
      </c>
      <c r="M695" s="102" t="s">
        <v>1120</v>
      </c>
      <c r="N695" s="102" t="s">
        <v>1380</v>
      </c>
    </row>
    <row r="696">
      <c r="A696" s="412">
        <v>45750.0</v>
      </c>
      <c r="B696" s="413">
        <v>2025.0</v>
      </c>
      <c r="C696" s="414" t="s">
        <v>1374</v>
      </c>
      <c r="D696" s="413" t="s">
        <v>702</v>
      </c>
      <c r="E696" s="413" t="s">
        <v>465</v>
      </c>
      <c r="F696" s="413" t="s">
        <v>711</v>
      </c>
      <c r="G696" s="413" t="s">
        <v>767</v>
      </c>
      <c r="H696" s="415">
        <v>800.0</v>
      </c>
      <c r="I696" s="416" t="b">
        <v>0</v>
      </c>
      <c r="J696" s="413" t="s">
        <v>1029</v>
      </c>
      <c r="K696" s="415">
        <v>110.34482758620686</v>
      </c>
      <c r="L696" s="415">
        <v>689.6551724137931</v>
      </c>
      <c r="M696" s="413" t="s">
        <v>1120</v>
      </c>
      <c r="N696" s="413" t="s">
        <v>1380</v>
      </c>
    </row>
    <row r="697">
      <c r="A697" s="409">
        <v>45750.0</v>
      </c>
      <c r="B697" s="102">
        <v>2025.0</v>
      </c>
      <c r="C697" s="410" t="s">
        <v>1374</v>
      </c>
      <c r="D697" s="102" t="s">
        <v>702</v>
      </c>
      <c r="E697" s="102" t="s">
        <v>465</v>
      </c>
      <c r="F697" s="102" t="s">
        <v>711</v>
      </c>
      <c r="G697" s="102" t="s">
        <v>767</v>
      </c>
      <c r="H697" s="360">
        <v>950.0</v>
      </c>
      <c r="I697" s="411" t="b">
        <v>0</v>
      </c>
      <c r="J697" s="102" t="s">
        <v>1381</v>
      </c>
      <c r="K697" s="360">
        <v>131.03448275862058</v>
      </c>
      <c r="L697" s="360">
        <v>818.9655172413794</v>
      </c>
      <c r="M697" s="102" t="s">
        <v>1120</v>
      </c>
      <c r="N697" s="102" t="s">
        <v>1380</v>
      </c>
    </row>
    <row r="698">
      <c r="A698" s="412">
        <v>45750.0</v>
      </c>
      <c r="B698" s="413">
        <v>2025.0</v>
      </c>
      <c r="C698" s="414" t="s">
        <v>1374</v>
      </c>
      <c r="D698" s="413" t="s">
        <v>710</v>
      </c>
      <c r="E698" s="413" t="s">
        <v>137</v>
      </c>
      <c r="F698" s="413" t="s">
        <v>703</v>
      </c>
      <c r="G698" s="413" t="s">
        <v>769</v>
      </c>
      <c r="H698" s="415">
        <v>8000.0</v>
      </c>
      <c r="I698" s="416" t="b">
        <v>0</v>
      </c>
      <c r="J698" s="413" t="s">
        <v>472</v>
      </c>
      <c r="K698" s="415">
        <v>0.0</v>
      </c>
      <c r="L698" s="415">
        <v>8000.0</v>
      </c>
      <c r="M698" s="413" t="s">
        <v>1120</v>
      </c>
      <c r="N698" s="413" t="s">
        <v>1380</v>
      </c>
    </row>
    <row r="699">
      <c r="A699" s="409">
        <v>45750.0</v>
      </c>
      <c r="B699" s="102">
        <v>2025.0</v>
      </c>
      <c r="C699" s="410" t="s">
        <v>1374</v>
      </c>
      <c r="D699" s="102" t="s">
        <v>702</v>
      </c>
      <c r="E699" s="102" t="s">
        <v>465</v>
      </c>
      <c r="F699" s="102" t="s">
        <v>703</v>
      </c>
      <c r="G699" s="102" t="s">
        <v>601</v>
      </c>
      <c r="H699" s="360">
        <v>499.0</v>
      </c>
      <c r="I699" s="411" t="b">
        <v>0</v>
      </c>
      <c r="J699" s="102" t="s">
        <v>472</v>
      </c>
      <c r="K699" s="360">
        <v>0.0</v>
      </c>
      <c r="L699" s="360">
        <v>499.0</v>
      </c>
      <c r="M699" s="102" t="s">
        <v>1120</v>
      </c>
      <c r="N699" s="102" t="s">
        <v>1382</v>
      </c>
    </row>
    <row r="700">
      <c r="A700" s="412">
        <v>45751.0</v>
      </c>
      <c r="B700" s="413">
        <v>2025.0</v>
      </c>
      <c r="C700" s="414" t="s">
        <v>1374</v>
      </c>
      <c r="D700" s="413" t="s">
        <v>710</v>
      </c>
      <c r="E700" s="413" t="s">
        <v>137</v>
      </c>
      <c r="F700" s="413" t="s">
        <v>711</v>
      </c>
      <c r="G700" s="413" t="s">
        <v>767</v>
      </c>
      <c r="H700" s="415">
        <v>550.0</v>
      </c>
      <c r="I700" s="416" t="b">
        <v>0</v>
      </c>
      <c r="J700" s="413" t="s">
        <v>1348</v>
      </c>
      <c r="K700" s="415">
        <v>0.0</v>
      </c>
      <c r="L700" s="415">
        <v>550.0</v>
      </c>
      <c r="M700" s="413" t="s">
        <v>1120</v>
      </c>
      <c r="N700" s="413" t="s">
        <v>1383</v>
      </c>
    </row>
    <row r="701">
      <c r="A701" s="409">
        <v>45751.0</v>
      </c>
      <c r="B701" s="102">
        <v>2025.0</v>
      </c>
      <c r="C701" s="410" t="s">
        <v>1374</v>
      </c>
      <c r="D701" s="102" t="s">
        <v>710</v>
      </c>
      <c r="E701" s="102" t="s">
        <v>137</v>
      </c>
      <c r="F701" s="102" t="s">
        <v>711</v>
      </c>
      <c r="G701" s="102" t="s">
        <v>767</v>
      </c>
      <c r="H701" s="360">
        <v>180.0</v>
      </c>
      <c r="I701" s="411" t="b">
        <v>0</v>
      </c>
      <c r="J701" s="102" t="s">
        <v>472</v>
      </c>
      <c r="K701" s="360">
        <v>0.0</v>
      </c>
      <c r="L701" s="360">
        <v>180.0</v>
      </c>
      <c r="M701" s="102" t="s">
        <v>1120</v>
      </c>
      <c r="N701" s="102" t="s">
        <v>1384</v>
      </c>
    </row>
    <row r="702">
      <c r="A702" s="412">
        <v>45751.0</v>
      </c>
      <c r="B702" s="413">
        <v>2025.0</v>
      </c>
      <c r="C702" s="414" t="s">
        <v>1374</v>
      </c>
      <c r="D702" s="413" t="s">
        <v>710</v>
      </c>
      <c r="E702" s="413" t="s">
        <v>137</v>
      </c>
      <c r="F702" s="413" t="s">
        <v>711</v>
      </c>
      <c r="G702" s="413" t="s">
        <v>734</v>
      </c>
      <c r="H702" s="415">
        <v>140.0</v>
      </c>
      <c r="I702" s="416" t="b">
        <v>0</v>
      </c>
      <c r="J702" s="413" t="s">
        <v>472</v>
      </c>
      <c r="K702" s="415">
        <v>0.0</v>
      </c>
      <c r="L702" s="415">
        <v>140.0</v>
      </c>
      <c r="M702" s="413" t="s">
        <v>1120</v>
      </c>
      <c r="N702" s="413" t="s">
        <v>1385</v>
      </c>
    </row>
    <row r="703">
      <c r="A703" s="409">
        <v>45751.0</v>
      </c>
      <c r="B703" s="102">
        <v>2025.0</v>
      </c>
      <c r="C703" s="410" t="s">
        <v>1374</v>
      </c>
      <c r="D703" s="102" t="s">
        <v>702</v>
      </c>
      <c r="E703" s="102" t="s">
        <v>465</v>
      </c>
      <c r="F703" s="102" t="s">
        <v>711</v>
      </c>
      <c r="G703" s="102" t="s">
        <v>767</v>
      </c>
      <c r="H703" s="360">
        <v>1150.0</v>
      </c>
      <c r="I703" s="411" t="b">
        <v>0</v>
      </c>
      <c r="J703" s="102" t="s">
        <v>1274</v>
      </c>
      <c r="K703" s="360">
        <v>158.62068965517233</v>
      </c>
      <c r="L703" s="360">
        <v>991.3793103448277</v>
      </c>
      <c r="M703" s="102" t="s">
        <v>1120</v>
      </c>
      <c r="N703" s="102" t="s">
        <v>1386</v>
      </c>
    </row>
    <row r="704">
      <c r="A704" s="412">
        <v>45751.0</v>
      </c>
      <c r="B704" s="413">
        <v>2025.0</v>
      </c>
      <c r="C704" s="414" t="s">
        <v>1374</v>
      </c>
      <c r="D704" s="413" t="s">
        <v>702</v>
      </c>
      <c r="E704" s="413" t="s">
        <v>465</v>
      </c>
      <c r="F704" s="413" t="s">
        <v>711</v>
      </c>
      <c r="G704" s="413" t="s">
        <v>767</v>
      </c>
      <c r="H704" s="415">
        <v>950.0</v>
      </c>
      <c r="I704" s="416" t="b">
        <v>0</v>
      </c>
      <c r="J704" s="413" t="s">
        <v>1246</v>
      </c>
      <c r="K704" s="415">
        <v>131.03448275862058</v>
      </c>
      <c r="L704" s="415">
        <v>818.9655172413794</v>
      </c>
      <c r="M704" s="413" t="s">
        <v>1120</v>
      </c>
      <c r="N704" s="413" t="s">
        <v>1387</v>
      </c>
    </row>
    <row r="705">
      <c r="A705" s="409">
        <v>45751.0</v>
      </c>
      <c r="B705" s="102">
        <v>2025.0</v>
      </c>
      <c r="C705" s="410" t="s">
        <v>1374</v>
      </c>
      <c r="D705" s="102" t="s">
        <v>702</v>
      </c>
      <c r="E705" s="102" t="s">
        <v>465</v>
      </c>
      <c r="F705" s="102" t="s">
        <v>711</v>
      </c>
      <c r="G705" s="102" t="s">
        <v>767</v>
      </c>
      <c r="H705" s="360">
        <v>1103.0</v>
      </c>
      <c r="I705" s="411" t="b">
        <v>0</v>
      </c>
      <c r="J705" s="102" t="s">
        <v>1164</v>
      </c>
      <c r="K705" s="360">
        <v>152.13793103448268</v>
      </c>
      <c r="L705" s="360">
        <v>950.8620689655173</v>
      </c>
      <c r="M705" s="102" t="s">
        <v>1120</v>
      </c>
      <c r="N705" s="102" t="s">
        <v>1388</v>
      </c>
    </row>
    <row r="706">
      <c r="A706" s="412">
        <v>45751.0</v>
      </c>
      <c r="B706" s="413">
        <v>2025.0</v>
      </c>
      <c r="C706" s="414" t="s">
        <v>1374</v>
      </c>
      <c r="D706" s="413" t="s">
        <v>710</v>
      </c>
      <c r="E706" s="413" t="s">
        <v>137</v>
      </c>
      <c r="F706" s="413" t="s">
        <v>711</v>
      </c>
      <c r="G706" s="413" t="s">
        <v>715</v>
      </c>
      <c r="H706" s="415">
        <v>45.0</v>
      </c>
      <c r="I706" s="416" t="b">
        <v>0</v>
      </c>
      <c r="J706" s="413" t="s">
        <v>472</v>
      </c>
      <c r="K706" s="415">
        <v>0.0</v>
      </c>
      <c r="L706" s="415">
        <v>45.0</v>
      </c>
      <c r="M706" s="413" t="s">
        <v>1120</v>
      </c>
      <c r="N706" s="413" t="s">
        <v>1389</v>
      </c>
    </row>
    <row r="707">
      <c r="A707" s="409">
        <v>45751.0</v>
      </c>
      <c r="B707" s="102">
        <v>2025.0</v>
      </c>
      <c r="C707" s="410" t="s">
        <v>1374</v>
      </c>
      <c r="D707" s="102" t="s">
        <v>710</v>
      </c>
      <c r="E707" s="102" t="s">
        <v>137</v>
      </c>
      <c r="F707" s="102" t="s">
        <v>711</v>
      </c>
      <c r="G707" s="102" t="s">
        <v>740</v>
      </c>
      <c r="H707" s="360">
        <v>17.0</v>
      </c>
      <c r="I707" s="411" t="b">
        <v>0</v>
      </c>
      <c r="J707" s="102" t="s">
        <v>472</v>
      </c>
      <c r="K707" s="360">
        <v>0.0</v>
      </c>
      <c r="L707" s="360">
        <v>17.0</v>
      </c>
      <c r="M707" s="102" t="s">
        <v>1120</v>
      </c>
      <c r="N707" s="102" t="s">
        <v>1390</v>
      </c>
    </row>
    <row r="708">
      <c r="A708" s="412">
        <v>45751.0</v>
      </c>
      <c r="B708" s="413">
        <v>2025.0</v>
      </c>
      <c r="C708" s="414" t="s">
        <v>1374</v>
      </c>
      <c r="D708" s="413" t="s">
        <v>702</v>
      </c>
      <c r="E708" s="413" t="s">
        <v>465</v>
      </c>
      <c r="F708" s="413" t="s">
        <v>711</v>
      </c>
      <c r="G708" s="413" t="s">
        <v>730</v>
      </c>
      <c r="H708" s="415">
        <v>40.0</v>
      </c>
      <c r="I708" s="416" t="b">
        <v>0</v>
      </c>
      <c r="J708" s="413" t="s">
        <v>472</v>
      </c>
      <c r="K708" s="415">
        <v>5.517241379310342</v>
      </c>
      <c r="L708" s="415">
        <v>34.48275862068966</v>
      </c>
      <c r="M708" s="413" t="s">
        <v>1120</v>
      </c>
      <c r="N708" s="413" t="s">
        <v>1391</v>
      </c>
    </row>
    <row r="709">
      <c r="A709" s="409">
        <v>45752.0</v>
      </c>
      <c r="B709" s="102">
        <v>2025.0</v>
      </c>
      <c r="C709" s="410" t="s">
        <v>1374</v>
      </c>
      <c r="D709" s="102" t="s">
        <v>710</v>
      </c>
      <c r="E709" s="102" t="s">
        <v>137</v>
      </c>
      <c r="F709" s="102" t="s">
        <v>711</v>
      </c>
      <c r="G709" s="102" t="s">
        <v>767</v>
      </c>
      <c r="H709" s="360">
        <v>1700.0</v>
      </c>
      <c r="I709" s="411" t="b">
        <v>0</v>
      </c>
      <c r="J709" s="102" t="s">
        <v>1392</v>
      </c>
      <c r="K709" s="360">
        <v>0.0</v>
      </c>
      <c r="L709" s="360">
        <v>1700.0</v>
      </c>
      <c r="M709" s="102" t="s">
        <v>1120</v>
      </c>
      <c r="N709" s="102" t="s">
        <v>1393</v>
      </c>
    </row>
    <row r="710">
      <c r="A710" s="412">
        <v>45752.0</v>
      </c>
      <c r="B710" s="413">
        <v>2025.0</v>
      </c>
      <c r="C710" s="414" t="s">
        <v>1374</v>
      </c>
      <c r="D710" s="413" t="s">
        <v>710</v>
      </c>
      <c r="E710" s="413" t="s">
        <v>137</v>
      </c>
      <c r="F710" s="413" t="s">
        <v>711</v>
      </c>
      <c r="G710" s="413" t="s">
        <v>734</v>
      </c>
      <c r="H710" s="415">
        <v>180.0</v>
      </c>
      <c r="I710" s="416" t="b">
        <v>0</v>
      </c>
      <c r="J710" s="413" t="s">
        <v>472</v>
      </c>
      <c r="K710" s="415">
        <v>0.0</v>
      </c>
      <c r="L710" s="415">
        <v>180.0</v>
      </c>
      <c r="M710" s="413" t="s">
        <v>1120</v>
      </c>
      <c r="N710" s="413" t="s">
        <v>1394</v>
      </c>
    </row>
    <row r="711">
      <c r="A711" s="409">
        <v>45752.0</v>
      </c>
      <c r="B711" s="102">
        <v>2025.0</v>
      </c>
      <c r="C711" s="410" t="s">
        <v>1374</v>
      </c>
      <c r="D711" s="102" t="s">
        <v>710</v>
      </c>
      <c r="E711" s="102" t="s">
        <v>137</v>
      </c>
      <c r="F711" s="102" t="s">
        <v>711</v>
      </c>
      <c r="G711" s="102" t="s">
        <v>767</v>
      </c>
      <c r="H711" s="360">
        <v>1150.0</v>
      </c>
      <c r="I711" s="411" t="b">
        <v>0</v>
      </c>
      <c r="J711" s="102" t="s">
        <v>1232</v>
      </c>
      <c r="K711" s="360">
        <v>0.0</v>
      </c>
      <c r="L711" s="360">
        <v>1150.0</v>
      </c>
      <c r="M711" s="102" t="s">
        <v>1120</v>
      </c>
      <c r="N711" s="102" t="s">
        <v>1395</v>
      </c>
    </row>
    <row r="712">
      <c r="A712" s="412">
        <v>45754.0</v>
      </c>
      <c r="B712" s="413">
        <v>2025.0</v>
      </c>
      <c r="C712" s="414" t="s">
        <v>1374</v>
      </c>
      <c r="D712" s="413" t="s">
        <v>702</v>
      </c>
      <c r="E712" s="413" t="s">
        <v>465</v>
      </c>
      <c r="F712" s="413" t="s">
        <v>711</v>
      </c>
      <c r="G712" s="413" t="s">
        <v>767</v>
      </c>
      <c r="H712" s="415">
        <v>800.0</v>
      </c>
      <c r="I712" s="416" t="b">
        <v>0</v>
      </c>
      <c r="J712" s="413" t="s">
        <v>1396</v>
      </c>
      <c r="K712" s="415">
        <v>110.34482758620686</v>
      </c>
      <c r="L712" s="415">
        <v>689.6551724137931</v>
      </c>
      <c r="M712" s="413" t="s">
        <v>1120</v>
      </c>
      <c r="N712" s="413" t="s">
        <v>1397</v>
      </c>
    </row>
    <row r="713">
      <c r="A713" s="409">
        <v>45754.0</v>
      </c>
      <c r="B713" s="102">
        <v>2025.0</v>
      </c>
      <c r="C713" s="410" t="s">
        <v>1374</v>
      </c>
      <c r="D713" s="102" t="s">
        <v>702</v>
      </c>
      <c r="E713" s="102" t="s">
        <v>465</v>
      </c>
      <c r="F713" s="102" t="s">
        <v>711</v>
      </c>
      <c r="G713" s="102" t="s">
        <v>767</v>
      </c>
      <c r="H713" s="360">
        <v>900.0</v>
      </c>
      <c r="I713" s="411" t="b">
        <v>0</v>
      </c>
      <c r="J713" s="102" t="s">
        <v>1218</v>
      </c>
      <c r="K713" s="360">
        <v>124.13793103448268</v>
      </c>
      <c r="L713" s="360">
        <v>775.8620689655173</v>
      </c>
      <c r="M713" s="102" t="s">
        <v>1120</v>
      </c>
      <c r="N713" s="102" t="s">
        <v>1398</v>
      </c>
    </row>
    <row r="714">
      <c r="A714" s="412">
        <v>45754.0</v>
      </c>
      <c r="B714" s="413">
        <v>2025.0</v>
      </c>
      <c r="C714" s="414" t="s">
        <v>1374</v>
      </c>
      <c r="D714" s="413" t="s">
        <v>702</v>
      </c>
      <c r="E714" s="413" t="s">
        <v>465</v>
      </c>
      <c r="F714" s="413" t="s">
        <v>711</v>
      </c>
      <c r="G714" s="413" t="s">
        <v>767</v>
      </c>
      <c r="H714" s="415">
        <v>525.0</v>
      </c>
      <c r="I714" s="416" t="b">
        <v>0</v>
      </c>
      <c r="J714" s="413" t="s">
        <v>1243</v>
      </c>
      <c r="K714" s="415">
        <v>72.41379310344826</v>
      </c>
      <c r="L714" s="415">
        <v>452.58620689655174</v>
      </c>
      <c r="M714" s="413" t="s">
        <v>1120</v>
      </c>
      <c r="N714" s="413" t="s">
        <v>1399</v>
      </c>
    </row>
    <row r="715">
      <c r="A715" s="409">
        <v>45755.0</v>
      </c>
      <c r="B715" s="102">
        <v>2025.0</v>
      </c>
      <c r="C715" s="410" t="s">
        <v>1374</v>
      </c>
      <c r="D715" s="102" t="s">
        <v>710</v>
      </c>
      <c r="E715" s="102" t="s">
        <v>137</v>
      </c>
      <c r="F715" s="102" t="s">
        <v>711</v>
      </c>
      <c r="G715" s="102" t="s">
        <v>767</v>
      </c>
      <c r="H715" s="360">
        <v>950.0</v>
      </c>
      <c r="I715" s="411" t="b">
        <v>0</v>
      </c>
      <c r="J715" s="102" t="s">
        <v>1230</v>
      </c>
      <c r="K715" s="360">
        <v>0.0</v>
      </c>
      <c r="L715" s="360">
        <v>950.0</v>
      </c>
      <c r="M715" s="102" t="s">
        <v>1120</v>
      </c>
      <c r="N715" s="102" t="s">
        <v>1400</v>
      </c>
    </row>
    <row r="716">
      <c r="A716" s="412">
        <v>45755.0</v>
      </c>
      <c r="B716" s="413">
        <v>2025.0</v>
      </c>
      <c r="C716" s="414" t="s">
        <v>1374</v>
      </c>
      <c r="D716" s="413" t="s">
        <v>702</v>
      </c>
      <c r="E716" s="413" t="s">
        <v>465</v>
      </c>
      <c r="F716" s="413" t="s">
        <v>711</v>
      </c>
      <c r="G716" s="413" t="s">
        <v>767</v>
      </c>
      <c r="H716" s="415">
        <v>1050.0</v>
      </c>
      <c r="I716" s="416" t="b">
        <v>0</v>
      </c>
      <c r="J716" s="413" t="s">
        <v>1224</v>
      </c>
      <c r="K716" s="415">
        <v>144.8275862068965</v>
      </c>
      <c r="L716" s="415">
        <v>905.1724137931035</v>
      </c>
      <c r="M716" s="413" t="s">
        <v>1120</v>
      </c>
      <c r="N716" s="413" t="s">
        <v>1401</v>
      </c>
    </row>
    <row r="717">
      <c r="A717" s="409">
        <v>45755.0</v>
      </c>
      <c r="B717" s="102">
        <v>2025.0</v>
      </c>
      <c r="C717" s="410" t="s">
        <v>1374</v>
      </c>
      <c r="D717" s="102" t="s">
        <v>710</v>
      </c>
      <c r="E717" s="102" t="s">
        <v>137</v>
      </c>
      <c r="F717" s="102" t="s">
        <v>711</v>
      </c>
      <c r="G717" s="102" t="s">
        <v>767</v>
      </c>
      <c r="H717" s="360">
        <v>450.0</v>
      </c>
      <c r="I717" s="411" t="b">
        <v>0</v>
      </c>
      <c r="J717" s="102" t="s">
        <v>1237</v>
      </c>
      <c r="K717" s="360">
        <v>0.0</v>
      </c>
      <c r="L717" s="360">
        <v>450.0</v>
      </c>
      <c r="M717" s="102" t="s">
        <v>1120</v>
      </c>
      <c r="N717" s="102" t="s">
        <v>1402</v>
      </c>
    </row>
    <row r="718">
      <c r="A718" s="412">
        <v>45756.0</v>
      </c>
      <c r="B718" s="413">
        <v>2025.0</v>
      </c>
      <c r="C718" s="414" t="s">
        <v>1374</v>
      </c>
      <c r="D718" s="413" t="s">
        <v>710</v>
      </c>
      <c r="E718" s="413" t="s">
        <v>137</v>
      </c>
      <c r="F718" s="413" t="s">
        <v>711</v>
      </c>
      <c r="G718" s="413" t="s">
        <v>767</v>
      </c>
      <c r="H718" s="415">
        <v>1050.0</v>
      </c>
      <c r="I718" s="416" t="b">
        <v>0</v>
      </c>
      <c r="J718" s="413" t="s">
        <v>1218</v>
      </c>
      <c r="K718" s="415">
        <v>0.0</v>
      </c>
      <c r="L718" s="415">
        <v>1050.0</v>
      </c>
      <c r="M718" s="413" t="s">
        <v>1120</v>
      </c>
      <c r="N718" s="413" t="s">
        <v>1403</v>
      </c>
    </row>
    <row r="719">
      <c r="A719" s="409">
        <v>45758.0</v>
      </c>
      <c r="B719" s="102">
        <v>2025.0</v>
      </c>
      <c r="C719" s="410" t="s">
        <v>1374</v>
      </c>
      <c r="D719" s="102" t="s">
        <v>702</v>
      </c>
      <c r="E719" s="102" t="s">
        <v>465</v>
      </c>
      <c r="F719" s="102" t="s">
        <v>711</v>
      </c>
      <c r="G719" s="102" t="s">
        <v>767</v>
      </c>
      <c r="H719" s="360">
        <v>900.0</v>
      </c>
      <c r="I719" s="411" t="b">
        <v>0</v>
      </c>
      <c r="J719" s="102" t="s">
        <v>1160</v>
      </c>
      <c r="K719" s="360">
        <v>124.13793103448268</v>
      </c>
      <c r="L719" s="360">
        <v>775.8620689655173</v>
      </c>
      <c r="M719" s="102" t="s">
        <v>1120</v>
      </c>
      <c r="N719" s="102" t="s">
        <v>1404</v>
      </c>
    </row>
    <row r="720">
      <c r="A720" s="412">
        <v>45758.0</v>
      </c>
      <c r="B720" s="413">
        <v>2025.0</v>
      </c>
      <c r="C720" s="414" t="s">
        <v>1374</v>
      </c>
      <c r="D720" s="413" t="s">
        <v>702</v>
      </c>
      <c r="E720" s="413" t="s">
        <v>465</v>
      </c>
      <c r="F720" s="413" t="s">
        <v>711</v>
      </c>
      <c r="G720" s="413" t="s">
        <v>767</v>
      </c>
      <c r="H720" s="415">
        <v>2100.0</v>
      </c>
      <c r="I720" s="416" t="b">
        <v>0</v>
      </c>
      <c r="J720" s="413" t="s">
        <v>1405</v>
      </c>
      <c r="K720" s="415">
        <v>289.655172413793</v>
      </c>
      <c r="L720" s="415">
        <v>1810.344827586207</v>
      </c>
      <c r="M720" s="413" t="s">
        <v>1120</v>
      </c>
      <c r="N720" s="413" t="s">
        <v>1406</v>
      </c>
    </row>
    <row r="721">
      <c r="A721" s="409">
        <v>45758.0</v>
      </c>
      <c r="B721" s="102">
        <v>2025.0</v>
      </c>
      <c r="C721" s="410" t="s">
        <v>1374</v>
      </c>
      <c r="D721" s="102" t="s">
        <v>710</v>
      </c>
      <c r="E721" s="102" t="s">
        <v>137</v>
      </c>
      <c r="F721" s="102" t="s">
        <v>703</v>
      </c>
      <c r="G721" s="102" t="s">
        <v>715</v>
      </c>
      <c r="H721" s="360">
        <v>767.0</v>
      </c>
      <c r="I721" s="411" t="b">
        <v>0</v>
      </c>
      <c r="J721" s="102" t="s">
        <v>472</v>
      </c>
      <c r="K721" s="360">
        <v>0.0</v>
      </c>
      <c r="L721" s="360">
        <v>767.0</v>
      </c>
      <c r="M721" s="102" t="s">
        <v>1120</v>
      </c>
      <c r="N721" s="102" t="s">
        <v>1407</v>
      </c>
    </row>
    <row r="722">
      <c r="A722" s="412">
        <v>45758.0</v>
      </c>
      <c r="B722" s="413">
        <v>2025.0</v>
      </c>
      <c r="C722" s="414" t="s">
        <v>1374</v>
      </c>
      <c r="D722" s="413" t="s">
        <v>702</v>
      </c>
      <c r="E722" s="413" t="s">
        <v>465</v>
      </c>
      <c r="F722" s="413" t="s">
        <v>703</v>
      </c>
      <c r="G722" s="413" t="s">
        <v>732</v>
      </c>
      <c r="H722" s="415">
        <v>1225.0</v>
      </c>
      <c r="I722" s="416" t="b">
        <v>0</v>
      </c>
      <c r="J722" s="413" t="s">
        <v>1408</v>
      </c>
      <c r="K722" s="415">
        <v>0.0</v>
      </c>
      <c r="L722" s="415">
        <v>1225.0</v>
      </c>
      <c r="M722" s="413" t="s">
        <v>1120</v>
      </c>
      <c r="N722" s="413" t="s">
        <v>1409</v>
      </c>
    </row>
    <row r="723">
      <c r="A723" s="409">
        <v>45758.0</v>
      </c>
      <c r="B723" s="102">
        <v>2025.0</v>
      </c>
      <c r="C723" s="410" t="s">
        <v>1374</v>
      </c>
      <c r="D723" s="102" t="s">
        <v>702</v>
      </c>
      <c r="E723" s="102" t="s">
        <v>465</v>
      </c>
      <c r="F723" s="102" t="s">
        <v>703</v>
      </c>
      <c r="G723" s="102" t="s">
        <v>732</v>
      </c>
      <c r="H723" s="360">
        <v>639.0</v>
      </c>
      <c r="I723" s="411" t="b">
        <v>0</v>
      </c>
      <c r="J723" s="102" t="s">
        <v>1410</v>
      </c>
      <c r="K723" s="360">
        <v>0.0</v>
      </c>
      <c r="L723" s="360">
        <v>639.0</v>
      </c>
      <c r="M723" s="102" t="s">
        <v>1120</v>
      </c>
      <c r="N723" s="102" t="s">
        <v>1409</v>
      </c>
    </row>
    <row r="724">
      <c r="A724" s="412">
        <v>45758.0</v>
      </c>
      <c r="B724" s="413">
        <v>2025.0</v>
      </c>
      <c r="C724" s="414" t="s">
        <v>1374</v>
      </c>
      <c r="D724" s="413" t="s">
        <v>702</v>
      </c>
      <c r="E724" s="413" t="s">
        <v>465</v>
      </c>
      <c r="F724" s="413" t="s">
        <v>703</v>
      </c>
      <c r="G724" s="413" t="s">
        <v>715</v>
      </c>
      <c r="H724" s="415">
        <v>400.0</v>
      </c>
      <c r="I724" s="416" t="b">
        <v>0</v>
      </c>
      <c r="J724" s="413" t="s">
        <v>472</v>
      </c>
      <c r="K724" s="415">
        <v>0.0</v>
      </c>
      <c r="L724" s="415">
        <v>400.0</v>
      </c>
      <c r="M724" s="413" t="s">
        <v>1120</v>
      </c>
      <c r="N724" s="413" t="s">
        <v>1409</v>
      </c>
    </row>
    <row r="725">
      <c r="A725" s="409">
        <v>45758.0</v>
      </c>
      <c r="B725" s="102">
        <v>2025.0</v>
      </c>
      <c r="C725" s="410" t="s">
        <v>1374</v>
      </c>
      <c r="D725" s="102" t="s">
        <v>702</v>
      </c>
      <c r="E725" s="102" t="s">
        <v>465</v>
      </c>
      <c r="F725" s="102" t="s">
        <v>703</v>
      </c>
      <c r="G725" s="102" t="s">
        <v>732</v>
      </c>
      <c r="H725" s="360">
        <v>822.0</v>
      </c>
      <c r="I725" s="411" t="b">
        <v>0</v>
      </c>
      <c r="J725" s="102" t="s">
        <v>1411</v>
      </c>
      <c r="K725" s="360">
        <v>0.0</v>
      </c>
      <c r="L725" s="360">
        <v>822.0</v>
      </c>
      <c r="M725" s="102" t="s">
        <v>1120</v>
      </c>
      <c r="N725" s="102" t="s">
        <v>1409</v>
      </c>
    </row>
    <row r="726">
      <c r="A726" s="412">
        <v>45758.0</v>
      </c>
      <c r="B726" s="413">
        <v>2025.0</v>
      </c>
      <c r="C726" s="414" t="s">
        <v>1374</v>
      </c>
      <c r="D726" s="413" t="s">
        <v>702</v>
      </c>
      <c r="E726" s="413" t="s">
        <v>465</v>
      </c>
      <c r="F726" s="413" t="s">
        <v>703</v>
      </c>
      <c r="G726" s="413" t="s">
        <v>715</v>
      </c>
      <c r="H726" s="415">
        <v>100.0</v>
      </c>
      <c r="I726" s="416" t="b">
        <v>0</v>
      </c>
      <c r="J726" s="413" t="s">
        <v>472</v>
      </c>
      <c r="K726" s="415">
        <v>0.0</v>
      </c>
      <c r="L726" s="415">
        <v>100.0</v>
      </c>
      <c r="M726" s="413" t="s">
        <v>1120</v>
      </c>
      <c r="N726" s="413" t="s">
        <v>1409</v>
      </c>
    </row>
    <row r="727">
      <c r="A727" s="409">
        <v>45758.0</v>
      </c>
      <c r="B727" s="102">
        <v>2025.0</v>
      </c>
      <c r="C727" s="410" t="s">
        <v>1374</v>
      </c>
      <c r="D727" s="102" t="s">
        <v>702</v>
      </c>
      <c r="E727" s="102" t="s">
        <v>465</v>
      </c>
      <c r="F727" s="102" t="s">
        <v>703</v>
      </c>
      <c r="G727" s="102" t="s">
        <v>715</v>
      </c>
      <c r="H727" s="360">
        <v>450.0</v>
      </c>
      <c r="I727" s="411" t="b">
        <v>0</v>
      </c>
      <c r="J727" s="102" t="s">
        <v>472</v>
      </c>
      <c r="K727" s="360">
        <v>0.0</v>
      </c>
      <c r="L727" s="360">
        <v>450.0</v>
      </c>
      <c r="M727" s="102" t="s">
        <v>1120</v>
      </c>
      <c r="N727" s="102" t="s">
        <v>1409</v>
      </c>
    </row>
    <row r="728">
      <c r="A728" s="412">
        <v>45758.0</v>
      </c>
      <c r="B728" s="413">
        <v>2025.0</v>
      </c>
      <c r="C728" s="414" t="s">
        <v>1374</v>
      </c>
      <c r="D728" s="413" t="s">
        <v>702</v>
      </c>
      <c r="E728" s="413" t="s">
        <v>465</v>
      </c>
      <c r="F728" s="413" t="s">
        <v>703</v>
      </c>
      <c r="G728" s="413" t="s">
        <v>732</v>
      </c>
      <c r="H728" s="415">
        <v>1197.0</v>
      </c>
      <c r="I728" s="416" t="b">
        <v>0</v>
      </c>
      <c r="J728" s="413" t="s">
        <v>1411</v>
      </c>
      <c r="K728" s="415">
        <v>0.0</v>
      </c>
      <c r="L728" s="415">
        <v>1197.0</v>
      </c>
      <c r="M728" s="413" t="s">
        <v>1120</v>
      </c>
      <c r="N728" s="413" t="s">
        <v>1409</v>
      </c>
    </row>
    <row r="729">
      <c r="A729" s="409">
        <v>45759.0</v>
      </c>
      <c r="B729" s="102">
        <v>2025.0</v>
      </c>
      <c r="C729" s="410" t="s">
        <v>1374</v>
      </c>
      <c r="D729" s="102" t="s">
        <v>702</v>
      </c>
      <c r="E729" s="102" t="s">
        <v>465</v>
      </c>
      <c r="F729" s="102" t="s">
        <v>711</v>
      </c>
      <c r="G729" s="102" t="s">
        <v>767</v>
      </c>
      <c r="H729" s="360">
        <v>623.0</v>
      </c>
      <c r="I729" s="411" t="b">
        <v>0</v>
      </c>
      <c r="J729" s="102" t="s">
        <v>1213</v>
      </c>
      <c r="K729" s="360">
        <v>85.9310344827586</v>
      </c>
      <c r="L729" s="360">
        <v>537.0689655172414</v>
      </c>
      <c r="M729" s="102" t="s">
        <v>1120</v>
      </c>
      <c r="N729" s="102" t="s">
        <v>1412</v>
      </c>
    </row>
    <row r="730">
      <c r="A730" s="412">
        <v>45759.0</v>
      </c>
      <c r="B730" s="413">
        <v>2025.0</v>
      </c>
      <c r="C730" s="414" t="s">
        <v>1374</v>
      </c>
      <c r="D730" s="413" t="s">
        <v>710</v>
      </c>
      <c r="E730" s="413" t="s">
        <v>137</v>
      </c>
      <c r="F730" s="413" t="s">
        <v>711</v>
      </c>
      <c r="G730" s="413" t="s">
        <v>734</v>
      </c>
      <c r="H730" s="415">
        <v>180.0</v>
      </c>
      <c r="I730" s="416" t="b">
        <v>0</v>
      </c>
      <c r="J730" s="413" t="s">
        <v>472</v>
      </c>
      <c r="K730" s="415">
        <v>0.0</v>
      </c>
      <c r="L730" s="415">
        <v>180.0</v>
      </c>
      <c r="M730" s="413" t="s">
        <v>1120</v>
      </c>
      <c r="N730" s="413" t="s">
        <v>1413</v>
      </c>
    </row>
    <row r="731">
      <c r="A731" s="409">
        <v>45759.0</v>
      </c>
      <c r="B731" s="102">
        <v>2025.0</v>
      </c>
      <c r="C731" s="410" t="s">
        <v>1374</v>
      </c>
      <c r="D731" s="102" t="s">
        <v>710</v>
      </c>
      <c r="E731" s="102" t="s">
        <v>137</v>
      </c>
      <c r="F731" s="102" t="s">
        <v>711</v>
      </c>
      <c r="G731" s="102" t="s">
        <v>740</v>
      </c>
      <c r="H731" s="360">
        <v>21.0</v>
      </c>
      <c r="I731" s="411" t="b">
        <v>0</v>
      </c>
      <c r="J731" s="102" t="s">
        <v>472</v>
      </c>
      <c r="K731" s="360">
        <v>0.0</v>
      </c>
      <c r="L731" s="360">
        <v>21.0</v>
      </c>
      <c r="M731" s="102" t="s">
        <v>1120</v>
      </c>
      <c r="N731" s="102" t="s">
        <v>1414</v>
      </c>
    </row>
    <row r="732">
      <c r="A732" s="412">
        <v>45759.0</v>
      </c>
      <c r="B732" s="413">
        <v>2025.0</v>
      </c>
      <c r="C732" s="414" t="s">
        <v>1374</v>
      </c>
      <c r="D732" s="413" t="s">
        <v>710</v>
      </c>
      <c r="E732" s="413" t="s">
        <v>137</v>
      </c>
      <c r="F732" s="413" t="s">
        <v>711</v>
      </c>
      <c r="G732" s="413" t="s">
        <v>767</v>
      </c>
      <c r="H732" s="415">
        <v>370.0</v>
      </c>
      <c r="I732" s="416" t="b">
        <v>0</v>
      </c>
      <c r="J732" s="413" t="s">
        <v>1415</v>
      </c>
      <c r="K732" s="415">
        <v>0.0</v>
      </c>
      <c r="L732" s="415">
        <v>370.0</v>
      </c>
      <c r="M732" s="413" t="s">
        <v>1120</v>
      </c>
      <c r="N732" s="413" t="s">
        <v>1416</v>
      </c>
    </row>
    <row r="733">
      <c r="A733" s="409">
        <v>45759.0</v>
      </c>
      <c r="B733" s="102">
        <v>2025.0</v>
      </c>
      <c r="C733" s="410" t="s">
        <v>1374</v>
      </c>
      <c r="D733" s="102" t="s">
        <v>702</v>
      </c>
      <c r="E733" s="102" t="s">
        <v>465</v>
      </c>
      <c r="F733" s="102" t="s">
        <v>703</v>
      </c>
      <c r="G733" s="102" t="s">
        <v>715</v>
      </c>
      <c r="H733" s="360">
        <v>904.0</v>
      </c>
      <c r="I733" s="411" t="b">
        <v>0</v>
      </c>
      <c r="J733" s="102" t="s">
        <v>1417</v>
      </c>
      <c r="K733" s="360">
        <v>0.0</v>
      </c>
      <c r="L733" s="360">
        <v>904.0</v>
      </c>
      <c r="M733" s="102" t="s">
        <v>1120</v>
      </c>
      <c r="N733" s="102" t="s">
        <v>1418</v>
      </c>
    </row>
    <row r="734">
      <c r="A734" s="412">
        <v>45768.0</v>
      </c>
      <c r="B734" s="413">
        <v>2025.0</v>
      </c>
      <c r="C734" s="414" t="s">
        <v>1374</v>
      </c>
      <c r="D734" s="413" t="s">
        <v>710</v>
      </c>
      <c r="E734" s="413" t="s">
        <v>137</v>
      </c>
      <c r="F734" s="413" t="s">
        <v>711</v>
      </c>
      <c r="G734" s="413" t="s">
        <v>767</v>
      </c>
      <c r="H734" s="415">
        <v>650.0</v>
      </c>
      <c r="I734" s="416" t="b">
        <v>0</v>
      </c>
      <c r="J734" s="413" t="s">
        <v>1216</v>
      </c>
      <c r="K734" s="415">
        <v>0.0</v>
      </c>
      <c r="L734" s="415">
        <v>650.0</v>
      </c>
      <c r="M734" s="413" t="s">
        <v>1120</v>
      </c>
      <c r="N734" s="413" t="s">
        <v>1419</v>
      </c>
    </row>
    <row r="735">
      <c r="A735" s="409">
        <v>45768.0</v>
      </c>
      <c r="B735" s="102">
        <v>2025.0</v>
      </c>
      <c r="C735" s="410" t="s">
        <v>1374</v>
      </c>
      <c r="D735" s="102" t="s">
        <v>702</v>
      </c>
      <c r="E735" s="102" t="s">
        <v>465</v>
      </c>
      <c r="F735" s="102" t="s">
        <v>711</v>
      </c>
      <c r="G735" s="102" t="s">
        <v>767</v>
      </c>
      <c r="H735" s="360">
        <v>1250.0</v>
      </c>
      <c r="I735" s="411" t="b">
        <v>0</v>
      </c>
      <c r="J735" s="102" t="s">
        <v>1235</v>
      </c>
      <c r="K735" s="360">
        <v>172.41379310344814</v>
      </c>
      <c r="L735" s="360">
        <v>1077.5862068965519</v>
      </c>
      <c r="M735" s="102" t="s">
        <v>1120</v>
      </c>
      <c r="N735" s="102" t="s">
        <v>1420</v>
      </c>
    </row>
    <row r="736">
      <c r="A736" s="412">
        <v>45769.0</v>
      </c>
      <c r="B736" s="413">
        <v>2025.0</v>
      </c>
      <c r="C736" s="414" t="s">
        <v>1374</v>
      </c>
      <c r="D736" s="413" t="s">
        <v>710</v>
      </c>
      <c r="E736" s="413" t="s">
        <v>137</v>
      </c>
      <c r="F736" s="413" t="s">
        <v>711</v>
      </c>
      <c r="G736" s="413" t="s">
        <v>734</v>
      </c>
      <c r="H736" s="415">
        <v>128.0</v>
      </c>
      <c r="I736" s="416" t="b">
        <v>0</v>
      </c>
      <c r="J736" s="413" t="s">
        <v>472</v>
      </c>
      <c r="K736" s="415">
        <v>0.0</v>
      </c>
      <c r="L736" s="415">
        <v>128.0</v>
      </c>
      <c r="M736" s="413" t="s">
        <v>1120</v>
      </c>
      <c r="N736" s="413" t="s">
        <v>1421</v>
      </c>
    </row>
    <row r="737">
      <c r="A737" s="409">
        <v>45769.0</v>
      </c>
      <c r="B737" s="102">
        <v>2025.0</v>
      </c>
      <c r="C737" s="410" t="s">
        <v>1374</v>
      </c>
      <c r="D737" s="102" t="s">
        <v>702</v>
      </c>
      <c r="E737" s="102" t="s">
        <v>465</v>
      </c>
      <c r="F737" s="102" t="s">
        <v>703</v>
      </c>
      <c r="G737" s="102" t="s">
        <v>715</v>
      </c>
      <c r="H737" s="360">
        <v>8000.0</v>
      </c>
      <c r="I737" s="411" t="b">
        <v>0</v>
      </c>
      <c r="J737" s="102" t="s">
        <v>472</v>
      </c>
      <c r="K737" s="360">
        <v>0.0</v>
      </c>
      <c r="L737" s="360">
        <v>8000.0</v>
      </c>
      <c r="M737" s="102" t="s">
        <v>1120</v>
      </c>
      <c r="N737" s="102" t="s">
        <v>1422</v>
      </c>
    </row>
    <row r="738">
      <c r="A738" s="412">
        <v>45772.0</v>
      </c>
      <c r="B738" s="413">
        <v>2025.0</v>
      </c>
      <c r="C738" s="414" t="s">
        <v>1374</v>
      </c>
      <c r="D738" s="413" t="s">
        <v>702</v>
      </c>
      <c r="E738" s="413" t="s">
        <v>465</v>
      </c>
      <c r="F738" s="413" t="s">
        <v>703</v>
      </c>
      <c r="G738" s="413" t="s">
        <v>715</v>
      </c>
      <c r="H738" s="415">
        <v>1568.0</v>
      </c>
      <c r="I738" s="416" t="b">
        <v>0</v>
      </c>
      <c r="J738" s="413" t="s">
        <v>1423</v>
      </c>
      <c r="K738" s="415">
        <v>0.0</v>
      </c>
      <c r="L738" s="415">
        <v>1568.0</v>
      </c>
      <c r="M738" s="413" t="s">
        <v>1120</v>
      </c>
      <c r="N738" s="413" t="s">
        <v>1424</v>
      </c>
    </row>
    <row r="739">
      <c r="A739" s="409">
        <v>45776.0</v>
      </c>
      <c r="B739" s="102">
        <v>2025.0</v>
      </c>
      <c r="C739" s="410" t="s">
        <v>1374</v>
      </c>
      <c r="D739" s="102" t="s">
        <v>710</v>
      </c>
      <c r="E739" s="102" t="s">
        <v>137</v>
      </c>
      <c r="F739" s="102" t="s">
        <v>711</v>
      </c>
      <c r="G739" s="102" t="s">
        <v>734</v>
      </c>
      <c r="H739" s="360">
        <v>180.0</v>
      </c>
      <c r="I739" s="411" t="b">
        <v>0</v>
      </c>
      <c r="J739" s="102" t="s">
        <v>472</v>
      </c>
      <c r="K739" s="360">
        <v>0.0</v>
      </c>
      <c r="L739" s="360">
        <v>180.0</v>
      </c>
      <c r="M739" s="102" t="s">
        <v>1120</v>
      </c>
      <c r="N739" s="102" t="s">
        <v>1425</v>
      </c>
    </row>
    <row r="740">
      <c r="A740" s="412">
        <v>45776.0</v>
      </c>
      <c r="B740" s="413">
        <v>2025.0</v>
      </c>
      <c r="C740" s="414" t="s">
        <v>1374</v>
      </c>
      <c r="D740" s="413" t="s">
        <v>702</v>
      </c>
      <c r="E740" s="413" t="s">
        <v>465</v>
      </c>
      <c r="F740" s="413" t="s">
        <v>711</v>
      </c>
      <c r="G740" s="413" t="s">
        <v>767</v>
      </c>
      <c r="H740" s="415">
        <v>1500.0</v>
      </c>
      <c r="I740" s="416" t="b">
        <v>0</v>
      </c>
      <c r="J740" s="413" t="s">
        <v>1426</v>
      </c>
      <c r="K740" s="415">
        <v>206.8965517241379</v>
      </c>
      <c r="L740" s="415">
        <v>1293.103448275862</v>
      </c>
      <c r="M740" s="413" t="s">
        <v>1120</v>
      </c>
      <c r="N740" s="413" t="s">
        <v>1427</v>
      </c>
    </row>
    <row r="741">
      <c r="A741" s="409">
        <v>45776.0</v>
      </c>
      <c r="B741" s="102">
        <v>2025.0</v>
      </c>
      <c r="C741" s="410" t="s">
        <v>1374</v>
      </c>
      <c r="D741" s="102" t="s">
        <v>710</v>
      </c>
      <c r="E741" s="102" t="s">
        <v>137</v>
      </c>
      <c r="F741" s="102" t="s">
        <v>711</v>
      </c>
      <c r="G741" s="102" t="s">
        <v>767</v>
      </c>
      <c r="H741" s="360">
        <v>1050.0</v>
      </c>
      <c r="I741" s="411" t="b">
        <v>0</v>
      </c>
      <c r="J741" s="102" t="s">
        <v>1428</v>
      </c>
      <c r="K741" s="360">
        <v>0.0</v>
      </c>
      <c r="L741" s="360">
        <v>1050.0</v>
      </c>
      <c r="M741" s="102" t="s">
        <v>1120</v>
      </c>
      <c r="N741" s="102" t="s">
        <v>1429</v>
      </c>
    </row>
    <row r="742">
      <c r="A742" s="412">
        <v>45776.0</v>
      </c>
      <c r="B742" s="413">
        <v>2025.0</v>
      </c>
      <c r="C742" s="414" t="s">
        <v>1374</v>
      </c>
      <c r="D742" s="413" t="s">
        <v>710</v>
      </c>
      <c r="E742" s="413" t="s">
        <v>137</v>
      </c>
      <c r="F742" s="413" t="s">
        <v>711</v>
      </c>
      <c r="G742" s="413" t="s">
        <v>767</v>
      </c>
      <c r="H742" s="415">
        <v>550.0</v>
      </c>
      <c r="I742" s="416" t="b">
        <v>0</v>
      </c>
      <c r="J742" s="413" t="s">
        <v>1184</v>
      </c>
      <c r="K742" s="415">
        <v>0.0</v>
      </c>
      <c r="L742" s="415">
        <v>550.0</v>
      </c>
      <c r="M742" s="413" t="s">
        <v>1120</v>
      </c>
      <c r="N742" s="413" t="s">
        <v>1430</v>
      </c>
    </row>
    <row r="743">
      <c r="A743" s="409">
        <v>45776.0</v>
      </c>
      <c r="B743" s="102">
        <v>2025.0</v>
      </c>
      <c r="C743" s="410" t="s">
        <v>1374</v>
      </c>
      <c r="D743" s="102" t="s">
        <v>702</v>
      </c>
      <c r="E743" s="102" t="s">
        <v>465</v>
      </c>
      <c r="F743" s="102" t="s">
        <v>703</v>
      </c>
      <c r="G743" s="102" t="s">
        <v>797</v>
      </c>
      <c r="H743" s="360">
        <v>543.0</v>
      </c>
      <c r="I743" s="411" t="b">
        <v>0</v>
      </c>
      <c r="J743" s="102" t="s">
        <v>1431</v>
      </c>
      <c r="K743" s="360">
        <v>0.0</v>
      </c>
      <c r="L743" s="360">
        <v>543.0</v>
      </c>
      <c r="M743" s="102" t="s">
        <v>1120</v>
      </c>
      <c r="N743" s="102" t="s">
        <v>1432</v>
      </c>
    </row>
    <row r="744">
      <c r="A744" s="412">
        <v>45776.0</v>
      </c>
      <c r="B744" s="413">
        <v>2025.0</v>
      </c>
      <c r="C744" s="414" t="s">
        <v>1374</v>
      </c>
      <c r="D744" s="413" t="s">
        <v>702</v>
      </c>
      <c r="E744" s="413" t="s">
        <v>465</v>
      </c>
      <c r="F744" s="413" t="s">
        <v>703</v>
      </c>
      <c r="G744" s="413" t="s">
        <v>715</v>
      </c>
      <c r="H744" s="415">
        <v>750.0</v>
      </c>
      <c r="I744" s="416" t="b">
        <v>0</v>
      </c>
      <c r="J744" s="413" t="s">
        <v>1433</v>
      </c>
      <c r="K744" s="415">
        <v>0.0</v>
      </c>
      <c r="L744" s="415">
        <v>750.0</v>
      </c>
      <c r="M744" s="413" t="s">
        <v>1120</v>
      </c>
      <c r="N744" s="413" t="s">
        <v>1432</v>
      </c>
    </row>
    <row r="745">
      <c r="A745" s="409">
        <v>45776.0</v>
      </c>
      <c r="B745" s="102">
        <v>2025.0</v>
      </c>
      <c r="C745" s="410" t="s">
        <v>1374</v>
      </c>
      <c r="D745" s="102" t="s">
        <v>702</v>
      </c>
      <c r="E745" s="102" t="s">
        <v>465</v>
      </c>
      <c r="F745" s="102" t="s">
        <v>703</v>
      </c>
      <c r="G745" s="102" t="s">
        <v>732</v>
      </c>
      <c r="H745" s="360">
        <v>1566.0</v>
      </c>
      <c r="I745" s="411" t="b">
        <v>0</v>
      </c>
      <c r="J745" s="102" t="s">
        <v>1434</v>
      </c>
      <c r="K745" s="360">
        <v>0.0</v>
      </c>
      <c r="L745" s="360">
        <v>1566.0</v>
      </c>
      <c r="M745" s="102" t="s">
        <v>1120</v>
      </c>
      <c r="N745" s="102" t="s">
        <v>1432</v>
      </c>
    </row>
    <row r="746">
      <c r="A746" s="412">
        <v>45777.0</v>
      </c>
      <c r="B746" s="413">
        <v>2025.0</v>
      </c>
      <c r="C746" s="414" t="s">
        <v>1374</v>
      </c>
      <c r="D746" s="413" t="s">
        <v>710</v>
      </c>
      <c r="E746" s="413" t="s">
        <v>137</v>
      </c>
      <c r="F746" s="413" t="s">
        <v>711</v>
      </c>
      <c r="G746" s="413" t="s">
        <v>767</v>
      </c>
      <c r="H746" s="415">
        <v>800.0</v>
      </c>
      <c r="I746" s="416" t="b">
        <v>0</v>
      </c>
      <c r="J746" s="413" t="s">
        <v>1435</v>
      </c>
      <c r="K746" s="415">
        <v>0.0</v>
      </c>
      <c r="L746" s="415">
        <v>800.0</v>
      </c>
      <c r="M746" s="413" t="s">
        <v>1120</v>
      </c>
      <c r="N746" s="413" t="s">
        <v>1436</v>
      </c>
    </row>
    <row r="747">
      <c r="A747" s="409">
        <v>45777.0</v>
      </c>
      <c r="B747" s="102">
        <v>2025.0</v>
      </c>
      <c r="C747" s="410" t="s">
        <v>1374</v>
      </c>
      <c r="D747" s="102" t="s">
        <v>710</v>
      </c>
      <c r="E747" s="102" t="s">
        <v>137</v>
      </c>
      <c r="F747" s="102" t="s">
        <v>703</v>
      </c>
      <c r="G747" s="102" t="s">
        <v>715</v>
      </c>
      <c r="H747" s="360">
        <v>2000.0</v>
      </c>
      <c r="I747" s="411" t="b">
        <v>0</v>
      </c>
      <c r="J747" s="102" t="s">
        <v>472</v>
      </c>
      <c r="K747" s="360">
        <v>0.0</v>
      </c>
      <c r="L747" s="360">
        <v>2000.0</v>
      </c>
      <c r="M747" s="102" t="s">
        <v>1120</v>
      </c>
      <c r="N747" s="102" t="s">
        <v>1437</v>
      </c>
    </row>
    <row r="748">
      <c r="A748" s="412">
        <v>45777.0</v>
      </c>
      <c r="B748" s="413">
        <v>2025.0</v>
      </c>
      <c r="C748" s="414" t="s">
        <v>1374</v>
      </c>
      <c r="D748" s="413" t="s">
        <v>710</v>
      </c>
      <c r="E748" s="413" t="s">
        <v>137</v>
      </c>
      <c r="F748" s="413" t="s">
        <v>703</v>
      </c>
      <c r="G748" s="413" t="s">
        <v>732</v>
      </c>
      <c r="H748" s="415">
        <v>4536.0</v>
      </c>
      <c r="I748" s="416" t="b">
        <v>0</v>
      </c>
      <c r="J748" s="413" t="s">
        <v>472</v>
      </c>
      <c r="K748" s="415">
        <v>0.0</v>
      </c>
      <c r="L748" s="415">
        <v>4536.0</v>
      </c>
      <c r="M748" s="413" t="s">
        <v>1120</v>
      </c>
      <c r="N748" s="413" t="s">
        <v>1438</v>
      </c>
    </row>
    <row r="749">
      <c r="A749" s="409">
        <v>45778.0</v>
      </c>
      <c r="B749" s="102">
        <v>2025.0</v>
      </c>
      <c r="C749" s="410" t="s">
        <v>1439</v>
      </c>
      <c r="D749" s="102" t="s">
        <v>702</v>
      </c>
      <c r="E749" s="102" t="s">
        <v>465</v>
      </c>
      <c r="F749" s="102" t="s">
        <v>703</v>
      </c>
      <c r="G749" s="102" t="s">
        <v>715</v>
      </c>
      <c r="H749" s="360">
        <v>300.0</v>
      </c>
      <c r="I749" s="411" t="b">
        <v>0</v>
      </c>
      <c r="J749" s="102" t="s">
        <v>1440</v>
      </c>
      <c r="K749" s="360">
        <v>0.0</v>
      </c>
      <c r="L749" s="360">
        <v>300.0</v>
      </c>
      <c r="M749" s="102" t="s">
        <v>1120</v>
      </c>
      <c r="N749" s="102" t="s">
        <v>1441</v>
      </c>
    </row>
    <row r="750">
      <c r="A750" s="412">
        <v>45779.0</v>
      </c>
      <c r="B750" s="413">
        <v>2025.0</v>
      </c>
      <c r="C750" s="414" t="s">
        <v>1439</v>
      </c>
      <c r="D750" s="413" t="s">
        <v>710</v>
      </c>
      <c r="E750" s="413" t="s">
        <v>137</v>
      </c>
      <c r="F750" s="413" t="s">
        <v>711</v>
      </c>
      <c r="G750" s="413" t="s">
        <v>767</v>
      </c>
      <c r="H750" s="415">
        <v>950.0</v>
      </c>
      <c r="I750" s="416" t="b">
        <v>0</v>
      </c>
      <c r="J750" s="413" t="s">
        <v>1320</v>
      </c>
      <c r="K750" s="415">
        <v>0.0</v>
      </c>
      <c r="L750" s="415">
        <v>950.0</v>
      </c>
      <c r="M750" s="413" t="s">
        <v>1120</v>
      </c>
      <c r="N750" s="413" t="s">
        <v>1442</v>
      </c>
    </row>
    <row r="751">
      <c r="A751" s="409">
        <v>45779.0</v>
      </c>
      <c r="B751" s="102">
        <v>2025.0</v>
      </c>
      <c r="C751" s="410" t="s">
        <v>1439</v>
      </c>
      <c r="D751" s="102" t="s">
        <v>710</v>
      </c>
      <c r="E751" s="102" t="s">
        <v>137</v>
      </c>
      <c r="F751" s="102" t="s">
        <v>711</v>
      </c>
      <c r="G751" s="102" t="s">
        <v>767</v>
      </c>
      <c r="H751" s="360">
        <v>950.0</v>
      </c>
      <c r="I751" s="411" t="b">
        <v>0</v>
      </c>
      <c r="J751" s="102" t="s">
        <v>1232</v>
      </c>
      <c r="K751" s="360">
        <v>0.0</v>
      </c>
      <c r="L751" s="360">
        <v>950.0</v>
      </c>
      <c r="M751" s="102" t="s">
        <v>1120</v>
      </c>
      <c r="N751" s="102" t="s">
        <v>1443</v>
      </c>
    </row>
    <row r="752">
      <c r="A752" s="412">
        <v>45779.0</v>
      </c>
      <c r="B752" s="413">
        <v>2025.0</v>
      </c>
      <c r="C752" s="414" t="s">
        <v>1439</v>
      </c>
      <c r="D752" s="413" t="s">
        <v>702</v>
      </c>
      <c r="E752" s="413" t="s">
        <v>465</v>
      </c>
      <c r="F752" s="413" t="s">
        <v>711</v>
      </c>
      <c r="G752" s="413" t="s">
        <v>767</v>
      </c>
      <c r="H752" s="415">
        <v>1900.0</v>
      </c>
      <c r="I752" s="416" t="b">
        <v>0</v>
      </c>
      <c r="J752" s="413" t="s">
        <v>1444</v>
      </c>
      <c r="K752" s="415">
        <v>262.06896551724117</v>
      </c>
      <c r="L752" s="415">
        <v>1637.9310344827588</v>
      </c>
      <c r="M752" s="413" t="s">
        <v>1120</v>
      </c>
      <c r="N752" s="413" t="s">
        <v>1445</v>
      </c>
    </row>
    <row r="753">
      <c r="A753" s="409">
        <v>45779.0</v>
      </c>
      <c r="B753" s="102">
        <v>2025.0</v>
      </c>
      <c r="C753" s="410" t="s">
        <v>1439</v>
      </c>
      <c r="D753" s="102" t="s">
        <v>710</v>
      </c>
      <c r="E753" s="102" t="s">
        <v>137</v>
      </c>
      <c r="F753" s="102" t="s">
        <v>711</v>
      </c>
      <c r="G753" s="102" t="s">
        <v>734</v>
      </c>
      <c r="H753" s="360">
        <v>140.0</v>
      </c>
      <c r="I753" s="411" t="b">
        <v>0</v>
      </c>
      <c r="J753" s="102" t="s">
        <v>1367</v>
      </c>
      <c r="K753" s="360">
        <v>0.0</v>
      </c>
      <c r="L753" s="360">
        <v>140.0</v>
      </c>
      <c r="M753" s="102" t="s">
        <v>1120</v>
      </c>
      <c r="N753" s="102" t="s">
        <v>1446</v>
      </c>
    </row>
    <row r="754">
      <c r="A754" s="412">
        <v>45779.0</v>
      </c>
      <c r="B754" s="413">
        <v>2025.0</v>
      </c>
      <c r="C754" s="414" t="s">
        <v>1439</v>
      </c>
      <c r="D754" s="413" t="s">
        <v>710</v>
      </c>
      <c r="E754" s="413" t="s">
        <v>137</v>
      </c>
      <c r="F754" s="413" t="s">
        <v>711</v>
      </c>
      <c r="G754" s="413" t="s">
        <v>767</v>
      </c>
      <c r="H754" s="415">
        <v>1300.0</v>
      </c>
      <c r="I754" s="416" t="b">
        <v>0</v>
      </c>
      <c r="J754" s="413" t="s">
        <v>1018</v>
      </c>
      <c r="K754" s="415">
        <v>0.0</v>
      </c>
      <c r="L754" s="415">
        <v>1300.0</v>
      </c>
      <c r="M754" s="413" t="s">
        <v>1120</v>
      </c>
      <c r="N754" s="413" t="s">
        <v>1447</v>
      </c>
    </row>
    <row r="755">
      <c r="A755" s="409">
        <v>45779.0</v>
      </c>
      <c r="B755" s="102">
        <v>2025.0</v>
      </c>
      <c r="C755" s="410" t="s">
        <v>1439</v>
      </c>
      <c r="D755" s="102" t="s">
        <v>710</v>
      </c>
      <c r="E755" s="102" t="s">
        <v>137</v>
      </c>
      <c r="F755" s="102" t="s">
        <v>703</v>
      </c>
      <c r="G755" s="102" t="s">
        <v>715</v>
      </c>
      <c r="H755" s="360">
        <v>145.0</v>
      </c>
      <c r="I755" s="411" t="b">
        <v>0</v>
      </c>
      <c r="J755" s="102" t="s">
        <v>472</v>
      </c>
      <c r="K755" s="360">
        <v>0.0</v>
      </c>
      <c r="L755" s="360">
        <v>145.0</v>
      </c>
      <c r="M755" s="102" t="s">
        <v>1120</v>
      </c>
      <c r="N755" s="102" t="s">
        <v>1447</v>
      </c>
    </row>
    <row r="756">
      <c r="A756" s="412">
        <v>45779.0</v>
      </c>
      <c r="B756" s="413">
        <v>2025.0</v>
      </c>
      <c r="C756" s="414" t="s">
        <v>1439</v>
      </c>
      <c r="D756" s="413" t="s">
        <v>710</v>
      </c>
      <c r="E756" s="413" t="s">
        <v>137</v>
      </c>
      <c r="F756" s="413" t="s">
        <v>711</v>
      </c>
      <c r="G756" s="413" t="s">
        <v>767</v>
      </c>
      <c r="H756" s="415">
        <v>800.0</v>
      </c>
      <c r="I756" s="416" t="b">
        <v>0</v>
      </c>
      <c r="J756" s="413" t="s">
        <v>1197</v>
      </c>
      <c r="K756" s="415">
        <v>0.0</v>
      </c>
      <c r="L756" s="415">
        <v>800.0</v>
      </c>
      <c r="M756" s="413" t="s">
        <v>1120</v>
      </c>
      <c r="N756" s="413" t="s">
        <v>1448</v>
      </c>
    </row>
    <row r="757">
      <c r="A757" s="409">
        <v>45782.0</v>
      </c>
      <c r="B757" s="102">
        <v>2025.0</v>
      </c>
      <c r="C757" s="410" t="s">
        <v>1439</v>
      </c>
      <c r="D757" s="102" t="s">
        <v>710</v>
      </c>
      <c r="E757" s="102" t="s">
        <v>137</v>
      </c>
      <c r="F757" s="102" t="s">
        <v>703</v>
      </c>
      <c r="G757" s="102" t="s">
        <v>715</v>
      </c>
      <c r="H757" s="360">
        <v>30.0</v>
      </c>
      <c r="I757" s="411" t="b">
        <v>0</v>
      </c>
      <c r="J757" s="102" t="s">
        <v>472</v>
      </c>
      <c r="K757" s="360">
        <v>0.0</v>
      </c>
      <c r="L757" s="360">
        <v>30.0</v>
      </c>
      <c r="M757" s="102" t="s">
        <v>1120</v>
      </c>
      <c r="N757" s="102" t="s">
        <v>1449</v>
      </c>
    </row>
    <row r="758">
      <c r="A758" s="412">
        <v>45782.0</v>
      </c>
      <c r="B758" s="413">
        <v>2025.0</v>
      </c>
      <c r="C758" s="414" t="s">
        <v>1439</v>
      </c>
      <c r="D758" s="413" t="s">
        <v>702</v>
      </c>
      <c r="E758" s="413" t="s">
        <v>465</v>
      </c>
      <c r="F758" s="413" t="s">
        <v>703</v>
      </c>
      <c r="G758" s="413" t="s">
        <v>715</v>
      </c>
      <c r="H758" s="415">
        <v>250.0</v>
      </c>
      <c r="I758" s="416" t="b">
        <v>0</v>
      </c>
      <c r="J758" s="413" t="s">
        <v>472</v>
      </c>
      <c r="K758" s="415">
        <v>0.0</v>
      </c>
      <c r="L758" s="415">
        <v>250.0</v>
      </c>
      <c r="M758" s="413" t="s">
        <v>1120</v>
      </c>
      <c r="N758" s="413" t="s">
        <v>1450</v>
      </c>
    </row>
    <row r="759">
      <c r="A759" s="409">
        <v>45782.0</v>
      </c>
      <c r="B759" s="102">
        <v>2025.0</v>
      </c>
      <c r="C759" s="410" t="s">
        <v>1439</v>
      </c>
      <c r="D759" s="102" t="s">
        <v>702</v>
      </c>
      <c r="E759" s="102" t="s">
        <v>465</v>
      </c>
      <c r="F759" s="102" t="s">
        <v>703</v>
      </c>
      <c r="G759" s="102" t="s">
        <v>601</v>
      </c>
      <c r="H759" s="360">
        <v>550.0</v>
      </c>
      <c r="I759" s="411" t="b">
        <v>0</v>
      </c>
      <c r="J759" s="102" t="s">
        <v>472</v>
      </c>
      <c r="K759" s="360">
        <v>0.0</v>
      </c>
      <c r="L759" s="360">
        <v>550.0</v>
      </c>
      <c r="M759" s="102" t="s">
        <v>1120</v>
      </c>
      <c r="N759" s="102" t="s">
        <v>1451</v>
      </c>
    </row>
    <row r="760">
      <c r="A760" s="412">
        <v>45782.0</v>
      </c>
      <c r="B760" s="413">
        <v>2025.0</v>
      </c>
      <c r="C760" s="414" t="s">
        <v>1439</v>
      </c>
      <c r="D760" s="413" t="s">
        <v>702</v>
      </c>
      <c r="E760" s="413" t="s">
        <v>465</v>
      </c>
      <c r="F760" s="413" t="s">
        <v>711</v>
      </c>
      <c r="G760" s="413" t="s">
        <v>767</v>
      </c>
      <c r="H760" s="415">
        <v>950.0</v>
      </c>
      <c r="I760" s="416" t="b">
        <v>0</v>
      </c>
      <c r="J760" s="413" t="s">
        <v>1221</v>
      </c>
      <c r="K760" s="415">
        <v>131.03448275862058</v>
      </c>
      <c r="L760" s="415">
        <v>818.9655172413794</v>
      </c>
      <c r="M760" s="413" t="s">
        <v>1120</v>
      </c>
      <c r="N760" s="413" t="s">
        <v>1452</v>
      </c>
    </row>
    <row r="761">
      <c r="A761" s="409">
        <v>45782.0</v>
      </c>
      <c r="B761" s="102">
        <v>2025.0</v>
      </c>
      <c r="C761" s="410" t="s">
        <v>1439</v>
      </c>
      <c r="D761" s="102" t="s">
        <v>702</v>
      </c>
      <c r="E761" s="102" t="s">
        <v>465</v>
      </c>
      <c r="F761" s="102" t="s">
        <v>711</v>
      </c>
      <c r="G761" s="102" t="s">
        <v>767</v>
      </c>
      <c r="H761" s="360">
        <v>800.0</v>
      </c>
      <c r="I761" s="411" t="b">
        <v>0</v>
      </c>
      <c r="J761" s="102" t="s">
        <v>1453</v>
      </c>
      <c r="K761" s="360">
        <v>110.34482758620686</v>
      </c>
      <c r="L761" s="360">
        <v>689.6551724137931</v>
      </c>
      <c r="M761" s="102" t="s">
        <v>1120</v>
      </c>
      <c r="N761" s="102" t="s">
        <v>1454</v>
      </c>
    </row>
    <row r="762">
      <c r="A762" s="412">
        <v>45782.0</v>
      </c>
      <c r="B762" s="413">
        <v>2025.0</v>
      </c>
      <c r="C762" s="414" t="s">
        <v>1439</v>
      </c>
      <c r="D762" s="413" t="s">
        <v>702</v>
      </c>
      <c r="E762" s="413" t="s">
        <v>465</v>
      </c>
      <c r="F762" s="413" t="s">
        <v>711</v>
      </c>
      <c r="G762" s="413" t="s">
        <v>767</v>
      </c>
      <c r="H762" s="415">
        <v>1150.0</v>
      </c>
      <c r="I762" s="416" t="b">
        <v>0</v>
      </c>
      <c r="J762" s="413" t="s">
        <v>1235</v>
      </c>
      <c r="K762" s="415">
        <v>158.62068965517233</v>
      </c>
      <c r="L762" s="415">
        <v>991.3793103448277</v>
      </c>
      <c r="M762" s="413" t="s">
        <v>1120</v>
      </c>
      <c r="N762" s="413" t="s">
        <v>1455</v>
      </c>
    </row>
    <row r="763">
      <c r="A763" s="409">
        <v>45782.0</v>
      </c>
      <c r="B763" s="102">
        <v>2025.0</v>
      </c>
      <c r="C763" s="410" t="s">
        <v>1439</v>
      </c>
      <c r="D763" s="102" t="s">
        <v>710</v>
      </c>
      <c r="E763" s="102" t="s">
        <v>137</v>
      </c>
      <c r="F763" s="102" t="s">
        <v>711</v>
      </c>
      <c r="G763" s="102" t="s">
        <v>767</v>
      </c>
      <c r="H763" s="360">
        <v>950.0</v>
      </c>
      <c r="I763" s="411" t="b">
        <v>0</v>
      </c>
      <c r="J763" s="102" t="s">
        <v>1230</v>
      </c>
      <c r="K763" s="360">
        <v>0.0</v>
      </c>
      <c r="L763" s="360">
        <v>950.0</v>
      </c>
      <c r="M763" s="102" t="s">
        <v>1120</v>
      </c>
      <c r="N763" s="102" t="s">
        <v>1456</v>
      </c>
    </row>
    <row r="764">
      <c r="A764" s="412">
        <v>45782.0</v>
      </c>
      <c r="B764" s="413">
        <v>2025.0</v>
      </c>
      <c r="C764" s="414" t="s">
        <v>1439</v>
      </c>
      <c r="D764" s="413" t="s">
        <v>710</v>
      </c>
      <c r="E764" s="413" t="s">
        <v>137</v>
      </c>
      <c r="F764" s="413" t="s">
        <v>703</v>
      </c>
      <c r="G764" s="413" t="s">
        <v>769</v>
      </c>
      <c r="H764" s="415">
        <v>8000.0</v>
      </c>
      <c r="I764" s="416" t="b">
        <v>0</v>
      </c>
      <c r="J764" s="413" t="s">
        <v>472</v>
      </c>
      <c r="K764" s="415">
        <v>0.0</v>
      </c>
      <c r="L764" s="415">
        <v>8000.0</v>
      </c>
      <c r="M764" s="413" t="s">
        <v>1120</v>
      </c>
      <c r="N764" s="413" t="s">
        <v>1457</v>
      </c>
    </row>
    <row r="765">
      <c r="A765" s="409">
        <v>45782.0</v>
      </c>
      <c r="B765" s="102">
        <v>2025.0</v>
      </c>
      <c r="C765" s="410" t="s">
        <v>1439</v>
      </c>
      <c r="D765" s="102" t="s">
        <v>702</v>
      </c>
      <c r="E765" s="102" t="s">
        <v>465</v>
      </c>
      <c r="F765" s="102" t="s">
        <v>711</v>
      </c>
      <c r="G765" s="102" t="s">
        <v>767</v>
      </c>
      <c r="H765" s="360">
        <v>1103.0</v>
      </c>
      <c r="I765" s="411" t="b">
        <v>0</v>
      </c>
      <c r="J765" s="102" t="s">
        <v>1164</v>
      </c>
      <c r="K765" s="360">
        <v>152.13793103448268</v>
      </c>
      <c r="L765" s="360">
        <v>950.8620689655173</v>
      </c>
      <c r="M765" s="102" t="s">
        <v>1120</v>
      </c>
      <c r="N765" s="102" t="s">
        <v>1458</v>
      </c>
    </row>
    <row r="766">
      <c r="A766" s="412">
        <v>45782.0</v>
      </c>
      <c r="B766" s="413">
        <v>2025.0</v>
      </c>
      <c r="C766" s="414" t="s">
        <v>1439</v>
      </c>
      <c r="D766" s="413" t="s">
        <v>702</v>
      </c>
      <c r="E766" s="413" t="s">
        <v>465</v>
      </c>
      <c r="F766" s="413" t="s">
        <v>711</v>
      </c>
      <c r="G766" s="413" t="s">
        <v>767</v>
      </c>
      <c r="H766" s="415">
        <v>1700.0</v>
      </c>
      <c r="I766" s="416" t="b">
        <v>0</v>
      </c>
      <c r="J766" s="413" t="s">
        <v>1459</v>
      </c>
      <c r="K766" s="415">
        <v>234.48275862068954</v>
      </c>
      <c r="L766" s="415">
        <v>1465.5172413793105</v>
      </c>
      <c r="M766" s="413" t="s">
        <v>1120</v>
      </c>
      <c r="N766" s="413" t="s">
        <v>1460</v>
      </c>
    </row>
    <row r="767">
      <c r="A767" s="409">
        <v>45782.0</v>
      </c>
      <c r="B767" s="102">
        <v>2025.0</v>
      </c>
      <c r="C767" s="410" t="s">
        <v>1439</v>
      </c>
      <c r="D767" s="102" t="s">
        <v>702</v>
      </c>
      <c r="E767" s="102" t="s">
        <v>465</v>
      </c>
      <c r="F767" s="102" t="s">
        <v>711</v>
      </c>
      <c r="G767" s="102" t="s">
        <v>767</v>
      </c>
      <c r="H767" s="360">
        <v>900.0</v>
      </c>
      <c r="I767" s="411" t="b">
        <v>0</v>
      </c>
      <c r="J767" s="102" t="s">
        <v>1218</v>
      </c>
      <c r="K767" s="360">
        <v>124.13793103448268</v>
      </c>
      <c r="L767" s="360">
        <v>775.8620689655173</v>
      </c>
      <c r="M767" s="102" t="s">
        <v>1120</v>
      </c>
      <c r="N767" s="102" t="s">
        <v>1461</v>
      </c>
    </row>
    <row r="768">
      <c r="A768" s="412">
        <v>45782.0</v>
      </c>
      <c r="B768" s="413">
        <v>2025.0</v>
      </c>
      <c r="C768" s="414" t="s">
        <v>1439</v>
      </c>
      <c r="D768" s="413" t="s">
        <v>702</v>
      </c>
      <c r="E768" s="413" t="s">
        <v>465</v>
      </c>
      <c r="F768" s="413" t="s">
        <v>711</v>
      </c>
      <c r="G768" s="413" t="s">
        <v>767</v>
      </c>
      <c r="H768" s="415">
        <v>950.0</v>
      </c>
      <c r="I768" s="416" t="b">
        <v>0</v>
      </c>
      <c r="J768" s="413" t="s">
        <v>1146</v>
      </c>
      <c r="K768" s="415">
        <v>131.03448275862058</v>
      </c>
      <c r="L768" s="415">
        <v>818.9655172413794</v>
      </c>
      <c r="M768" s="413" t="s">
        <v>1120</v>
      </c>
      <c r="N768" s="413" t="s">
        <v>1462</v>
      </c>
    </row>
    <row r="769">
      <c r="A769" s="409">
        <v>45782.0</v>
      </c>
      <c r="B769" s="102">
        <v>2025.0</v>
      </c>
      <c r="C769" s="410" t="s">
        <v>1439</v>
      </c>
      <c r="D769" s="102" t="s">
        <v>702</v>
      </c>
      <c r="E769" s="102" t="s">
        <v>465</v>
      </c>
      <c r="F769" s="102" t="s">
        <v>711</v>
      </c>
      <c r="G769" s="102" t="s">
        <v>767</v>
      </c>
      <c r="H769" s="360">
        <v>950.0</v>
      </c>
      <c r="I769" s="411" t="b">
        <v>0</v>
      </c>
      <c r="J769" s="102" t="s">
        <v>1246</v>
      </c>
      <c r="K769" s="360">
        <v>131.03448275862058</v>
      </c>
      <c r="L769" s="360">
        <v>818.9655172413794</v>
      </c>
      <c r="M769" s="102" t="s">
        <v>1120</v>
      </c>
      <c r="N769" s="102" t="s">
        <v>1463</v>
      </c>
    </row>
    <row r="770">
      <c r="A770" s="412">
        <v>45782.0</v>
      </c>
      <c r="B770" s="413">
        <v>2025.0</v>
      </c>
      <c r="C770" s="414" t="s">
        <v>1439</v>
      </c>
      <c r="D770" s="413" t="s">
        <v>702</v>
      </c>
      <c r="E770" s="413" t="s">
        <v>465</v>
      </c>
      <c r="F770" s="413" t="s">
        <v>703</v>
      </c>
      <c r="G770" s="413" t="s">
        <v>732</v>
      </c>
      <c r="H770" s="415">
        <v>78.0</v>
      </c>
      <c r="I770" s="416" t="b">
        <v>0</v>
      </c>
      <c r="J770" s="413" t="s">
        <v>472</v>
      </c>
      <c r="K770" s="415">
        <v>0.0</v>
      </c>
      <c r="L770" s="415">
        <v>78.0</v>
      </c>
      <c r="M770" s="413" t="s">
        <v>1120</v>
      </c>
      <c r="N770" s="413" t="s">
        <v>1464</v>
      </c>
    </row>
    <row r="771">
      <c r="A771" s="409">
        <v>45782.0</v>
      </c>
      <c r="B771" s="102">
        <v>2025.0</v>
      </c>
      <c r="C771" s="410" t="s">
        <v>1439</v>
      </c>
      <c r="D771" s="102" t="s">
        <v>702</v>
      </c>
      <c r="E771" s="102" t="s">
        <v>465</v>
      </c>
      <c r="F771" s="102" t="s">
        <v>711</v>
      </c>
      <c r="G771" s="102" t="s">
        <v>730</v>
      </c>
      <c r="H771" s="360">
        <v>349.0</v>
      </c>
      <c r="I771" s="411" t="b">
        <v>0</v>
      </c>
      <c r="J771" s="102" t="s">
        <v>472</v>
      </c>
      <c r="K771" s="360">
        <v>48.13793103448273</v>
      </c>
      <c r="L771" s="360">
        <v>300.86206896551727</v>
      </c>
      <c r="M771" s="102" t="s">
        <v>1120</v>
      </c>
      <c r="N771" s="102" t="s">
        <v>1465</v>
      </c>
    </row>
    <row r="772">
      <c r="A772" s="412">
        <v>45782.0</v>
      </c>
      <c r="B772" s="413">
        <v>2025.0</v>
      </c>
      <c r="C772" s="414" t="s">
        <v>1439</v>
      </c>
      <c r="D772" s="413" t="s">
        <v>702</v>
      </c>
      <c r="E772" s="413" t="s">
        <v>465</v>
      </c>
      <c r="F772" s="413" t="s">
        <v>711</v>
      </c>
      <c r="G772" s="413" t="s">
        <v>767</v>
      </c>
      <c r="H772" s="415">
        <v>800.0</v>
      </c>
      <c r="I772" s="416" t="b">
        <v>0</v>
      </c>
      <c r="J772" s="413" t="s">
        <v>1466</v>
      </c>
      <c r="K772" s="415">
        <v>110.34482758620686</v>
      </c>
      <c r="L772" s="415">
        <v>689.6551724137931</v>
      </c>
      <c r="M772" s="413" t="s">
        <v>1120</v>
      </c>
      <c r="N772" s="413" t="s">
        <v>1467</v>
      </c>
    </row>
    <row r="773">
      <c r="A773" s="409">
        <v>45782.0</v>
      </c>
      <c r="B773" s="102">
        <v>2025.0</v>
      </c>
      <c r="C773" s="410" t="s">
        <v>1439</v>
      </c>
      <c r="D773" s="102" t="s">
        <v>710</v>
      </c>
      <c r="E773" s="102" t="s">
        <v>137</v>
      </c>
      <c r="F773" s="102" t="s">
        <v>711</v>
      </c>
      <c r="G773" s="102" t="s">
        <v>724</v>
      </c>
      <c r="H773" s="360">
        <v>450.0</v>
      </c>
      <c r="I773" s="411" t="b">
        <v>1</v>
      </c>
      <c r="J773" s="102" t="s">
        <v>1468</v>
      </c>
      <c r="K773" s="360">
        <v>0.0</v>
      </c>
      <c r="L773" s="360">
        <v>0.0</v>
      </c>
      <c r="M773" s="102" t="s">
        <v>1120</v>
      </c>
      <c r="N773" s="102" t="s">
        <v>1469</v>
      </c>
    </row>
    <row r="774">
      <c r="A774" s="412">
        <v>45782.0</v>
      </c>
      <c r="B774" s="413">
        <v>2025.0</v>
      </c>
      <c r="C774" s="414" t="s">
        <v>1439</v>
      </c>
      <c r="D774" s="413" t="s">
        <v>702</v>
      </c>
      <c r="E774" s="413" t="s">
        <v>465</v>
      </c>
      <c r="F774" s="413" t="s">
        <v>703</v>
      </c>
      <c r="G774" s="413" t="s">
        <v>724</v>
      </c>
      <c r="H774" s="415">
        <v>450.0</v>
      </c>
      <c r="I774" s="416" t="b">
        <v>1</v>
      </c>
      <c r="J774" s="413" t="s">
        <v>1468</v>
      </c>
      <c r="K774" s="415">
        <v>0.0</v>
      </c>
      <c r="L774" s="415">
        <v>0.0</v>
      </c>
      <c r="M774" s="413" t="s">
        <v>1120</v>
      </c>
      <c r="N774" s="413" t="s">
        <v>1469</v>
      </c>
    </row>
    <row r="775">
      <c r="A775" s="409">
        <v>45782.0</v>
      </c>
      <c r="B775" s="102">
        <v>2025.0</v>
      </c>
      <c r="C775" s="410" t="s">
        <v>1439</v>
      </c>
      <c r="D775" s="102" t="s">
        <v>702</v>
      </c>
      <c r="E775" s="102" t="s">
        <v>465</v>
      </c>
      <c r="F775" s="102" t="s">
        <v>711</v>
      </c>
      <c r="G775" s="102" t="s">
        <v>767</v>
      </c>
      <c r="H775" s="360">
        <v>800.0</v>
      </c>
      <c r="I775" s="411" t="b">
        <v>0</v>
      </c>
      <c r="J775" s="102" t="s">
        <v>1139</v>
      </c>
      <c r="K775" s="360">
        <v>110.34482758620686</v>
      </c>
      <c r="L775" s="360">
        <v>689.6551724137931</v>
      </c>
      <c r="M775" s="102" t="s">
        <v>1120</v>
      </c>
      <c r="N775" s="102" t="s">
        <v>1469</v>
      </c>
    </row>
    <row r="776">
      <c r="A776" s="412">
        <v>45782.0</v>
      </c>
      <c r="B776" s="413">
        <v>2025.0</v>
      </c>
      <c r="C776" s="414" t="s">
        <v>1439</v>
      </c>
      <c r="D776" s="413" t="s">
        <v>710</v>
      </c>
      <c r="E776" s="413" t="s">
        <v>137</v>
      </c>
      <c r="F776" s="413" t="s">
        <v>703</v>
      </c>
      <c r="G776" s="413" t="s">
        <v>715</v>
      </c>
      <c r="H776" s="415">
        <v>150.0</v>
      </c>
      <c r="I776" s="416" t="b">
        <v>0</v>
      </c>
      <c r="J776" s="413" t="s">
        <v>1470</v>
      </c>
      <c r="K776" s="415">
        <v>0.0</v>
      </c>
      <c r="L776" s="415">
        <v>150.0</v>
      </c>
      <c r="M776" s="413" t="s">
        <v>1120</v>
      </c>
      <c r="N776" s="413" t="s">
        <v>1471</v>
      </c>
    </row>
    <row r="777">
      <c r="A777" s="409">
        <v>45784.0</v>
      </c>
      <c r="B777" s="102">
        <v>2025.0</v>
      </c>
      <c r="C777" s="410" t="s">
        <v>1439</v>
      </c>
      <c r="D777" s="102" t="s">
        <v>702</v>
      </c>
      <c r="E777" s="102" t="s">
        <v>465</v>
      </c>
      <c r="F777" s="102" t="s">
        <v>711</v>
      </c>
      <c r="G777" s="102" t="s">
        <v>767</v>
      </c>
      <c r="H777" s="360">
        <v>1050.0</v>
      </c>
      <c r="I777" s="411" t="b">
        <v>0</v>
      </c>
      <c r="J777" s="102" t="s">
        <v>1224</v>
      </c>
      <c r="K777" s="360">
        <v>144.8275862068965</v>
      </c>
      <c r="L777" s="360">
        <v>905.1724137931035</v>
      </c>
      <c r="M777" s="102" t="s">
        <v>1120</v>
      </c>
      <c r="N777" s="102" t="s">
        <v>1472</v>
      </c>
    </row>
    <row r="778">
      <c r="A778" s="412">
        <v>45784.0</v>
      </c>
      <c r="B778" s="413">
        <v>2025.0</v>
      </c>
      <c r="C778" s="414" t="s">
        <v>1439</v>
      </c>
      <c r="D778" s="413" t="s">
        <v>702</v>
      </c>
      <c r="E778" s="413" t="s">
        <v>465</v>
      </c>
      <c r="F778" s="413" t="s">
        <v>711</v>
      </c>
      <c r="G778" s="413" t="s">
        <v>767</v>
      </c>
      <c r="H778" s="415">
        <v>1050.0</v>
      </c>
      <c r="I778" s="416" t="b">
        <v>0</v>
      </c>
      <c r="J778" s="413" t="s">
        <v>1473</v>
      </c>
      <c r="K778" s="415">
        <v>144.8275862068965</v>
      </c>
      <c r="L778" s="415">
        <v>905.1724137931035</v>
      </c>
      <c r="M778" s="413" t="s">
        <v>1120</v>
      </c>
      <c r="N778" s="413" t="s">
        <v>1474</v>
      </c>
    </row>
    <row r="779">
      <c r="A779" s="409">
        <v>45785.0</v>
      </c>
      <c r="B779" s="102">
        <v>2025.0</v>
      </c>
      <c r="C779" s="410" t="s">
        <v>1439</v>
      </c>
      <c r="D779" s="102" t="s">
        <v>702</v>
      </c>
      <c r="E779" s="102" t="s">
        <v>465</v>
      </c>
      <c r="F779" s="102" t="s">
        <v>703</v>
      </c>
      <c r="G779" s="102" t="s">
        <v>715</v>
      </c>
      <c r="H779" s="360">
        <v>302.0</v>
      </c>
      <c r="I779" s="411" t="b">
        <v>0</v>
      </c>
      <c r="J779" s="102" t="s">
        <v>1475</v>
      </c>
      <c r="K779" s="360">
        <v>0.0</v>
      </c>
      <c r="L779" s="360">
        <v>302.0</v>
      </c>
      <c r="M779" s="102" t="s">
        <v>1120</v>
      </c>
      <c r="N779" s="102" t="s">
        <v>1476</v>
      </c>
    </row>
    <row r="780">
      <c r="A780" s="412">
        <v>45785.0</v>
      </c>
      <c r="B780" s="413">
        <v>2025.0</v>
      </c>
      <c r="C780" s="414" t="s">
        <v>1439</v>
      </c>
      <c r="D780" s="413" t="s">
        <v>710</v>
      </c>
      <c r="E780" s="413" t="s">
        <v>137</v>
      </c>
      <c r="F780" s="413" t="s">
        <v>711</v>
      </c>
      <c r="G780" s="413" t="s">
        <v>767</v>
      </c>
      <c r="H780" s="415">
        <v>900.0</v>
      </c>
      <c r="I780" s="416" t="b">
        <v>0</v>
      </c>
      <c r="J780" s="413" t="s">
        <v>1237</v>
      </c>
      <c r="K780" s="415">
        <v>0.0</v>
      </c>
      <c r="L780" s="415">
        <v>900.0</v>
      </c>
      <c r="M780" s="413" t="s">
        <v>1120</v>
      </c>
      <c r="N780" s="413" t="s">
        <v>1477</v>
      </c>
    </row>
    <row r="781">
      <c r="A781" s="409">
        <v>45789.0</v>
      </c>
      <c r="B781" s="102">
        <v>2025.0</v>
      </c>
      <c r="C781" s="410" t="s">
        <v>1439</v>
      </c>
      <c r="D781" s="102" t="s">
        <v>710</v>
      </c>
      <c r="E781" s="102" t="s">
        <v>137</v>
      </c>
      <c r="F781" s="102" t="s">
        <v>703</v>
      </c>
      <c r="G781" s="102" t="s">
        <v>715</v>
      </c>
      <c r="H781" s="360">
        <v>70.0</v>
      </c>
      <c r="I781" s="411" t="b">
        <v>0</v>
      </c>
      <c r="J781" s="102" t="s">
        <v>1478</v>
      </c>
      <c r="K781" s="360">
        <v>0.0</v>
      </c>
      <c r="L781" s="360">
        <v>70.0</v>
      </c>
      <c r="M781" s="102" t="s">
        <v>1120</v>
      </c>
      <c r="N781" s="102" t="s">
        <v>1479</v>
      </c>
    </row>
    <row r="782">
      <c r="A782" s="412">
        <v>45789.0</v>
      </c>
      <c r="B782" s="413">
        <v>2025.0</v>
      </c>
      <c r="C782" s="414" t="s">
        <v>1439</v>
      </c>
      <c r="D782" s="413" t="s">
        <v>710</v>
      </c>
      <c r="E782" s="413" t="s">
        <v>137</v>
      </c>
      <c r="F782" s="413" t="s">
        <v>703</v>
      </c>
      <c r="G782" s="413" t="s">
        <v>715</v>
      </c>
      <c r="H782" s="415">
        <v>20.0</v>
      </c>
      <c r="I782" s="416" t="b">
        <v>0</v>
      </c>
      <c r="J782" s="413" t="s">
        <v>1480</v>
      </c>
      <c r="K782" s="415">
        <v>0.0</v>
      </c>
      <c r="L782" s="415">
        <v>20.0</v>
      </c>
      <c r="M782" s="413" t="s">
        <v>1120</v>
      </c>
      <c r="N782" s="413" t="s">
        <v>1481</v>
      </c>
    </row>
    <row r="783">
      <c r="A783" s="409">
        <v>45789.0</v>
      </c>
      <c r="B783" s="102">
        <v>2025.0</v>
      </c>
      <c r="C783" s="410" t="s">
        <v>1439</v>
      </c>
      <c r="D783" s="102" t="s">
        <v>710</v>
      </c>
      <c r="E783" s="102" t="s">
        <v>137</v>
      </c>
      <c r="F783" s="102" t="s">
        <v>711</v>
      </c>
      <c r="G783" s="102" t="s">
        <v>734</v>
      </c>
      <c r="H783" s="360">
        <v>140.0</v>
      </c>
      <c r="I783" s="411" t="b">
        <v>0</v>
      </c>
      <c r="J783" s="102" t="s">
        <v>1367</v>
      </c>
      <c r="K783" s="360">
        <v>0.0</v>
      </c>
      <c r="L783" s="360">
        <v>140.0</v>
      </c>
      <c r="M783" s="102" t="s">
        <v>1120</v>
      </c>
      <c r="N783" s="102" t="s">
        <v>1482</v>
      </c>
    </row>
    <row r="784">
      <c r="A784" s="412">
        <v>45789.0</v>
      </c>
      <c r="B784" s="413">
        <v>2025.0</v>
      </c>
      <c r="C784" s="414" t="s">
        <v>1439</v>
      </c>
      <c r="D784" s="413" t="s">
        <v>710</v>
      </c>
      <c r="E784" s="413" t="s">
        <v>137</v>
      </c>
      <c r="F784" s="413" t="s">
        <v>711</v>
      </c>
      <c r="G784" s="413" t="s">
        <v>734</v>
      </c>
      <c r="H784" s="415">
        <v>180.0</v>
      </c>
      <c r="I784" s="416" t="b">
        <v>0</v>
      </c>
      <c r="J784" s="413" t="s">
        <v>1483</v>
      </c>
      <c r="K784" s="415">
        <v>0.0</v>
      </c>
      <c r="L784" s="415">
        <v>180.0</v>
      </c>
      <c r="M784" s="413" t="s">
        <v>1120</v>
      </c>
      <c r="N784" s="413" t="s">
        <v>1484</v>
      </c>
    </row>
    <row r="785">
      <c r="A785" s="409">
        <v>45789.0</v>
      </c>
      <c r="B785" s="102">
        <v>2025.0</v>
      </c>
      <c r="C785" s="410" t="s">
        <v>1439</v>
      </c>
      <c r="D785" s="102" t="s">
        <v>710</v>
      </c>
      <c r="E785" s="102" t="s">
        <v>137</v>
      </c>
      <c r="F785" s="102" t="s">
        <v>711</v>
      </c>
      <c r="G785" s="102" t="s">
        <v>734</v>
      </c>
      <c r="H785" s="360">
        <v>180.0</v>
      </c>
      <c r="I785" s="411" t="b">
        <v>0</v>
      </c>
      <c r="J785" s="102" t="s">
        <v>1415</v>
      </c>
      <c r="K785" s="360">
        <v>0.0</v>
      </c>
      <c r="L785" s="360">
        <v>180.0</v>
      </c>
      <c r="M785" s="102" t="s">
        <v>1120</v>
      </c>
      <c r="N785" s="102" t="s">
        <v>1485</v>
      </c>
    </row>
    <row r="786">
      <c r="A786" s="412">
        <v>45792.0</v>
      </c>
      <c r="B786" s="413">
        <v>2025.0</v>
      </c>
      <c r="C786" s="414" t="s">
        <v>1439</v>
      </c>
      <c r="D786" s="413" t="s">
        <v>710</v>
      </c>
      <c r="E786" s="413" t="s">
        <v>137</v>
      </c>
      <c r="F786" s="413" t="s">
        <v>703</v>
      </c>
      <c r="G786" s="413" t="s">
        <v>715</v>
      </c>
      <c r="H786" s="415">
        <v>500.0</v>
      </c>
      <c r="I786" s="416" t="b">
        <v>0</v>
      </c>
      <c r="J786" s="413" t="s">
        <v>472</v>
      </c>
      <c r="K786" s="415">
        <v>0.0</v>
      </c>
      <c r="L786" s="415">
        <v>500.0</v>
      </c>
      <c r="M786" s="413" t="s">
        <v>1120</v>
      </c>
      <c r="N786" s="413" t="s">
        <v>1486</v>
      </c>
    </row>
    <row r="787">
      <c r="A787" s="409">
        <v>45792.0</v>
      </c>
      <c r="B787" s="102">
        <v>2025.0</v>
      </c>
      <c r="C787" s="410" t="s">
        <v>1439</v>
      </c>
      <c r="D787" s="102" t="s">
        <v>710</v>
      </c>
      <c r="E787" s="102" t="s">
        <v>137</v>
      </c>
      <c r="F787" s="102" t="s">
        <v>711</v>
      </c>
      <c r="G787" s="102" t="s">
        <v>734</v>
      </c>
      <c r="H787" s="360">
        <v>180.0</v>
      </c>
      <c r="I787" s="411" t="b">
        <v>0</v>
      </c>
      <c r="J787" s="102" t="s">
        <v>1466</v>
      </c>
      <c r="K787" s="360">
        <v>0.0</v>
      </c>
      <c r="L787" s="360">
        <v>180.0</v>
      </c>
      <c r="M787" s="102" t="s">
        <v>1120</v>
      </c>
      <c r="N787" s="102" t="s">
        <v>1487</v>
      </c>
    </row>
    <row r="788">
      <c r="A788" s="412">
        <v>45792.0</v>
      </c>
      <c r="B788" s="413">
        <v>2025.0</v>
      </c>
      <c r="C788" s="414" t="s">
        <v>1439</v>
      </c>
      <c r="D788" s="413" t="s">
        <v>710</v>
      </c>
      <c r="E788" s="413" t="s">
        <v>137</v>
      </c>
      <c r="F788" s="413" t="s">
        <v>711</v>
      </c>
      <c r="G788" s="413" t="s">
        <v>767</v>
      </c>
      <c r="H788" s="415">
        <v>950.0</v>
      </c>
      <c r="I788" s="416" t="b">
        <v>0</v>
      </c>
      <c r="J788" s="413" t="s">
        <v>1488</v>
      </c>
      <c r="K788" s="415">
        <v>0.0</v>
      </c>
      <c r="L788" s="415">
        <v>950.0</v>
      </c>
      <c r="M788" s="413" t="s">
        <v>1120</v>
      </c>
      <c r="N788" s="413" t="s">
        <v>1489</v>
      </c>
    </row>
    <row r="789">
      <c r="A789" s="409">
        <v>45792.0</v>
      </c>
      <c r="B789" s="102">
        <v>2025.0</v>
      </c>
      <c r="C789" s="410" t="s">
        <v>1439</v>
      </c>
      <c r="D789" s="102" t="s">
        <v>702</v>
      </c>
      <c r="E789" s="102" t="s">
        <v>465</v>
      </c>
      <c r="F789" s="102" t="s">
        <v>703</v>
      </c>
      <c r="G789" s="102" t="s">
        <v>715</v>
      </c>
      <c r="H789" s="360">
        <v>376.0</v>
      </c>
      <c r="I789" s="411" t="b">
        <v>0</v>
      </c>
      <c r="J789" s="102" t="s">
        <v>1490</v>
      </c>
      <c r="K789" s="360">
        <v>0.0</v>
      </c>
      <c r="L789" s="360">
        <v>376.0</v>
      </c>
      <c r="M789" s="102" t="s">
        <v>1120</v>
      </c>
      <c r="N789" s="102" t="s">
        <v>1491</v>
      </c>
    </row>
    <row r="790">
      <c r="A790" s="412">
        <v>45792.0</v>
      </c>
      <c r="B790" s="413">
        <v>2025.0</v>
      </c>
      <c r="C790" s="414" t="s">
        <v>1439</v>
      </c>
      <c r="D790" s="413" t="s">
        <v>702</v>
      </c>
      <c r="E790" s="413" t="s">
        <v>465</v>
      </c>
      <c r="F790" s="413" t="s">
        <v>703</v>
      </c>
      <c r="G790" s="413" t="s">
        <v>715</v>
      </c>
      <c r="H790" s="415">
        <v>260.0</v>
      </c>
      <c r="I790" s="416" t="b">
        <v>0</v>
      </c>
      <c r="J790" s="413" t="s">
        <v>1492</v>
      </c>
      <c r="K790" s="415">
        <v>0.0</v>
      </c>
      <c r="L790" s="415">
        <v>260.0</v>
      </c>
      <c r="M790" s="413" t="s">
        <v>1120</v>
      </c>
      <c r="N790" s="413" t="s">
        <v>1493</v>
      </c>
    </row>
    <row r="791">
      <c r="A791" s="409">
        <v>45792.0</v>
      </c>
      <c r="B791" s="102">
        <v>2025.0</v>
      </c>
      <c r="C791" s="410" t="s">
        <v>1439</v>
      </c>
      <c r="D791" s="102" t="s">
        <v>702</v>
      </c>
      <c r="E791" s="102" t="s">
        <v>465</v>
      </c>
      <c r="F791" s="102" t="s">
        <v>703</v>
      </c>
      <c r="G791" s="102" t="s">
        <v>715</v>
      </c>
      <c r="H791" s="360">
        <v>20.0</v>
      </c>
      <c r="I791" s="411" t="b">
        <v>0</v>
      </c>
      <c r="J791" s="102" t="s">
        <v>1494</v>
      </c>
      <c r="K791" s="360">
        <v>0.0</v>
      </c>
      <c r="L791" s="360">
        <v>20.0</v>
      </c>
      <c r="M791" s="102" t="s">
        <v>1120</v>
      </c>
      <c r="N791" s="102" t="s">
        <v>1495</v>
      </c>
    </row>
    <row r="792">
      <c r="A792" s="412">
        <v>45792.0</v>
      </c>
      <c r="B792" s="413">
        <v>2025.0</v>
      </c>
      <c r="C792" s="414" t="s">
        <v>1439</v>
      </c>
      <c r="D792" s="413" t="s">
        <v>702</v>
      </c>
      <c r="E792" s="413" t="s">
        <v>465</v>
      </c>
      <c r="F792" s="413" t="s">
        <v>703</v>
      </c>
      <c r="G792" s="413" t="s">
        <v>724</v>
      </c>
      <c r="H792" s="415">
        <v>3000.0</v>
      </c>
      <c r="I792" s="416" t="b">
        <v>1</v>
      </c>
      <c r="J792" s="413" t="s">
        <v>472</v>
      </c>
      <c r="K792" s="415">
        <v>0.0</v>
      </c>
      <c r="L792" s="415">
        <v>0.0</v>
      </c>
      <c r="M792" s="413" t="s">
        <v>1120</v>
      </c>
      <c r="N792" s="413" t="s">
        <v>1496</v>
      </c>
    </row>
    <row r="793">
      <c r="A793" s="409">
        <v>45792.0</v>
      </c>
      <c r="B793" s="102">
        <v>2025.0</v>
      </c>
      <c r="C793" s="410" t="s">
        <v>1439</v>
      </c>
      <c r="D793" s="102" t="s">
        <v>710</v>
      </c>
      <c r="E793" s="102" t="s">
        <v>137</v>
      </c>
      <c r="F793" s="102" t="s">
        <v>711</v>
      </c>
      <c r="G793" s="102" t="s">
        <v>724</v>
      </c>
      <c r="H793" s="360">
        <v>3000.0</v>
      </c>
      <c r="I793" s="411" t="b">
        <v>1</v>
      </c>
      <c r="J793" s="102" t="s">
        <v>472</v>
      </c>
      <c r="K793" s="360">
        <v>0.0</v>
      </c>
      <c r="L793" s="360">
        <v>0.0</v>
      </c>
      <c r="M793" s="102" t="s">
        <v>1120</v>
      </c>
      <c r="N793" s="102" t="s">
        <v>1496</v>
      </c>
    </row>
    <row r="794">
      <c r="A794" s="412">
        <v>45792.0</v>
      </c>
      <c r="B794" s="413">
        <v>2025.0</v>
      </c>
      <c r="C794" s="414" t="s">
        <v>1439</v>
      </c>
      <c r="D794" s="413" t="s">
        <v>702</v>
      </c>
      <c r="E794" s="413" t="s">
        <v>465</v>
      </c>
      <c r="F794" s="413" t="s">
        <v>703</v>
      </c>
      <c r="G794" s="413" t="s">
        <v>715</v>
      </c>
      <c r="H794" s="415">
        <v>38.0</v>
      </c>
      <c r="I794" s="416" t="b">
        <v>0</v>
      </c>
      <c r="J794" s="413" t="s">
        <v>472</v>
      </c>
      <c r="K794" s="415">
        <v>0.0</v>
      </c>
      <c r="L794" s="415">
        <v>38.0</v>
      </c>
      <c r="M794" s="413" t="s">
        <v>1120</v>
      </c>
      <c r="N794" s="413" t="s">
        <v>1497</v>
      </c>
    </row>
    <row r="795">
      <c r="A795" s="409">
        <v>45792.0</v>
      </c>
      <c r="B795" s="102">
        <v>2025.0</v>
      </c>
      <c r="C795" s="410" t="s">
        <v>1439</v>
      </c>
      <c r="D795" s="102" t="s">
        <v>702</v>
      </c>
      <c r="E795" s="102" t="s">
        <v>465</v>
      </c>
      <c r="F795" s="102" t="s">
        <v>703</v>
      </c>
      <c r="G795" s="102" t="s">
        <v>715</v>
      </c>
      <c r="H795" s="360">
        <v>13.0</v>
      </c>
      <c r="I795" s="411" t="b">
        <v>0</v>
      </c>
      <c r="J795" s="102" t="s">
        <v>472</v>
      </c>
      <c r="K795" s="360">
        <v>0.0</v>
      </c>
      <c r="L795" s="360">
        <v>13.0</v>
      </c>
      <c r="M795" s="102" t="s">
        <v>1120</v>
      </c>
      <c r="N795" s="102" t="s">
        <v>1498</v>
      </c>
    </row>
    <row r="796">
      <c r="A796" s="412">
        <v>45792.0</v>
      </c>
      <c r="B796" s="413">
        <v>2025.0</v>
      </c>
      <c r="C796" s="414" t="s">
        <v>1439</v>
      </c>
      <c r="D796" s="413" t="s">
        <v>710</v>
      </c>
      <c r="E796" s="413" t="s">
        <v>137</v>
      </c>
      <c r="F796" s="413" t="s">
        <v>703</v>
      </c>
      <c r="G796" s="413" t="s">
        <v>715</v>
      </c>
      <c r="H796" s="415">
        <v>200.0</v>
      </c>
      <c r="I796" s="416" t="b">
        <v>0</v>
      </c>
      <c r="J796" s="413" t="s">
        <v>472</v>
      </c>
      <c r="K796" s="415">
        <v>0.0</v>
      </c>
      <c r="L796" s="415">
        <v>200.0</v>
      </c>
      <c r="M796" s="413" t="s">
        <v>1120</v>
      </c>
      <c r="N796" s="413" t="s">
        <v>1499</v>
      </c>
    </row>
    <row r="797">
      <c r="A797" s="409">
        <v>45792.0</v>
      </c>
      <c r="B797" s="102">
        <v>2025.0</v>
      </c>
      <c r="C797" s="410" t="s">
        <v>1439</v>
      </c>
      <c r="D797" s="102" t="s">
        <v>702</v>
      </c>
      <c r="E797" s="102" t="s">
        <v>465</v>
      </c>
      <c r="F797" s="102" t="s">
        <v>711</v>
      </c>
      <c r="G797" s="102" t="s">
        <v>767</v>
      </c>
      <c r="H797" s="360">
        <v>1050.0</v>
      </c>
      <c r="I797" s="411" t="b">
        <v>0</v>
      </c>
      <c r="J797" s="102" t="s">
        <v>1243</v>
      </c>
      <c r="K797" s="360">
        <v>144.8275862068965</v>
      </c>
      <c r="L797" s="360">
        <v>905.1724137931035</v>
      </c>
      <c r="M797" s="102" t="s">
        <v>1120</v>
      </c>
      <c r="N797" s="102" t="s">
        <v>1500</v>
      </c>
    </row>
    <row r="798">
      <c r="A798" s="412">
        <v>45792.0</v>
      </c>
      <c r="B798" s="413">
        <v>2025.0</v>
      </c>
      <c r="C798" s="414" t="s">
        <v>1439</v>
      </c>
      <c r="D798" s="413" t="s">
        <v>702</v>
      </c>
      <c r="E798" s="413" t="s">
        <v>465</v>
      </c>
      <c r="F798" s="413" t="s">
        <v>711</v>
      </c>
      <c r="G798" s="413" t="s">
        <v>730</v>
      </c>
      <c r="H798" s="415">
        <v>160.0</v>
      </c>
      <c r="I798" s="416" t="b">
        <v>0</v>
      </c>
      <c r="J798" s="413" t="s">
        <v>472</v>
      </c>
      <c r="K798" s="415">
        <v>22.068965517241367</v>
      </c>
      <c r="L798" s="415">
        <v>137.93103448275863</v>
      </c>
      <c r="M798" s="413" t="s">
        <v>1120</v>
      </c>
      <c r="N798" s="413" t="s">
        <v>1501</v>
      </c>
    </row>
    <row r="799">
      <c r="A799" s="409">
        <v>45792.0</v>
      </c>
      <c r="B799" s="102">
        <v>2025.0</v>
      </c>
      <c r="C799" s="410" t="s">
        <v>1439</v>
      </c>
      <c r="D799" s="102" t="s">
        <v>710</v>
      </c>
      <c r="E799" s="102" t="s">
        <v>137</v>
      </c>
      <c r="F799" s="102" t="s">
        <v>703</v>
      </c>
      <c r="G799" s="102" t="s">
        <v>715</v>
      </c>
      <c r="H799" s="360">
        <v>6493.0</v>
      </c>
      <c r="I799" s="411" t="b">
        <v>0</v>
      </c>
      <c r="J799" s="102" t="s">
        <v>1502</v>
      </c>
      <c r="K799" s="360">
        <v>0.0</v>
      </c>
      <c r="L799" s="360">
        <v>6493.0</v>
      </c>
      <c r="M799" s="102" t="s">
        <v>1120</v>
      </c>
      <c r="N799" s="102" t="s">
        <v>1503</v>
      </c>
    </row>
    <row r="800">
      <c r="A800" s="412">
        <v>45792.0</v>
      </c>
      <c r="B800" s="413">
        <v>2025.0</v>
      </c>
      <c r="C800" s="414" t="s">
        <v>1439</v>
      </c>
      <c r="D800" s="413" t="s">
        <v>723</v>
      </c>
      <c r="E800" s="413" t="s">
        <v>137</v>
      </c>
      <c r="F800" s="413" t="s">
        <v>711</v>
      </c>
      <c r="G800" s="413" t="s">
        <v>724</v>
      </c>
      <c r="H800" s="415">
        <v>650.0</v>
      </c>
      <c r="I800" s="416" t="b">
        <v>1</v>
      </c>
      <c r="J800" s="413" t="s">
        <v>472</v>
      </c>
      <c r="K800" s="415">
        <v>0.0</v>
      </c>
      <c r="L800" s="415">
        <v>0.0</v>
      </c>
      <c r="M800" s="413" t="s">
        <v>1120</v>
      </c>
      <c r="N800" s="413" t="s">
        <v>1504</v>
      </c>
    </row>
    <row r="801">
      <c r="A801" s="409">
        <v>45792.0</v>
      </c>
      <c r="B801" s="102">
        <v>2025.0</v>
      </c>
      <c r="C801" s="410" t="s">
        <v>1439</v>
      </c>
      <c r="D801" s="102" t="s">
        <v>710</v>
      </c>
      <c r="E801" s="102" t="s">
        <v>137</v>
      </c>
      <c r="F801" s="102" t="s">
        <v>703</v>
      </c>
      <c r="G801" s="102" t="s">
        <v>724</v>
      </c>
      <c r="H801" s="360">
        <v>650.0</v>
      </c>
      <c r="I801" s="411" t="b">
        <v>1</v>
      </c>
      <c r="J801" s="102" t="s">
        <v>472</v>
      </c>
      <c r="K801" s="360">
        <v>0.0</v>
      </c>
      <c r="L801" s="360">
        <v>0.0</v>
      </c>
      <c r="M801" s="102" t="s">
        <v>1120</v>
      </c>
      <c r="N801" s="102" t="s">
        <v>1504</v>
      </c>
    </row>
    <row r="802">
      <c r="A802" s="412">
        <v>45792.0</v>
      </c>
      <c r="B802" s="413">
        <v>2025.0</v>
      </c>
      <c r="C802" s="414" t="s">
        <v>1439</v>
      </c>
      <c r="D802" s="413" t="s">
        <v>702</v>
      </c>
      <c r="E802" s="413" t="s">
        <v>465</v>
      </c>
      <c r="F802" s="413" t="s">
        <v>703</v>
      </c>
      <c r="G802" s="413" t="s">
        <v>715</v>
      </c>
      <c r="H802" s="415">
        <v>10000.0</v>
      </c>
      <c r="I802" s="416" t="b">
        <v>0</v>
      </c>
      <c r="J802" s="413" t="s">
        <v>1505</v>
      </c>
      <c r="K802" s="415">
        <v>0.0</v>
      </c>
      <c r="L802" s="415">
        <v>10000.0</v>
      </c>
      <c r="M802" s="413" t="s">
        <v>1120</v>
      </c>
      <c r="N802" s="413" t="s">
        <v>1506</v>
      </c>
    </row>
    <row r="803">
      <c r="A803" s="409">
        <v>45794.0</v>
      </c>
      <c r="B803" s="102">
        <v>2025.0</v>
      </c>
      <c r="C803" s="410" t="s">
        <v>1439</v>
      </c>
      <c r="D803" s="102" t="s">
        <v>710</v>
      </c>
      <c r="E803" s="102" t="s">
        <v>137</v>
      </c>
      <c r="F803" s="102" t="s">
        <v>711</v>
      </c>
      <c r="G803" s="102" t="s">
        <v>734</v>
      </c>
      <c r="H803" s="360">
        <v>180.0</v>
      </c>
      <c r="I803" s="411" t="b">
        <v>0</v>
      </c>
      <c r="J803" s="102" t="s">
        <v>1507</v>
      </c>
      <c r="K803" s="360">
        <v>0.0</v>
      </c>
      <c r="L803" s="360">
        <v>180.0</v>
      </c>
      <c r="M803" s="102" t="s">
        <v>1120</v>
      </c>
      <c r="N803" s="102" t="s">
        <v>1508</v>
      </c>
    </row>
    <row r="804">
      <c r="A804" s="412">
        <v>45794.0</v>
      </c>
      <c r="B804" s="413">
        <v>2025.0</v>
      </c>
      <c r="C804" s="414" t="s">
        <v>1439</v>
      </c>
      <c r="D804" s="413" t="s">
        <v>710</v>
      </c>
      <c r="E804" s="413" t="s">
        <v>137</v>
      </c>
      <c r="F804" s="413" t="s">
        <v>711</v>
      </c>
      <c r="G804" s="413" t="s">
        <v>715</v>
      </c>
      <c r="H804" s="415">
        <v>20.0</v>
      </c>
      <c r="I804" s="416" t="b">
        <v>0</v>
      </c>
      <c r="J804" s="413" t="s">
        <v>472</v>
      </c>
      <c r="K804" s="415">
        <v>0.0</v>
      </c>
      <c r="L804" s="415">
        <v>20.0</v>
      </c>
      <c r="M804" s="413" t="s">
        <v>1120</v>
      </c>
      <c r="N804" s="413" t="s">
        <v>1509</v>
      </c>
    </row>
    <row r="805">
      <c r="A805" s="409">
        <v>45794.0</v>
      </c>
      <c r="B805" s="102">
        <v>2025.0</v>
      </c>
      <c r="C805" s="410" t="s">
        <v>1439</v>
      </c>
      <c r="D805" s="102" t="s">
        <v>710</v>
      </c>
      <c r="E805" s="102" t="s">
        <v>137</v>
      </c>
      <c r="F805" s="102" t="s">
        <v>711</v>
      </c>
      <c r="G805" s="102" t="s">
        <v>734</v>
      </c>
      <c r="H805" s="360">
        <v>180.0</v>
      </c>
      <c r="I805" s="411" t="b">
        <v>0</v>
      </c>
      <c r="J805" s="102" t="s">
        <v>1415</v>
      </c>
      <c r="K805" s="360">
        <v>0.0</v>
      </c>
      <c r="L805" s="360">
        <v>180.0</v>
      </c>
      <c r="M805" s="102" t="s">
        <v>1120</v>
      </c>
      <c r="N805" s="102" t="s">
        <v>1510</v>
      </c>
    </row>
    <row r="806">
      <c r="A806" s="412">
        <v>45794.0</v>
      </c>
      <c r="B806" s="413">
        <v>2025.0</v>
      </c>
      <c r="C806" s="414" t="s">
        <v>1439</v>
      </c>
      <c r="D806" s="413" t="s">
        <v>710</v>
      </c>
      <c r="E806" s="413" t="s">
        <v>137</v>
      </c>
      <c r="F806" s="413" t="s">
        <v>711</v>
      </c>
      <c r="G806" s="413" t="s">
        <v>740</v>
      </c>
      <c r="H806" s="415">
        <v>7.0</v>
      </c>
      <c r="I806" s="416" t="b">
        <v>0</v>
      </c>
      <c r="J806" s="413" t="s">
        <v>472</v>
      </c>
      <c r="K806" s="415">
        <v>0.0</v>
      </c>
      <c r="L806" s="415">
        <v>7.0</v>
      </c>
      <c r="M806" s="413" t="s">
        <v>1120</v>
      </c>
      <c r="N806" s="413" t="s">
        <v>1511</v>
      </c>
    </row>
    <row r="807">
      <c r="A807" s="409">
        <v>45794.0</v>
      </c>
      <c r="B807" s="102">
        <v>2025.0</v>
      </c>
      <c r="C807" s="410" t="s">
        <v>1439</v>
      </c>
      <c r="D807" s="102" t="s">
        <v>710</v>
      </c>
      <c r="E807" s="102" t="s">
        <v>137</v>
      </c>
      <c r="F807" s="102" t="s">
        <v>711</v>
      </c>
      <c r="G807" s="102" t="s">
        <v>740</v>
      </c>
      <c r="H807" s="360">
        <v>10.0</v>
      </c>
      <c r="I807" s="411" t="b">
        <v>0</v>
      </c>
      <c r="J807" s="102" t="s">
        <v>472</v>
      </c>
      <c r="K807" s="360">
        <v>0.0</v>
      </c>
      <c r="L807" s="360">
        <v>10.0</v>
      </c>
      <c r="M807" s="102" t="s">
        <v>1120</v>
      </c>
      <c r="N807" s="102" t="s">
        <v>1512</v>
      </c>
    </row>
    <row r="808">
      <c r="A808" s="412">
        <v>45794.0</v>
      </c>
      <c r="B808" s="413">
        <v>2025.0</v>
      </c>
      <c r="C808" s="414" t="s">
        <v>1439</v>
      </c>
      <c r="D808" s="413" t="s">
        <v>702</v>
      </c>
      <c r="E808" s="413" t="s">
        <v>465</v>
      </c>
      <c r="F808" s="413" t="s">
        <v>711</v>
      </c>
      <c r="G808" s="413" t="s">
        <v>767</v>
      </c>
      <c r="H808" s="415">
        <v>1150.0</v>
      </c>
      <c r="I808" s="416" t="b">
        <v>0</v>
      </c>
      <c r="J808" s="413" t="s">
        <v>1513</v>
      </c>
      <c r="K808" s="415">
        <v>158.62068965517233</v>
      </c>
      <c r="L808" s="415">
        <v>991.3793103448277</v>
      </c>
      <c r="M808" s="413" t="s">
        <v>1120</v>
      </c>
      <c r="N808" s="413" t="s">
        <v>1514</v>
      </c>
    </row>
    <row r="809">
      <c r="A809" s="409">
        <v>45794.0</v>
      </c>
      <c r="B809" s="102">
        <v>2025.0</v>
      </c>
      <c r="C809" s="410" t="s">
        <v>1439</v>
      </c>
      <c r="D809" s="102" t="s">
        <v>710</v>
      </c>
      <c r="E809" s="102" t="s">
        <v>137</v>
      </c>
      <c r="F809" s="102" t="s">
        <v>711</v>
      </c>
      <c r="G809" s="102" t="s">
        <v>715</v>
      </c>
      <c r="H809" s="360">
        <v>3.0</v>
      </c>
      <c r="I809" s="411" t="b">
        <v>0</v>
      </c>
      <c r="J809" s="102" t="s">
        <v>472</v>
      </c>
      <c r="K809" s="360">
        <v>0.0</v>
      </c>
      <c r="L809" s="360">
        <v>3.0</v>
      </c>
      <c r="M809" s="102" t="s">
        <v>1120</v>
      </c>
      <c r="N809" s="102" t="s">
        <v>1515</v>
      </c>
    </row>
    <row r="810">
      <c r="A810" s="412">
        <v>45794.0</v>
      </c>
      <c r="B810" s="413">
        <v>2025.0</v>
      </c>
      <c r="C810" s="414" t="s">
        <v>1439</v>
      </c>
      <c r="D810" s="413" t="s">
        <v>702</v>
      </c>
      <c r="E810" s="413" t="s">
        <v>465</v>
      </c>
      <c r="F810" s="413" t="s">
        <v>711</v>
      </c>
      <c r="G810" s="413" t="s">
        <v>730</v>
      </c>
      <c r="H810" s="415">
        <v>14.0</v>
      </c>
      <c r="I810" s="416" t="b">
        <v>0</v>
      </c>
      <c r="J810" s="413" t="s">
        <v>472</v>
      </c>
      <c r="K810" s="415">
        <v>1.9310344827586192</v>
      </c>
      <c r="L810" s="415">
        <v>12.06896551724138</v>
      </c>
      <c r="M810" s="413" t="s">
        <v>1120</v>
      </c>
      <c r="N810" s="413" t="s">
        <v>1516</v>
      </c>
    </row>
    <row r="811">
      <c r="A811" s="409">
        <v>45796.0</v>
      </c>
      <c r="B811" s="102">
        <v>2025.0</v>
      </c>
      <c r="C811" s="410" t="s">
        <v>1439</v>
      </c>
      <c r="D811" s="102" t="s">
        <v>723</v>
      </c>
      <c r="E811" s="102" t="s">
        <v>137</v>
      </c>
      <c r="F811" s="102" t="s">
        <v>711</v>
      </c>
      <c r="G811" s="102" t="s">
        <v>740</v>
      </c>
      <c r="H811" s="360">
        <v>30.0</v>
      </c>
      <c r="I811" s="411" t="b">
        <v>0</v>
      </c>
      <c r="J811" s="102" t="s">
        <v>472</v>
      </c>
      <c r="K811" s="360">
        <v>0.0</v>
      </c>
      <c r="L811" s="360">
        <v>30.0</v>
      </c>
      <c r="M811" s="102" t="s">
        <v>1120</v>
      </c>
      <c r="N811" s="102" t="s">
        <v>1517</v>
      </c>
    </row>
    <row r="812">
      <c r="A812" s="412">
        <v>45796.0</v>
      </c>
      <c r="B812" s="413">
        <v>2025.0</v>
      </c>
      <c r="C812" s="414" t="s">
        <v>1439</v>
      </c>
      <c r="D812" s="413" t="s">
        <v>723</v>
      </c>
      <c r="E812" s="413" t="s">
        <v>137</v>
      </c>
      <c r="F812" s="413" t="s">
        <v>711</v>
      </c>
      <c r="G812" s="413" t="s">
        <v>740</v>
      </c>
      <c r="H812" s="415">
        <v>10.0</v>
      </c>
      <c r="I812" s="416" t="b">
        <v>0</v>
      </c>
      <c r="J812" s="413" t="s">
        <v>472</v>
      </c>
      <c r="K812" s="415">
        <v>0.0</v>
      </c>
      <c r="L812" s="415">
        <v>10.0</v>
      </c>
      <c r="M812" s="413" t="s">
        <v>1120</v>
      </c>
      <c r="N812" s="413" t="s">
        <v>1518</v>
      </c>
    </row>
    <row r="813">
      <c r="A813" s="409">
        <v>45798.0</v>
      </c>
      <c r="B813" s="102">
        <v>2025.0</v>
      </c>
      <c r="C813" s="410" t="s">
        <v>1439</v>
      </c>
      <c r="D813" s="102" t="s">
        <v>702</v>
      </c>
      <c r="E813" s="102" t="s">
        <v>465</v>
      </c>
      <c r="F813" s="102" t="s">
        <v>711</v>
      </c>
      <c r="G813" s="102" t="s">
        <v>767</v>
      </c>
      <c r="H813" s="360">
        <v>650.0</v>
      </c>
      <c r="I813" s="411" t="b">
        <v>0</v>
      </c>
      <c r="J813" s="102" t="s">
        <v>1190</v>
      </c>
      <c r="K813" s="360">
        <v>89.65517241379303</v>
      </c>
      <c r="L813" s="360">
        <v>560.344827586207</v>
      </c>
      <c r="M813" s="102" t="s">
        <v>1120</v>
      </c>
      <c r="N813" s="102" t="s">
        <v>1519</v>
      </c>
    </row>
    <row r="814">
      <c r="A814" s="412">
        <v>45798.0</v>
      </c>
      <c r="B814" s="413">
        <v>2025.0</v>
      </c>
      <c r="C814" s="414" t="s">
        <v>1439</v>
      </c>
      <c r="D814" s="413" t="s">
        <v>702</v>
      </c>
      <c r="E814" s="413" t="s">
        <v>465</v>
      </c>
      <c r="F814" s="413" t="s">
        <v>711</v>
      </c>
      <c r="G814" s="413" t="s">
        <v>734</v>
      </c>
      <c r="H814" s="415">
        <v>180.0</v>
      </c>
      <c r="I814" s="416" t="b">
        <v>0</v>
      </c>
      <c r="J814" s="413" t="s">
        <v>1520</v>
      </c>
      <c r="K814" s="415">
        <v>24.82758620689654</v>
      </c>
      <c r="L814" s="415">
        <v>155.17241379310346</v>
      </c>
      <c r="M814" s="413" t="s">
        <v>1120</v>
      </c>
      <c r="N814" s="413" t="s">
        <v>1521</v>
      </c>
    </row>
    <row r="815">
      <c r="A815" s="409">
        <v>45798.0</v>
      </c>
      <c r="B815" s="102">
        <v>2025.0</v>
      </c>
      <c r="C815" s="410" t="s">
        <v>1439</v>
      </c>
      <c r="D815" s="102" t="s">
        <v>723</v>
      </c>
      <c r="E815" s="102" t="s">
        <v>137</v>
      </c>
      <c r="F815" s="102" t="s">
        <v>711</v>
      </c>
      <c r="G815" s="102" t="s">
        <v>740</v>
      </c>
      <c r="H815" s="360">
        <v>10.0</v>
      </c>
      <c r="I815" s="411" t="b">
        <v>0</v>
      </c>
      <c r="J815" s="102" t="s">
        <v>472</v>
      </c>
      <c r="K815" s="360">
        <v>0.0</v>
      </c>
      <c r="L815" s="360">
        <v>10.0</v>
      </c>
      <c r="M815" s="102" t="s">
        <v>1120</v>
      </c>
      <c r="N815" s="102" t="s">
        <v>1522</v>
      </c>
    </row>
    <row r="816">
      <c r="A816" s="412">
        <v>45798.0</v>
      </c>
      <c r="B816" s="413">
        <v>2025.0</v>
      </c>
      <c r="C816" s="414" t="s">
        <v>1439</v>
      </c>
      <c r="D816" s="413" t="s">
        <v>723</v>
      </c>
      <c r="E816" s="413" t="s">
        <v>137</v>
      </c>
      <c r="F816" s="413" t="s">
        <v>703</v>
      </c>
      <c r="G816" s="413" t="s">
        <v>715</v>
      </c>
      <c r="H816" s="415">
        <v>40.0</v>
      </c>
      <c r="I816" s="416" t="b">
        <v>0</v>
      </c>
      <c r="J816" s="413" t="s">
        <v>472</v>
      </c>
      <c r="K816" s="415">
        <v>0.0</v>
      </c>
      <c r="L816" s="415">
        <v>40.0</v>
      </c>
      <c r="M816" s="413" t="s">
        <v>1120</v>
      </c>
      <c r="N816" s="413" t="s">
        <v>1523</v>
      </c>
    </row>
    <row r="817">
      <c r="A817" s="409">
        <v>45798.0</v>
      </c>
      <c r="B817" s="102">
        <v>2025.0</v>
      </c>
      <c r="C817" s="410" t="s">
        <v>1439</v>
      </c>
      <c r="D817" s="102" t="s">
        <v>702</v>
      </c>
      <c r="E817" s="102" t="s">
        <v>465</v>
      </c>
      <c r="F817" s="102" t="s">
        <v>711</v>
      </c>
      <c r="G817" s="102" t="s">
        <v>767</v>
      </c>
      <c r="H817" s="360">
        <v>422.0</v>
      </c>
      <c r="I817" s="411" t="b">
        <v>0</v>
      </c>
      <c r="J817" s="102" t="s">
        <v>1524</v>
      </c>
      <c r="K817" s="360">
        <v>58.20689655172413</v>
      </c>
      <c r="L817" s="360">
        <v>363.7931034482759</v>
      </c>
      <c r="M817" s="102" t="s">
        <v>1120</v>
      </c>
      <c r="N817" s="102" t="s">
        <v>1525</v>
      </c>
    </row>
    <row r="818">
      <c r="A818" s="412">
        <v>45798.0</v>
      </c>
      <c r="B818" s="413">
        <v>2025.0</v>
      </c>
      <c r="C818" s="414" t="s">
        <v>1439</v>
      </c>
      <c r="D818" s="413" t="s">
        <v>702</v>
      </c>
      <c r="E818" s="413" t="s">
        <v>465</v>
      </c>
      <c r="F818" s="413" t="s">
        <v>703</v>
      </c>
      <c r="G818" s="413" t="s">
        <v>715</v>
      </c>
      <c r="H818" s="415">
        <v>575.0</v>
      </c>
      <c r="I818" s="416" t="b">
        <v>0</v>
      </c>
      <c r="J818" s="413" t="s">
        <v>472</v>
      </c>
      <c r="K818" s="415">
        <v>0.0</v>
      </c>
      <c r="L818" s="415">
        <v>575.0</v>
      </c>
      <c r="M818" s="413" t="s">
        <v>1120</v>
      </c>
      <c r="N818" s="413" t="s">
        <v>1526</v>
      </c>
    </row>
    <row r="819">
      <c r="A819" s="409">
        <v>45798.0</v>
      </c>
      <c r="B819" s="102">
        <v>2025.0</v>
      </c>
      <c r="C819" s="410" t="s">
        <v>1439</v>
      </c>
      <c r="D819" s="102" t="s">
        <v>702</v>
      </c>
      <c r="E819" s="102" t="s">
        <v>465</v>
      </c>
      <c r="F819" s="102" t="s">
        <v>711</v>
      </c>
      <c r="G819" s="102" t="s">
        <v>730</v>
      </c>
      <c r="H819" s="360">
        <v>57.0</v>
      </c>
      <c r="I819" s="411" t="b">
        <v>0</v>
      </c>
      <c r="J819" s="102" t="s">
        <v>472</v>
      </c>
      <c r="K819" s="360">
        <v>7.862068965517238</v>
      </c>
      <c r="L819" s="360">
        <v>49.13793103448276</v>
      </c>
      <c r="M819" s="102" t="s">
        <v>1120</v>
      </c>
      <c r="N819" s="102" t="s">
        <v>1527</v>
      </c>
    </row>
    <row r="820">
      <c r="A820" s="412">
        <v>45800.0</v>
      </c>
      <c r="B820" s="413">
        <v>2025.0</v>
      </c>
      <c r="C820" s="414" t="s">
        <v>1439</v>
      </c>
      <c r="D820" s="413" t="s">
        <v>723</v>
      </c>
      <c r="E820" s="413" t="s">
        <v>137</v>
      </c>
      <c r="F820" s="413" t="s">
        <v>711</v>
      </c>
      <c r="G820" s="413" t="s">
        <v>734</v>
      </c>
      <c r="H820" s="415">
        <v>180.0</v>
      </c>
      <c r="I820" s="416" t="b">
        <v>0</v>
      </c>
      <c r="J820" s="413" t="s">
        <v>472</v>
      </c>
      <c r="K820" s="415">
        <v>0.0</v>
      </c>
      <c r="L820" s="415">
        <v>180.0</v>
      </c>
      <c r="M820" s="413" t="s">
        <v>1120</v>
      </c>
      <c r="N820" s="413" t="s">
        <v>1528</v>
      </c>
    </row>
    <row r="821">
      <c r="A821" s="409">
        <v>45800.0</v>
      </c>
      <c r="B821" s="102">
        <v>2025.0</v>
      </c>
      <c r="C821" s="410" t="s">
        <v>1439</v>
      </c>
      <c r="D821" s="102" t="s">
        <v>723</v>
      </c>
      <c r="E821" s="102" t="s">
        <v>137</v>
      </c>
      <c r="F821" s="102" t="s">
        <v>711</v>
      </c>
      <c r="G821" s="102" t="s">
        <v>740</v>
      </c>
      <c r="H821" s="360">
        <v>10.0</v>
      </c>
      <c r="I821" s="411" t="b">
        <v>0</v>
      </c>
      <c r="J821" s="102" t="s">
        <v>472</v>
      </c>
      <c r="K821" s="360">
        <v>0.0</v>
      </c>
      <c r="L821" s="360">
        <v>10.0</v>
      </c>
      <c r="M821" s="102" t="s">
        <v>1120</v>
      </c>
      <c r="N821" s="102" t="s">
        <v>1529</v>
      </c>
    </row>
    <row r="822">
      <c r="A822" s="412">
        <v>45800.0</v>
      </c>
      <c r="B822" s="413">
        <v>2025.0</v>
      </c>
      <c r="C822" s="414" t="s">
        <v>1439</v>
      </c>
      <c r="D822" s="413" t="s">
        <v>723</v>
      </c>
      <c r="E822" s="413" t="s">
        <v>137</v>
      </c>
      <c r="F822" s="413" t="s">
        <v>703</v>
      </c>
      <c r="G822" s="413" t="s">
        <v>715</v>
      </c>
      <c r="H822" s="415">
        <v>200.0</v>
      </c>
      <c r="I822" s="416" t="b">
        <v>0</v>
      </c>
      <c r="J822" s="413" t="s">
        <v>472</v>
      </c>
      <c r="K822" s="415">
        <v>0.0</v>
      </c>
      <c r="L822" s="415">
        <v>200.0</v>
      </c>
      <c r="M822" s="413" t="s">
        <v>1120</v>
      </c>
      <c r="N822" s="413" t="s">
        <v>1530</v>
      </c>
    </row>
    <row r="823">
      <c r="A823" s="409">
        <v>45800.0</v>
      </c>
      <c r="B823" s="102">
        <v>2025.0</v>
      </c>
      <c r="C823" s="410" t="s">
        <v>1439</v>
      </c>
      <c r="D823" s="102" t="s">
        <v>723</v>
      </c>
      <c r="E823" s="102" t="s">
        <v>137</v>
      </c>
      <c r="F823" s="102" t="s">
        <v>703</v>
      </c>
      <c r="G823" s="102" t="s">
        <v>715</v>
      </c>
      <c r="H823" s="360">
        <v>3.0</v>
      </c>
      <c r="I823" s="411" t="b">
        <v>0</v>
      </c>
      <c r="J823" s="102" t="s">
        <v>472</v>
      </c>
      <c r="K823" s="360">
        <v>0.0</v>
      </c>
      <c r="L823" s="360">
        <v>3.0</v>
      </c>
      <c r="M823" s="102" t="s">
        <v>1120</v>
      </c>
      <c r="N823" s="102" t="s">
        <v>1531</v>
      </c>
    </row>
    <row r="824">
      <c r="A824" s="412">
        <v>45803.0</v>
      </c>
      <c r="B824" s="413">
        <v>2025.0</v>
      </c>
      <c r="C824" s="414" t="s">
        <v>1439</v>
      </c>
      <c r="D824" s="413" t="s">
        <v>723</v>
      </c>
      <c r="E824" s="413" t="s">
        <v>137</v>
      </c>
      <c r="F824" s="413" t="s">
        <v>711</v>
      </c>
      <c r="G824" s="413" t="s">
        <v>767</v>
      </c>
      <c r="H824" s="415">
        <v>650.0</v>
      </c>
      <c r="I824" s="416" t="b">
        <v>0</v>
      </c>
      <c r="J824" s="413" t="s">
        <v>1216</v>
      </c>
      <c r="K824" s="415">
        <v>0.0</v>
      </c>
      <c r="L824" s="415">
        <v>650.0</v>
      </c>
      <c r="M824" s="413" t="s">
        <v>1120</v>
      </c>
      <c r="N824" s="413" t="s">
        <v>1532</v>
      </c>
    </row>
    <row r="825">
      <c r="A825" s="409">
        <v>45803.0</v>
      </c>
      <c r="B825" s="102">
        <v>2025.0</v>
      </c>
      <c r="C825" s="410" t="s">
        <v>1439</v>
      </c>
      <c r="D825" s="102" t="s">
        <v>723</v>
      </c>
      <c r="E825" s="102" t="s">
        <v>137</v>
      </c>
      <c r="F825" s="102" t="s">
        <v>711</v>
      </c>
      <c r="G825" s="102" t="s">
        <v>740</v>
      </c>
      <c r="H825" s="360">
        <v>10.0</v>
      </c>
      <c r="I825" s="411" t="b">
        <v>0</v>
      </c>
      <c r="J825" s="102" t="s">
        <v>472</v>
      </c>
      <c r="K825" s="360">
        <v>0.0</v>
      </c>
      <c r="L825" s="360">
        <v>10.0</v>
      </c>
      <c r="M825" s="102" t="s">
        <v>1120</v>
      </c>
      <c r="N825" s="102" t="s">
        <v>1533</v>
      </c>
    </row>
    <row r="826">
      <c r="A826" s="412">
        <v>45803.0</v>
      </c>
      <c r="B826" s="413">
        <v>2025.0</v>
      </c>
      <c r="C826" s="414" t="s">
        <v>1439</v>
      </c>
      <c r="D826" s="413" t="s">
        <v>702</v>
      </c>
      <c r="E826" s="413" t="s">
        <v>465</v>
      </c>
      <c r="F826" s="413" t="s">
        <v>703</v>
      </c>
      <c r="G826" s="413" t="s">
        <v>724</v>
      </c>
      <c r="H826" s="415">
        <v>750.0</v>
      </c>
      <c r="I826" s="416" t="b">
        <v>1</v>
      </c>
      <c r="J826" s="413" t="s">
        <v>472</v>
      </c>
      <c r="K826" s="415">
        <v>0.0</v>
      </c>
      <c r="L826" s="415">
        <v>0.0</v>
      </c>
      <c r="M826" s="413" t="s">
        <v>1120</v>
      </c>
      <c r="N826" s="413" t="s">
        <v>1534</v>
      </c>
    </row>
    <row r="827">
      <c r="A827" s="409">
        <v>45803.0</v>
      </c>
      <c r="B827" s="102">
        <v>2025.0</v>
      </c>
      <c r="C827" s="410" t="s">
        <v>1439</v>
      </c>
      <c r="D827" s="102" t="s">
        <v>723</v>
      </c>
      <c r="E827" s="102" t="s">
        <v>137</v>
      </c>
      <c r="F827" s="102" t="s">
        <v>711</v>
      </c>
      <c r="G827" s="102" t="s">
        <v>724</v>
      </c>
      <c r="H827" s="360">
        <v>750.0</v>
      </c>
      <c r="I827" s="411" t="b">
        <v>1</v>
      </c>
      <c r="J827" s="102" t="s">
        <v>472</v>
      </c>
      <c r="K827" s="360">
        <v>0.0</v>
      </c>
      <c r="L827" s="360">
        <v>0.0</v>
      </c>
      <c r="M827" s="102" t="s">
        <v>1120</v>
      </c>
      <c r="N827" s="102" t="s">
        <v>1534</v>
      </c>
    </row>
    <row r="828">
      <c r="A828" s="412">
        <v>45803.0</v>
      </c>
      <c r="B828" s="413">
        <v>2025.0</v>
      </c>
      <c r="C828" s="414" t="s">
        <v>1439</v>
      </c>
      <c r="D828" s="413" t="s">
        <v>702</v>
      </c>
      <c r="E828" s="413" t="s">
        <v>465</v>
      </c>
      <c r="F828" s="413" t="s">
        <v>711</v>
      </c>
      <c r="G828" s="413" t="s">
        <v>734</v>
      </c>
      <c r="H828" s="415">
        <v>180.0</v>
      </c>
      <c r="I828" s="416" t="b">
        <v>0</v>
      </c>
      <c r="J828" s="413" t="s">
        <v>1466</v>
      </c>
      <c r="K828" s="415">
        <v>24.82758620689654</v>
      </c>
      <c r="L828" s="415">
        <v>155.17241379310346</v>
      </c>
      <c r="M828" s="413" t="s">
        <v>1120</v>
      </c>
      <c r="N828" s="413" t="s">
        <v>1535</v>
      </c>
    </row>
    <row r="829">
      <c r="A829" s="409">
        <v>45803.0</v>
      </c>
      <c r="B829" s="102">
        <v>2025.0</v>
      </c>
      <c r="C829" s="410" t="s">
        <v>1439</v>
      </c>
      <c r="D829" s="102" t="s">
        <v>702</v>
      </c>
      <c r="E829" s="102" t="s">
        <v>465</v>
      </c>
      <c r="F829" s="102" t="s">
        <v>711</v>
      </c>
      <c r="G829" s="102" t="s">
        <v>730</v>
      </c>
      <c r="H829" s="360">
        <v>32.0</v>
      </c>
      <c r="I829" s="411" t="b">
        <v>0</v>
      </c>
      <c r="J829" s="102" t="s">
        <v>472</v>
      </c>
      <c r="K829" s="360">
        <v>4.413793103448274</v>
      </c>
      <c r="L829" s="360">
        <v>27.586206896551726</v>
      </c>
      <c r="M829" s="102" t="s">
        <v>1120</v>
      </c>
      <c r="N829" s="102" t="s">
        <v>1536</v>
      </c>
    </row>
    <row r="830">
      <c r="A830" s="412">
        <v>45805.0</v>
      </c>
      <c r="B830" s="413">
        <v>2025.0</v>
      </c>
      <c r="C830" s="414" t="s">
        <v>1439</v>
      </c>
      <c r="D830" s="413" t="s">
        <v>723</v>
      </c>
      <c r="E830" s="413" t="s">
        <v>137</v>
      </c>
      <c r="F830" s="413" t="s">
        <v>711</v>
      </c>
      <c r="G830" s="413" t="s">
        <v>767</v>
      </c>
      <c r="H830" s="415">
        <v>1400.0</v>
      </c>
      <c r="I830" s="416" t="b">
        <v>0</v>
      </c>
      <c r="J830" s="413" t="s">
        <v>1537</v>
      </c>
      <c r="K830" s="415">
        <v>0.0</v>
      </c>
      <c r="L830" s="415">
        <v>1400.0</v>
      </c>
      <c r="M830" s="413" t="s">
        <v>1120</v>
      </c>
      <c r="N830" s="413" t="s">
        <v>1538</v>
      </c>
    </row>
    <row r="831">
      <c r="A831" s="409">
        <v>45805.0</v>
      </c>
      <c r="B831" s="102">
        <v>2025.0</v>
      </c>
      <c r="C831" s="410" t="s">
        <v>1439</v>
      </c>
      <c r="D831" s="102" t="s">
        <v>723</v>
      </c>
      <c r="E831" s="102" t="s">
        <v>137</v>
      </c>
      <c r="F831" s="102" t="s">
        <v>711</v>
      </c>
      <c r="G831" s="102" t="s">
        <v>740</v>
      </c>
      <c r="H831" s="360">
        <v>10.0</v>
      </c>
      <c r="I831" s="411" t="b">
        <v>0</v>
      </c>
      <c r="J831" s="102" t="s">
        <v>472</v>
      </c>
      <c r="K831" s="360">
        <v>0.0</v>
      </c>
      <c r="L831" s="360">
        <v>10.0</v>
      </c>
      <c r="M831" s="102" t="s">
        <v>1120</v>
      </c>
      <c r="N831" s="102" t="s">
        <v>1539</v>
      </c>
    </row>
    <row r="832">
      <c r="A832" s="412">
        <v>45805.0</v>
      </c>
      <c r="B832" s="413">
        <v>2025.0</v>
      </c>
      <c r="C832" s="414" t="s">
        <v>1439</v>
      </c>
      <c r="D832" s="413" t="s">
        <v>723</v>
      </c>
      <c r="E832" s="413" t="s">
        <v>137</v>
      </c>
      <c r="F832" s="413" t="s">
        <v>711</v>
      </c>
      <c r="G832" s="413" t="s">
        <v>724</v>
      </c>
      <c r="H832" s="415">
        <v>450.0</v>
      </c>
      <c r="I832" s="416" t="b">
        <v>1</v>
      </c>
      <c r="J832" s="413" t="s">
        <v>472</v>
      </c>
      <c r="K832" s="415">
        <v>0.0</v>
      </c>
      <c r="L832" s="415">
        <v>0.0</v>
      </c>
      <c r="M832" s="413" t="s">
        <v>1120</v>
      </c>
      <c r="N832" s="413" t="s">
        <v>1540</v>
      </c>
    </row>
    <row r="833">
      <c r="A833" s="409">
        <v>45805.0</v>
      </c>
      <c r="B833" s="102">
        <v>2025.0</v>
      </c>
      <c r="C833" s="410" t="s">
        <v>1439</v>
      </c>
      <c r="D833" s="102" t="s">
        <v>702</v>
      </c>
      <c r="E833" s="102" t="s">
        <v>465</v>
      </c>
      <c r="F833" s="102" t="s">
        <v>703</v>
      </c>
      <c r="G833" s="102" t="s">
        <v>724</v>
      </c>
      <c r="H833" s="360">
        <v>450.0</v>
      </c>
      <c r="I833" s="411" t="b">
        <v>1</v>
      </c>
      <c r="J833" s="102" t="s">
        <v>472</v>
      </c>
      <c r="K833" s="360">
        <v>0.0</v>
      </c>
      <c r="L833" s="360">
        <v>0.0</v>
      </c>
      <c r="M833" s="102" t="s">
        <v>1120</v>
      </c>
      <c r="N833" s="102" t="s">
        <v>1540</v>
      </c>
    </row>
    <row r="834">
      <c r="A834" s="412">
        <v>45805.0</v>
      </c>
      <c r="B834" s="413">
        <v>2025.0</v>
      </c>
      <c r="C834" s="414" t="s">
        <v>1439</v>
      </c>
      <c r="D834" s="413" t="s">
        <v>723</v>
      </c>
      <c r="E834" s="413" t="s">
        <v>137</v>
      </c>
      <c r="F834" s="413" t="s">
        <v>711</v>
      </c>
      <c r="G834" s="413" t="s">
        <v>740</v>
      </c>
      <c r="H834" s="415">
        <v>22.0</v>
      </c>
      <c r="I834" s="416" t="b">
        <v>0</v>
      </c>
      <c r="J834" s="413" t="s">
        <v>472</v>
      </c>
      <c r="K834" s="415">
        <v>0.0</v>
      </c>
      <c r="L834" s="415">
        <v>22.0</v>
      </c>
      <c r="M834" s="413" t="s">
        <v>1120</v>
      </c>
      <c r="N834" s="413" t="s">
        <v>1541</v>
      </c>
    </row>
    <row r="835">
      <c r="A835" s="409">
        <v>45805.0</v>
      </c>
      <c r="B835" s="102">
        <v>2025.0</v>
      </c>
      <c r="C835" s="410" t="s">
        <v>1439</v>
      </c>
      <c r="D835" s="102" t="s">
        <v>710</v>
      </c>
      <c r="E835" s="102" t="s">
        <v>137</v>
      </c>
      <c r="F835" s="102" t="s">
        <v>703</v>
      </c>
      <c r="G835" s="102" t="s">
        <v>715</v>
      </c>
      <c r="H835" s="360">
        <v>3.0</v>
      </c>
      <c r="I835" s="411" t="b">
        <v>0</v>
      </c>
      <c r="J835" s="102" t="s">
        <v>472</v>
      </c>
      <c r="K835" s="360">
        <v>0.0</v>
      </c>
      <c r="L835" s="360">
        <v>3.0</v>
      </c>
      <c r="M835" s="102" t="s">
        <v>1120</v>
      </c>
      <c r="N835" s="102" t="s">
        <v>1542</v>
      </c>
    </row>
    <row r="836">
      <c r="A836" s="412">
        <v>45805.0</v>
      </c>
      <c r="B836" s="413">
        <v>2025.0</v>
      </c>
      <c r="C836" s="414" t="s">
        <v>1439</v>
      </c>
      <c r="D836" s="413" t="s">
        <v>710</v>
      </c>
      <c r="E836" s="413" t="s">
        <v>137</v>
      </c>
      <c r="F836" s="413" t="s">
        <v>711</v>
      </c>
      <c r="G836" s="413" t="s">
        <v>724</v>
      </c>
      <c r="H836" s="415">
        <v>3939.0</v>
      </c>
      <c r="I836" s="416" t="b">
        <v>1</v>
      </c>
      <c r="J836" s="413" t="s">
        <v>472</v>
      </c>
      <c r="K836" s="415">
        <v>0.0</v>
      </c>
      <c r="L836" s="415">
        <v>0.0</v>
      </c>
      <c r="M836" s="413" t="s">
        <v>1120</v>
      </c>
      <c r="N836" s="413" t="s">
        <v>1543</v>
      </c>
    </row>
    <row r="837">
      <c r="A837" s="409">
        <v>45805.0</v>
      </c>
      <c r="B837" s="102">
        <v>2025.0</v>
      </c>
      <c r="C837" s="410" t="s">
        <v>1439</v>
      </c>
      <c r="D837" s="102" t="s">
        <v>723</v>
      </c>
      <c r="E837" s="102" t="s">
        <v>137</v>
      </c>
      <c r="F837" s="102" t="s">
        <v>703</v>
      </c>
      <c r="G837" s="102" t="s">
        <v>724</v>
      </c>
      <c r="H837" s="360">
        <v>3939.0</v>
      </c>
      <c r="I837" s="411" t="b">
        <v>1</v>
      </c>
      <c r="J837" s="102" t="s">
        <v>472</v>
      </c>
      <c r="K837" s="360">
        <v>0.0</v>
      </c>
      <c r="L837" s="360">
        <v>0.0</v>
      </c>
      <c r="M837" s="102" t="s">
        <v>1120</v>
      </c>
      <c r="N837" s="102" t="s">
        <v>1543</v>
      </c>
    </row>
    <row r="838">
      <c r="A838" s="412">
        <v>45805.0</v>
      </c>
      <c r="B838" s="413">
        <v>2025.0</v>
      </c>
      <c r="C838" s="414" t="s">
        <v>1439</v>
      </c>
      <c r="D838" s="413" t="s">
        <v>710</v>
      </c>
      <c r="E838" s="413" t="s">
        <v>137</v>
      </c>
      <c r="F838" s="413" t="s">
        <v>703</v>
      </c>
      <c r="G838" s="413" t="s">
        <v>715</v>
      </c>
      <c r="H838" s="415">
        <v>40.0</v>
      </c>
      <c r="I838" s="416" t="b">
        <v>0</v>
      </c>
      <c r="J838" s="413" t="s">
        <v>472</v>
      </c>
      <c r="K838" s="415">
        <v>0.0</v>
      </c>
      <c r="L838" s="415">
        <v>40.0</v>
      </c>
      <c r="M838" s="413" t="s">
        <v>1120</v>
      </c>
      <c r="N838" s="413" t="s">
        <v>1544</v>
      </c>
    </row>
    <row r="839">
      <c r="A839" s="409">
        <v>45805.0</v>
      </c>
      <c r="B839" s="102">
        <v>2025.0</v>
      </c>
      <c r="C839" s="410" t="s">
        <v>1439</v>
      </c>
      <c r="D839" s="102" t="s">
        <v>723</v>
      </c>
      <c r="E839" s="102" t="s">
        <v>137</v>
      </c>
      <c r="F839" s="102" t="s">
        <v>711</v>
      </c>
      <c r="G839" s="102" t="s">
        <v>724</v>
      </c>
      <c r="H839" s="360">
        <v>660.0</v>
      </c>
      <c r="I839" s="411" t="b">
        <v>1</v>
      </c>
      <c r="J839" s="102" t="s">
        <v>472</v>
      </c>
      <c r="K839" s="360">
        <v>0.0</v>
      </c>
      <c r="L839" s="360">
        <v>0.0</v>
      </c>
      <c r="M839" s="102" t="s">
        <v>1120</v>
      </c>
      <c r="N839" s="102" t="s">
        <v>1545</v>
      </c>
    </row>
    <row r="840">
      <c r="A840" s="412">
        <v>45805.0</v>
      </c>
      <c r="B840" s="413">
        <v>2025.0</v>
      </c>
      <c r="C840" s="414" t="s">
        <v>1439</v>
      </c>
      <c r="D840" s="413" t="s">
        <v>710</v>
      </c>
      <c r="E840" s="413" t="s">
        <v>137</v>
      </c>
      <c r="F840" s="413" t="s">
        <v>703</v>
      </c>
      <c r="G840" s="413" t="s">
        <v>724</v>
      </c>
      <c r="H840" s="415">
        <v>660.0</v>
      </c>
      <c r="I840" s="416" t="b">
        <v>1</v>
      </c>
      <c r="J840" s="413" t="s">
        <v>472</v>
      </c>
      <c r="K840" s="415">
        <v>0.0</v>
      </c>
      <c r="L840" s="415">
        <v>0.0</v>
      </c>
      <c r="M840" s="413" t="s">
        <v>1120</v>
      </c>
      <c r="N840" s="413" t="s">
        <v>1545</v>
      </c>
    </row>
    <row r="841">
      <c r="A841" s="409">
        <v>45805.0</v>
      </c>
      <c r="B841" s="102">
        <v>2025.0</v>
      </c>
      <c r="C841" s="410" t="s">
        <v>1439</v>
      </c>
      <c r="D841" s="102" t="s">
        <v>702</v>
      </c>
      <c r="E841" s="102" t="s">
        <v>465</v>
      </c>
      <c r="F841" s="102" t="s">
        <v>711</v>
      </c>
      <c r="G841" s="102" t="s">
        <v>730</v>
      </c>
      <c r="H841" s="360">
        <v>25.0</v>
      </c>
      <c r="I841" s="411" t="b">
        <v>0</v>
      </c>
      <c r="J841" s="102" t="s">
        <v>472</v>
      </c>
      <c r="K841" s="360">
        <v>3.4482758620689644</v>
      </c>
      <c r="L841" s="360">
        <v>21.551724137931036</v>
      </c>
      <c r="M841" s="102" t="s">
        <v>1120</v>
      </c>
      <c r="N841" s="102" t="s">
        <v>1546</v>
      </c>
    </row>
    <row r="842">
      <c r="A842" s="412">
        <v>45805.0</v>
      </c>
      <c r="B842" s="413">
        <v>2025.0</v>
      </c>
      <c r="C842" s="414" t="s">
        <v>1439</v>
      </c>
      <c r="D842" s="413" t="s">
        <v>702</v>
      </c>
      <c r="E842" s="413" t="s">
        <v>465</v>
      </c>
      <c r="F842" s="413" t="s">
        <v>703</v>
      </c>
      <c r="G842" s="413" t="s">
        <v>715</v>
      </c>
      <c r="H842" s="415">
        <v>429.0</v>
      </c>
      <c r="I842" s="416" t="b">
        <v>0</v>
      </c>
      <c r="J842" s="413" t="s">
        <v>1547</v>
      </c>
      <c r="K842" s="415">
        <v>0.0</v>
      </c>
      <c r="L842" s="415">
        <v>429.0</v>
      </c>
      <c r="M842" s="413" t="s">
        <v>1120</v>
      </c>
      <c r="N842" s="413" t="s">
        <v>1548</v>
      </c>
    </row>
    <row r="843">
      <c r="A843" s="409">
        <v>45805.0</v>
      </c>
      <c r="B843" s="102">
        <v>2025.0</v>
      </c>
      <c r="C843" s="410" t="s">
        <v>1439</v>
      </c>
      <c r="D843" s="102" t="s">
        <v>702</v>
      </c>
      <c r="E843" s="102" t="s">
        <v>465</v>
      </c>
      <c r="F843" s="102" t="s">
        <v>703</v>
      </c>
      <c r="G843" s="102" t="s">
        <v>715</v>
      </c>
      <c r="H843" s="360">
        <v>298.0</v>
      </c>
      <c r="I843" s="411" t="b">
        <v>0</v>
      </c>
      <c r="J843" s="102" t="s">
        <v>1549</v>
      </c>
      <c r="K843" s="360">
        <v>0.0</v>
      </c>
      <c r="L843" s="360">
        <v>298.0</v>
      </c>
      <c r="M843" s="102" t="s">
        <v>1120</v>
      </c>
      <c r="N843" s="102" t="s">
        <v>1550</v>
      </c>
    </row>
    <row r="844">
      <c r="A844" s="412">
        <v>45806.0</v>
      </c>
      <c r="B844" s="413">
        <v>2025.0</v>
      </c>
      <c r="C844" s="414" t="s">
        <v>1439</v>
      </c>
      <c r="D844" s="413" t="s">
        <v>702</v>
      </c>
      <c r="E844" s="413" t="s">
        <v>465</v>
      </c>
      <c r="F844" s="413" t="s">
        <v>703</v>
      </c>
      <c r="G844" s="413" t="s">
        <v>715</v>
      </c>
      <c r="H844" s="415">
        <v>11467.0</v>
      </c>
      <c r="I844" s="416" t="b">
        <v>0</v>
      </c>
      <c r="J844" s="413" t="s">
        <v>1505</v>
      </c>
      <c r="K844" s="415">
        <v>0.0</v>
      </c>
      <c r="L844" s="415">
        <v>11467.0</v>
      </c>
      <c r="M844" s="413" t="s">
        <v>1120</v>
      </c>
      <c r="N844" s="413" t="s">
        <v>1551</v>
      </c>
    </row>
    <row r="845">
      <c r="A845" s="409">
        <v>45806.0</v>
      </c>
      <c r="B845" s="102">
        <v>2025.0</v>
      </c>
      <c r="C845" s="410" t="s">
        <v>1439</v>
      </c>
      <c r="D845" s="102" t="s">
        <v>710</v>
      </c>
      <c r="E845" s="102" t="s">
        <v>137</v>
      </c>
      <c r="F845" s="102" t="s">
        <v>703</v>
      </c>
      <c r="G845" s="102" t="s">
        <v>715</v>
      </c>
      <c r="H845" s="360">
        <v>60.0</v>
      </c>
      <c r="I845" s="411" t="b">
        <v>0</v>
      </c>
      <c r="J845" s="102" t="s">
        <v>1552</v>
      </c>
      <c r="K845" s="360">
        <v>0.0</v>
      </c>
      <c r="L845" s="360">
        <v>60.0</v>
      </c>
      <c r="M845" s="102" t="s">
        <v>1120</v>
      </c>
      <c r="N845" s="102" t="s">
        <v>1553</v>
      </c>
    </row>
    <row r="846">
      <c r="A846" s="412">
        <v>45808.0</v>
      </c>
      <c r="B846" s="413">
        <v>2025.0</v>
      </c>
      <c r="C846" s="414" t="s">
        <v>1439</v>
      </c>
      <c r="D846" s="413" t="s">
        <v>710</v>
      </c>
      <c r="E846" s="413" t="s">
        <v>137</v>
      </c>
      <c r="F846" s="413" t="s">
        <v>703</v>
      </c>
      <c r="G846" s="413" t="s">
        <v>715</v>
      </c>
      <c r="H846" s="415">
        <v>500.0</v>
      </c>
      <c r="I846" s="416" t="b">
        <v>0</v>
      </c>
      <c r="J846" s="413" t="s">
        <v>472</v>
      </c>
      <c r="K846" s="415">
        <v>0.0</v>
      </c>
      <c r="L846" s="415">
        <v>500.0</v>
      </c>
      <c r="M846" s="413" t="s">
        <v>1120</v>
      </c>
      <c r="N846" s="413" t="s">
        <v>1554</v>
      </c>
    </row>
    <row r="847">
      <c r="A847" s="409">
        <v>45810.0</v>
      </c>
      <c r="B847" s="102">
        <v>2025.0</v>
      </c>
      <c r="C847" s="410" t="s">
        <v>1555</v>
      </c>
      <c r="D847" s="102" t="s">
        <v>702</v>
      </c>
      <c r="E847" s="102" t="s">
        <v>465</v>
      </c>
      <c r="F847" s="102" t="s">
        <v>711</v>
      </c>
      <c r="G847" s="102" t="s">
        <v>734</v>
      </c>
      <c r="H847" s="360">
        <v>180.0</v>
      </c>
      <c r="I847" s="411" t="b">
        <v>0</v>
      </c>
      <c r="J847" s="102" t="s">
        <v>472</v>
      </c>
      <c r="K847" s="360">
        <v>24.82758620689654</v>
      </c>
      <c r="L847" s="360">
        <v>155.17241379310346</v>
      </c>
      <c r="M847" s="102" t="s">
        <v>1120</v>
      </c>
      <c r="N847" s="102" t="s">
        <v>1556</v>
      </c>
    </row>
    <row r="848">
      <c r="A848" s="412">
        <v>45810.0</v>
      </c>
      <c r="B848" s="413">
        <v>2025.0</v>
      </c>
      <c r="C848" s="414" t="s">
        <v>1555</v>
      </c>
      <c r="D848" s="413" t="s">
        <v>702</v>
      </c>
      <c r="E848" s="413" t="s">
        <v>465</v>
      </c>
      <c r="F848" s="413" t="s">
        <v>711</v>
      </c>
      <c r="G848" s="413" t="s">
        <v>734</v>
      </c>
      <c r="H848" s="415">
        <v>180.0</v>
      </c>
      <c r="I848" s="416" t="b">
        <v>0</v>
      </c>
      <c r="J848" s="413" t="s">
        <v>472</v>
      </c>
      <c r="K848" s="415">
        <v>24.82758620689654</v>
      </c>
      <c r="L848" s="415">
        <v>155.17241379310346</v>
      </c>
      <c r="M848" s="413" t="s">
        <v>1120</v>
      </c>
      <c r="N848" s="413" t="s">
        <v>1557</v>
      </c>
    </row>
    <row r="849">
      <c r="A849" s="409">
        <v>45810.0</v>
      </c>
      <c r="B849" s="102">
        <v>2025.0</v>
      </c>
      <c r="C849" s="410" t="s">
        <v>1555</v>
      </c>
      <c r="D849" s="102" t="s">
        <v>702</v>
      </c>
      <c r="E849" s="102" t="s">
        <v>465</v>
      </c>
      <c r="F849" s="102" t="s">
        <v>711</v>
      </c>
      <c r="G849" s="102" t="s">
        <v>767</v>
      </c>
      <c r="H849" s="360">
        <v>564.0</v>
      </c>
      <c r="I849" s="411" t="b">
        <v>0</v>
      </c>
      <c r="J849" s="102" t="s">
        <v>1190</v>
      </c>
      <c r="K849" s="360">
        <v>77.79310344827582</v>
      </c>
      <c r="L849" s="360">
        <v>486.2068965517242</v>
      </c>
      <c r="M849" s="102" t="s">
        <v>1120</v>
      </c>
      <c r="N849" s="102" t="s">
        <v>1558</v>
      </c>
    </row>
    <row r="850">
      <c r="A850" s="412">
        <v>45810.0</v>
      </c>
      <c r="B850" s="413">
        <v>2025.0</v>
      </c>
      <c r="C850" s="414" t="s">
        <v>1555</v>
      </c>
      <c r="D850" s="413" t="s">
        <v>702</v>
      </c>
      <c r="E850" s="413" t="s">
        <v>465</v>
      </c>
      <c r="F850" s="413" t="s">
        <v>711</v>
      </c>
      <c r="G850" s="413" t="s">
        <v>767</v>
      </c>
      <c r="H850" s="415">
        <v>1050.0</v>
      </c>
      <c r="I850" s="416" t="b">
        <v>0</v>
      </c>
      <c r="J850" s="413" t="s">
        <v>1246</v>
      </c>
      <c r="K850" s="415">
        <v>144.8275862068965</v>
      </c>
      <c r="L850" s="415">
        <v>905.1724137931035</v>
      </c>
      <c r="M850" s="413" t="s">
        <v>1120</v>
      </c>
      <c r="N850" s="413" t="s">
        <v>1559</v>
      </c>
    </row>
    <row r="851">
      <c r="A851" s="409">
        <v>45810.0</v>
      </c>
      <c r="B851" s="102">
        <v>2025.0</v>
      </c>
      <c r="C851" s="410" t="s">
        <v>1555</v>
      </c>
      <c r="D851" s="102" t="s">
        <v>702</v>
      </c>
      <c r="E851" s="102" t="s">
        <v>465</v>
      </c>
      <c r="F851" s="102" t="s">
        <v>711</v>
      </c>
      <c r="G851" s="102" t="s">
        <v>767</v>
      </c>
      <c r="H851" s="360">
        <v>800.0</v>
      </c>
      <c r="I851" s="411" t="b">
        <v>0</v>
      </c>
      <c r="J851" s="102" t="s">
        <v>1218</v>
      </c>
      <c r="K851" s="360">
        <v>110.34482758620686</v>
      </c>
      <c r="L851" s="360">
        <v>689.6551724137931</v>
      </c>
      <c r="M851" s="102" t="s">
        <v>1120</v>
      </c>
      <c r="N851" s="102" t="s">
        <v>1560</v>
      </c>
    </row>
    <row r="852">
      <c r="A852" s="412">
        <v>45810.0</v>
      </c>
      <c r="B852" s="413">
        <v>2025.0</v>
      </c>
      <c r="C852" s="414" t="s">
        <v>1555</v>
      </c>
      <c r="D852" s="413" t="s">
        <v>723</v>
      </c>
      <c r="E852" s="413" t="s">
        <v>137</v>
      </c>
      <c r="F852" s="413" t="s">
        <v>711</v>
      </c>
      <c r="G852" s="413" t="s">
        <v>767</v>
      </c>
      <c r="H852" s="415">
        <v>900.0</v>
      </c>
      <c r="I852" s="416" t="b">
        <v>0</v>
      </c>
      <c r="J852" s="413" t="s">
        <v>1561</v>
      </c>
      <c r="K852" s="415">
        <v>0.0</v>
      </c>
      <c r="L852" s="415">
        <v>900.0</v>
      </c>
      <c r="M852" s="413" t="s">
        <v>1120</v>
      </c>
      <c r="N852" s="413" t="s">
        <v>1562</v>
      </c>
    </row>
    <row r="853">
      <c r="A853" s="409">
        <v>45810.0</v>
      </c>
      <c r="B853" s="102">
        <v>2025.0</v>
      </c>
      <c r="C853" s="410" t="s">
        <v>1555</v>
      </c>
      <c r="D853" s="102" t="s">
        <v>702</v>
      </c>
      <c r="E853" s="102" t="s">
        <v>465</v>
      </c>
      <c r="F853" s="102" t="s">
        <v>711</v>
      </c>
      <c r="G853" s="102" t="s">
        <v>730</v>
      </c>
      <c r="H853" s="360">
        <v>29.0</v>
      </c>
      <c r="I853" s="411" t="b">
        <v>0</v>
      </c>
      <c r="J853" s="102" t="s">
        <v>472</v>
      </c>
      <c r="K853" s="360">
        <v>4.0</v>
      </c>
      <c r="L853" s="360">
        <v>25.0</v>
      </c>
      <c r="M853" s="102" t="s">
        <v>1120</v>
      </c>
      <c r="N853" s="102" t="s">
        <v>1563</v>
      </c>
    </row>
    <row r="854">
      <c r="A854" s="412">
        <v>45810.0</v>
      </c>
      <c r="B854" s="413">
        <v>2025.0</v>
      </c>
      <c r="C854" s="414" t="s">
        <v>1555</v>
      </c>
      <c r="D854" s="413" t="s">
        <v>723</v>
      </c>
      <c r="E854" s="413" t="s">
        <v>137</v>
      </c>
      <c r="F854" s="413" t="s">
        <v>711</v>
      </c>
      <c r="G854" s="413" t="s">
        <v>740</v>
      </c>
      <c r="H854" s="415">
        <v>25.0</v>
      </c>
      <c r="I854" s="416" t="b">
        <v>0</v>
      </c>
      <c r="J854" s="413" t="s">
        <v>472</v>
      </c>
      <c r="K854" s="415">
        <v>0.0</v>
      </c>
      <c r="L854" s="415">
        <v>25.0</v>
      </c>
      <c r="M854" s="413" t="s">
        <v>1120</v>
      </c>
      <c r="N854" s="413" t="s">
        <v>1564</v>
      </c>
    </row>
    <row r="855">
      <c r="A855" s="409">
        <v>45810.0</v>
      </c>
      <c r="B855" s="102">
        <v>2025.0</v>
      </c>
      <c r="C855" s="410" t="s">
        <v>1555</v>
      </c>
      <c r="D855" s="102" t="s">
        <v>723</v>
      </c>
      <c r="E855" s="102" t="s">
        <v>137</v>
      </c>
      <c r="F855" s="102" t="s">
        <v>711</v>
      </c>
      <c r="G855" s="102" t="s">
        <v>740</v>
      </c>
      <c r="H855" s="360">
        <v>7.0</v>
      </c>
      <c r="I855" s="411" t="b">
        <v>0</v>
      </c>
      <c r="J855" s="102" t="s">
        <v>472</v>
      </c>
      <c r="K855" s="360">
        <v>0.0</v>
      </c>
      <c r="L855" s="360">
        <v>7.0</v>
      </c>
      <c r="M855" s="102" t="s">
        <v>1120</v>
      </c>
      <c r="N855" s="102" t="s">
        <v>1565</v>
      </c>
    </row>
    <row r="856">
      <c r="A856" s="412">
        <v>45810.0</v>
      </c>
      <c r="B856" s="413">
        <v>2025.0</v>
      </c>
      <c r="C856" s="414" t="s">
        <v>1555</v>
      </c>
      <c r="D856" s="413" t="s">
        <v>710</v>
      </c>
      <c r="E856" s="413" t="s">
        <v>137</v>
      </c>
      <c r="F856" s="413" t="s">
        <v>711</v>
      </c>
      <c r="G856" s="413" t="s">
        <v>740</v>
      </c>
      <c r="H856" s="415">
        <v>6.0</v>
      </c>
      <c r="I856" s="416" t="b">
        <v>0</v>
      </c>
      <c r="J856" s="413" t="s">
        <v>472</v>
      </c>
      <c r="K856" s="415">
        <v>0.0</v>
      </c>
      <c r="L856" s="415">
        <v>6.0</v>
      </c>
      <c r="M856" s="413" t="s">
        <v>1120</v>
      </c>
      <c r="N856" s="413" t="s">
        <v>1566</v>
      </c>
    </row>
    <row r="857">
      <c r="A857" s="409">
        <v>45811.0</v>
      </c>
      <c r="B857" s="102">
        <v>2025.0</v>
      </c>
      <c r="C857" s="410" t="s">
        <v>1555</v>
      </c>
      <c r="D857" s="102" t="s">
        <v>723</v>
      </c>
      <c r="E857" s="102" t="s">
        <v>137</v>
      </c>
      <c r="F857" s="102" t="s">
        <v>711</v>
      </c>
      <c r="G857" s="102" t="s">
        <v>767</v>
      </c>
      <c r="H857" s="360">
        <v>1150.0</v>
      </c>
      <c r="I857" s="411" t="b">
        <v>0</v>
      </c>
      <c r="J857" s="102" t="s">
        <v>1567</v>
      </c>
      <c r="K857" s="360">
        <v>0.0</v>
      </c>
      <c r="L857" s="360">
        <v>1150.0</v>
      </c>
      <c r="M857" s="102" t="s">
        <v>1120</v>
      </c>
      <c r="N857" s="102" t="s">
        <v>1568</v>
      </c>
    </row>
    <row r="858">
      <c r="A858" s="412">
        <v>45811.0</v>
      </c>
      <c r="B858" s="413">
        <v>2025.0</v>
      </c>
      <c r="C858" s="414" t="s">
        <v>1555</v>
      </c>
      <c r="D858" s="413" t="s">
        <v>723</v>
      </c>
      <c r="E858" s="413" t="s">
        <v>137</v>
      </c>
      <c r="F858" s="413" t="s">
        <v>711</v>
      </c>
      <c r="G858" s="413" t="s">
        <v>767</v>
      </c>
      <c r="H858" s="415">
        <v>800.0</v>
      </c>
      <c r="I858" s="416" t="b">
        <v>0</v>
      </c>
      <c r="J858" s="413" t="s">
        <v>1197</v>
      </c>
      <c r="K858" s="415">
        <v>0.0</v>
      </c>
      <c r="L858" s="415">
        <v>800.0</v>
      </c>
      <c r="M858" s="413" t="s">
        <v>1120</v>
      </c>
      <c r="N858" s="413" t="s">
        <v>1569</v>
      </c>
    </row>
    <row r="859">
      <c r="A859" s="409">
        <v>45811.0</v>
      </c>
      <c r="B859" s="102">
        <v>2025.0</v>
      </c>
      <c r="C859" s="410" t="s">
        <v>1555</v>
      </c>
      <c r="D859" s="102" t="s">
        <v>723</v>
      </c>
      <c r="E859" s="102" t="s">
        <v>137</v>
      </c>
      <c r="F859" s="102" t="s">
        <v>711</v>
      </c>
      <c r="G859" s="102" t="s">
        <v>715</v>
      </c>
      <c r="H859" s="360">
        <v>10.0</v>
      </c>
      <c r="I859" s="411" t="b">
        <v>0</v>
      </c>
      <c r="J859" s="102" t="s">
        <v>472</v>
      </c>
      <c r="K859" s="360">
        <v>0.0</v>
      </c>
      <c r="L859" s="360">
        <v>10.0</v>
      </c>
      <c r="M859" s="102" t="s">
        <v>1120</v>
      </c>
      <c r="N859" s="102" t="s">
        <v>1570</v>
      </c>
    </row>
    <row r="860">
      <c r="A860" s="412">
        <v>45813.0</v>
      </c>
      <c r="B860" s="413">
        <v>2025.0</v>
      </c>
      <c r="C860" s="414" t="s">
        <v>1555</v>
      </c>
      <c r="D860" s="413" t="s">
        <v>723</v>
      </c>
      <c r="E860" s="413" t="s">
        <v>137</v>
      </c>
      <c r="F860" s="413" t="s">
        <v>711</v>
      </c>
      <c r="G860" s="413" t="s">
        <v>767</v>
      </c>
      <c r="H860" s="415">
        <v>950.0</v>
      </c>
      <c r="I860" s="416" t="b">
        <v>0</v>
      </c>
      <c r="J860" s="413" t="s">
        <v>1218</v>
      </c>
      <c r="K860" s="415">
        <v>0.0</v>
      </c>
      <c r="L860" s="415">
        <v>950.0</v>
      </c>
      <c r="M860" s="413" t="s">
        <v>1120</v>
      </c>
      <c r="N860" s="413" t="s">
        <v>1571</v>
      </c>
    </row>
    <row r="861">
      <c r="A861" s="409">
        <v>45813.0</v>
      </c>
      <c r="B861" s="102">
        <v>2025.0</v>
      </c>
      <c r="C861" s="410" t="s">
        <v>1555</v>
      </c>
      <c r="D861" s="102" t="s">
        <v>723</v>
      </c>
      <c r="E861" s="102" t="s">
        <v>137</v>
      </c>
      <c r="F861" s="102" t="s">
        <v>703</v>
      </c>
      <c r="G861" s="102" t="s">
        <v>715</v>
      </c>
      <c r="H861" s="360">
        <v>500.0</v>
      </c>
      <c r="I861" s="411" t="b">
        <v>0</v>
      </c>
      <c r="J861" s="102" t="s">
        <v>472</v>
      </c>
      <c r="K861" s="360">
        <v>0.0</v>
      </c>
      <c r="L861" s="360">
        <v>500.0</v>
      </c>
      <c r="M861" s="102" t="s">
        <v>1120</v>
      </c>
      <c r="N861" s="102" t="s">
        <v>1572</v>
      </c>
    </row>
    <row r="862">
      <c r="A862" s="412">
        <v>45813.0</v>
      </c>
      <c r="B862" s="413">
        <v>2025.0</v>
      </c>
      <c r="C862" s="414" t="s">
        <v>1555</v>
      </c>
      <c r="D862" s="413" t="s">
        <v>723</v>
      </c>
      <c r="E862" s="413" t="s">
        <v>137</v>
      </c>
      <c r="F862" s="413" t="s">
        <v>711</v>
      </c>
      <c r="G862" s="413" t="s">
        <v>767</v>
      </c>
      <c r="H862" s="415">
        <v>950.0</v>
      </c>
      <c r="I862" s="416" t="b">
        <v>0</v>
      </c>
      <c r="J862" s="413" t="s">
        <v>1232</v>
      </c>
      <c r="K862" s="415">
        <v>0.0</v>
      </c>
      <c r="L862" s="415">
        <v>950.0</v>
      </c>
      <c r="M862" s="413" t="s">
        <v>1120</v>
      </c>
      <c r="N862" s="413" t="s">
        <v>1573</v>
      </c>
    </row>
    <row r="863">
      <c r="A863" s="409">
        <v>45813.0</v>
      </c>
      <c r="B863" s="102">
        <v>2025.0</v>
      </c>
      <c r="C863" s="410" t="s">
        <v>1555</v>
      </c>
      <c r="D863" s="102" t="s">
        <v>702</v>
      </c>
      <c r="E863" s="102" t="s">
        <v>465</v>
      </c>
      <c r="F863" s="102" t="s">
        <v>711</v>
      </c>
      <c r="G863" s="102" t="s">
        <v>767</v>
      </c>
      <c r="H863" s="360">
        <v>550.0</v>
      </c>
      <c r="I863" s="411" t="b">
        <v>0</v>
      </c>
      <c r="J863" s="102" t="s">
        <v>1466</v>
      </c>
      <c r="K863" s="360">
        <v>75.86206896551721</v>
      </c>
      <c r="L863" s="360">
        <v>474.1379310344828</v>
      </c>
      <c r="M863" s="102" t="s">
        <v>1120</v>
      </c>
      <c r="N863" s="102" t="s">
        <v>1574</v>
      </c>
    </row>
    <row r="864">
      <c r="A864" s="412">
        <v>45813.0</v>
      </c>
      <c r="B864" s="413">
        <v>2025.0</v>
      </c>
      <c r="C864" s="414" t="s">
        <v>1555</v>
      </c>
      <c r="D864" s="413" t="s">
        <v>723</v>
      </c>
      <c r="E864" s="413" t="s">
        <v>137</v>
      </c>
      <c r="F864" s="413" t="s">
        <v>711</v>
      </c>
      <c r="G864" s="413" t="s">
        <v>740</v>
      </c>
      <c r="H864" s="415">
        <v>7.0</v>
      </c>
      <c r="I864" s="416" t="b">
        <v>0</v>
      </c>
      <c r="J864" s="413" t="s">
        <v>472</v>
      </c>
      <c r="K864" s="415">
        <v>0.0</v>
      </c>
      <c r="L864" s="415">
        <v>7.0</v>
      </c>
      <c r="M864" s="413" t="s">
        <v>1120</v>
      </c>
      <c r="N864" s="413" t="s">
        <v>1575</v>
      </c>
    </row>
    <row r="865">
      <c r="A865" s="409">
        <v>45813.0</v>
      </c>
      <c r="B865" s="102">
        <v>2025.0</v>
      </c>
      <c r="C865" s="410" t="s">
        <v>1555</v>
      </c>
      <c r="D865" s="102" t="s">
        <v>702</v>
      </c>
      <c r="E865" s="102" t="s">
        <v>465</v>
      </c>
      <c r="F865" s="102" t="s">
        <v>711</v>
      </c>
      <c r="G865" s="102" t="s">
        <v>767</v>
      </c>
      <c r="H865" s="360">
        <v>550.0</v>
      </c>
      <c r="I865" s="411" t="b">
        <v>0</v>
      </c>
      <c r="J865" s="102" t="s">
        <v>1367</v>
      </c>
      <c r="K865" s="360">
        <v>75.86206896551721</v>
      </c>
      <c r="L865" s="360">
        <v>474.1379310344828</v>
      </c>
      <c r="M865" s="102" t="s">
        <v>1120</v>
      </c>
      <c r="N865" s="102" t="s">
        <v>1576</v>
      </c>
    </row>
    <row r="866">
      <c r="A866" s="412">
        <v>45813.0</v>
      </c>
      <c r="B866" s="413">
        <v>2025.0</v>
      </c>
      <c r="C866" s="414" t="s">
        <v>1555</v>
      </c>
      <c r="D866" s="413" t="s">
        <v>702</v>
      </c>
      <c r="E866" s="413" t="s">
        <v>465</v>
      </c>
      <c r="F866" s="413" t="s">
        <v>711</v>
      </c>
      <c r="G866" s="413" t="s">
        <v>767</v>
      </c>
      <c r="H866" s="415">
        <v>1103.0</v>
      </c>
      <c r="I866" s="416" t="b">
        <v>0</v>
      </c>
      <c r="J866" s="413" t="s">
        <v>1164</v>
      </c>
      <c r="K866" s="415">
        <v>152.13793103448268</v>
      </c>
      <c r="L866" s="415">
        <v>950.8620689655173</v>
      </c>
      <c r="M866" s="413" t="s">
        <v>1120</v>
      </c>
      <c r="N866" s="413" t="s">
        <v>1577</v>
      </c>
    </row>
    <row r="867">
      <c r="A867" s="409">
        <v>45813.0</v>
      </c>
      <c r="B867" s="102">
        <v>2025.0</v>
      </c>
      <c r="C867" s="410" t="s">
        <v>1555</v>
      </c>
      <c r="D867" s="102" t="s">
        <v>702</v>
      </c>
      <c r="E867" s="102" t="s">
        <v>465</v>
      </c>
      <c r="F867" s="102" t="s">
        <v>711</v>
      </c>
      <c r="G867" s="102" t="s">
        <v>767</v>
      </c>
      <c r="H867" s="360">
        <v>950.0</v>
      </c>
      <c r="I867" s="411" t="b">
        <v>0</v>
      </c>
      <c r="J867" s="102" t="s">
        <v>1255</v>
      </c>
      <c r="K867" s="360">
        <v>131.03448275862058</v>
      </c>
      <c r="L867" s="360">
        <v>818.9655172413794</v>
      </c>
      <c r="M867" s="102" t="s">
        <v>1120</v>
      </c>
      <c r="N867" s="102" t="s">
        <v>1578</v>
      </c>
    </row>
    <row r="868">
      <c r="A868" s="412">
        <v>45813.0</v>
      </c>
      <c r="B868" s="413">
        <v>2025.0</v>
      </c>
      <c r="C868" s="414" t="s">
        <v>1555</v>
      </c>
      <c r="D868" s="413" t="s">
        <v>702</v>
      </c>
      <c r="E868" s="413" t="s">
        <v>465</v>
      </c>
      <c r="F868" s="413" t="s">
        <v>711</v>
      </c>
      <c r="G868" s="413" t="s">
        <v>767</v>
      </c>
      <c r="H868" s="415">
        <v>950.0</v>
      </c>
      <c r="I868" s="416" t="b">
        <v>0</v>
      </c>
      <c r="J868" s="413" t="s">
        <v>1350</v>
      </c>
      <c r="K868" s="415">
        <v>131.03448275862058</v>
      </c>
      <c r="L868" s="415">
        <v>818.9655172413794</v>
      </c>
      <c r="M868" s="413" t="s">
        <v>1120</v>
      </c>
      <c r="N868" s="413" t="s">
        <v>1579</v>
      </c>
    </row>
    <row r="869">
      <c r="A869" s="409">
        <v>45813.0</v>
      </c>
      <c r="B869" s="102">
        <v>2025.0</v>
      </c>
      <c r="C869" s="410" t="s">
        <v>1555</v>
      </c>
      <c r="D869" s="102" t="s">
        <v>702</v>
      </c>
      <c r="E869" s="102" t="s">
        <v>465</v>
      </c>
      <c r="F869" s="102" t="s">
        <v>711</v>
      </c>
      <c r="G869" s="102" t="s">
        <v>767</v>
      </c>
      <c r="H869" s="360">
        <v>800.0</v>
      </c>
      <c r="I869" s="411" t="b">
        <v>0</v>
      </c>
      <c r="J869" s="102" t="s">
        <v>1240</v>
      </c>
      <c r="K869" s="360">
        <v>110.34482758620686</v>
      </c>
      <c r="L869" s="360">
        <v>689.6551724137931</v>
      </c>
      <c r="M869" s="102" t="s">
        <v>1120</v>
      </c>
      <c r="N869" s="102" t="s">
        <v>1580</v>
      </c>
    </row>
    <row r="870">
      <c r="A870" s="412">
        <v>45813.0</v>
      </c>
      <c r="B870" s="413">
        <v>2025.0</v>
      </c>
      <c r="C870" s="414" t="s">
        <v>1555</v>
      </c>
      <c r="D870" s="413" t="s">
        <v>702</v>
      </c>
      <c r="E870" s="413" t="s">
        <v>465</v>
      </c>
      <c r="F870" s="413" t="s">
        <v>711</v>
      </c>
      <c r="G870" s="413" t="s">
        <v>767</v>
      </c>
      <c r="H870" s="415">
        <v>950.0</v>
      </c>
      <c r="I870" s="416" t="b">
        <v>0</v>
      </c>
      <c r="J870" s="413" t="s">
        <v>1221</v>
      </c>
      <c r="K870" s="415">
        <v>131.03448275862058</v>
      </c>
      <c r="L870" s="415">
        <v>818.9655172413794</v>
      </c>
      <c r="M870" s="413" t="s">
        <v>1120</v>
      </c>
      <c r="N870" s="413" t="s">
        <v>1581</v>
      </c>
    </row>
    <row r="871">
      <c r="A871" s="409">
        <v>45813.0</v>
      </c>
      <c r="B871" s="102">
        <v>2025.0</v>
      </c>
      <c r="C871" s="410" t="s">
        <v>1555</v>
      </c>
      <c r="D871" s="102" t="s">
        <v>710</v>
      </c>
      <c r="E871" s="102" t="s">
        <v>137</v>
      </c>
      <c r="F871" s="102" t="s">
        <v>703</v>
      </c>
      <c r="G871" s="102" t="s">
        <v>769</v>
      </c>
      <c r="H871" s="360">
        <v>8000.0</v>
      </c>
      <c r="I871" s="411" t="b">
        <v>0</v>
      </c>
      <c r="J871" s="102" t="s">
        <v>472</v>
      </c>
      <c r="K871" s="360">
        <v>0.0</v>
      </c>
      <c r="L871" s="360">
        <v>8000.0</v>
      </c>
      <c r="M871" s="102" t="s">
        <v>1120</v>
      </c>
      <c r="N871" s="102" t="s">
        <v>1582</v>
      </c>
    </row>
    <row r="872">
      <c r="A872" s="412">
        <v>45813.0</v>
      </c>
      <c r="B872" s="413">
        <v>2025.0</v>
      </c>
      <c r="C872" s="414" t="s">
        <v>1555</v>
      </c>
      <c r="D872" s="413" t="s">
        <v>723</v>
      </c>
      <c r="E872" s="413" t="s">
        <v>137</v>
      </c>
      <c r="F872" s="413" t="s">
        <v>703</v>
      </c>
      <c r="G872" s="413" t="s">
        <v>724</v>
      </c>
      <c r="H872" s="415">
        <v>1098.0</v>
      </c>
      <c r="I872" s="416" t="b">
        <v>1</v>
      </c>
      <c r="J872" s="413" t="s">
        <v>472</v>
      </c>
      <c r="K872" s="415">
        <v>0.0</v>
      </c>
      <c r="L872" s="415">
        <v>0.0</v>
      </c>
      <c r="M872" s="413" t="s">
        <v>1120</v>
      </c>
      <c r="N872" s="413" t="s">
        <v>1583</v>
      </c>
    </row>
    <row r="873">
      <c r="A873" s="409">
        <v>45813.0</v>
      </c>
      <c r="B873" s="102">
        <v>2025.0</v>
      </c>
      <c r="C873" s="410" t="s">
        <v>1555</v>
      </c>
      <c r="D873" s="102" t="s">
        <v>710</v>
      </c>
      <c r="E873" s="102" t="s">
        <v>137</v>
      </c>
      <c r="F873" s="102" t="s">
        <v>711</v>
      </c>
      <c r="G873" s="102" t="s">
        <v>724</v>
      </c>
      <c r="H873" s="360">
        <v>1098.0</v>
      </c>
      <c r="I873" s="411" t="b">
        <v>1</v>
      </c>
      <c r="J873" s="102" t="s">
        <v>472</v>
      </c>
      <c r="K873" s="360">
        <v>0.0</v>
      </c>
      <c r="L873" s="360">
        <v>0.0</v>
      </c>
      <c r="M873" s="102" t="s">
        <v>1120</v>
      </c>
      <c r="N873" s="102" t="s">
        <v>1583</v>
      </c>
    </row>
    <row r="874">
      <c r="A874" s="412">
        <v>45813.0</v>
      </c>
      <c r="B874" s="413">
        <v>2025.0</v>
      </c>
      <c r="C874" s="414" t="s">
        <v>1555</v>
      </c>
      <c r="D874" s="413" t="s">
        <v>702</v>
      </c>
      <c r="E874" s="413" t="s">
        <v>465</v>
      </c>
      <c r="F874" s="413" t="s">
        <v>703</v>
      </c>
      <c r="G874" s="413" t="s">
        <v>740</v>
      </c>
      <c r="H874" s="415">
        <v>70.0</v>
      </c>
      <c r="I874" s="416" t="b">
        <v>0</v>
      </c>
      <c r="J874" s="413" t="s">
        <v>472</v>
      </c>
      <c r="K874" s="415">
        <v>0.0</v>
      </c>
      <c r="L874" s="415">
        <v>70.0</v>
      </c>
      <c r="M874" s="413" t="s">
        <v>1120</v>
      </c>
      <c r="N874" s="413" t="s">
        <v>1584</v>
      </c>
    </row>
    <row r="875">
      <c r="A875" s="409">
        <v>45813.0</v>
      </c>
      <c r="B875" s="102">
        <v>2025.0</v>
      </c>
      <c r="C875" s="410" t="s">
        <v>1555</v>
      </c>
      <c r="D875" s="102" t="s">
        <v>702</v>
      </c>
      <c r="E875" s="102" t="s">
        <v>465</v>
      </c>
      <c r="F875" s="102" t="s">
        <v>703</v>
      </c>
      <c r="G875" s="102" t="s">
        <v>715</v>
      </c>
      <c r="H875" s="360">
        <v>400.0</v>
      </c>
      <c r="I875" s="411" t="b">
        <v>0</v>
      </c>
      <c r="J875" s="102" t="s">
        <v>1585</v>
      </c>
      <c r="K875" s="360">
        <v>0.0</v>
      </c>
      <c r="L875" s="360">
        <v>400.0</v>
      </c>
      <c r="M875" s="102" t="s">
        <v>1120</v>
      </c>
      <c r="N875" s="102" t="s">
        <v>1586</v>
      </c>
    </row>
    <row r="876">
      <c r="A876" s="412">
        <v>45814.0</v>
      </c>
      <c r="B876" s="413">
        <v>2025.0</v>
      </c>
      <c r="C876" s="414" t="s">
        <v>1555</v>
      </c>
      <c r="D876" s="413" t="s">
        <v>723</v>
      </c>
      <c r="E876" s="413" t="s">
        <v>137</v>
      </c>
      <c r="F876" s="413" t="s">
        <v>711</v>
      </c>
      <c r="G876" s="413" t="s">
        <v>715</v>
      </c>
      <c r="H876" s="415">
        <v>10.0</v>
      </c>
      <c r="I876" s="416" t="b">
        <v>0</v>
      </c>
      <c r="J876" s="413" t="s">
        <v>472</v>
      </c>
      <c r="K876" s="415">
        <v>0.0</v>
      </c>
      <c r="L876" s="415">
        <v>10.0</v>
      </c>
      <c r="M876" s="413" t="s">
        <v>1120</v>
      </c>
      <c r="N876" s="413" t="s">
        <v>1587</v>
      </c>
    </row>
    <row r="877">
      <c r="A877" s="409">
        <v>45814.0</v>
      </c>
      <c r="B877" s="102">
        <v>2025.0</v>
      </c>
      <c r="C877" s="410" t="s">
        <v>1555</v>
      </c>
      <c r="D877" s="102" t="s">
        <v>723</v>
      </c>
      <c r="E877" s="102" t="s">
        <v>137</v>
      </c>
      <c r="F877" s="102" t="s">
        <v>711</v>
      </c>
      <c r="G877" s="102" t="s">
        <v>740</v>
      </c>
      <c r="H877" s="360">
        <v>28.0</v>
      </c>
      <c r="I877" s="411" t="b">
        <v>0</v>
      </c>
      <c r="J877" s="102" t="s">
        <v>472</v>
      </c>
      <c r="K877" s="360">
        <v>0.0</v>
      </c>
      <c r="L877" s="360">
        <v>28.0</v>
      </c>
      <c r="M877" s="102" t="s">
        <v>1120</v>
      </c>
      <c r="N877" s="102" t="s">
        <v>1588</v>
      </c>
    </row>
    <row r="878">
      <c r="A878" s="412">
        <v>45814.0</v>
      </c>
      <c r="B878" s="413">
        <v>2025.0</v>
      </c>
      <c r="C878" s="414" t="s">
        <v>1555</v>
      </c>
      <c r="D878" s="413" t="s">
        <v>723</v>
      </c>
      <c r="E878" s="413" t="s">
        <v>137</v>
      </c>
      <c r="F878" s="413" t="s">
        <v>711</v>
      </c>
      <c r="G878" s="413" t="s">
        <v>767</v>
      </c>
      <c r="H878" s="415">
        <v>1300.0</v>
      </c>
      <c r="I878" s="416" t="b">
        <v>0</v>
      </c>
      <c r="J878" s="413" t="s">
        <v>1248</v>
      </c>
      <c r="K878" s="415">
        <v>0.0</v>
      </c>
      <c r="L878" s="415">
        <v>1300.0</v>
      </c>
      <c r="M878" s="413" t="s">
        <v>1120</v>
      </c>
      <c r="N878" s="413" t="s">
        <v>1589</v>
      </c>
    </row>
    <row r="879">
      <c r="A879" s="409">
        <v>45814.0</v>
      </c>
      <c r="B879" s="102">
        <v>2025.0</v>
      </c>
      <c r="C879" s="410" t="s">
        <v>1555</v>
      </c>
      <c r="D879" s="102" t="s">
        <v>723</v>
      </c>
      <c r="E879" s="102" t="s">
        <v>137</v>
      </c>
      <c r="F879" s="102" t="s">
        <v>711</v>
      </c>
      <c r="G879" s="102" t="s">
        <v>767</v>
      </c>
      <c r="H879" s="360">
        <v>950.0</v>
      </c>
      <c r="I879" s="411" t="b">
        <v>0</v>
      </c>
      <c r="J879" s="102" t="s">
        <v>1230</v>
      </c>
      <c r="K879" s="360">
        <v>0.0</v>
      </c>
      <c r="L879" s="360">
        <v>950.0</v>
      </c>
      <c r="M879" s="102" t="s">
        <v>1120</v>
      </c>
      <c r="N879" s="102" t="s">
        <v>1590</v>
      </c>
    </row>
    <row r="880">
      <c r="A880" s="412">
        <v>45814.0</v>
      </c>
      <c r="B880" s="413">
        <v>2025.0</v>
      </c>
      <c r="C880" s="414" t="s">
        <v>1555</v>
      </c>
      <c r="D880" s="413" t="s">
        <v>723</v>
      </c>
      <c r="E880" s="413" t="s">
        <v>137</v>
      </c>
      <c r="F880" s="413" t="s">
        <v>711</v>
      </c>
      <c r="G880" s="413" t="s">
        <v>734</v>
      </c>
      <c r="H880" s="415">
        <v>200.0</v>
      </c>
      <c r="I880" s="416" t="b">
        <v>0</v>
      </c>
      <c r="J880" s="413" t="s">
        <v>1415</v>
      </c>
      <c r="K880" s="415">
        <v>0.0</v>
      </c>
      <c r="L880" s="415">
        <v>200.0</v>
      </c>
      <c r="M880" s="413" t="s">
        <v>1120</v>
      </c>
      <c r="N880" s="413" t="s">
        <v>1591</v>
      </c>
    </row>
    <row r="881">
      <c r="A881" s="409">
        <v>45814.0</v>
      </c>
      <c r="B881" s="102">
        <v>2025.0</v>
      </c>
      <c r="C881" s="410" t="s">
        <v>1555</v>
      </c>
      <c r="D881" s="102" t="s">
        <v>723</v>
      </c>
      <c r="E881" s="102" t="s">
        <v>137</v>
      </c>
      <c r="F881" s="102" t="s">
        <v>711</v>
      </c>
      <c r="G881" s="102" t="s">
        <v>734</v>
      </c>
      <c r="H881" s="360">
        <v>140.0</v>
      </c>
      <c r="I881" s="411" t="b">
        <v>0</v>
      </c>
      <c r="J881" s="102" t="s">
        <v>1367</v>
      </c>
      <c r="K881" s="360">
        <v>0.0</v>
      </c>
      <c r="L881" s="360">
        <v>140.0</v>
      </c>
      <c r="M881" s="102" t="s">
        <v>1120</v>
      </c>
      <c r="N881" s="102" t="s">
        <v>1592</v>
      </c>
    </row>
    <row r="882">
      <c r="A882" s="412">
        <v>45815.0</v>
      </c>
      <c r="B882" s="413">
        <v>2025.0</v>
      </c>
      <c r="C882" s="414" t="s">
        <v>1555</v>
      </c>
      <c r="D882" s="413" t="s">
        <v>723</v>
      </c>
      <c r="E882" s="413" t="s">
        <v>137</v>
      </c>
      <c r="F882" s="413" t="s">
        <v>711</v>
      </c>
      <c r="G882" s="413" t="s">
        <v>734</v>
      </c>
      <c r="H882" s="415">
        <v>180.0</v>
      </c>
      <c r="I882" s="416" t="b">
        <v>0</v>
      </c>
      <c r="J882" s="413" t="s">
        <v>1350</v>
      </c>
      <c r="K882" s="415">
        <v>0.0</v>
      </c>
      <c r="L882" s="415">
        <v>180.0</v>
      </c>
      <c r="M882" s="413" t="s">
        <v>1120</v>
      </c>
      <c r="N882" s="413" t="s">
        <v>1593</v>
      </c>
    </row>
    <row r="883">
      <c r="A883" s="409">
        <v>45815.0</v>
      </c>
      <c r="B883" s="102">
        <v>2025.0</v>
      </c>
      <c r="C883" s="410" t="s">
        <v>1555</v>
      </c>
      <c r="D883" s="102" t="s">
        <v>723</v>
      </c>
      <c r="E883" s="102" t="s">
        <v>137</v>
      </c>
      <c r="F883" s="102" t="s">
        <v>711</v>
      </c>
      <c r="G883" s="102" t="s">
        <v>740</v>
      </c>
      <c r="H883" s="360">
        <v>7.0</v>
      </c>
      <c r="I883" s="411" t="b">
        <v>0</v>
      </c>
      <c r="J883" s="102" t="s">
        <v>472</v>
      </c>
      <c r="K883" s="360">
        <v>0.0</v>
      </c>
      <c r="L883" s="360">
        <v>7.0</v>
      </c>
      <c r="M883" s="102" t="s">
        <v>1120</v>
      </c>
      <c r="N883" s="102" t="s">
        <v>1594</v>
      </c>
    </row>
    <row r="884">
      <c r="A884" s="412">
        <v>45817.0</v>
      </c>
      <c r="B884" s="413">
        <v>2025.0</v>
      </c>
      <c r="C884" s="414" t="s">
        <v>1555</v>
      </c>
      <c r="D884" s="413" t="s">
        <v>702</v>
      </c>
      <c r="E884" s="413" t="s">
        <v>465</v>
      </c>
      <c r="F884" s="413" t="s">
        <v>711</v>
      </c>
      <c r="G884" s="413" t="s">
        <v>767</v>
      </c>
      <c r="H884" s="415">
        <v>1700.0</v>
      </c>
      <c r="I884" s="416" t="b">
        <v>0</v>
      </c>
      <c r="J884" s="413" t="s">
        <v>1459</v>
      </c>
      <c r="K884" s="415">
        <v>234.48275862068954</v>
      </c>
      <c r="L884" s="415">
        <v>1465.5172413793105</v>
      </c>
      <c r="M884" s="413" t="s">
        <v>1120</v>
      </c>
      <c r="N884" s="413" t="s">
        <v>1595</v>
      </c>
    </row>
    <row r="885">
      <c r="A885" s="409">
        <v>45817.0</v>
      </c>
      <c r="B885" s="102">
        <v>2025.0</v>
      </c>
      <c r="C885" s="410" t="s">
        <v>1555</v>
      </c>
      <c r="D885" s="102" t="s">
        <v>723</v>
      </c>
      <c r="E885" s="102" t="s">
        <v>137</v>
      </c>
      <c r="F885" s="102" t="s">
        <v>703</v>
      </c>
      <c r="G885" s="102" t="s">
        <v>715</v>
      </c>
      <c r="H885" s="360">
        <v>200.0</v>
      </c>
      <c r="I885" s="411" t="b">
        <v>0</v>
      </c>
      <c r="J885" s="102" t="s">
        <v>472</v>
      </c>
      <c r="K885" s="360">
        <v>0.0</v>
      </c>
      <c r="L885" s="360">
        <v>200.0</v>
      </c>
      <c r="M885" s="102" t="s">
        <v>1120</v>
      </c>
      <c r="N885" s="102" t="s">
        <v>1596</v>
      </c>
    </row>
    <row r="886">
      <c r="A886" s="412">
        <v>45817.0</v>
      </c>
      <c r="B886" s="413">
        <v>2025.0</v>
      </c>
      <c r="C886" s="414" t="s">
        <v>1555</v>
      </c>
      <c r="D886" s="413" t="s">
        <v>723</v>
      </c>
      <c r="E886" s="413" t="s">
        <v>137</v>
      </c>
      <c r="F886" s="413" t="s">
        <v>703</v>
      </c>
      <c r="G886" s="413" t="s">
        <v>715</v>
      </c>
      <c r="H886" s="415">
        <v>300.0</v>
      </c>
      <c r="I886" s="416" t="b">
        <v>0</v>
      </c>
      <c r="J886" s="413" t="s">
        <v>1597</v>
      </c>
      <c r="K886" s="415">
        <v>0.0</v>
      </c>
      <c r="L886" s="415">
        <v>300.0</v>
      </c>
      <c r="M886" s="413" t="s">
        <v>1120</v>
      </c>
      <c r="N886" s="413" t="s">
        <v>1598</v>
      </c>
    </row>
    <row r="887">
      <c r="A887" s="409">
        <v>45817.0</v>
      </c>
      <c r="B887" s="102">
        <v>2025.0</v>
      </c>
      <c r="C887" s="410" t="s">
        <v>1555</v>
      </c>
      <c r="D887" s="102" t="s">
        <v>702</v>
      </c>
      <c r="E887" s="102" t="s">
        <v>465</v>
      </c>
      <c r="F887" s="102" t="s">
        <v>711</v>
      </c>
      <c r="G887" s="102" t="s">
        <v>734</v>
      </c>
      <c r="H887" s="360">
        <v>180.0</v>
      </c>
      <c r="I887" s="411" t="b">
        <v>0</v>
      </c>
      <c r="J887" s="102" t="s">
        <v>1483</v>
      </c>
      <c r="K887" s="360">
        <v>24.82758620689654</v>
      </c>
      <c r="L887" s="360">
        <v>155.17241379310346</v>
      </c>
      <c r="M887" s="102" t="s">
        <v>1120</v>
      </c>
      <c r="N887" s="102" t="s">
        <v>1599</v>
      </c>
    </row>
    <row r="888">
      <c r="A888" s="412">
        <v>45817.0</v>
      </c>
      <c r="B888" s="413">
        <v>2025.0</v>
      </c>
      <c r="C888" s="414" t="s">
        <v>1555</v>
      </c>
      <c r="D888" s="413" t="s">
        <v>702</v>
      </c>
      <c r="E888" s="413" t="s">
        <v>465</v>
      </c>
      <c r="F888" s="413" t="s">
        <v>703</v>
      </c>
      <c r="G888" s="413" t="s">
        <v>1600</v>
      </c>
      <c r="H888" s="415">
        <v>718.0</v>
      </c>
      <c r="I888" s="416" t="b">
        <v>0</v>
      </c>
      <c r="J888" s="413" t="s">
        <v>1601</v>
      </c>
      <c r="K888" s="415">
        <v>0.0</v>
      </c>
      <c r="L888" s="415">
        <v>718.0</v>
      </c>
      <c r="M888" s="413" t="s">
        <v>1120</v>
      </c>
      <c r="N888" s="413" t="s">
        <v>1602</v>
      </c>
    </row>
    <row r="889">
      <c r="A889" s="409">
        <v>45817.0</v>
      </c>
      <c r="B889" s="102">
        <v>2025.0</v>
      </c>
      <c r="C889" s="410" t="s">
        <v>1555</v>
      </c>
      <c r="D889" s="102" t="s">
        <v>702</v>
      </c>
      <c r="E889" s="102" t="s">
        <v>465</v>
      </c>
      <c r="F889" s="102" t="s">
        <v>703</v>
      </c>
      <c r="G889" s="102" t="s">
        <v>1603</v>
      </c>
      <c r="H889" s="360">
        <v>550.0</v>
      </c>
      <c r="I889" s="411" t="b">
        <v>0</v>
      </c>
      <c r="J889" s="102" t="s">
        <v>472</v>
      </c>
      <c r="K889" s="360">
        <v>0.0</v>
      </c>
      <c r="L889" s="360">
        <v>550.0</v>
      </c>
      <c r="M889" s="102" t="s">
        <v>1120</v>
      </c>
      <c r="N889" s="102" t="s">
        <v>1604</v>
      </c>
    </row>
    <row r="890">
      <c r="A890" s="412">
        <v>45817.0</v>
      </c>
      <c r="B890" s="413">
        <v>2025.0</v>
      </c>
      <c r="C890" s="414" t="s">
        <v>1555</v>
      </c>
      <c r="D890" s="413" t="s">
        <v>702</v>
      </c>
      <c r="E890" s="413" t="s">
        <v>465</v>
      </c>
      <c r="F890" s="413" t="s">
        <v>711</v>
      </c>
      <c r="G890" s="413" t="s">
        <v>730</v>
      </c>
      <c r="H890" s="415">
        <v>69.0</v>
      </c>
      <c r="I890" s="416" t="b">
        <v>0</v>
      </c>
      <c r="J890" s="413" t="s">
        <v>472</v>
      </c>
      <c r="K890" s="415">
        <v>9.517241379310342</v>
      </c>
      <c r="L890" s="415">
        <v>59.48275862068966</v>
      </c>
      <c r="M890" s="413" t="s">
        <v>1120</v>
      </c>
      <c r="N890" s="413" t="s">
        <v>1605</v>
      </c>
    </row>
    <row r="891">
      <c r="A891" s="409">
        <v>45817.0</v>
      </c>
      <c r="B891" s="102">
        <v>2025.0</v>
      </c>
      <c r="C891" s="410" t="s">
        <v>1555</v>
      </c>
      <c r="D891" s="102" t="s">
        <v>723</v>
      </c>
      <c r="E891" s="102" t="s">
        <v>137</v>
      </c>
      <c r="F891" s="102" t="s">
        <v>703</v>
      </c>
      <c r="G891" s="102" t="s">
        <v>732</v>
      </c>
      <c r="H891" s="360">
        <v>61.0</v>
      </c>
      <c r="I891" s="411" t="b">
        <v>0</v>
      </c>
      <c r="J891" s="102" t="s">
        <v>472</v>
      </c>
      <c r="K891" s="360">
        <v>0.0</v>
      </c>
      <c r="L891" s="360">
        <v>61.0</v>
      </c>
      <c r="M891" s="102" t="s">
        <v>1120</v>
      </c>
      <c r="N891" s="102" t="s">
        <v>1606</v>
      </c>
    </row>
    <row r="892">
      <c r="A892" s="412">
        <v>45817.0</v>
      </c>
      <c r="B892" s="413">
        <v>2025.0</v>
      </c>
      <c r="C892" s="414" t="s">
        <v>1555</v>
      </c>
      <c r="D892" s="413" t="s">
        <v>723</v>
      </c>
      <c r="E892" s="413" t="s">
        <v>137</v>
      </c>
      <c r="F892" s="413" t="s">
        <v>703</v>
      </c>
      <c r="G892" s="413" t="s">
        <v>715</v>
      </c>
      <c r="H892" s="415">
        <v>105.0</v>
      </c>
      <c r="I892" s="416" t="b">
        <v>0</v>
      </c>
      <c r="J892" s="413" t="s">
        <v>1607</v>
      </c>
      <c r="K892" s="415">
        <v>0.0</v>
      </c>
      <c r="L892" s="415">
        <v>105.0</v>
      </c>
      <c r="M892" s="413" t="s">
        <v>1120</v>
      </c>
      <c r="N892" s="413" t="s">
        <v>1608</v>
      </c>
    </row>
    <row r="893">
      <c r="A893" s="409">
        <v>45818.0</v>
      </c>
      <c r="B893" s="102">
        <v>2025.0</v>
      </c>
      <c r="C893" s="410" t="s">
        <v>1555</v>
      </c>
      <c r="D893" s="102" t="s">
        <v>702</v>
      </c>
      <c r="E893" s="102" t="s">
        <v>465</v>
      </c>
      <c r="F893" s="102" t="s">
        <v>711</v>
      </c>
      <c r="G893" s="102" t="s">
        <v>767</v>
      </c>
      <c r="H893" s="360">
        <v>1050.0</v>
      </c>
      <c r="I893" s="411" t="b">
        <v>0</v>
      </c>
      <c r="J893" s="102" t="s">
        <v>1224</v>
      </c>
      <c r="K893" s="360">
        <v>144.8275862068965</v>
      </c>
      <c r="L893" s="360">
        <v>905.1724137931035</v>
      </c>
      <c r="M893" s="102" t="s">
        <v>1120</v>
      </c>
      <c r="N893" s="102" t="s">
        <v>1609</v>
      </c>
    </row>
    <row r="894">
      <c r="A894" s="412">
        <v>45818.0</v>
      </c>
      <c r="B894" s="413">
        <v>2025.0</v>
      </c>
      <c r="C894" s="414" t="s">
        <v>1555</v>
      </c>
      <c r="D894" s="413" t="s">
        <v>723</v>
      </c>
      <c r="E894" s="413" t="s">
        <v>137</v>
      </c>
      <c r="F894" s="413" t="s">
        <v>703</v>
      </c>
      <c r="G894" s="413" t="s">
        <v>715</v>
      </c>
      <c r="H894" s="415">
        <v>259.0</v>
      </c>
      <c r="I894" s="416" t="b">
        <v>0</v>
      </c>
      <c r="J894" s="413" t="s">
        <v>1610</v>
      </c>
      <c r="K894" s="415">
        <v>0.0</v>
      </c>
      <c r="L894" s="415">
        <v>259.0</v>
      </c>
      <c r="M894" s="413" t="s">
        <v>1120</v>
      </c>
      <c r="N894" s="413" t="s">
        <v>1611</v>
      </c>
    </row>
    <row r="895">
      <c r="A895" s="409">
        <v>45818.0</v>
      </c>
      <c r="B895" s="102">
        <v>2025.0</v>
      </c>
      <c r="C895" s="410" t="s">
        <v>1555</v>
      </c>
      <c r="D895" s="102" t="s">
        <v>723</v>
      </c>
      <c r="E895" s="102" t="s">
        <v>137</v>
      </c>
      <c r="F895" s="102" t="s">
        <v>711</v>
      </c>
      <c r="G895" s="102" t="s">
        <v>715</v>
      </c>
      <c r="H895" s="360">
        <v>40.0</v>
      </c>
      <c r="I895" s="411" t="b">
        <v>0</v>
      </c>
      <c r="J895" s="102" t="s">
        <v>472</v>
      </c>
      <c r="K895" s="360">
        <v>0.0</v>
      </c>
      <c r="L895" s="360">
        <v>40.0</v>
      </c>
      <c r="M895" s="102" t="s">
        <v>1120</v>
      </c>
      <c r="N895" s="102" t="s">
        <v>1612</v>
      </c>
    </row>
    <row r="896">
      <c r="A896" s="412">
        <v>45818.0</v>
      </c>
      <c r="B896" s="413">
        <v>2025.0</v>
      </c>
      <c r="C896" s="414" t="s">
        <v>1555</v>
      </c>
      <c r="D896" s="413" t="s">
        <v>723</v>
      </c>
      <c r="E896" s="413" t="s">
        <v>137</v>
      </c>
      <c r="F896" s="413" t="s">
        <v>703</v>
      </c>
      <c r="G896" s="413" t="s">
        <v>724</v>
      </c>
      <c r="H896" s="415">
        <v>5091.0</v>
      </c>
      <c r="I896" s="416" t="b">
        <v>1</v>
      </c>
      <c r="J896" s="413" t="s">
        <v>472</v>
      </c>
      <c r="K896" s="415">
        <v>0.0</v>
      </c>
      <c r="L896" s="415">
        <v>0.0</v>
      </c>
      <c r="M896" s="413" t="s">
        <v>1120</v>
      </c>
      <c r="N896" s="413" t="s">
        <v>1613</v>
      </c>
    </row>
    <row r="897">
      <c r="A897" s="409">
        <v>45818.0</v>
      </c>
      <c r="B897" s="102">
        <v>2025.0</v>
      </c>
      <c r="C897" s="410" t="s">
        <v>1555</v>
      </c>
      <c r="D897" s="102" t="s">
        <v>710</v>
      </c>
      <c r="E897" s="102" t="s">
        <v>137</v>
      </c>
      <c r="F897" s="102" t="s">
        <v>711</v>
      </c>
      <c r="G897" s="102" t="s">
        <v>724</v>
      </c>
      <c r="H897" s="360">
        <v>5091.0</v>
      </c>
      <c r="I897" s="411" t="b">
        <v>1</v>
      </c>
      <c r="J897" s="102" t="s">
        <v>472</v>
      </c>
      <c r="K897" s="360">
        <v>0.0</v>
      </c>
      <c r="L897" s="360">
        <v>0.0</v>
      </c>
      <c r="M897" s="102" t="s">
        <v>1120</v>
      </c>
      <c r="N897" s="102" t="s">
        <v>1613</v>
      </c>
    </row>
    <row r="898">
      <c r="A898" s="412">
        <v>45818.0</v>
      </c>
      <c r="B898" s="413">
        <v>2025.0</v>
      </c>
      <c r="C898" s="414" t="s">
        <v>1555</v>
      </c>
      <c r="D898" s="413" t="s">
        <v>723</v>
      </c>
      <c r="E898" s="413" t="s">
        <v>137</v>
      </c>
      <c r="F898" s="413" t="s">
        <v>711</v>
      </c>
      <c r="G898" s="413" t="s">
        <v>767</v>
      </c>
      <c r="H898" s="415">
        <v>900.0</v>
      </c>
      <c r="I898" s="416" t="b">
        <v>0</v>
      </c>
      <c r="J898" s="413" t="s">
        <v>1237</v>
      </c>
      <c r="K898" s="415">
        <v>0.0</v>
      </c>
      <c r="L898" s="415">
        <v>900.0</v>
      </c>
      <c r="M898" s="413" t="s">
        <v>1120</v>
      </c>
      <c r="N898" s="413" t="s">
        <v>1614</v>
      </c>
    </row>
    <row r="899">
      <c r="A899" s="409">
        <v>45819.0</v>
      </c>
      <c r="B899" s="102">
        <v>2025.0</v>
      </c>
      <c r="C899" s="410" t="s">
        <v>1555</v>
      </c>
      <c r="D899" s="102" t="s">
        <v>723</v>
      </c>
      <c r="E899" s="102" t="s">
        <v>137</v>
      </c>
      <c r="F899" s="102" t="s">
        <v>711</v>
      </c>
      <c r="G899" s="102" t="s">
        <v>740</v>
      </c>
      <c r="H899" s="360">
        <v>24.0</v>
      </c>
      <c r="I899" s="411" t="b">
        <v>0</v>
      </c>
      <c r="J899" s="102" t="s">
        <v>472</v>
      </c>
      <c r="K899" s="360">
        <v>0.0</v>
      </c>
      <c r="L899" s="360">
        <v>24.0</v>
      </c>
      <c r="M899" s="102" t="s">
        <v>1120</v>
      </c>
      <c r="N899" s="102" t="s">
        <v>1615</v>
      </c>
    </row>
    <row r="900">
      <c r="A900" s="412">
        <v>45820.0</v>
      </c>
      <c r="B900" s="413">
        <v>2025.0</v>
      </c>
      <c r="C900" s="414" t="s">
        <v>1555</v>
      </c>
      <c r="D900" s="413" t="s">
        <v>723</v>
      </c>
      <c r="E900" s="413" t="s">
        <v>137</v>
      </c>
      <c r="F900" s="413" t="s">
        <v>711</v>
      </c>
      <c r="G900" s="413" t="s">
        <v>767</v>
      </c>
      <c r="H900" s="415">
        <v>950.0</v>
      </c>
      <c r="I900" s="416" t="b">
        <v>0</v>
      </c>
      <c r="J900" s="413" t="s">
        <v>1320</v>
      </c>
      <c r="K900" s="415">
        <v>0.0</v>
      </c>
      <c r="L900" s="415">
        <v>950.0</v>
      </c>
      <c r="M900" s="413" t="s">
        <v>1120</v>
      </c>
      <c r="N900" s="413" t="s">
        <v>1616</v>
      </c>
    </row>
    <row r="901">
      <c r="A901" s="409">
        <v>45820.0</v>
      </c>
      <c r="B901" s="102">
        <v>2025.0</v>
      </c>
      <c r="C901" s="410" t="s">
        <v>1555</v>
      </c>
      <c r="D901" s="102" t="s">
        <v>723</v>
      </c>
      <c r="E901" s="102" t="s">
        <v>137</v>
      </c>
      <c r="F901" s="102" t="s">
        <v>711</v>
      </c>
      <c r="G901" s="102" t="s">
        <v>734</v>
      </c>
      <c r="H901" s="360">
        <v>160.0</v>
      </c>
      <c r="I901" s="411" t="b">
        <v>0</v>
      </c>
      <c r="J901" s="102" t="s">
        <v>1617</v>
      </c>
      <c r="K901" s="360">
        <v>0.0</v>
      </c>
      <c r="L901" s="360">
        <v>160.0</v>
      </c>
      <c r="M901" s="102" t="s">
        <v>1120</v>
      </c>
      <c r="N901" s="102" t="s">
        <v>1618</v>
      </c>
    </row>
    <row r="902">
      <c r="A902" s="412">
        <v>45823.0</v>
      </c>
      <c r="B902" s="413">
        <v>2025.0</v>
      </c>
      <c r="C902" s="414" t="s">
        <v>1555</v>
      </c>
      <c r="D902" s="413" t="s">
        <v>723</v>
      </c>
      <c r="E902" s="413" t="s">
        <v>137</v>
      </c>
      <c r="F902" s="413" t="s">
        <v>703</v>
      </c>
      <c r="G902" s="413" t="s">
        <v>715</v>
      </c>
      <c r="H902" s="415">
        <v>500.0</v>
      </c>
      <c r="I902" s="416" t="b">
        <v>0</v>
      </c>
      <c r="J902" s="413" t="s">
        <v>472</v>
      </c>
      <c r="K902" s="415">
        <v>0.0</v>
      </c>
      <c r="L902" s="415">
        <v>500.0</v>
      </c>
      <c r="M902" s="413" t="s">
        <v>1120</v>
      </c>
      <c r="N902" s="413" t="s">
        <v>1619</v>
      </c>
    </row>
    <row r="903">
      <c r="A903" s="409">
        <v>45823.0</v>
      </c>
      <c r="B903" s="102">
        <v>2025.0</v>
      </c>
      <c r="C903" s="410" t="s">
        <v>1555</v>
      </c>
      <c r="D903" s="102" t="s">
        <v>702</v>
      </c>
      <c r="E903" s="102" t="s">
        <v>465</v>
      </c>
      <c r="F903" s="102" t="s">
        <v>711</v>
      </c>
      <c r="G903" s="102" t="s">
        <v>767</v>
      </c>
      <c r="H903" s="360">
        <v>1250.0</v>
      </c>
      <c r="I903" s="411" t="b">
        <v>0</v>
      </c>
      <c r="J903" s="102" t="s">
        <v>1274</v>
      </c>
      <c r="K903" s="360">
        <v>172.41379310344814</v>
      </c>
      <c r="L903" s="360">
        <v>1077.5862068965519</v>
      </c>
      <c r="M903" s="102" t="s">
        <v>1120</v>
      </c>
      <c r="N903" s="102" t="s">
        <v>1620</v>
      </c>
    </row>
    <row r="904">
      <c r="A904" s="412">
        <v>45823.0</v>
      </c>
      <c r="B904" s="413">
        <v>2025.0</v>
      </c>
      <c r="C904" s="414" t="s">
        <v>1555</v>
      </c>
      <c r="D904" s="413" t="s">
        <v>723</v>
      </c>
      <c r="E904" s="413" t="s">
        <v>137</v>
      </c>
      <c r="F904" s="413" t="s">
        <v>703</v>
      </c>
      <c r="G904" s="413" t="s">
        <v>715</v>
      </c>
      <c r="H904" s="415">
        <v>80.0</v>
      </c>
      <c r="I904" s="416" t="b">
        <v>0</v>
      </c>
      <c r="J904" s="413" t="s">
        <v>1621</v>
      </c>
      <c r="K904" s="415">
        <v>0.0</v>
      </c>
      <c r="L904" s="415">
        <v>80.0</v>
      </c>
      <c r="M904" s="413" t="s">
        <v>1120</v>
      </c>
      <c r="N904" s="413" t="s">
        <v>1622</v>
      </c>
    </row>
    <row r="905">
      <c r="A905" s="409">
        <v>45823.0</v>
      </c>
      <c r="B905" s="102">
        <v>2025.0</v>
      </c>
      <c r="C905" s="410" t="s">
        <v>1555</v>
      </c>
      <c r="D905" s="102" t="s">
        <v>723</v>
      </c>
      <c r="E905" s="102" t="s">
        <v>137</v>
      </c>
      <c r="F905" s="102" t="s">
        <v>703</v>
      </c>
      <c r="G905" s="102" t="s">
        <v>715</v>
      </c>
      <c r="H905" s="360">
        <v>200.0</v>
      </c>
      <c r="I905" s="411" t="b">
        <v>0</v>
      </c>
      <c r="J905" s="102" t="s">
        <v>1623</v>
      </c>
      <c r="K905" s="360">
        <v>0.0</v>
      </c>
      <c r="L905" s="360">
        <v>200.0</v>
      </c>
      <c r="M905" s="102" t="s">
        <v>1120</v>
      </c>
      <c r="N905" s="102" t="s">
        <v>1624</v>
      </c>
    </row>
    <row r="906">
      <c r="A906" s="412">
        <v>45823.0</v>
      </c>
      <c r="B906" s="413">
        <v>2025.0</v>
      </c>
      <c r="C906" s="414" t="s">
        <v>1555</v>
      </c>
      <c r="D906" s="413" t="s">
        <v>710</v>
      </c>
      <c r="E906" s="413" t="s">
        <v>137</v>
      </c>
      <c r="F906" s="413" t="s">
        <v>711</v>
      </c>
      <c r="G906" s="413" t="s">
        <v>724</v>
      </c>
      <c r="H906" s="415">
        <v>1954.0</v>
      </c>
      <c r="I906" s="416" t="b">
        <v>1</v>
      </c>
      <c r="J906" s="413" t="s">
        <v>472</v>
      </c>
      <c r="K906" s="415">
        <v>0.0</v>
      </c>
      <c r="L906" s="415">
        <v>0.0</v>
      </c>
      <c r="M906" s="413" t="s">
        <v>1120</v>
      </c>
      <c r="N906" s="413" t="s">
        <v>1625</v>
      </c>
    </row>
    <row r="907">
      <c r="A907" s="409">
        <v>45823.0</v>
      </c>
      <c r="B907" s="102">
        <v>2025.0</v>
      </c>
      <c r="C907" s="410" t="s">
        <v>1555</v>
      </c>
      <c r="D907" s="102" t="s">
        <v>723</v>
      </c>
      <c r="E907" s="102" t="s">
        <v>137</v>
      </c>
      <c r="F907" s="102" t="s">
        <v>703</v>
      </c>
      <c r="G907" s="102" t="s">
        <v>724</v>
      </c>
      <c r="H907" s="360">
        <v>1954.0</v>
      </c>
      <c r="I907" s="411" t="b">
        <v>1</v>
      </c>
      <c r="J907" s="102" t="s">
        <v>472</v>
      </c>
      <c r="K907" s="360">
        <v>0.0</v>
      </c>
      <c r="L907" s="360">
        <v>0.0</v>
      </c>
      <c r="M907" s="102" t="s">
        <v>1120</v>
      </c>
      <c r="N907" s="102" t="s">
        <v>1625</v>
      </c>
    </row>
    <row r="908">
      <c r="A908" s="412">
        <v>45823.0</v>
      </c>
      <c r="B908" s="413">
        <v>2025.0</v>
      </c>
      <c r="C908" s="414" t="s">
        <v>1555</v>
      </c>
      <c r="D908" s="413" t="s">
        <v>702</v>
      </c>
      <c r="E908" s="413" t="s">
        <v>465</v>
      </c>
      <c r="F908" s="413" t="s">
        <v>711</v>
      </c>
      <c r="G908" s="413" t="s">
        <v>730</v>
      </c>
      <c r="H908" s="415">
        <v>39.0</v>
      </c>
      <c r="I908" s="416" t="b">
        <v>0</v>
      </c>
      <c r="J908" s="413" t="s">
        <v>472</v>
      </c>
      <c r="K908" s="415">
        <v>5.379310344827587</v>
      </c>
      <c r="L908" s="415">
        <v>33.62068965517241</v>
      </c>
      <c r="M908" s="413" t="s">
        <v>1120</v>
      </c>
      <c r="N908" s="413" t="s">
        <v>1626</v>
      </c>
    </row>
    <row r="909">
      <c r="A909" s="409">
        <v>45823.0</v>
      </c>
      <c r="B909" s="102">
        <v>2025.0</v>
      </c>
      <c r="C909" s="410" t="s">
        <v>1555</v>
      </c>
      <c r="D909" s="102" t="s">
        <v>702</v>
      </c>
      <c r="E909" s="102" t="s">
        <v>465</v>
      </c>
      <c r="F909" s="102" t="s">
        <v>703</v>
      </c>
      <c r="G909" s="102" t="s">
        <v>724</v>
      </c>
      <c r="H909" s="360">
        <v>704.0</v>
      </c>
      <c r="I909" s="411" t="b">
        <v>1</v>
      </c>
      <c r="J909" s="102" t="s">
        <v>472</v>
      </c>
      <c r="K909" s="360">
        <v>0.0</v>
      </c>
      <c r="L909" s="360">
        <v>0.0</v>
      </c>
      <c r="M909" s="102" t="s">
        <v>1120</v>
      </c>
      <c r="N909" s="102" t="s">
        <v>1627</v>
      </c>
    </row>
    <row r="910">
      <c r="A910" s="412">
        <v>45823.0</v>
      </c>
      <c r="B910" s="413">
        <v>2025.0</v>
      </c>
      <c r="C910" s="414" t="s">
        <v>1555</v>
      </c>
      <c r="D910" s="413" t="s">
        <v>710</v>
      </c>
      <c r="E910" s="413" t="s">
        <v>137</v>
      </c>
      <c r="F910" s="413" t="s">
        <v>711</v>
      </c>
      <c r="G910" s="413" t="s">
        <v>724</v>
      </c>
      <c r="H910" s="415">
        <v>704.0</v>
      </c>
      <c r="I910" s="416" t="b">
        <v>1</v>
      </c>
      <c r="J910" s="413" t="s">
        <v>472</v>
      </c>
      <c r="K910" s="415">
        <v>0.0</v>
      </c>
      <c r="L910" s="415">
        <v>0.0</v>
      </c>
      <c r="M910" s="413" t="s">
        <v>1120</v>
      </c>
      <c r="N910" s="413" t="s">
        <v>1627</v>
      </c>
    </row>
    <row r="911">
      <c r="A911" s="409">
        <v>45823.0</v>
      </c>
      <c r="B911" s="102">
        <v>2025.0</v>
      </c>
      <c r="C911" s="410" t="s">
        <v>1555</v>
      </c>
      <c r="D911" s="102" t="s">
        <v>702</v>
      </c>
      <c r="E911" s="102" t="s">
        <v>465</v>
      </c>
      <c r="F911" s="102" t="s">
        <v>703</v>
      </c>
      <c r="G911" s="102" t="s">
        <v>715</v>
      </c>
      <c r="H911" s="360">
        <v>244.0</v>
      </c>
      <c r="I911" s="411" t="b">
        <v>0</v>
      </c>
      <c r="J911" s="102" t="s">
        <v>1547</v>
      </c>
      <c r="K911" s="360">
        <v>0.0</v>
      </c>
      <c r="L911" s="360">
        <v>244.0</v>
      </c>
      <c r="M911" s="102" t="s">
        <v>1120</v>
      </c>
      <c r="N911" s="102" t="s">
        <v>1628</v>
      </c>
    </row>
    <row r="912">
      <c r="A912" s="412">
        <v>45823.0</v>
      </c>
      <c r="B912" s="413">
        <v>2025.0</v>
      </c>
      <c r="C912" s="414" t="s">
        <v>1555</v>
      </c>
      <c r="D912" s="413" t="s">
        <v>710</v>
      </c>
      <c r="E912" s="413" t="s">
        <v>137</v>
      </c>
      <c r="F912" s="413" t="s">
        <v>711</v>
      </c>
      <c r="G912" s="413" t="s">
        <v>734</v>
      </c>
      <c r="H912" s="415">
        <v>70.0</v>
      </c>
      <c r="I912" s="416" t="b">
        <v>0</v>
      </c>
      <c r="J912" s="413" t="s">
        <v>472</v>
      </c>
      <c r="K912" s="415">
        <v>0.0</v>
      </c>
      <c r="L912" s="415">
        <v>70.0</v>
      </c>
      <c r="M912" s="413" t="s">
        <v>1120</v>
      </c>
      <c r="N912" s="413" t="s">
        <v>1629</v>
      </c>
    </row>
    <row r="913">
      <c r="A913" s="409">
        <v>45823.0</v>
      </c>
      <c r="B913" s="102">
        <v>2025.0</v>
      </c>
      <c r="C913" s="410" t="s">
        <v>1555</v>
      </c>
      <c r="D913" s="102" t="s">
        <v>723</v>
      </c>
      <c r="E913" s="102" t="s">
        <v>137</v>
      </c>
      <c r="F913" s="102" t="s">
        <v>711</v>
      </c>
      <c r="G913" s="102" t="s">
        <v>724</v>
      </c>
      <c r="H913" s="360">
        <v>810.0</v>
      </c>
      <c r="I913" s="411" t="b">
        <v>1</v>
      </c>
      <c r="J913" s="102" t="s">
        <v>472</v>
      </c>
      <c r="K913" s="360">
        <v>0.0</v>
      </c>
      <c r="L913" s="360">
        <v>0.0</v>
      </c>
      <c r="M913" s="102" t="s">
        <v>1120</v>
      </c>
      <c r="N913" s="102" t="s">
        <v>1630</v>
      </c>
    </row>
    <row r="914">
      <c r="A914" s="412">
        <v>45823.0</v>
      </c>
      <c r="B914" s="413">
        <v>2025.0</v>
      </c>
      <c r="C914" s="414" t="s">
        <v>1555</v>
      </c>
      <c r="D914" s="413" t="s">
        <v>710</v>
      </c>
      <c r="E914" s="413" t="s">
        <v>137</v>
      </c>
      <c r="F914" s="413" t="s">
        <v>703</v>
      </c>
      <c r="G914" s="413" t="s">
        <v>724</v>
      </c>
      <c r="H914" s="415">
        <v>810.0</v>
      </c>
      <c r="I914" s="416" t="b">
        <v>1</v>
      </c>
      <c r="J914" s="413" t="s">
        <v>472</v>
      </c>
      <c r="K914" s="415">
        <v>0.0</v>
      </c>
      <c r="L914" s="415">
        <v>0.0</v>
      </c>
      <c r="M914" s="413" t="s">
        <v>1120</v>
      </c>
      <c r="N914" s="413" t="s">
        <v>1630</v>
      </c>
    </row>
    <row r="915">
      <c r="A915" s="409">
        <v>45823.0</v>
      </c>
      <c r="B915" s="102">
        <v>2025.0</v>
      </c>
      <c r="C915" s="410" t="s">
        <v>1555</v>
      </c>
      <c r="D915" s="102" t="s">
        <v>702</v>
      </c>
      <c r="E915" s="102" t="s">
        <v>465</v>
      </c>
      <c r="F915" s="102" t="s">
        <v>703</v>
      </c>
      <c r="G915" s="102" t="s">
        <v>715</v>
      </c>
      <c r="H915" s="360">
        <v>1812.0</v>
      </c>
      <c r="I915" s="411" t="b">
        <v>0</v>
      </c>
      <c r="J915" s="102" t="s">
        <v>1631</v>
      </c>
      <c r="K915" s="360">
        <v>0.0</v>
      </c>
      <c r="L915" s="360">
        <v>1812.0</v>
      </c>
      <c r="M915" s="102" t="s">
        <v>1120</v>
      </c>
      <c r="N915" s="102" t="s">
        <v>1632</v>
      </c>
    </row>
    <row r="916">
      <c r="A916" s="412">
        <v>45824.0</v>
      </c>
      <c r="B916" s="413">
        <v>2025.0</v>
      </c>
      <c r="C916" s="414" t="s">
        <v>1555</v>
      </c>
      <c r="D916" s="413" t="s">
        <v>723</v>
      </c>
      <c r="E916" s="413" t="s">
        <v>137</v>
      </c>
      <c r="F916" s="413" t="s">
        <v>711</v>
      </c>
      <c r="G916" s="413" t="s">
        <v>740</v>
      </c>
      <c r="H916" s="415">
        <v>17.0</v>
      </c>
      <c r="I916" s="416" t="b">
        <v>0</v>
      </c>
      <c r="J916" s="413" t="s">
        <v>472</v>
      </c>
      <c r="K916" s="415">
        <v>0.0</v>
      </c>
      <c r="L916" s="415">
        <v>17.0</v>
      </c>
      <c r="M916" s="413" t="s">
        <v>1120</v>
      </c>
      <c r="N916" s="413" t="s">
        <v>1633</v>
      </c>
    </row>
    <row r="917">
      <c r="A917" s="409">
        <v>45825.0</v>
      </c>
      <c r="B917" s="102">
        <v>2025.0</v>
      </c>
      <c r="C917" s="410" t="s">
        <v>1555</v>
      </c>
      <c r="D917" s="102" t="s">
        <v>723</v>
      </c>
      <c r="E917" s="102" t="s">
        <v>137</v>
      </c>
      <c r="F917" s="102" t="s">
        <v>711</v>
      </c>
      <c r="G917" s="102" t="s">
        <v>740</v>
      </c>
      <c r="H917" s="360">
        <v>27.0</v>
      </c>
      <c r="I917" s="411" t="b">
        <v>0</v>
      </c>
      <c r="J917" s="102" t="s">
        <v>472</v>
      </c>
      <c r="K917" s="360">
        <v>0.0</v>
      </c>
      <c r="L917" s="360">
        <v>27.0</v>
      </c>
      <c r="M917" s="102" t="s">
        <v>1120</v>
      </c>
      <c r="N917" s="102" t="s">
        <v>1634</v>
      </c>
    </row>
    <row r="918">
      <c r="A918" s="412">
        <v>45825.0</v>
      </c>
      <c r="B918" s="413">
        <v>2025.0</v>
      </c>
      <c r="C918" s="414" t="s">
        <v>1555</v>
      </c>
      <c r="D918" s="413" t="s">
        <v>723</v>
      </c>
      <c r="E918" s="413" t="s">
        <v>137</v>
      </c>
      <c r="F918" s="413" t="s">
        <v>711</v>
      </c>
      <c r="G918" s="413" t="s">
        <v>734</v>
      </c>
      <c r="H918" s="415">
        <v>140.0</v>
      </c>
      <c r="I918" s="416" t="b">
        <v>0</v>
      </c>
      <c r="J918" s="413" t="s">
        <v>472</v>
      </c>
      <c r="K918" s="415">
        <v>0.0</v>
      </c>
      <c r="L918" s="415">
        <v>140.0</v>
      </c>
      <c r="M918" s="413" t="s">
        <v>1120</v>
      </c>
      <c r="N918" s="413" t="s">
        <v>1635</v>
      </c>
    </row>
    <row r="919">
      <c r="A919" s="409">
        <v>45826.0</v>
      </c>
      <c r="B919" s="102">
        <v>2025.0</v>
      </c>
      <c r="C919" s="410" t="s">
        <v>1555</v>
      </c>
      <c r="D919" s="102" t="s">
        <v>723</v>
      </c>
      <c r="E919" s="102" t="s">
        <v>137</v>
      </c>
      <c r="F919" s="102" t="s">
        <v>703</v>
      </c>
      <c r="G919" s="102" t="s">
        <v>732</v>
      </c>
      <c r="H919" s="360">
        <v>78.0</v>
      </c>
      <c r="I919" s="411" t="b">
        <v>0</v>
      </c>
      <c r="J919" s="102" t="s">
        <v>1197</v>
      </c>
      <c r="K919" s="360">
        <v>0.0</v>
      </c>
      <c r="L919" s="360">
        <v>78.0</v>
      </c>
      <c r="M919" s="102" t="s">
        <v>1120</v>
      </c>
      <c r="N919" s="102" t="s">
        <v>1636</v>
      </c>
    </row>
    <row r="920">
      <c r="A920" s="412">
        <v>45826.0</v>
      </c>
      <c r="B920" s="413">
        <v>2025.0</v>
      </c>
      <c r="C920" s="414" t="s">
        <v>1555</v>
      </c>
      <c r="D920" s="413" t="s">
        <v>723</v>
      </c>
      <c r="E920" s="413" t="s">
        <v>137</v>
      </c>
      <c r="F920" s="413" t="s">
        <v>711</v>
      </c>
      <c r="G920" s="413" t="s">
        <v>740</v>
      </c>
      <c r="H920" s="415">
        <v>10.0</v>
      </c>
      <c r="I920" s="416" t="b">
        <v>0</v>
      </c>
      <c r="J920" s="413" t="s">
        <v>472</v>
      </c>
      <c r="K920" s="415">
        <v>0.0</v>
      </c>
      <c r="L920" s="415">
        <v>10.0</v>
      </c>
      <c r="M920" s="413" t="s">
        <v>1120</v>
      </c>
      <c r="N920" s="413" t="s">
        <v>1637</v>
      </c>
    </row>
    <row r="921">
      <c r="A921" s="409">
        <v>45827.0</v>
      </c>
      <c r="B921" s="102">
        <v>2025.0</v>
      </c>
      <c r="C921" s="410" t="s">
        <v>1555</v>
      </c>
      <c r="D921" s="102" t="s">
        <v>723</v>
      </c>
      <c r="E921" s="102" t="s">
        <v>137</v>
      </c>
      <c r="F921" s="102" t="s">
        <v>711</v>
      </c>
      <c r="G921" s="102" t="s">
        <v>767</v>
      </c>
      <c r="H921" s="360">
        <v>500.0</v>
      </c>
      <c r="I921" s="411" t="b">
        <v>0</v>
      </c>
      <c r="J921" s="102" t="s">
        <v>1638</v>
      </c>
      <c r="K921" s="360">
        <v>0.0</v>
      </c>
      <c r="L921" s="360">
        <v>500.0</v>
      </c>
      <c r="M921" s="102" t="s">
        <v>1120</v>
      </c>
      <c r="N921" s="102" t="s">
        <v>1639</v>
      </c>
    </row>
    <row r="922">
      <c r="A922" s="412">
        <v>45827.0</v>
      </c>
      <c r="B922" s="413">
        <v>2025.0</v>
      </c>
      <c r="C922" s="414" t="s">
        <v>1555</v>
      </c>
      <c r="D922" s="413" t="s">
        <v>723</v>
      </c>
      <c r="E922" s="413" t="s">
        <v>137</v>
      </c>
      <c r="F922" s="413" t="s">
        <v>711</v>
      </c>
      <c r="G922" s="413" t="s">
        <v>734</v>
      </c>
      <c r="H922" s="415">
        <v>360.0</v>
      </c>
      <c r="I922" s="416" t="b">
        <v>0</v>
      </c>
      <c r="J922" s="413" t="s">
        <v>472</v>
      </c>
      <c r="K922" s="415">
        <v>0.0</v>
      </c>
      <c r="L922" s="415">
        <v>360.0</v>
      </c>
      <c r="M922" s="413" t="s">
        <v>1120</v>
      </c>
      <c r="N922" s="413" t="s">
        <v>1640</v>
      </c>
    </row>
    <row r="923">
      <c r="A923" s="409">
        <v>45827.0</v>
      </c>
      <c r="B923" s="102">
        <v>2025.0</v>
      </c>
      <c r="C923" s="410" t="s">
        <v>1555</v>
      </c>
      <c r="D923" s="102" t="s">
        <v>723</v>
      </c>
      <c r="E923" s="102" t="s">
        <v>137</v>
      </c>
      <c r="F923" s="102" t="s">
        <v>711</v>
      </c>
      <c r="G923" s="102" t="s">
        <v>734</v>
      </c>
      <c r="H923" s="360">
        <v>80.0</v>
      </c>
      <c r="I923" s="411" t="b">
        <v>0</v>
      </c>
      <c r="J923" s="102" t="s">
        <v>472</v>
      </c>
      <c r="K923" s="360">
        <v>0.0</v>
      </c>
      <c r="L923" s="360">
        <v>80.0</v>
      </c>
      <c r="M923" s="102" t="s">
        <v>1120</v>
      </c>
      <c r="N923" s="102" t="s">
        <v>1641</v>
      </c>
    </row>
    <row r="924">
      <c r="A924" s="412">
        <v>45827.0</v>
      </c>
      <c r="B924" s="413">
        <v>2025.0</v>
      </c>
      <c r="C924" s="414" t="s">
        <v>1555</v>
      </c>
      <c r="D924" s="413" t="s">
        <v>723</v>
      </c>
      <c r="E924" s="413" t="s">
        <v>137</v>
      </c>
      <c r="F924" s="413" t="s">
        <v>711</v>
      </c>
      <c r="G924" s="413" t="s">
        <v>715</v>
      </c>
      <c r="H924" s="415">
        <v>20.0</v>
      </c>
      <c r="I924" s="416" t="b">
        <v>0</v>
      </c>
      <c r="J924" s="413" t="s">
        <v>472</v>
      </c>
      <c r="K924" s="415">
        <v>0.0</v>
      </c>
      <c r="L924" s="415">
        <v>20.0</v>
      </c>
      <c r="M924" s="413" t="s">
        <v>1120</v>
      </c>
      <c r="N924" s="413" t="s">
        <v>1642</v>
      </c>
    </row>
    <row r="925">
      <c r="A925" s="409">
        <v>45827.0</v>
      </c>
      <c r="B925" s="102">
        <v>2025.0</v>
      </c>
      <c r="C925" s="410" t="s">
        <v>1555</v>
      </c>
      <c r="D925" s="102" t="s">
        <v>702</v>
      </c>
      <c r="E925" s="102" t="s">
        <v>465</v>
      </c>
      <c r="F925" s="102" t="s">
        <v>703</v>
      </c>
      <c r="G925" s="102" t="s">
        <v>715</v>
      </c>
      <c r="H925" s="360">
        <v>400.0</v>
      </c>
      <c r="I925" s="411" t="b">
        <v>0</v>
      </c>
      <c r="J925" s="102" t="s">
        <v>1643</v>
      </c>
      <c r="K925" s="360">
        <v>0.0</v>
      </c>
      <c r="L925" s="360">
        <v>400.0</v>
      </c>
      <c r="M925" s="102" t="s">
        <v>1120</v>
      </c>
      <c r="N925" s="102" t="s">
        <v>1644</v>
      </c>
    </row>
    <row r="926">
      <c r="A926" s="412">
        <v>45827.0</v>
      </c>
      <c r="B926" s="413">
        <v>2025.0</v>
      </c>
      <c r="C926" s="414" t="s">
        <v>1555</v>
      </c>
      <c r="D926" s="413" t="s">
        <v>702</v>
      </c>
      <c r="E926" s="413" t="s">
        <v>465</v>
      </c>
      <c r="F926" s="413" t="s">
        <v>703</v>
      </c>
      <c r="G926" s="413" t="s">
        <v>715</v>
      </c>
      <c r="H926" s="415">
        <v>988.0</v>
      </c>
      <c r="I926" s="416" t="b">
        <v>0</v>
      </c>
      <c r="J926" s="413" t="s">
        <v>472</v>
      </c>
      <c r="K926" s="415">
        <v>0.0</v>
      </c>
      <c r="L926" s="415">
        <v>988.0</v>
      </c>
      <c r="M926" s="413" t="s">
        <v>1120</v>
      </c>
      <c r="N926" s="413" t="s">
        <v>1645</v>
      </c>
    </row>
    <row r="927">
      <c r="A927" s="409">
        <v>45827.0</v>
      </c>
      <c r="B927" s="102">
        <v>2025.0</v>
      </c>
      <c r="C927" s="410" t="s">
        <v>1555</v>
      </c>
      <c r="D927" s="102" t="s">
        <v>710</v>
      </c>
      <c r="E927" s="102" t="s">
        <v>137</v>
      </c>
      <c r="F927" s="102" t="s">
        <v>703</v>
      </c>
      <c r="G927" s="102" t="s">
        <v>715</v>
      </c>
      <c r="H927" s="360">
        <v>450.0</v>
      </c>
      <c r="I927" s="411" t="b">
        <v>0</v>
      </c>
      <c r="J927" s="102" t="s">
        <v>1646</v>
      </c>
      <c r="K927" s="360">
        <v>0.0</v>
      </c>
      <c r="L927" s="360">
        <v>450.0</v>
      </c>
      <c r="M927" s="102" t="s">
        <v>1120</v>
      </c>
      <c r="N927" s="102" t="s">
        <v>1647</v>
      </c>
    </row>
    <row r="928">
      <c r="A928" s="412">
        <v>45827.0</v>
      </c>
      <c r="B928" s="413">
        <v>2025.0</v>
      </c>
      <c r="C928" s="414" t="s">
        <v>1555</v>
      </c>
      <c r="D928" s="413" t="s">
        <v>723</v>
      </c>
      <c r="E928" s="413" t="s">
        <v>137</v>
      </c>
      <c r="F928" s="413" t="s">
        <v>703</v>
      </c>
      <c r="G928" s="413" t="s">
        <v>715</v>
      </c>
      <c r="H928" s="415">
        <v>164.0</v>
      </c>
      <c r="I928" s="416" t="b">
        <v>0</v>
      </c>
      <c r="J928" s="413" t="s">
        <v>472</v>
      </c>
      <c r="K928" s="415">
        <v>0.0</v>
      </c>
      <c r="L928" s="415">
        <v>164.0</v>
      </c>
      <c r="M928" s="413" t="s">
        <v>1120</v>
      </c>
      <c r="N928" s="413" t="s">
        <v>1648</v>
      </c>
    </row>
    <row r="929">
      <c r="A929" s="409">
        <v>45827.0</v>
      </c>
      <c r="B929" s="102">
        <v>2025.0</v>
      </c>
      <c r="C929" s="410" t="s">
        <v>1555</v>
      </c>
      <c r="D929" s="102" t="s">
        <v>702</v>
      </c>
      <c r="E929" s="102" t="s">
        <v>465</v>
      </c>
      <c r="F929" s="102" t="s">
        <v>711</v>
      </c>
      <c r="G929" s="102" t="s">
        <v>730</v>
      </c>
      <c r="H929" s="360">
        <v>55.0</v>
      </c>
      <c r="I929" s="411" t="b">
        <v>0</v>
      </c>
      <c r="J929" s="102" t="s">
        <v>472</v>
      </c>
      <c r="K929" s="360">
        <v>7.586206896551722</v>
      </c>
      <c r="L929" s="360">
        <v>47.41379310344828</v>
      </c>
      <c r="M929" s="102" t="s">
        <v>1120</v>
      </c>
      <c r="N929" s="102" t="s">
        <v>1649</v>
      </c>
    </row>
    <row r="930">
      <c r="A930" s="412">
        <v>45827.0</v>
      </c>
      <c r="B930" s="413">
        <v>2025.0</v>
      </c>
      <c r="C930" s="414" t="s">
        <v>1555</v>
      </c>
      <c r="D930" s="413" t="s">
        <v>723</v>
      </c>
      <c r="E930" s="413" t="s">
        <v>137</v>
      </c>
      <c r="F930" s="413" t="s">
        <v>703</v>
      </c>
      <c r="G930" s="413" t="s">
        <v>724</v>
      </c>
      <c r="H930" s="415">
        <v>1722.0</v>
      </c>
      <c r="I930" s="416" t="b">
        <v>1</v>
      </c>
      <c r="J930" s="413" t="s">
        <v>472</v>
      </c>
      <c r="K930" s="415">
        <v>0.0</v>
      </c>
      <c r="L930" s="415">
        <v>0.0</v>
      </c>
      <c r="M930" s="413" t="s">
        <v>1120</v>
      </c>
      <c r="N930" s="413" t="s">
        <v>1650</v>
      </c>
    </row>
    <row r="931">
      <c r="A931" s="409">
        <v>45827.0</v>
      </c>
      <c r="B931" s="102">
        <v>2025.0</v>
      </c>
      <c r="C931" s="410" t="s">
        <v>1555</v>
      </c>
      <c r="D931" s="102" t="s">
        <v>710</v>
      </c>
      <c r="E931" s="102" t="s">
        <v>137</v>
      </c>
      <c r="F931" s="102" t="s">
        <v>711</v>
      </c>
      <c r="G931" s="102" t="s">
        <v>724</v>
      </c>
      <c r="H931" s="360">
        <v>1722.0</v>
      </c>
      <c r="I931" s="411" t="b">
        <v>1</v>
      </c>
      <c r="J931" s="102" t="s">
        <v>472</v>
      </c>
      <c r="K931" s="360">
        <v>0.0</v>
      </c>
      <c r="L931" s="360">
        <v>0.0</v>
      </c>
      <c r="M931" s="102" t="s">
        <v>1120</v>
      </c>
      <c r="N931" s="102" t="s">
        <v>1650</v>
      </c>
    </row>
    <row r="932">
      <c r="A932" s="412">
        <v>45827.0</v>
      </c>
      <c r="B932" s="413">
        <v>2025.0</v>
      </c>
      <c r="C932" s="414" t="s">
        <v>1555</v>
      </c>
      <c r="D932" s="413" t="s">
        <v>723</v>
      </c>
      <c r="E932" s="413" t="s">
        <v>137</v>
      </c>
      <c r="F932" s="413" t="s">
        <v>711</v>
      </c>
      <c r="G932" s="413" t="s">
        <v>724</v>
      </c>
      <c r="H932" s="415">
        <v>762.0</v>
      </c>
      <c r="I932" s="416" t="b">
        <v>1</v>
      </c>
      <c r="J932" s="413" t="s">
        <v>472</v>
      </c>
      <c r="K932" s="415">
        <v>0.0</v>
      </c>
      <c r="L932" s="415">
        <v>0.0</v>
      </c>
      <c r="M932" s="413" t="s">
        <v>1120</v>
      </c>
      <c r="N932" s="413" t="s">
        <v>1651</v>
      </c>
    </row>
    <row r="933">
      <c r="A933" s="409">
        <v>45827.0</v>
      </c>
      <c r="B933" s="102">
        <v>2025.0</v>
      </c>
      <c r="C933" s="410" t="s">
        <v>1555</v>
      </c>
      <c r="D933" s="102" t="s">
        <v>710</v>
      </c>
      <c r="E933" s="102" t="s">
        <v>137</v>
      </c>
      <c r="F933" s="102" t="s">
        <v>703</v>
      </c>
      <c r="G933" s="102" t="s">
        <v>724</v>
      </c>
      <c r="H933" s="360">
        <v>762.0</v>
      </c>
      <c r="I933" s="411" t="b">
        <v>1</v>
      </c>
      <c r="J933" s="102" t="s">
        <v>472</v>
      </c>
      <c r="K933" s="360">
        <v>0.0</v>
      </c>
      <c r="L933" s="360">
        <v>0.0</v>
      </c>
      <c r="M933" s="102" t="s">
        <v>1120</v>
      </c>
      <c r="N933" s="102" t="s">
        <v>1651</v>
      </c>
    </row>
    <row r="934">
      <c r="A934" s="412">
        <v>45828.0</v>
      </c>
      <c r="B934" s="413">
        <v>2025.0</v>
      </c>
      <c r="C934" s="414" t="s">
        <v>1555</v>
      </c>
      <c r="D934" s="413" t="s">
        <v>702</v>
      </c>
      <c r="E934" s="413" t="s">
        <v>465</v>
      </c>
      <c r="F934" s="413" t="s">
        <v>711</v>
      </c>
      <c r="G934" s="413" t="s">
        <v>767</v>
      </c>
      <c r="H934" s="415">
        <v>950.0</v>
      </c>
      <c r="I934" s="416" t="b">
        <v>0</v>
      </c>
      <c r="J934" s="413" t="s">
        <v>1246</v>
      </c>
      <c r="K934" s="415">
        <v>131.03448275862058</v>
      </c>
      <c r="L934" s="415">
        <v>818.9655172413794</v>
      </c>
      <c r="M934" s="413" t="s">
        <v>1120</v>
      </c>
      <c r="N934" s="413" t="s">
        <v>1652</v>
      </c>
    </row>
    <row r="935">
      <c r="A935" s="409">
        <v>45828.0</v>
      </c>
      <c r="B935" s="102">
        <v>2025.0</v>
      </c>
      <c r="C935" s="410" t="s">
        <v>1555</v>
      </c>
      <c r="D935" s="102" t="s">
        <v>723</v>
      </c>
      <c r="E935" s="102" t="s">
        <v>137</v>
      </c>
      <c r="F935" s="102" t="s">
        <v>711</v>
      </c>
      <c r="G935" s="102" t="s">
        <v>740</v>
      </c>
      <c r="H935" s="360">
        <v>10.0</v>
      </c>
      <c r="I935" s="411" t="b">
        <v>0</v>
      </c>
      <c r="J935" s="102" t="s">
        <v>472</v>
      </c>
      <c r="K935" s="360">
        <v>0.0</v>
      </c>
      <c r="L935" s="360">
        <v>10.0</v>
      </c>
      <c r="M935" s="102" t="s">
        <v>1120</v>
      </c>
      <c r="N935" s="102" t="s">
        <v>1653</v>
      </c>
    </row>
    <row r="936">
      <c r="A936" s="412">
        <v>45828.0</v>
      </c>
      <c r="B936" s="413">
        <v>2025.0</v>
      </c>
      <c r="C936" s="414" t="s">
        <v>1555</v>
      </c>
      <c r="D936" s="413" t="s">
        <v>702</v>
      </c>
      <c r="E936" s="413" t="s">
        <v>465</v>
      </c>
      <c r="F936" s="413" t="s">
        <v>711</v>
      </c>
      <c r="G936" s="413" t="s">
        <v>734</v>
      </c>
      <c r="H936" s="415">
        <v>160.0</v>
      </c>
      <c r="I936" s="416" t="b">
        <v>0</v>
      </c>
      <c r="J936" s="413" t="s">
        <v>1415</v>
      </c>
      <c r="K936" s="415">
        <v>22.068965517241367</v>
      </c>
      <c r="L936" s="415">
        <v>137.93103448275863</v>
      </c>
      <c r="M936" s="413" t="s">
        <v>1120</v>
      </c>
      <c r="N936" s="413" t="s">
        <v>1654</v>
      </c>
    </row>
    <row r="937">
      <c r="A937" s="409">
        <v>45829.0</v>
      </c>
      <c r="B937" s="102">
        <v>2025.0</v>
      </c>
      <c r="C937" s="410" t="s">
        <v>1555</v>
      </c>
      <c r="D937" s="102" t="s">
        <v>723</v>
      </c>
      <c r="E937" s="102" t="s">
        <v>137</v>
      </c>
      <c r="F937" s="102" t="s">
        <v>711</v>
      </c>
      <c r="G937" s="102" t="s">
        <v>734</v>
      </c>
      <c r="H937" s="360">
        <v>140.0</v>
      </c>
      <c r="I937" s="411" t="b">
        <v>0</v>
      </c>
      <c r="J937" s="102" t="s">
        <v>1655</v>
      </c>
      <c r="K937" s="360">
        <v>0.0</v>
      </c>
      <c r="L937" s="360">
        <v>140.0</v>
      </c>
      <c r="M937" s="102" t="s">
        <v>1120</v>
      </c>
      <c r="N937" s="102" t="s">
        <v>1656</v>
      </c>
    </row>
    <row r="938">
      <c r="A938" s="412">
        <v>45830.0</v>
      </c>
      <c r="B938" s="413">
        <v>2025.0</v>
      </c>
      <c r="C938" s="414" t="s">
        <v>1555</v>
      </c>
      <c r="D938" s="413" t="s">
        <v>710</v>
      </c>
      <c r="E938" s="413" t="s">
        <v>137</v>
      </c>
      <c r="F938" s="413" t="s">
        <v>703</v>
      </c>
      <c r="G938" s="413" t="s">
        <v>1657</v>
      </c>
      <c r="H938" s="415">
        <v>500.0</v>
      </c>
      <c r="I938" s="416" t="b">
        <v>0</v>
      </c>
      <c r="J938" s="413" t="s">
        <v>472</v>
      </c>
      <c r="K938" s="415">
        <v>0.0</v>
      </c>
      <c r="L938" s="415">
        <v>500.0</v>
      </c>
      <c r="M938" s="413" t="s">
        <v>1120</v>
      </c>
      <c r="N938" s="413" t="s">
        <v>1658</v>
      </c>
    </row>
    <row r="939">
      <c r="A939" s="409">
        <v>45831.0</v>
      </c>
      <c r="B939" s="102">
        <v>2025.0</v>
      </c>
      <c r="C939" s="410" t="s">
        <v>1555</v>
      </c>
      <c r="D939" s="102" t="s">
        <v>723</v>
      </c>
      <c r="E939" s="102" t="s">
        <v>137</v>
      </c>
      <c r="F939" s="102" t="s">
        <v>711</v>
      </c>
      <c r="G939" s="102" t="s">
        <v>734</v>
      </c>
      <c r="H939" s="360">
        <v>180.0</v>
      </c>
      <c r="I939" s="411" t="b">
        <v>0</v>
      </c>
      <c r="J939" s="102" t="s">
        <v>1483</v>
      </c>
      <c r="K939" s="360">
        <v>0.0</v>
      </c>
      <c r="L939" s="360">
        <v>180.0</v>
      </c>
      <c r="M939" s="102" t="s">
        <v>1120</v>
      </c>
      <c r="N939" s="102" t="s">
        <v>1659</v>
      </c>
    </row>
    <row r="940">
      <c r="A940" s="412">
        <v>45831.0</v>
      </c>
      <c r="B940" s="413">
        <v>2025.0</v>
      </c>
      <c r="C940" s="414" t="s">
        <v>1555</v>
      </c>
      <c r="D940" s="413" t="s">
        <v>710</v>
      </c>
      <c r="E940" s="413" t="s">
        <v>137</v>
      </c>
      <c r="F940" s="413" t="s">
        <v>711</v>
      </c>
      <c r="G940" s="413" t="s">
        <v>715</v>
      </c>
      <c r="H940" s="415">
        <v>14.0</v>
      </c>
      <c r="I940" s="416" t="b">
        <v>0</v>
      </c>
      <c r="J940" s="413" t="s">
        <v>472</v>
      </c>
      <c r="K940" s="415">
        <v>0.0</v>
      </c>
      <c r="L940" s="415">
        <v>14.0</v>
      </c>
      <c r="M940" s="413" t="s">
        <v>1120</v>
      </c>
      <c r="N940" s="413" t="s">
        <v>1660</v>
      </c>
    </row>
    <row r="941">
      <c r="A941" s="409">
        <v>45831.0</v>
      </c>
      <c r="B941" s="102">
        <v>2025.0</v>
      </c>
      <c r="C941" s="410" t="s">
        <v>1555</v>
      </c>
      <c r="D941" s="102" t="s">
        <v>723</v>
      </c>
      <c r="E941" s="102" t="s">
        <v>137</v>
      </c>
      <c r="F941" s="102" t="s">
        <v>703</v>
      </c>
      <c r="G941" s="102" t="s">
        <v>724</v>
      </c>
      <c r="H941" s="360">
        <v>1092.0</v>
      </c>
      <c r="I941" s="411" t="b">
        <v>1</v>
      </c>
      <c r="J941" s="102" t="s">
        <v>472</v>
      </c>
      <c r="K941" s="360">
        <v>0.0</v>
      </c>
      <c r="L941" s="360">
        <v>0.0</v>
      </c>
      <c r="M941" s="102" t="s">
        <v>1120</v>
      </c>
      <c r="N941" s="102" t="s">
        <v>1661</v>
      </c>
    </row>
    <row r="942">
      <c r="A942" s="412">
        <v>45831.0</v>
      </c>
      <c r="B942" s="413">
        <v>2025.0</v>
      </c>
      <c r="C942" s="414" t="s">
        <v>1555</v>
      </c>
      <c r="D942" s="413" t="s">
        <v>710</v>
      </c>
      <c r="E942" s="413" t="s">
        <v>137</v>
      </c>
      <c r="F942" s="413" t="s">
        <v>711</v>
      </c>
      <c r="G942" s="413" t="s">
        <v>724</v>
      </c>
      <c r="H942" s="415">
        <v>1092.0</v>
      </c>
      <c r="I942" s="416" t="b">
        <v>1</v>
      </c>
      <c r="J942" s="413" t="s">
        <v>472</v>
      </c>
      <c r="K942" s="415">
        <v>0.0</v>
      </c>
      <c r="L942" s="415">
        <v>0.0</v>
      </c>
      <c r="M942" s="413" t="s">
        <v>1120</v>
      </c>
      <c r="N942" s="413" t="s">
        <v>1661</v>
      </c>
    </row>
    <row r="943">
      <c r="A943" s="409">
        <v>45831.0</v>
      </c>
      <c r="B943" s="102">
        <v>2025.0</v>
      </c>
      <c r="C943" s="410" t="s">
        <v>1555</v>
      </c>
      <c r="D943" s="102" t="s">
        <v>723</v>
      </c>
      <c r="E943" s="102" t="s">
        <v>137</v>
      </c>
      <c r="F943" s="102" t="s">
        <v>711</v>
      </c>
      <c r="G943" s="102" t="s">
        <v>724</v>
      </c>
      <c r="H943" s="360">
        <v>770.0</v>
      </c>
      <c r="I943" s="411" t="b">
        <v>1</v>
      </c>
      <c r="J943" s="102" t="s">
        <v>472</v>
      </c>
      <c r="K943" s="360">
        <v>0.0</v>
      </c>
      <c r="L943" s="360">
        <v>0.0</v>
      </c>
      <c r="M943" s="102" t="s">
        <v>1120</v>
      </c>
      <c r="N943" s="102" t="s">
        <v>1662</v>
      </c>
    </row>
    <row r="944">
      <c r="A944" s="412">
        <v>45831.0</v>
      </c>
      <c r="B944" s="413">
        <v>2025.0</v>
      </c>
      <c r="C944" s="414" t="s">
        <v>1555</v>
      </c>
      <c r="D944" s="413" t="s">
        <v>710</v>
      </c>
      <c r="E944" s="413" t="s">
        <v>137</v>
      </c>
      <c r="F944" s="413" t="s">
        <v>703</v>
      </c>
      <c r="G944" s="413" t="s">
        <v>724</v>
      </c>
      <c r="H944" s="415">
        <v>770.0</v>
      </c>
      <c r="I944" s="416" t="b">
        <v>1</v>
      </c>
      <c r="J944" s="413" t="s">
        <v>472</v>
      </c>
      <c r="K944" s="415">
        <v>0.0</v>
      </c>
      <c r="L944" s="415">
        <v>0.0</v>
      </c>
      <c r="M944" s="413" t="s">
        <v>1120</v>
      </c>
      <c r="N944" s="413" t="s">
        <v>1662</v>
      </c>
    </row>
    <row r="945">
      <c r="A945" s="409">
        <v>45831.0</v>
      </c>
      <c r="B945" s="102">
        <v>2025.0</v>
      </c>
      <c r="C945" s="410" t="s">
        <v>1555</v>
      </c>
      <c r="D945" s="102" t="s">
        <v>702</v>
      </c>
      <c r="E945" s="102" t="s">
        <v>465</v>
      </c>
      <c r="F945" s="102" t="s">
        <v>711</v>
      </c>
      <c r="G945" s="102" t="s">
        <v>730</v>
      </c>
      <c r="H945" s="360">
        <v>36.0</v>
      </c>
      <c r="I945" s="411" t="b">
        <v>0</v>
      </c>
      <c r="J945" s="102" t="s">
        <v>472</v>
      </c>
      <c r="K945" s="360">
        <v>4.96551724137931</v>
      </c>
      <c r="L945" s="360">
        <v>31.03448275862069</v>
      </c>
      <c r="M945" s="102" t="s">
        <v>1120</v>
      </c>
      <c r="N945" s="102" t="s">
        <v>1663</v>
      </c>
    </row>
    <row r="946">
      <c r="A946" s="412">
        <v>45833.0</v>
      </c>
      <c r="B946" s="413">
        <v>2025.0</v>
      </c>
      <c r="C946" s="414" t="s">
        <v>1555</v>
      </c>
      <c r="D946" s="413" t="s">
        <v>723</v>
      </c>
      <c r="E946" s="413" t="s">
        <v>137</v>
      </c>
      <c r="F946" s="413" t="s">
        <v>711</v>
      </c>
      <c r="G946" s="413" t="s">
        <v>740</v>
      </c>
      <c r="H946" s="415">
        <v>30.0</v>
      </c>
      <c r="I946" s="416" t="b">
        <v>0</v>
      </c>
      <c r="J946" s="413" t="s">
        <v>472</v>
      </c>
      <c r="K946" s="415">
        <v>0.0</v>
      </c>
      <c r="L946" s="415">
        <v>30.0</v>
      </c>
      <c r="M946" s="413" t="s">
        <v>1120</v>
      </c>
      <c r="N946" s="413" t="s">
        <v>1664</v>
      </c>
    </row>
    <row r="947">
      <c r="A947" s="409">
        <v>45835.0</v>
      </c>
      <c r="B947" s="102">
        <v>2025.0</v>
      </c>
      <c r="C947" s="410" t="s">
        <v>1555</v>
      </c>
      <c r="D947" s="102" t="s">
        <v>723</v>
      </c>
      <c r="E947" s="102" t="s">
        <v>137</v>
      </c>
      <c r="F947" s="102" t="s">
        <v>703</v>
      </c>
      <c r="G947" s="102" t="s">
        <v>933</v>
      </c>
      <c r="H947" s="360">
        <v>120.0</v>
      </c>
      <c r="I947" s="411" t="b">
        <v>0</v>
      </c>
      <c r="J947" s="102" t="s">
        <v>1665</v>
      </c>
      <c r="K947" s="360">
        <v>0.0</v>
      </c>
      <c r="L947" s="360">
        <v>120.0</v>
      </c>
      <c r="M947" s="102" t="s">
        <v>1120</v>
      </c>
      <c r="N947" s="102" t="s">
        <v>1666</v>
      </c>
    </row>
    <row r="948">
      <c r="A948" s="412">
        <v>45836.0</v>
      </c>
      <c r="B948" s="413">
        <v>2025.0</v>
      </c>
      <c r="C948" s="414" t="s">
        <v>1555</v>
      </c>
      <c r="D948" s="413" t="s">
        <v>723</v>
      </c>
      <c r="E948" s="413" t="s">
        <v>137</v>
      </c>
      <c r="F948" s="413" t="s">
        <v>711</v>
      </c>
      <c r="G948" s="413" t="s">
        <v>715</v>
      </c>
      <c r="H948" s="415">
        <v>40.0</v>
      </c>
      <c r="I948" s="416" t="b">
        <v>0</v>
      </c>
      <c r="J948" s="413" t="s">
        <v>472</v>
      </c>
      <c r="K948" s="415">
        <v>0.0</v>
      </c>
      <c r="L948" s="415">
        <v>40.0</v>
      </c>
      <c r="M948" s="413" t="s">
        <v>1120</v>
      </c>
      <c r="N948" s="413" t="s">
        <v>1667</v>
      </c>
    </row>
    <row r="949">
      <c r="A949" s="409">
        <v>45836.0</v>
      </c>
      <c r="B949" s="102">
        <v>2025.0</v>
      </c>
      <c r="C949" s="410" t="s">
        <v>1555</v>
      </c>
      <c r="D949" s="102" t="s">
        <v>723</v>
      </c>
      <c r="E949" s="102" t="s">
        <v>137</v>
      </c>
      <c r="F949" s="102" t="s">
        <v>711</v>
      </c>
      <c r="G949" s="102" t="s">
        <v>734</v>
      </c>
      <c r="H949" s="360">
        <v>180.0</v>
      </c>
      <c r="I949" s="411" t="b">
        <v>0</v>
      </c>
      <c r="J949" s="102" t="s">
        <v>472</v>
      </c>
      <c r="K949" s="360">
        <v>0.0</v>
      </c>
      <c r="L949" s="360">
        <v>180.0</v>
      </c>
      <c r="M949" s="102" t="s">
        <v>1120</v>
      </c>
      <c r="N949" s="102" t="s">
        <v>1668</v>
      </c>
    </row>
    <row r="950">
      <c r="A950" s="412">
        <v>45838.0</v>
      </c>
      <c r="B950" s="413">
        <v>2025.0</v>
      </c>
      <c r="C950" s="414" t="s">
        <v>1555</v>
      </c>
      <c r="D950" s="413" t="s">
        <v>702</v>
      </c>
      <c r="E950" s="413" t="s">
        <v>465</v>
      </c>
      <c r="F950" s="413" t="s">
        <v>703</v>
      </c>
      <c r="G950" s="413" t="s">
        <v>715</v>
      </c>
      <c r="H950" s="415">
        <v>1556.0</v>
      </c>
      <c r="I950" s="416" t="b">
        <v>0</v>
      </c>
      <c r="J950" s="413" t="s">
        <v>1669</v>
      </c>
      <c r="K950" s="415">
        <v>0.0</v>
      </c>
      <c r="L950" s="415">
        <v>1556.0</v>
      </c>
      <c r="M950" s="413" t="s">
        <v>1120</v>
      </c>
      <c r="N950" s="413" t="s">
        <v>1670</v>
      </c>
    </row>
    <row r="951">
      <c r="A951" s="409">
        <v>45838.0</v>
      </c>
      <c r="B951" s="102">
        <v>2025.0</v>
      </c>
      <c r="C951" s="410" t="s">
        <v>1555</v>
      </c>
      <c r="D951" s="102" t="s">
        <v>710</v>
      </c>
      <c r="E951" s="102" t="s">
        <v>137</v>
      </c>
      <c r="F951" s="102" t="s">
        <v>703</v>
      </c>
      <c r="G951" s="102" t="s">
        <v>715</v>
      </c>
      <c r="H951" s="360">
        <v>400.0</v>
      </c>
      <c r="I951" s="411" t="b">
        <v>0</v>
      </c>
      <c r="J951" s="102" t="s">
        <v>1671</v>
      </c>
      <c r="K951" s="360">
        <v>0.0</v>
      </c>
      <c r="L951" s="360">
        <v>400.0</v>
      </c>
      <c r="M951" s="102" t="s">
        <v>1120</v>
      </c>
      <c r="N951" s="102" t="s">
        <v>1672</v>
      </c>
    </row>
    <row r="952">
      <c r="A952" s="412">
        <v>45838.0</v>
      </c>
      <c r="B952" s="413">
        <v>2025.0</v>
      </c>
      <c r="C952" s="414" t="s">
        <v>1555</v>
      </c>
      <c r="D952" s="413" t="s">
        <v>702</v>
      </c>
      <c r="E952" s="413" t="s">
        <v>465</v>
      </c>
      <c r="F952" s="413" t="s">
        <v>703</v>
      </c>
      <c r="G952" s="413" t="s">
        <v>1673</v>
      </c>
      <c r="H952" s="415">
        <v>330.0</v>
      </c>
      <c r="I952" s="416" t="b">
        <v>0</v>
      </c>
      <c r="J952" s="413" t="s">
        <v>472</v>
      </c>
      <c r="K952" s="415">
        <v>0.0</v>
      </c>
      <c r="L952" s="415">
        <v>330.0</v>
      </c>
      <c r="M952" s="413" t="s">
        <v>1120</v>
      </c>
      <c r="N952" s="413" t="s">
        <v>1674</v>
      </c>
    </row>
    <row r="953">
      <c r="A953" s="409">
        <v>45838.0</v>
      </c>
      <c r="B953" s="102">
        <v>2025.0</v>
      </c>
      <c r="C953" s="410" t="s">
        <v>1555</v>
      </c>
      <c r="D953" s="102" t="s">
        <v>710</v>
      </c>
      <c r="E953" s="102" t="s">
        <v>137</v>
      </c>
      <c r="F953" s="102" t="s">
        <v>703</v>
      </c>
      <c r="G953" s="102" t="s">
        <v>906</v>
      </c>
      <c r="H953" s="360">
        <v>1500.0</v>
      </c>
      <c r="I953" s="411" t="b">
        <v>0</v>
      </c>
      <c r="J953" s="102" t="s">
        <v>1675</v>
      </c>
      <c r="K953" s="360">
        <v>0.0</v>
      </c>
      <c r="L953" s="360">
        <v>1500.0</v>
      </c>
      <c r="M953" s="102" t="s">
        <v>1120</v>
      </c>
      <c r="N953" s="102" t="s">
        <v>1676</v>
      </c>
    </row>
    <row r="954">
      <c r="A954" s="412">
        <v>45841.0</v>
      </c>
      <c r="B954" s="413">
        <v>2025.0</v>
      </c>
      <c r="C954" s="414" t="s">
        <v>1677</v>
      </c>
      <c r="D954" s="413" t="s">
        <v>723</v>
      </c>
      <c r="E954" s="413" t="s">
        <v>137</v>
      </c>
      <c r="F954" s="413" t="s">
        <v>711</v>
      </c>
      <c r="G954" s="413" t="s">
        <v>767</v>
      </c>
      <c r="H954" s="415">
        <v>1050.0</v>
      </c>
      <c r="I954" s="416" t="b">
        <v>0</v>
      </c>
      <c r="J954" s="413" t="s">
        <v>1274</v>
      </c>
      <c r="K954" s="415">
        <v>0.0</v>
      </c>
      <c r="L954" s="415">
        <v>1050.0</v>
      </c>
      <c r="M954" s="413" t="s">
        <v>1120</v>
      </c>
      <c r="N954" s="413" t="s">
        <v>1678</v>
      </c>
    </row>
    <row r="955">
      <c r="A955" s="409">
        <v>45841.0</v>
      </c>
      <c r="B955" s="102">
        <v>2025.0</v>
      </c>
      <c r="C955" s="410" t="s">
        <v>1677</v>
      </c>
      <c r="D955" s="102" t="s">
        <v>723</v>
      </c>
      <c r="E955" s="102" t="s">
        <v>137</v>
      </c>
      <c r="F955" s="102" t="s">
        <v>711</v>
      </c>
      <c r="G955" s="102" t="s">
        <v>767</v>
      </c>
      <c r="H955" s="360">
        <v>1300.0</v>
      </c>
      <c r="I955" s="411" t="b">
        <v>0</v>
      </c>
      <c r="J955" s="102" t="s">
        <v>1248</v>
      </c>
      <c r="K955" s="360">
        <v>0.0</v>
      </c>
      <c r="L955" s="360">
        <v>1300.0</v>
      </c>
      <c r="M955" s="102" t="s">
        <v>1120</v>
      </c>
      <c r="N955" s="102" t="s">
        <v>1679</v>
      </c>
    </row>
    <row r="956">
      <c r="A956" s="412">
        <v>45841.0</v>
      </c>
      <c r="B956" s="413">
        <v>2025.0</v>
      </c>
      <c r="C956" s="414" t="s">
        <v>1677</v>
      </c>
      <c r="D956" s="413" t="s">
        <v>723</v>
      </c>
      <c r="E956" s="413" t="s">
        <v>137</v>
      </c>
      <c r="F956" s="413" t="s">
        <v>711</v>
      </c>
      <c r="G956" s="413" t="s">
        <v>767</v>
      </c>
      <c r="H956" s="415">
        <v>800.0</v>
      </c>
      <c r="I956" s="416" t="b">
        <v>0</v>
      </c>
      <c r="J956" s="413" t="s">
        <v>1197</v>
      </c>
      <c r="K956" s="415">
        <v>0.0</v>
      </c>
      <c r="L956" s="415">
        <v>800.0</v>
      </c>
      <c r="M956" s="413" t="s">
        <v>1120</v>
      </c>
      <c r="N956" s="413" t="s">
        <v>1680</v>
      </c>
    </row>
    <row r="957">
      <c r="A957" s="409">
        <v>45841.0</v>
      </c>
      <c r="B957" s="102">
        <v>2025.0</v>
      </c>
      <c r="C957" s="410" t="s">
        <v>1677</v>
      </c>
      <c r="D957" s="102" t="s">
        <v>710</v>
      </c>
      <c r="E957" s="102" t="s">
        <v>137</v>
      </c>
      <c r="F957" s="102" t="s">
        <v>711</v>
      </c>
      <c r="G957" s="102" t="s">
        <v>724</v>
      </c>
      <c r="H957" s="360">
        <v>4050.0</v>
      </c>
      <c r="I957" s="411" t="b">
        <v>1</v>
      </c>
      <c r="J957" s="102" t="s">
        <v>472</v>
      </c>
      <c r="K957" s="360">
        <v>0.0</v>
      </c>
      <c r="L957" s="360">
        <v>0.0</v>
      </c>
      <c r="M957" s="102" t="s">
        <v>1120</v>
      </c>
      <c r="N957" s="102" t="s">
        <v>1681</v>
      </c>
    </row>
    <row r="958">
      <c r="A958" s="412">
        <v>45841.0</v>
      </c>
      <c r="B958" s="413">
        <v>2025.0</v>
      </c>
      <c r="C958" s="414" t="s">
        <v>1677</v>
      </c>
      <c r="D958" s="413" t="s">
        <v>723</v>
      </c>
      <c r="E958" s="413" t="s">
        <v>137</v>
      </c>
      <c r="F958" s="413" t="s">
        <v>703</v>
      </c>
      <c r="G958" s="413" t="s">
        <v>724</v>
      </c>
      <c r="H958" s="415">
        <v>4050.0</v>
      </c>
      <c r="I958" s="416" t="b">
        <v>1</v>
      </c>
      <c r="J958" s="413" t="s">
        <v>472</v>
      </c>
      <c r="K958" s="415">
        <v>0.0</v>
      </c>
      <c r="L958" s="415">
        <v>0.0</v>
      </c>
      <c r="M958" s="413" t="s">
        <v>1120</v>
      </c>
      <c r="N958" s="413" t="s">
        <v>1681</v>
      </c>
    </row>
    <row r="959">
      <c r="A959" s="409">
        <v>45841.0</v>
      </c>
      <c r="B959" s="102">
        <v>2025.0</v>
      </c>
      <c r="C959" s="410" t="s">
        <v>1677</v>
      </c>
      <c r="D959" s="102" t="s">
        <v>702</v>
      </c>
      <c r="E959" s="102" t="s">
        <v>465</v>
      </c>
      <c r="F959" s="102" t="s">
        <v>711</v>
      </c>
      <c r="G959" s="102" t="s">
        <v>767</v>
      </c>
      <c r="H959" s="360">
        <v>550.0</v>
      </c>
      <c r="I959" s="411" t="b">
        <v>0</v>
      </c>
      <c r="J959" s="102" t="s">
        <v>1367</v>
      </c>
      <c r="K959" s="360">
        <v>75.86206896551721</v>
      </c>
      <c r="L959" s="360">
        <v>474.1379310344828</v>
      </c>
      <c r="M959" s="102" t="s">
        <v>1120</v>
      </c>
      <c r="N959" s="102" t="s">
        <v>1682</v>
      </c>
    </row>
    <row r="960">
      <c r="A960" s="412">
        <v>45841.0</v>
      </c>
      <c r="B960" s="413">
        <v>2025.0</v>
      </c>
      <c r="C960" s="414" t="s">
        <v>1677</v>
      </c>
      <c r="D960" s="413" t="s">
        <v>702</v>
      </c>
      <c r="E960" s="413" t="s">
        <v>465</v>
      </c>
      <c r="F960" s="413" t="s">
        <v>711</v>
      </c>
      <c r="G960" s="413" t="s">
        <v>730</v>
      </c>
      <c r="H960" s="415">
        <v>84.0</v>
      </c>
      <c r="I960" s="416" t="b">
        <v>0</v>
      </c>
      <c r="J960" s="413" t="s">
        <v>472</v>
      </c>
      <c r="K960" s="415">
        <v>11.586206896551715</v>
      </c>
      <c r="L960" s="415">
        <v>72.41379310344828</v>
      </c>
      <c r="M960" s="413" t="s">
        <v>1120</v>
      </c>
      <c r="N960" s="413" t="s">
        <v>1683</v>
      </c>
    </row>
    <row r="961">
      <c r="A961" s="409">
        <v>45841.0</v>
      </c>
      <c r="B961" s="102">
        <v>2025.0</v>
      </c>
      <c r="C961" s="410" t="s">
        <v>1677</v>
      </c>
      <c r="D961" s="102" t="s">
        <v>702</v>
      </c>
      <c r="E961" s="102" t="s">
        <v>465</v>
      </c>
      <c r="F961" s="102" t="s">
        <v>703</v>
      </c>
      <c r="G961" s="102" t="s">
        <v>724</v>
      </c>
      <c r="H961" s="360">
        <v>597.0</v>
      </c>
      <c r="I961" s="411" t="b">
        <v>1</v>
      </c>
      <c r="J961" s="102" t="s">
        <v>472</v>
      </c>
      <c r="K961" s="360">
        <v>0.0</v>
      </c>
      <c r="L961" s="360">
        <v>0.0</v>
      </c>
      <c r="M961" s="102" t="s">
        <v>1120</v>
      </c>
      <c r="N961" s="102" t="s">
        <v>1684</v>
      </c>
    </row>
    <row r="962">
      <c r="A962" s="412">
        <v>45841.0</v>
      </c>
      <c r="B962" s="413">
        <v>2025.0</v>
      </c>
      <c r="C962" s="414" t="s">
        <v>1677</v>
      </c>
      <c r="D962" s="413" t="s">
        <v>710</v>
      </c>
      <c r="E962" s="413" t="s">
        <v>137</v>
      </c>
      <c r="F962" s="413" t="s">
        <v>711</v>
      </c>
      <c r="G962" s="413" t="s">
        <v>724</v>
      </c>
      <c r="H962" s="415">
        <v>597.0</v>
      </c>
      <c r="I962" s="416" t="b">
        <v>1</v>
      </c>
      <c r="J962" s="413" t="s">
        <v>472</v>
      </c>
      <c r="K962" s="415">
        <v>0.0</v>
      </c>
      <c r="L962" s="415">
        <v>0.0</v>
      </c>
      <c r="M962" s="413" t="s">
        <v>1120</v>
      </c>
      <c r="N962" s="413" t="s">
        <v>1684</v>
      </c>
    </row>
    <row r="963">
      <c r="A963" s="409">
        <v>45841.0</v>
      </c>
      <c r="B963" s="102">
        <v>2025.0</v>
      </c>
      <c r="C963" s="410" t="s">
        <v>1677</v>
      </c>
      <c r="D963" s="102" t="s">
        <v>702</v>
      </c>
      <c r="E963" s="102" t="s">
        <v>465</v>
      </c>
      <c r="F963" s="102" t="s">
        <v>703</v>
      </c>
      <c r="G963" s="102" t="s">
        <v>797</v>
      </c>
      <c r="H963" s="360">
        <v>613.0</v>
      </c>
      <c r="I963" s="411" t="b">
        <v>0</v>
      </c>
      <c r="J963" s="102" t="s">
        <v>472</v>
      </c>
      <c r="K963" s="360">
        <v>0.0</v>
      </c>
      <c r="L963" s="360">
        <v>613.0</v>
      </c>
      <c r="M963" s="102" t="s">
        <v>1120</v>
      </c>
      <c r="N963" s="102" t="s">
        <v>1685</v>
      </c>
    </row>
    <row r="964">
      <c r="A964" s="412">
        <v>45841.0</v>
      </c>
      <c r="B964" s="413">
        <v>2025.0</v>
      </c>
      <c r="C964" s="414" t="s">
        <v>1677</v>
      </c>
      <c r="D964" s="413" t="s">
        <v>702</v>
      </c>
      <c r="E964" s="413" t="s">
        <v>465</v>
      </c>
      <c r="F964" s="413" t="s">
        <v>703</v>
      </c>
      <c r="G964" s="413" t="s">
        <v>601</v>
      </c>
      <c r="H964" s="415">
        <v>550.0</v>
      </c>
      <c r="I964" s="416" t="b">
        <v>0</v>
      </c>
      <c r="J964" s="413" t="s">
        <v>472</v>
      </c>
      <c r="K964" s="415">
        <v>0.0</v>
      </c>
      <c r="L964" s="415">
        <v>550.0</v>
      </c>
      <c r="M964" s="413" t="s">
        <v>1120</v>
      </c>
      <c r="N964" s="413" t="s">
        <v>1686</v>
      </c>
    </row>
    <row r="965">
      <c r="A965" s="409">
        <v>45841.0</v>
      </c>
      <c r="B965" s="102">
        <v>2025.0</v>
      </c>
      <c r="C965" s="410" t="s">
        <v>1677</v>
      </c>
      <c r="D965" s="102" t="s">
        <v>702</v>
      </c>
      <c r="E965" s="102" t="s">
        <v>465</v>
      </c>
      <c r="F965" s="102" t="s">
        <v>703</v>
      </c>
      <c r="G965" s="102" t="s">
        <v>1673</v>
      </c>
      <c r="H965" s="360">
        <v>660.0</v>
      </c>
      <c r="I965" s="411" t="b">
        <v>0</v>
      </c>
      <c r="J965" s="102" t="s">
        <v>472</v>
      </c>
      <c r="K965" s="360">
        <v>0.0</v>
      </c>
      <c r="L965" s="360">
        <v>660.0</v>
      </c>
      <c r="M965" s="102" t="s">
        <v>1120</v>
      </c>
      <c r="N965" s="102" t="s">
        <v>1687</v>
      </c>
    </row>
    <row r="966">
      <c r="A966" s="412">
        <v>45841.0</v>
      </c>
      <c r="B966" s="413">
        <v>2025.0</v>
      </c>
      <c r="C966" s="414" t="s">
        <v>1677</v>
      </c>
      <c r="D966" s="413" t="s">
        <v>710</v>
      </c>
      <c r="E966" s="413" t="s">
        <v>137</v>
      </c>
      <c r="F966" s="413" t="s">
        <v>711</v>
      </c>
      <c r="G966" s="413" t="s">
        <v>724</v>
      </c>
      <c r="H966" s="415">
        <v>2770.0</v>
      </c>
      <c r="I966" s="416" t="b">
        <v>1</v>
      </c>
      <c r="J966" s="413" t="s">
        <v>472</v>
      </c>
      <c r="K966" s="415">
        <v>0.0</v>
      </c>
      <c r="L966" s="415">
        <v>0.0</v>
      </c>
      <c r="M966" s="413" t="s">
        <v>1120</v>
      </c>
      <c r="N966" s="413" t="s">
        <v>1688</v>
      </c>
    </row>
    <row r="967">
      <c r="A967" s="409">
        <v>45841.0</v>
      </c>
      <c r="B967" s="102">
        <v>2025.0</v>
      </c>
      <c r="C967" s="410" t="s">
        <v>1677</v>
      </c>
      <c r="D967" s="102" t="s">
        <v>702</v>
      </c>
      <c r="E967" s="102" t="s">
        <v>465</v>
      </c>
      <c r="F967" s="102" t="s">
        <v>703</v>
      </c>
      <c r="G967" s="102" t="s">
        <v>724</v>
      </c>
      <c r="H967" s="360">
        <v>2770.0</v>
      </c>
      <c r="I967" s="411" t="b">
        <v>1</v>
      </c>
      <c r="J967" s="102" t="s">
        <v>472</v>
      </c>
      <c r="K967" s="360">
        <v>0.0</v>
      </c>
      <c r="L967" s="360">
        <v>0.0</v>
      </c>
      <c r="M967" s="102" t="s">
        <v>1120</v>
      </c>
      <c r="N967" s="102" t="s">
        <v>1688</v>
      </c>
    </row>
    <row r="968">
      <c r="A968" s="412">
        <v>45841.0</v>
      </c>
      <c r="B968" s="413">
        <v>2025.0</v>
      </c>
      <c r="C968" s="414" t="s">
        <v>1677</v>
      </c>
      <c r="D968" s="413" t="s">
        <v>710</v>
      </c>
      <c r="E968" s="413" t="s">
        <v>137</v>
      </c>
      <c r="F968" s="413" t="s">
        <v>703</v>
      </c>
      <c r="G968" s="413" t="s">
        <v>769</v>
      </c>
      <c r="H968" s="415">
        <v>8000.0</v>
      </c>
      <c r="I968" s="416" t="b">
        <v>0</v>
      </c>
      <c r="J968" s="413" t="s">
        <v>472</v>
      </c>
      <c r="K968" s="415">
        <v>0.0</v>
      </c>
      <c r="L968" s="415">
        <v>8000.0</v>
      </c>
      <c r="M968" s="413" t="s">
        <v>1120</v>
      </c>
      <c r="N968" s="413" t="s">
        <v>1689</v>
      </c>
    </row>
    <row r="969">
      <c r="A969" s="409">
        <v>45844.0</v>
      </c>
      <c r="B969" s="102">
        <v>2025.0</v>
      </c>
      <c r="C969" s="410" t="s">
        <v>1677</v>
      </c>
      <c r="D969" s="102" t="s">
        <v>723</v>
      </c>
      <c r="E969" s="102" t="s">
        <v>137</v>
      </c>
      <c r="F969" s="102" t="s">
        <v>711</v>
      </c>
      <c r="G969" s="102" t="s">
        <v>724</v>
      </c>
      <c r="H969" s="360">
        <v>710.0</v>
      </c>
      <c r="I969" s="411" t="b">
        <v>1</v>
      </c>
      <c r="J969" s="102" t="s">
        <v>472</v>
      </c>
      <c r="K969" s="360">
        <v>0.0</v>
      </c>
      <c r="L969" s="360">
        <v>0.0</v>
      </c>
      <c r="M969" s="102" t="s">
        <v>1120</v>
      </c>
      <c r="N969" s="102" t="s">
        <v>1690</v>
      </c>
    </row>
    <row r="970">
      <c r="A970" s="412">
        <v>45844.0</v>
      </c>
      <c r="B970" s="413">
        <v>2025.0</v>
      </c>
      <c r="C970" s="414" t="s">
        <v>1677</v>
      </c>
      <c r="D970" s="413" t="s">
        <v>710</v>
      </c>
      <c r="E970" s="413" t="s">
        <v>137</v>
      </c>
      <c r="F970" s="413" t="s">
        <v>703</v>
      </c>
      <c r="G970" s="413" t="s">
        <v>724</v>
      </c>
      <c r="H970" s="415">
        <v>710.0</v>
      </c>
      <c r="I970" s="416" t="b">
        <v>1</v>
      </c>
      <c r="J970" s="413" t="s">
        <v>472</v>
      </c>
      <c r="K970" s="415">
        <v>0.0</v>
      </c>
      <c r="L970" s="415">
        <v>0.0</v>
      </c>
      <c r="M970" s="413" t="s">
        <v>1120</v>
      </c>
      <c r="N970" s="413" t="s">
        <v>1690</v>
      </c>
    </row>
    <row r="971">
      <c r="A971" s="409">
        <v>45844.0</v>
      </c>
      <c r="B971" s="102">
        <v>2025.0</v>
      </c>
      <c r="C971" s="410" t="s">
        <v>1677</v>
      </c>
      <c r="D971" s="102" t="s">
        <v>723</v>
      </c>
      <c r="E971" s="102" t="s">
        <v>137</v>
      </c>
      <c r="F971" s="102" t="s">
        <v>711</v>
      </c>
      <c r="G971" s="102" t="s">
        <v>767</v>
      </c>
      <c r="H971" s="360">
        <v>950.0</v>
      </c>
      <c r="I971" s="411" t="b">
        <v>0</v>
      </c>
      <c r="J971" s="102" t="s">
        <v>1561</v>
      </c>
      <c r="K971" s="360">
        <v>0.0</v>
      </c>
      <c r="L971" s="360">
        <v>950.0</v>
      </c>
      <c r="M971" s="102" t="s">
        <v>1120</v>
      </c>
      <c r="N971" s="102" t="s">
        <v>1691</v>
      </c>
    </row>
    <row r="972">
      <c r="A972" s="412">
        <v>45844.0</v>
      </c>
      <c r="B972" s="413">
        <v>2025.0</v>
      </c>
      <c r="C972" s="414" t="s">
        <v>1677</v>
      </c>
      <c r="D972" s="413" t="s">
        <v>723</v>
      </c>
      <c r="E972" s="413" t="s">
        <v>137</v>
      </c>
      <c r="F972" s="413" t="s">
        <v>711</v>
      </c>
      <c r="G972" s="413" t="s">
        <v>767</v>
      </c>
      <c r="H972" s="415">
        <v>950.0</v>
      </c>
      <c r="I972" s="416" t="b">
        <v>0</v>
      </c>
      <c r="J972" s="413" t="s">
        <v>1232</v>
      </c>
      <c r="K972" s="415">
        <v>0.0</v>
      </c>
      <c r="L972" s="415">
        <v>950.0</v>
      </c>
      <c r="M972" s="413" t="s">
        <v>1120</v>
      </c>
      <c r="N972" s="413" t="s">
        <v>1692</v>
      </c>
    </row>
    <row r="973">
      <c r="A973" s="409">
        <v>45844.0</v>
      </c>
      <c r="B973" s="102">
        <v>2025.0</v>
      </c>
      <c r="C973" s="410" t="s">
        <v>1677</v>
      </c>
      <c r="D973" s="102" t="s">
        <v>723</v>
      </c>
      <c r="E973" s="102" t="s">
        <v>137</v>
      </c>
      <c r="F973" s="102" t="s">
        <v>703</v>
      </c>
      <c r="G973" s="102" t="s">
        <v>715</v>
      </c>
      <c r="H973" s="360">
        <v>300.0</v>
      </c>
      <c r="I973" s="411" t="b">
        <v>0</v>
      </c>
      <c r="J973" s="102" t="s">
        <v>472</v>
      </c>
      <c r="K973" s="360">
        <v>0.0</v>
      </c>
      <c r="L973" s="360">
        <v>300.0</v>
      </c>
      <c r="M973" s="102" t="s">
        <v>1120</v>
      </c>
      <c r="N973" s="102" t="s">
        <v>1693</v>
      </c>
    </row>
    <row r="974">
      <c r="A974" s="412">
        <v>45844.0</v>
      </c>
      <c r="B974" s="413">
        <v>2025.0</v>
      </c>
      <c r="C974" s="414" t="s">
        <v>1677</v>
      </c>
      <c r="D974" s="413" t="s">
        <v>710</v>
      </c>
      <c r="E974" s="413" t="s">
        <v>137</v>
      </c>
      <c r="F974" s="413" t="s">
        <v>703</v>
      </c>
      <c r="G974" s="413" t="s">
        <v>715</v>
      </c>
      <c r="H974" s="415">
        <v>314.0</v>
      </c>
      <c r="I974" s="416" t="b">
        <v>0</v>
      </c>
      <c r="J974" s="413" t="s">
        <v>472</v>
      </c>
      <c r="K974" s="415">
        <v>0.0</v>
      </c>
      <c r="L974" s="415">
        <v>314.0</v>
      </c>
      <c r="M974" s="413" t="s">
        <v>1120</v>
      </c>
      <c r="N974" s="413" t="s">
        <v>1694</v>
      </c>
    </row>
    <row r="975">
      <c r="A975" s="409">
        <v>45844.0</v>
      </c>
      <c r="B975" s="102">
        <v>2025.0</v>
      </c>
      <c r="C975" s="410" t="s">
        <v>1677</v>
      </c>
      <c r="D975" s="102" t="s">
        <v>702</v>
      </c>
      <c r="E975" s="102" t="s">
        <v>465</v>
      </c>
      <c r="F975" s="102" t="s">
        <v>711</v>
      </c>
      <c r="G975" s="102" t="s">
        <v>767</v>
      </c>
      <c r="H975" s="360">
        <v>800.0</v>
      </c>
      <c r="I975" s="411" t="b">
        <v>0</v>
      </c>
      <c r="J975" s="102" t="s">
        <v>1218</v>
      </c>
      <c r="K975" s="360">
        <v>110.34482758620686</v>
      </c>
      <c r="L975" s="360">
        <v>689.6551724137931</v>
      </c>
      <c r="M975" s="102" t="s">
        <v>1120</v>
      </c>
      <c r="N975" s="102" t="s">
        <v>1695</v>
      </c>
    </row>
    <row r="976">
      <c r="A976" s="412">
        <v>45844.0</v>
      </c>
      <c r="B976" s="413">
        <v>2025.0</v>
      </c>
      <c r="C976" s="414" t="s">
        <v>1677</v>
      </c>
      <c r="D976" s="413" t="s">
        <v>723</v>
      </c>
      <c r="E976" s="413" t="s">
        <v>137</v>
      </c>
      <c r="F976" s="413" t="s">
        <v>711</v>
      </c>
      <c r="G976" s="413" t="s">
        <v>767</v>
      </c>
      <c r="H976" s="415">
        <v>800.0</v>
      </c>
      <c r="I976" s="416" t="b">
        <v>0</v>
      </c>
      <c r="J976" s="413" t="s">
        <v>1218</v>
      </c>
      <c r="K976" s="415">
        <v>0.0</v>
      </c>
      <c r="L976" s="415">
        <v>800.0</v>
      </c>
      <c r="M976" s="413" t="s">
        <v>1120</v>
      </c>
      <c r="N976" s="413" t="s">
        <v>1696</v>
      </c>
    </row>
    <row r="977">
      <c r="A977" s="409">
        <v>45845.0</v>
      </c>
      <c r="B977" s="102">
        <v>2025.0</v>
      </c>
      <c r="C977" s="410" t="s">
        <v>1677</v>
      </c>
      <c r="D977" s="102" t="s">
        <v>723</v>
      </c>
      <c r="E977" s="102" t="s">
        <v>137</v>
      </c>
      <c r="F977" s="102" t="s">
        <v>703</v>
      </c>
      <c r="G977" s="102" t="s">
        <v>724</v>
      </c>
      <c r="H977" s="360">
        <v>3110.0</v>
      </c>
      <c r="I977" s="411" t="b">
        <v>1</v>
      </c>
      <c r="J977" s="102" t="s">
        <v>472</v>
      </c>
      <c r="K977" s="360">
        <v>0.0</v>
      </c>
      <c r="L977" s="360">
        <v>0.0</v>
      </c>
      <c r="M977" s="102" t="s">
        <v>1120</v>
      </c>
      <c r="N977" s="102" t="s">
        <v>1697</v>
      </c>
    </row>
    <row r="978">
      <c r="A978" s="412">
        <v>45845.0</v>
      </c>
      <c r="B978" s="413">
        <v>2025.0</v>
      </c>
      <c r="C978" s="414" t="s">
        <v>1677</v>
      </c>
      <c r="D978" s="413" t="s">
        <v>710</v>
      </c>
      <c r="E978" s="413" t="s">
        <v>137</v>
      </c>
      <c r="F978" s="413" t="s">
        <v>711</v>
      </c>
      <c r="G978" s="413" t="s">
        <v>724</v>
      </c>
      <c r="H978" s="415">
        <v>3110.0</v>
      </c>
      <c r="I978" s="416" t="b">
        <v>1</v>
      </c>
      <c r="J978" s="413" t="s">
        <v>472</v>
      </c>
      <c r="K978" s="415">
        <v>0.0</v>
      </c>
      <c r="L978" s="415">
        <v>0.0</v>
      </c>
      <c r="M978" s="413" t="s">
        <v>1120</v>
      </c>
      <c r="N978" s="413" t="s">
        <v>1697</v>
      </c>
    </row>
    <row r="979">
      <c r="A979" s="409">
        <v>45845.0</v>
      </c>
      <c r="B979" s="102">
        <v>2025.0</v>
      </c>
      <c r="C979" s="410" t="s">
        <v>1677</v>
      </c>
      <c r="D979" s="102" t="s">
        <v>710</v>
      </c>
      <c r="E979" s="102" t="s">
        <v>137</v>
      </c>
      <c r="F979" s="102" t="s">
        <v>711</v>
      </c>
      <c r="G979" s="102" t="s">
        <v>734</v>
      </c>
      <c r="H979" s="360">
        <v>134.0</v>
      </c>
      <c r="I979" s="411" t="b">
        <v>0</v>
      </c>
      <c r="J979" s="102" t="s">
        <v>1367</v>
      </c>
      <c r="K979" s="360">
        <v>0.0</v>
      </c>
      <c r="L979" s="360">
        <v>134.0</v>
      </c>
      <c r="M979" s="102" t="s">
        <v>1120</v>
      </c>
      <c r="N979" s="102" t="s">
        <v>1698</v>
      </c>
    </row>
    <row r="980">
      <c r="A980" s="412">
        <v>45845.0</v>
      </c>
      <c r="B980" s="413">
        <v>2025.0</v>
      </c>
      <c r="C980" s="414" t="s">
        <v>1677</v>
      </c>
      <c r="D980" s="413" t="s">
        <v>702</v>
      </c>
      <c r="E980" s="413" t="s">
        <v>465</v>
      </c>
      <c r="F980" s="413" t="s">
        <v>711</v>
      </c>
      <c r="G980" s="413" t="s">
        <v>734</v>
      </c>
      <c r="H980" s="415">
        <v>180.0</v>
      </c>
      <c r="I980" s="416" t="b">
        <v>0</v>
      </c>
      <c r="J980" s="413" t="s">
        <v>1415</v>
      </c>
      <c r="K980" s="415">
        <v>24.82758620689654</v>
      </c>
      <c r="L980" s="415">
        <v>155.17241379310346</v>
      </c>
      <c r="M980" s="413" t="s">
        <v>1120</v>
      </c>
      <c r="N980" s="413" t="s">
        <v>1699</v>
      </c>
    </row>
    <row r="981">
      <c r="A981" s="409">
        <v>45845.0</v>
      </c>
      <c r="B981" s="102">
        <v>2025.0</v>
      </c>
      <c r="C981" s="410" t="s">
        <v>1677</v>
      </c>
      <c r="D981" s="102" t="s">
        <v>702</v>
      </c>
      <c r="E981" s="102" t="s">
        <v>465</v>
      </c>
      <c r="F981" s="102" t="s">
        <v>711</v>
      </c>
      <c r="G981" s="102" t="s">
        <v>767</v>
      </c>
      <c r="H981" s="360">
        <v>800.0</v>
      </c>
      <c r="I981" s="411" t="b">
        <v>0</v>
      </c>
      <c r="J981" s="102" t="s">
        <v>1265</v>
      </c>
      <c r="K981" s="360">
        <v>110.34482758620686</v>
      </c>
      <c r="L981" s="360">
        <v>689.6551724137931</v>
      </c>
      <c r="M981" s="102" t="s">
        <v>1120</v>
      </c>
      <c r="N981" s="102" t="s">
        <v>1700</v>
      </c>
    </row>
    <row r="982">
      <c r="A982" s="412">
        <v>45845.0</v>
      </c>
      <c r="B982" s="413">
        <v>2025.0</v>
      </c>
      <c r="C982" s="414" t="s">
        <v>1677</v>
      </c>
      <c r="D982" s="413" t="s">
        <v>702</v>
      </c>
      <c r="E982" s="413" t="s">
        <v>465</v>
      </c>
      <c r="F982" s="413" t="s">
        <v>703</v>
      </c>
      <c r="G982" s="413" t="s">
        <v>724</v>
      </c>
      <c r="H982" s="415">
        <v>500.0</v>
      </c>
      <c r="I982" s="416" t="b">
        <v>1</v>
      </c>
      <c r="J982" s="413" t="s">
        <v>472</v>
      </c>
      <c r="K982" s="415">
        <v>0.0</v>
      </c>
      <c r="L982" s="415">
        <v>0.0</v>
      </c>
      <c r="M982" s="413" t="s">
        <v>1120</v>
      </c>
      <c r="N982" s="413" t="s">
        <v>1701</v>
      </c>
    </row>
    <row r="983">
      <c r="A983" s="409">
        <v>45845.0</v>
      </c>
      <c r="B983" s="102">
        <v>2025.0</v>
      </c>
      <c r="C983" s="410" t="s">
        <v>1677</v>
      </c>
      <c r="D983" s="102" t="s">
        <v>710</v>
      </c>
      <c r="E983" s="102" t="s">
        <v>137</v>
      </c>
      <c r="F983" s="102" t="s">
        <v>711</v>
      </c>
      <c r="G983" s="102" t="s">
        <v>724</v>
      </c>
      <c r="H983" s="360">
        <v>500.0</v>
      </c>
      <c r="I983" s="411" t="b">
        <v>1</v>
      </c>
      <c r="J983" s="102" t="s">
        <v>472</v>
      </c>
      <c r="K983" s="360">
        <v>0.0</v>
      </c>
      <c r="L983" s="360">
        <v>0.0</v>
      </c>
      <c r="M983" s="102" t="s">
        <v>1120</v>
      </c>
      <c r="N983" s="102" t="s">
        <v>1701</v>
      </c>
    </row>
    <row r="984">
      <c r="A984" s="412">
        <v>45845.0</v>
      </c>
      <c r="B984" s="413">
        <v>2025.0</v>
      </c>
      <c r="C984" s="414" t="s">
        <v>1677</v>
      </c>
      <c r="D984" s="413" t="s">
        <v>702</v>
      </c>
      <c r="E984" s="413" t="s">
        <v>465</v>
      </c>
      <c r="F984" s="413" t="s">
        <v>711</v>
      </c>
      <c r="G984" s="413" t="s">
        <v>767</v>
      </c>
      <c r="H984" s="415">
        <v>1150.0</v>
      </c>
      <c r="I984" s="416" t="b">
        <v>0</v>
      </c>
      <c r="J984" s="413" t="s">
        <v>1235</v>
      </c>
      <c r="K984" s="415">
        <v>158.62068965517233</v>
      </c>
      <c r="L984" s="415">
        <v>991.3793103448277</v>
      </c>
      <c r="M984" s="413" t="s">
        <v>1120</v>
      </c>
      <c r="N984" s="413" t="s">
        <v>1702</v>
      </c>
    </row>
    <row r="985">
      <c r="A985" s="409">
        <v>45845.0</v>
      </c>
      <c r="B985" s="102">
        <v>2025.0</v>
      </c>
      <c r="C985" s="410" t="s">
        <v>1677</v>
      </c>
      <c r="D985" s="102" t="s">
        <v>702</v>
      </c>
      <c r="E985" s="102" t="s">
        <v>465</v>
      </c>
      <c r="F985" s="102" t="s">
        <v>711</v>
      </c>
      <c r="G985" s="102" t="s">
        <v>730</v>
      </c>
      <c r="H985" s="360">
        <v>20.0</v>
      </c>
      <c r="I985" s="411" t="b">
        <v>0</v>
      </c>
      <c r="J985" s="102" t="s">
        <v>472</v>
      </c>
      <c r="K985" s="360">
        <v>2.758620689655171</v>
      </c>
      <c r="L985" s="360">
        <v>17.24137931034483</v>
      </c>
      <c r="M985" s="102" t="s">
        <v>1120</v>
      </c>
      <c r="N985" s="102" t="s">
        <v>1703</v>
      </c>
    </row>
    <row r="986">
      <c r="A986" s="412">
        <v>45846.0</v>
      </c>
      <c r="B986" s="413">
        <v>2025.0</v>
      </c>
      <c r="C986" s="414" t="s">
        <v>1677</v>
      </c>
      <c r="D986" s="413" t="s">
        <v>723</v>
      </c>
      <c r="E986" s="413" t="s">
        <v>137</v>
      </c>
      <c r="F986" s="413" t="s">
        <v>711</v>
      </c>
      <c r="G986" s="413" t="s">
        <v>767</v>
      </c>
      <c r="H986" s="415">
        <v>900.0</v>
      </c>
      <c r="I986" s="416" t="b">
        <v>0</v>
      </c>
      <c r="J986" s="413" t="s">
        <v>1237</v>
      </c>
      <c r="K986" s="415">
        <v>0.0</v>
      </c>
      <c r="L986" s="415">
        <v>900.0</v>
      </c>
      <c r="M986" s="413" t="s">
        <v>1120</v>
      </c>
      <c r="N986" s="413" t="s">
        <v>1704</v>
      </c>
    </row>
    <row r="987">
      <c r="A987" s="409">
        <v>45846.0</v>
      </c>
      <c r="B987" s="102">
        <v>2025.0</v>
      </c>
      <c r="C987" s="410" t="s">
        <v>1677</v>
      </c>
      <c r="D987" s="102" t="s">
        <v>702</v>
      </c>
      <c r="E987" s="102" t="s">
        <v>465</v>
      </c>
      <c r="F987" s="102" t="s">
        <v>711</v>
      </c>
      <c r="G987" s="102" t="s">
        <v>767</v>
      </c>
      <c r="H987" s="360">
        <v>1199.0</v>
      </c>
      <c r="I987" s="411" t="b">
        <v>0</v>
      </c>
      <c r="J987" s="102" t="s">
        <v>1705</v>
      </c>
      <c r="K987" s="360">
        <v>165.37931034482745</v>
      </c>
      <c r="L987" s="360">
        <v>1033.6206896551726</v>
      </c>
      <c r="M987" s="102" t="s">
        <v>1120</v>
      </c>
      <c r="N987" s="102" t="s">
        <v>1706</v>
      </c>
    </row>
    <row r="988">
      <c r="A988" s="412">
        <v>45846.0</v>
      </c>
      <c r="B988" s="413">
        <v>2025.0</v>
      </c>
      <c r="C988" s="414" t="s">
        <v>1677</v>
      </c>
      <c r="D988" s="413" t="s">
        <v>702</v>
      </c>
      <c r="E988" s="413" t="s">
        <v>465</v>
      </c>
      <c r="F988" s="413" t="s">
        <v>711</v>
      </c>
      <c r="G988" s="413" t="s">
        <v>767</v>
      </c>
      <c r="H988" s="415">
        <v>475.0</v>
      </c>
      <c r="I988" s="416" t="b">
        <v>0</v>
      </c>
      <c r="J988" s="413" t="s">
        <v>1707</v>
      </c>
      <c r="K988" s="415">
        <v>65.51724137931029</v>
      </c>
      <c r="L988" s="415">
        <v>409.4827586206897</v>
      </c>
      <c r="M988" s="413" t="s">
        <v>1120</v>
      </c>
      <c r="N988" s="413" t="s">
        <v>1708</v>
      </c>
    </row>
    <row r="989">
      <c r="A989" s="409">
        <v>45847.0</v>
      </c>
      <c r="B989" s="102">
        <v>2025.0</v>
      </c>
      <c r="C989" s="410" t="s">
        <v>1677</v>
      </c>
      <c r="D989" s="102" t="s">
        <v>702</v>
      </c>
      <c r="E989" s="102" t="s">
        <v>465</v>
      </c>
      <c r="F989" s="102" t="s">
        <v>711</v>
      </c>
      <c r="G989" s="102" t="s">
        <v>767</v>
      </c>
      <c r="H989" s="360">
        <v>1050.0</v>
      </c>
      <c r="I989" s="411" t="b">
        <v>0</v>
      </c>
      <c r="J989" s="102" t="s">
        <v>1350</v>
      </c>
      <c r="K989" s="360">
        <v>144.8275862068965</v>
      </c>
      <c r="L989" s="360">
        <v>905.1724137931035</v>
      </c>
      <c r="M989" s="102" t="s">
        <v>1120</v>
      </c>
      <c r="N989" s="102" t="s">
        <v>1709</v>
      </c>
    </row>
    <row r="990">
      <c r="A990" s="412">
        <v>45847.0</v>
      </c>
      <c r="B990" s="413">
        <v>2025.0</v>
      </c>
      <c r="C990" s="414" t="s">
        <v>1677</v>
      </c>
      <c r="D990" s="413" t="s">
        <v>702</v>
      </c>
      <c r="E990" s="413" t="s">
        <v>465</v>
      </c>
      <c r="F990" s="413" t="s">
        <v>711</v>
      </c>
      <c r="G990" s="413" t="s">
        <v>767</v>
      </c>
      <c r="H990" s="415">
        <v>1050.0</v>
      </c>
      <c r="I990" s="416" t="b">
        <v>0</v>
      </c>
      <c r="J990" s="413" t="s">
        <v>1255</v>
      </c>
      <c r="K990" s="415">
        <v>144.8275862068965</v>
      </c>
      <c r="L990" s="415">
        <v>905.1724137931035</v>
      </c>
      <c r="M990" s="413" t="s">
        <v>1120</v>
      </c>
      <c r="N990" s="413" t="s">
        <v>1710</v>
      </c>
    </row>
    <row r="991">
      <c r="A991" s="409">
        <v>45847.0</v>
      </c>
      <c r="B991" s="102">
        <v>2025.0</v>
      </c>
      <c r="C991" s="410" t="s">
        <v>1677</v>
      </c>
      <c r="D991" s="102" t="s">
        <v>710</v>
      </c>
      <c r="E991" s="102" t="s">
        <v>137</v>
      </c>
      <c r="F991" s="102" t="s">
        <v>711</v>
      </c>
      <c r="G991" s="102" t="s">
        <v>767</v>
      </c>
      <c r="H991" s="360">
        <v>950.0</v>
      </c>
      <c r="I991" s="411" t="b">
        <v>0</v>
      </c>
      <c r="J991" s="102" t="s">
        <v>1230</v>
      </c>
      <c r="K991" s="360">
        <v>0.0</v>
      </c>
      <c r="L991" s="360">
        <v>950.0</v>
      </c>
      <c r="M991" s="102" t="s">
        <v>1120</v>
      </c>
      <c r="N991" s="102" t="s">
        <v>1711</v>
      </c>
    </row>
    <row r="992">
      <c r="A992" s="412">
        <v>45847.0</v>
      </c>
      <c r="B992" s="413">
        <v>2025.0</v>
      </c>
      <c r="C992" s="414" t="s">
        <v>1677</v>
      </c>
      <c r="D992" s="413" t="s">
        <v>710</v>
      </c>
      <c r="E992" s="413" t="s">
        <v>137</v>
      </c>
      <c r="F992" s="413" t="s">
        <v>703</v>
      </c>
      <c r="G992" s="413" t="s">
        <v>715</v>
      </c>
      <c r="H992" s="415">
        <v>500.0</v>
      </c>
      <c r="I992" s="416" t="b">
        <v>0</v>
      </c>
      <c r="J992" s="413" t="s">
        <v>472</v>
      </c>
      <c r="K992" s="415">
        <v>0.0</v>
      </c>
      <c r="L992" s="415">
        <v>500.0</v>
      </c>
      <c r="M992" s="413" t="s">
        <v>1120</v>
      </c>
      <c r="N992" s="413" t="s">
        <v>1712</v>
      </c>
    </row>
    <row r="993">
      <c r="A993" s="409">
        <v>45848.0</v>
      </c>
      <c r="B993" s="102">
        <v>2025.0</v>
      </c>
      <c r="C993" s="410" t="s">
        <v>1677</v>
      </c>
      <c r="D993" s="102" t="s">
        <v>723</v>
      </c>
      <c r="E993" s="102" t="s">
        <v>137</v>
      </c>
      <c r="F993" s="102" t="s">
        <v>711</v>
      </c>
      <c r="G993" s="102" t="s">
        <v>715</v>
      </c>
      <c r="H993" s="360">
        <v>30.0</v>
      </c>
      <c r="I993" s="411" t="b">
        <v>0</v>
      </c>
      <c r="J993" s="102" t="s">
        <v>472</v>
      </c>
      <c r="K993" s="360">
        <v>0.0</v>
      </c>
      <c r="L993" s="360">
        <v>30.0</v>
      </c>
      <c r="M993" s="102" t="s">
        <v>1120</v>
      </c>
      <c r="N993" s="102" t="s">
        <v>1713</v>
      </c>
    </row>
    <row r="994">
      <c r="A994" s="412">
        <v>45849.0</v>
      </c>
      <c r="B994" s="413">
        <v>2025.0</v>
      </c>
      <c r="C994" s="414" t="s">
        <v>1677</v>
      </c>
      <c r="D994" s="413" t="s">
        <v>723</v>
      </c>
      <c r="E994" s="413" t="s">
        <v>137</v>
      </c>
      <c r="F994" s="413" t="s">
        <v>711</v>
      </c>
      <c r="G994" s="413" t="s">
        <v>734</v>
      </c>
      <c r="H994" s="415">
        <v>180.0</v>
      </c>
      <c r="I994" s="416" t="b">
        <v>0</v>
      </c>
      <c r="J994" s="413" t="s">
        <v>472</v>
      </c>
      <c r="K994" s="415">
        <v>0.0</v>
      </c>
      <c r="L994" s="415">
        <v>180.0</v>
      </c>
      <c r="M994" s="413" t="s">
        <v>1120</v>
      </c>
      <c r="N994" s="413" t="s">
        <v>1714</v>
      </c>
    </row>
    <row r="995">
      <c r="A995" s="409">
        <v>45849.0</v>
      </c>
      <c r="B995" s="102">
        <v>2025.0</v>
      </c>
      <c r="C995" s="410" t="s">
        <v>1677</v>
      </c>
      <c r="D995" s="102" t="s">
        <v>702</v>
      </c>
      <c r="E995" s="102" t="s">
        <v>465</v>
      </c>
      <c r="F995" s="102" t="s">
        <v>703</v>
      </c>
      <c r="G995" s="102" t="s">
        <v>715</v>
      </c>
      <c r="H995" s="360">
        <v>350.0</v>
      </c>
      <c r="I995" s="411" t="b">
        <v>0</v>
      </c>
      <c r="J995" s="102" t="s">
        <v>472</v>
      </c>
      <c r="K995" s="360">
        <v>0.0</v>
      </c>
      <c r="L995" s="360">
        <v>350.0</v>
      </c>
      <c r="M995" s="102" t="s">
        <v>1120</v>
      </c>
      <c r="N995" s="102" t="s">
        <v>1715</v>
      </c>
    </row>
    <row r="996">
      <c r="A996" s="412">
        <v>45849.0</v>
      </c>
      <c r="B996" s="413">
        <v>2025.0</v>
      </c>
      <c r="C996" s="414" t="s">
        <v>1677</v>
      </c>
      <c r="D996" s="413" t="s">
        <v>723</v>
      </c>
      <c r="E996" s="413" t="s">
        <v>137</v>
      </c>
      <c r="F996" s="413" t="s">
        <v>711</v>
      </c>
      <c r="G996" s="413" t="s">
        <v>734</v>
      </c>
      <c r="H996" s="415">
        <v>140.0</v>
      </c>
      <c r="I996" s="416" t="b">
        <v>0</v>
      </c>
      <c r="J996" s="413" t="s">
        <v>472</v>
      </c>
      <c r="K996" s="415">
        <v>0.0</v>
      </c>
      <c r="L996" s="415">
        <v>140.0</v>
      </c>
      <c r="M996" s="413" t="s">
        <v>1120</v>
      </c>
      <c r="N996" s="413" t="s">
        <v>1716</v>
      </c>
    </row>
    <row r="997">
      <c r="A997" s="409">
        <v>45849.0</v>
      </c>
      <c r="B997" s="102">
        <v>2025.0</v>
      </c>
      <c r="C997" s="410" t="s">
        <v>1677</v>
      </c>
      <c r="D997" s="102" t="s">
        <v>710</v>
      </c>
      <c r="E997" s="102" t="s">
        <v>137</v>
      </c>
      <c r="F997" s="102" t="s">
        <v>703</v>
      </c>
      <c r="G997" s="102" t="s">
        <v>906</v>
      </c>
      <c r="H997" s="360">
        <v>1000.0</v>
      </c>
      <c r="I997" s="411" t="b">
        <v>0</v>
      </c>
      <c r="J997" s="102" t="s">
        <v>472</v>
      </c>
      <c r="K997" s="360">
        <v>0.0</v>
      </c>
      <c r="L997" s="360">
        <v>1000.0</v>
      </c>
      <c r="M997" s="102" t="s">
        <v>1120</v>
      </c>
      <c r="N997" s="102" t="s">
        <v>1717</v>
      </c>
    </row>
    <row r="998">
      <c r="A998" s="412">
        <v>45849.0</v>
      </c>
      <c r="B998" s="413">
        <v>2025.0</v>
      </c>
      <c r="C998" s="414" t="s">
        <v>1677</v>
      </c>
      <c r="D998" s="413" t="s">
        <v>702</v>
      </c>
      <c r="E998" s="413" t="s">
        <v>465</v>
      </c>
      <c r="F998" s="413" t="s">
        <v>711</v>
      </c>
      <c r="G998" s="413" t="s">
        <v>730</v>
      </c>
      <c r="H998" s="415">
        <v>27.0</v>
      </c>
      <c r="I998" s="416" t="b">
        <v>0</v>
      </c>
      <c r="J998" s="413" t="s">
        <v>472</v>
      </c>
      <c r="K998" s="415">
        <v>3.7241379310344804</v>
      </c>
      <c r="L998" s="415">
        <v>23.27586206896552</v>
      </c>
      <c r="M998" s="413" t="s">
        <v>1120</v>
      </c>
      <c r="N998" s="413" t="s">
        <v>1718</v>
      </c>
    </row>
    <row r="999">
      <c r="A999" s="409">
        <v>45849.0</v>
      </c>
      <c r="B999" s="102">
        <v>2025.0</v>
      </c>
      <c r="C999" s="410" t="s">
        <v>1677</v>
      </c>
      <c r="D999" s="102" t="s">
        <v>702</v>
      </c>
      <c r="E999" s="102" t="s">
        <v>465</v>
      </c>
      <c r="F999" s="102" t="s">
        <v>703</v>
      </c>
      <c r="G999" s="102" t="s">
        <v>724</v>
      </c>
      <c r="H999" s="360">
        <v>995.0</v>
      </c>
      <c r="I999" s="411" t="b">
        <v>1</v>
      </c>
      <c r="J999" s="102" t="s">
        <v>472</v>
      </c>
      <c r="K999" s="360">
        <v>0.0</v>
      </c>
      <c r="L999" s="360">
        <v>0.0</v>
      </c>
      <c r="M999" s="102" t="s">
        <v>1120</v>
      </c>
      <c r="N999" s="102" t="s">
        <v>1719</v>
      </c>
    </row>
    <row r="1000">
      <c r="A1000" s="412">
        <v>45849.0</v>
      </c>
      <c r="B1000" s="413">
        <v>2025.0</v>
      </c>
      <c r="C1000" s="414" t="s">
        <v>1677</v>
      </c>
      <c r="D1000" s="413" t="s">
        <v>710</v>
      </c>
      <c r="E1000" s="413" t="s">
        <v>137</v>
      </c>
      <c r="F1000" s="413" t="s">
        <v>711</v>
      </c>
      <c r="G1000" s="413" t="s">
        <v>724</v>
      </c>
      <c r="H1000" s="415">
        <v>995.0</v>
      </c>
      <c r="I1000" s="416" t="b">
        <v>1</v>
      </c>
      <c r="J1000" s="413" t="s">
        <v>472</v>
      </c>
      <c r="K1000" s="415">
        <v>0.0</v>
      </c>
      <c r="L1000" s="415">
        <v>0.0</v>
      </c>
      <c r="M1000" s="413" t="s">
        <v>1120</v>
      </c>
      <c r="N1000" s="413" t="s">
        <v>1719</v>
      </c>
    </row>
    <row r="1001">
      <c r="A1001" s="409">
        <v>45849.0</v>
      </c>
      <c r="B1001" s="102">
        <v>2025.0</v>
      </c>
      <c r="C1001" s="410" t="s">
        <v>1677</v>
      </c>
      <c r="D1001" s="102" t="s">
        <v>710</v>
      </c>
      <c r="E1001" s="102" t="s">
        <v>137</v>
      </c>
      <c r="F1001" s="102" t="s">
        <v>711</v>
      </c>
      <c r="G1001" s="102" t="s">
        <v>724</v>
      </c>
      <c r="H1001" s="360">
        <v>1250.0</v>
      </c>
      <c r="I1001" s="411" t="b">
        <v>1</v>
      </c>
      <c r="J1001" s="102" t="s">
        <v>472</v>
      </c>
      <c r="K1001" s="360">
        <v>0.0</v>
      </c>
      <c r="L1001" s="360">
        <v>0.0</v>
      </c>
      <c r="M1001" s="102" t="s">
        <v>1120</v>
      </c>
      <c r="N1001" s="102" t="s">
        <v>1720</v>
      </c>
    </row>
    <row r="1002">
      <c r="A1002" s="412">
        <v>45849.0</v>
      </c>
      <c r="B1002" s="413">
        <v>2025.0</v>
      </c>
      <c r="C1002" s="414" t="s">
        <v>1677</v>
      </c>
      <c r="D1002" s="413" t="s">
        <v>723</v>
      </c>
      <c r="E1002" s="413" t="s">
        <v>137</v>
      </c>
      <c r="F1002" s="413" t="s">
        <v>703</v>
      </c>
      <c r="G1002" s="413" t="s">
        <v>724</v>
      </c>
      <c r="H1002" s="415">
        <v>1250.0</v>
      </c>
      <c r="I1002" s="416" t="b">
        <v>1</v>
      </c>
      <c r="J1002" s="413" t="s">
        <v>472</v>
      </c>
      <c r="K1002" s="415">
        <v>0.0</v>
      </c>
      <c r="L1002" s="415">
        <v>0.0</v>
      </c>
      <c r="M1002" s="413" t="s">
        <v>1120</v>
      </c>
      <c r="N1002" s="413" t="s">
        <v>1720</v>
      </c>
    </row>
    <row r="1003">
      <c r="A1003" s="409">
        <v>45849.0</v>
      </c>
      <c r="B1003" s="102">
        <v>2025.0</v>
      </c>
      <c r="C1003" s="410" t="s">
        <v>1677</v>
      </c>
      <c r="D1003" s="102" t="s">
        <v>710</v>
      </c>
      <c r="E1003" s="102" t="s">
        <v>137</v>
      </c>
      <c r="F1003" s="102" t="s">
        <v>711</v>
      </c>
      <c r="G1003" s="102" t="s">
        <v>730</v>
      </c>
      <c r="H1003" s="360">
        <v>25.0</v>
      </c>
      <c r="I1003" s="411" t="b">
        <v>0</v>
      </c>
      <c r="J1003" s="102" t="s">
        <v>472</v>
      </c>
      <c r="K1003" s="360">
        <v>0.0</v>
      </c>
      <c r="L1003" s="360">
        <v>25.0</v>
      </c>
      <c r="M1003" s="102" t="s">
        <v>1120</v>
      </c>
      <c r="N1003" s="102" t="s">
        <v>1721</v>
      </c>
    </row>
    <row r="1004">
      <c r="A1004" s="412">
        <v>45849.0</v>
      </c>
      <c r="B1004" s="413">
        <v>2025.0</v>
      </c>
      <c r="C1004" s="414" t="s">
        <v>1677</v>
      </c>
      <c r="D1004" s="413" t="s">
        <v>710</v>
      </c>
      <c r="E1004" s="413" t="s">
        <v>137</v>
      </c>
      <c r="F1004" s="413" t="s">
        <v>703</v>
      </c>
      <c r="G1004" s="413" t="s">
        <v>724</v>
      </c>
      <c r="H1004" s="415">
        <v>1000.0</v>
      </c>
      <c r="I1004" s="416" t="b">
        <v>1</v>
      </c>
      <c r="J1004" s="413" t="s">
        <v>472</v>
      </c>
      <c r="K1004" s="415">
        <v>0.0</v>
      </c>
      <c r="L1004" s="415">
        <v>0.0</v>
      </c>
      <c r="M1004" s="413" t="s">
        <v>1120</v>
      </c>
      <c r="N1004" s="413" t="s">
        <v>1722</v>
      </c>
    </row>
    <row r="1005">
      <c r="A1005" s="409">
        <v>45849.0</v>
      </c>
      <c r="B1005" s="102">
        <v>2025.0</v>
      </c>
      <c r="C1005" s="410" t="s">
        <v>1677</v>
      </c>
      <c r="D1005" s="102" t="s">
        <v>702</v>
      </c>
      <c r="E1005" s="102" t="s">
        <v>465</v>
      </c>
      <c r="F1005" s="102" t="s">
        <v>711</v>
      </c>
      <c r="G1005" s="102" t="s">
        <v>724</v>
      </c>
      <c r="H1005" s="360">
        <v>1000.0</v>
      </c>
      <c r="I1005" s="411" t="b">
        <v>1</v>
      </c>
      <c r="J1005" s="102" t="s">
        <v>472</v>
      </c>
      <c r="K1005" s="360">
        <v>0.0</v>
      </c>
      <c r="L1005" s="360">
        <v>0.0</v>
      </c>
      <c r="M1005" s="102" t="s">
        <v>1120</v>
      </c>
      <c r="N1005" s="102" t="s">
        <v>1722</v>
      </c>
    </row>
    <row r="1006">
      <c r="A1006" s="412">
        <v>45855.0</v>
      </c>
      <c r="B1006" s="413">
        <v>2025.0</v>
      </c>
      <c r="C1006" s="414" t="s">
        <v>1677</v>
      </c>
      <c r="D1006" s="413" t="s">
        <v>723</v>
      </c>
      <c r="E1006" s="413" t="s">
        <v>137</v>
      </c>
      <c r="F1006" s="413" t="s">
        <v>711</v>
      </c>
      <c r="G1006" s="413" t="s">
        <v>734</v>
      </c>
      <c r="H1006" s="415">
        <v>200.0</v>
      </c>
      <c r="I1006" s="416" t="b">
        <v>0</v>
      </c>
      <c r="J1006" s="413" t="s">
        <v>1415</v>
      </c>
      <c r="K1006" s="415">
        <v>0.0</v>
      </c>
      <c r="L1006" s="415">
        <v>200.0</v>
      </c>
      <c r="M1006" s="413" t="s">
        <v>1120</v>
      </c>
      <c r="N1006" s="413" t="s">
        <v>1723</v>
      </c>
    </row>
    <row r="1007">
      <c r="A1007" s="409">
        <v>45855.0</v>
      </c>
      <c r="B1007" s="102">
        <v>2025.0</v>
      </c>
      <c r="C1007" s="410" t="s">
        <v>1677</v>
      </c>
      <c r="D1007" s="102" t="s">
        <v>723</v>
      </c>
      <c r="E1007" s="102" t="s">
        <v>137</v>
      </c>
      <c r="F1007" s="102" t="s">
        <v>711</v>
      </c>
      <c r="G1007" s="102" t="s">
        <v>715</v>
      </c>
      <c r="H1007" s="360">
        <v>40.0</v>
      </c>
      <c r="I1007" s="411" t="b">
        <v>0</v>
      </c>
      <c r="J1007" s="102" t="s">
        <v>472</v>
      </c>
      <c r="K1007" s="360">
        <v>0.0</v>
      </c>
      <c r="L1007" s="360">
        <v>40.0</v>
      </c>
      <c r="M1007" s="102" t="s">
        <v>1120</v>
      </c>
      <c r="N1007" s="102" t="s">
        <v>1724</v>
      </c>
    </row>
    <row r="1008">
      <c r="A1008" s="412">
        <v>45855.0</v>
      </c>
      <c r="B1008" s="413">
        <v>2025.0</v>
      </c>
      <c r="C1008" s="414" t="s">
        <v>1677</v>
      </c>
      <c r="D1008" s="413" t="s">
        <v>723</v>
      </c>
      <c r="E1008" s="413" t="s">
        <v>137</v>
      </c>
      <c r="F1008" s="413" t="s">
        <v>711</v>
      </c>
      <c r="G1008" s="413" t="s">
        <v>767</v>
      </c>
      <c r="H1008" s="415">
        <v>1320.0</v>
      </c>
      <c r="I1008" s="416" t="b">
        <v>0</v>
      </c>
      <c r="J1008" s="413" t="s">
        <v>1216</v>
      </c>
      <c r="K1008" s="415">
        <v>0.0</v>
      </c>
      <c r="L1008" s="415">
        <v>1320.0</v>
      </c>
      <c r="M1008" s="413" t="s">
        <v>1120</v>
      </c>
      <c r="N1008" s="413" t="s">
        <v>1725</v>
      </c>
    </row>
    <row r="1009">
      <c r="A1009" s="409">
        <v>45855.0</v>
      </c>
      <c r="B1009" s="102">
        <v>2025.0</v>
      </c>
      <c r="C1009" s="410" t="s">
        <v>1677</v>
      </c>
      <c r="D1009" s="102" t="s">
        <v>702</v>
      </c>
      <c r="E1009" s="102" t="s">
        <v>465</v>
      </c>
      <c r="F1009" s="102" t="s">
        <v>711</v>
      </c>
      <c r="G1009" s="102" t="s">
        <v>767</v>
      </c>
      <c r="H1009" s="360">
        <v>550.0</v>
      </c>
      <c r="I1009" s="411" t="b">
        <v>0</v>
      </c>
      <c r="J1009" s="102" t="s">
        <v>1726</v>
      </c>
      <c r="K1009" s="360">
        <v>75.86206896551721</v>
      </c>
      <c r="L1009" s="360">
        <v>474.1379310344828</v>
      </c>
      <c r="M1009" s="102" t="s">
        <v>1120</v>
      </c>
      <c r="N1009" s="102" t="s">
        <v>1727</v>
      </c>
    </row>
    <row r="1010">
      <c r="A1010" s="412">
        <v>45855.0</v>
      </c>
      <c r="B1010" s="413">
        <v>2025.0</v>
      </c>
      <c r="C1010" s="414" t="s">
        <v>1677</v>
      </c>
      <c r="D1010" s="413" t="s">
        <v>702</v>
      </c>
      <c r="E1010" s="413" t="s">
        <v>465</v>
      </c>
      <c r="F1010" s="413" t="s">
        <v>711</v>
      </c>
      <c r="G1010" s="413" t="s">
        <v>767</v>
      </c>
      <c r="H1010" s="415">
        <v>1050.0</v>
      </c>
      <c r="I1010" s="416" t="b">
        <v>0</v>
      </c>
      <c r="J1010" s="413" t="s">
        <v>1224</v>
      </c>
      <c r="K1010" s="415">
        <v>144.8275862068965</v>
      </c>
      <c r="L1010" s="415">
        <v>905.1724137931035</v>
      </c>
      <c r="M1010" s="413" t="s">
        <v>1120</v>
      </c>
      <c r="N1010" s="413" t="s">
        <v>1728</v>
      </c>
    </row>
    <row r="1011">
      <c r="A1011" s="409">
        <v>45855.0</v>
      </c>
      <c r="B1011" s="102">
        <v>2025.0</v>
      </c>
      <c r="C1011" s="410" t="s">
        <v>1677</v>
      </c>
      <c r="D1011" s="102" t="s">
        <v>702</v>
      </c>
      <c r="E1011" s="102" t="s">
        <v>465</v>
      </c>
      <c r="F1011" s="102" t="s">
        <v>703</v>
      </c>
      <c r="G1011" s="102" t="s">
        <v>724</v>
      </c>
      <c r="H1011" s="360">
        <v>260.0</v>
      </c>
      <c r="I1011" s="411" t="b">
        <v>1</v>
      </c>
      <c r="J1011" s="102" t="s">
        <v>472</v>
      </c>
      <c r="K1011" s="360">
        <v>0.0</v>
      </c>
      <c r="L1011" s="360">
        <v>0.0</v>
      </c>
      <c r="M1011" s="102" t="s">
        <v>1120</v>
      </c>
      <c r="N1011" s="102" t="s">
        <v>1729</v>
      </c>
    </row>
    <row r="1012">
      <c r="A1012" s="412">
        <v>45855.0</v>
      </c>
      <c r="B1012" s="413">
        <v>2025.0</v>
      </c>
      <c r="C1012" s="414" t="s">
        <v>1677</v>
      </c>
      <c r="D1012" s="413" t="s">
        <v>710</v>
      </c>
      <c r="E1012" s="413" t="s">
        <v>137</v>
      </c>
      <c r="F1012" s="413" t="s">
        <v>711</v>
      </c>
      <c r="G1012" s="413" t="s">
        <v>724</v>
      </c>
      <c r="H1012" s="415">
        <v>260.0</v>
      </c>
      <c r="I1012" s="416" t="b">
        <v>1</v>
      </c>
      <c r="J1012" s="413" t="s">
        <v>472</v>
      </c>
      <c r="K1012" s="415">
        <v>0.0</v>
      </c>
      <c r="L1012" s="415">
        <v>0.0</v>
      </c>
      <c r="M1012" s="413" t="s">
        <v>1120</v>
      </c>
      <c r="N1012" s="413" t="s">
        <v>1729</v>
      </c>
    </row>
    <row r="1013">
      <c r="A1013" s="409">
        <v>45855.0</v>
      </c>
      <c r="B1013" s="102">
        <v>2025.0</v>
      </c>
      <c r="C1013" s="410" t="s">
        <v>1677</v>
      </c>
      <c r="D1013" s="102" t="s">
        <v>702</v>
      </c>
      <c r="E1013" s="102" t="s">
        <v>465</v>
      </c>
      <c r="F1013" s="102" t="s">
        <v>711</v>
      </c>
      <c r="G1013" s="102" t="s">
        <v>734</v>
      </c>
      <c r="H1013" s="360">
        <v>1450.0</v>
      </c>
      <c r="I1013" s="411" t="b">
        <v>0</v>
      </c>
      <c r="J1013" s="102" t="s">
        <v>1730</v>
      </c>
      <c r="K1013" s="360">
        <v>200.0</v>
      </c>
      <c r="L1013" s="360">
        <v>1250.0</v>
      </c>
      <c r="M1013" s="102" t="s">
        <v>1120</v>
      </c>
      <c r="N1013" s="102" t="s">
        <v>1731</v>
      </c>
    </row>
    <row r="1014">
      <c r="A1014" s="412">
        <v>45855.0</v>
      </c>
      <c r="B1014" s="413">
        <v>2025.0</v>
      </c>
      <c r="C1014" s="414" t="s">
        <v>1677</v>
      </c>
      <c r="D1014" s="413" t="s">
        <v>702</v>
      </c>
      <c r="E1014" s="413" t="s">
        <v>465</v>
      </c>
      <c r="F1014" s="413" t="s">
        <v>703</v>
      </c>
      <c r="G1014" s="413" t="s">
        <v>715</v>
      </c>
      <c r="H1014" s="415">
        <v>2500.0</v>
      </c>
      <c r="I1014" s="416" t="b">
        <v>0</v>
      </c>
      <c r="J1014" s="413" t="s">
        <v>1505</v>
      </c>
      <c r="K1014" s="415">
        <v>0.0</v>
      </c>
      <c r="L1014" s="415">
        <v>2500.0</v>
      </c>
      <c r="M1014" s="413" t="s">
        <v>1120</v>
      </c>
      <c r="N1014" s="413" t="s">
        <v>1732</v>
      </c>
    </row>
    <row r="1015">
      <c r="A1015" s="409">
        <v>45857.0</v>
      </c>
      <c r="B1015" s="102">
        <v>2025.0</v>
      </c>
      <c r="C1015" s="410" t="s">
        <v>1677</v>
      </c>
      <c r="D1015" s="102" t="s">
        <v>702</v>
      </c>
      <c r="E1015" s="102" t="s">
        <v>465</v>
      </c>
      <c r="F1015" s="102" t="s">
        <v>711</v>
      </c>
      <c r="G1015" s="102" t="s">
        <v>734</v>
      </c>
      <c r="H1015" s="360">
        <v>160.0</v>
      </c>
      <c r="I1015" s="411" t="b">
        <v>0</v>
      </c>
      <c r="J1015" s="102" t="s">
        <v>1415</v>
      </c>
      <c r="K1015" s="360">
        <v>22.068965517241367</v>
      </c>
      <c r="L1015" s="360">
        <v>137.93103448275863</v>
      </c>
      <c r="M1015" s="102" t="s">
        <v>1120</v>
      </c>
      <c r="N1015" s="102" t="s">
        <v>1733</v>
      </c>
    </row>
    <row r="1016">
      <c r="A1016" s="412">
        <v>45857.0</v>
      </c>
      <c r="B1016" s="413">
        <v>2025.0</v>
      </c>
      <c r="C1016" s="414" t="s">
        <v>1677</v>
      </c>
      <c r="D1016" s="413" t="s">
        <v>702</v>
      </c>
      <c r="E1016" s="413" t="s">
        <v>465</v>
      </c>
      <c r="F1016" s="413" t="s">
        <v>711</v>
      </c>
      <c r="G1016" s="413" t="s">
        <v>767</v>
      </c>
      <c r="H1016" s="415">
        <v>1150.0</v>
      </c>
      <c r="I1016" s="416" t="b">
        <v>0</v>
      </c>
      <c r="J1016" s="413" t="s">
        <v>1197</v>
      </c>
      <c r="K1016" s="415">
        <v>158.62068965517233</v>
      </c>
      <c r="L1016" s="415">
        <v>991.3793103448277</v>
      </c>
      <c r="M1016" s="413" t="s">
        <v>1120</v>
      </c>
      <c r="N1016" s="413" t="s">
        <v>1734</v>
      </c>
    </row>
    <row r="1017">
      <c r="A1017" s="409">
        <v>45857.0</v>
      </c>
      <c r="B1017" s="102">
        <v>2025.0</v>
      </c>
      <c r="C1017" s="410" t="s">
        <v>1677</v>
      </c>
      <c r="D1017" s="102" t="s">
        <v>702</v>
      </c>
      <c r="E1017" s="102" t="s">
        <v>465</v>
      </c>
      <c r="F1017" s="102" t="s">
        <v>711</v>
      </c>
      <c r="G1017" s="102" t="s">
        <v>734</v>
      </c>
      <c r="H1017" s="360">
        <v>180.0</v>
      </c>
      <c r="I1017" s="411" t="b">
        <v>0</v>
      </c>
      <c r="J1017" s="102" t="s">
        <v>1483</v>
      </c>
      <c r="K1017" s="360">
        <v>24.82758620689654</v>
      </c>
      <c r="L1017" s="360">
        <v>155.17241379310346</v>
      </c>
      <c r="M1017" s="102" t="s">
        <v>1120</v>
      </c>
      <c r="N1017" s="102" t="s">
        <v>1735</v>
      </c>
    </row>
    <row r="1018">
      <c r="A1018" s="412">
        <v>45860.0</v>
      </c>
      <c r="B1018" s="413">
        <v>2025.0</v>
      </c>
      <c r="C1018" s="414" t="s">
        <v>1677</v>
      </c>
      <c r="D1018" s="413" t="s">
        <v>710</v>
      </c>
      <c r="E1018" s="413" t="s">
        <v>137</v>
      </c>
      <c r="F1018" s="413" t="s">
        <v>703</v>
      </c>
      <c r="G1018" s="413" t="s">
        <v>715</v>
      </c>
      <c r="H1018" s="415">
        <v>500.0</v>
      </c>
      <c r="I1018" s="416" t="b">
        <v>0</v>
      </c>
      <c r="J1018" s="413" t="s">
        <v>472</v>
      </c>
      <c r="K1018" s="415">
        <v>0.0</v>
      </c>
      <c r="L1018" s="415">
        <v>500.0</v>
      </c>
      <c r="M1018" s="413" t="s">
        <v>1120</v>
      </c>
      <c r="N1018" s="413" t="s">
        <v>1736</v>
      </c>
    </row>
    <row r="1019">
      <c r="A1019" s="409">
        <v>45860.0</v>
      </c>
      <c r="B1019" s="102">
        <v>2025.0</v>
      </c>
      <c r="C1019" s="410" t="s">
        <v>1677</v>
      </c>
      <c r="D1019" s="102" t="s">
        <v>710</v>
      </c>
      <c r="E1019" s="102" t="s">
        <v>137</v>
      </c>
      <c r="F1019" s="102" t="s">
        <v>703</v>
      </c>
      <c r="G1019" s="102" t="s">
        <v>715</v>
      </c>
      <c r="H1019" s="360">
        <v>92.0</v>
      </c>
      <c r="I1019" s="411" t="b">
        <v>0</v>
      </c>
      <c r="J1019" s="102" t="s">
        <v>472</v>
      </c>
      <c r="K1019" s="360">
        <v>0.0</v>
      </c>
      <c r="L1019" s="360">
        <v>92.0</v>
      </c>
      <c r="M1019" s="102" t="s">
        <v>1120</v>
      </c>
      <c r="N1019" s="102" t="s">
        <v>1737</v>
      </c>
    </row>
    <row r="1020">
      <c r="A1020" s="412">
        <v>45866.0</v>
      </c>
      <c r="B1020" s="413">
        <v>2025.0</v>
      </c>
      <c r="C1020" s="414" t="s">
        <v>1677</v>
      </c>
      <c r="D1020" s="413" t="s">
        <v>710</v>
      </c>
      <c r="E1020" s="413" t="s">
        <v>137</v>
      </c>
      <c r="F1020" s="413" t="s">
        <v>703</v>
      </c>
      <c r="G1020" s="413" t="s">
        <v>715</v>
      </c>
      <c r="H1020" s="415">
        <v>500.0</v>
      </c>
      <c r="I1020" s="416" t="b">
        <v>0</v>
      </c>
      <c r="J1020" s="413" t="s">
        <v>472</v>
      </c>
      <c r="K1020" s="415">
        <v>0.0</v>
      </c>
      <c r="L1020" s="415">
        <v>500.0</v>
      </c>
      <c r="M1020" s="413" t="s">
        <v>1120</v>
      </c>
      <c r="N1020" s="413" t="s">
        <v>1738</v>
      </c>
    </row>
    <row r="1021">
      <c r="A1021" s="409">
        <v>45866.0</v>
      </c>
      <c r="B1021" s="102">
        <v>2025.0</v>
      </c>
      <c r="C1021" s="410" t="s">
        <v>1677</v>
      </c>
      <c r="D1021" s="102" t="s">
        <v>723</v>
      </c>
      <c r="E1021" s="102" t="s">
        <v>137</v>
      </c>
      <c r="F1021" s="102" t="s">
        <v>711</v>
      </c>
      <c r="G1021" s="102" t="s">
        <v>734</v>
      </c>
      <c r="H1021" s="360">
        <v>180.0</v>
      </c>
      <c r="I1021" s="411" t="b">
        <v>0</v>
      </c>
      <c r="J1021" s="102" t="s">
        <v>472</v>
      </c>
      <c r="K1021" s="360">
        <v>0.0</v>
      </c>
      <c r="L1021" s="360">
        <v>180.0</v>
      </c>
      <c r="M1021" s="102" t="s">
        <v>1120</v>
      </c>
      <c r="N1021" s="102" t="s">
        <v>1739</v>
      </c>
    </row>
    <row r="1022">
      <c r="A1022" s="412">
        <v>45866.0</v>
      </c>
      <c r="B1022" s="413">
        <v>2025.0</v>
      </c>
      <c r="C1022" s="414" t="s">
        <v>1677</v>
      </c>
      <c r="D1022" s="413" t="s">
        <v>702</v>
      </c>
      <c r="E1022" s="413" t="s">
        <v>465</v>
      </c>
      <c r="F1022" s="413" t="s">
        <v>711</v>
      </c>
      <c r="G1022" s="413" t="s">
        <v>734</v>
      </c>
      <c r="H1022" s="415">
        <v>360.0</v>
      </c>
      <c r="I1022" s="416" t="b">
        <v>0</v>
      </c>
      <c r="J1022" s="413" t="s">
        <v>1415</v>
      </c>
      <c r="K1022" s="415">
        <v>49.65517241379308</v>
      </c>
      <c r="L1022" s="415">
        <v>310.3448275862069</v>
      </c>
      <c r="M1022" s="413" t="s">
        <v>1120</v>
      </c>
      <c r="N1022" s="413" t="s">
        <v>1740</v>
      </c>
    </row>
    <row r="1023">
      <c r="A1023" s="409">
        <v>45866.0</v>
      </c>
      <c r="B1023" s="102">
        <v>2025.0</v>
      </c>
      <c r="C1023" s="410" t="s">
        <v>1677</v>
      </c>
      <c r="D1023" s="102" t="s">
        <v>702</v>
      </c>
      <c r="E1023" s="102" t="s">
        <v>465</v>
      </c>
      <c r="F1023" s="102" t="s">
        <v>711</v>
      </c>
      <c r="G1023" s="102" t="s">
        <v>734</v>
      </c>
      <c r="H1023" s="360">
        <v>180.0</v>
      </c>
      <c r="I1023" s="411" t="b">
        <v>0</v>
      </c>
      <c r="J1023" s="102" t="s">
        <v>1190</v>
      </c>
      <c r="K1023" s="360">
        <v>24.82758620689654</v>
      </c>
      <c r="L1023" s="360">
        <v>155.17241379310346</v>
      </c>
      <c r="M1023" s="102" t="s">
        <v>1120</v>
      </c>
      <c r="N1023" s="102" t="s">
        <v>1741</v>
      </c>
    </row>
    <row r="1024">
      <c r="A1024" s="412">
        <v>45866.0</v>
      </c>
      <c r="B1024" s="413">
        <v>2025.0</v>
      </c>
      <c r="C1024" s="414" t="s">
        <v>1677</v>
      </c>
      <c r="D1024" s="413" t="s">
        <v>702</v>
      </c>
      <c r="E1024" s="413" t="s">
        <v>465</v>
      </c>
      <c r="F1024" s="413" t="s">
        <v>711</v>
      </c>
      <c r="G1024" s="413" t="s">
        <v>767</v>
      </c>
      <c r="H1024" s="415">
        <v>950.0</v>
      </c>
      <c r="I1024" s="416" t="b">
        <v>0</v>
      </c>
      <c r="J1024" s="413" t="s">
        <v>1246</v>
      </c>
      <c r="K1024" s="415">
        <v>131.03448275862058</v>
      </c>
      <c r="L1024" s="415">
        <v>818.9655172413794</v>
      </c>
      <c r="M1024" s="413" t="s">
        <v>1120</v>
      </c>
      <c r="N1024" s="413" t="s">
        <v>1742</v>
      </c>
    </row>
    <row r="1025">
      <c r="A1025" s="409">
        <v>45869.0</v>
      </c>
      <c r="B1025" s="102">
        <v>2025.0</v>
      </c>
      <c r="C1025" s="410" t="s">
        <v>1677</v>
      </c>
      <c r="D1025" s="102" t="s">
        <v>710</v>
      </c>
      <c r="E1025" s="102" t="s">
        <v>137</v>
      </c>
      <c r="F1025" s="102" t="s">
        <v>703</v>
      </c>
      <c r="G1025" s="102" t="s">
        <v>1657</v>
      </c>
      <c r="H1025" s="360">
        <v>100.0</v>
      </c>
      <c r="I1025" s="411" t="b">
        <v>0</v>
      </c>
      <c r="J1025" s="102" t="s">
        <v>472</v>
      </c>
      <c r="K1025" s="360">
        <v>0.0</v>
      </c>
      <c r="L1025" s="360">
        <v>100.0</v>
      </c>
      <c r="M1025" s="102" t="s">
        <v>1120</v>
      </c>
      <c r="N1025" s="102" t="s">
        <v>1743</v>
      </c>
    </row>
    <row r="1026">
      <c r="A1026" s="412">
        <v>45869.0</v>
      </c>
      <c r="B1026" s="413">
        <v>2025.0</v>
      </c>
      <c r="C1026" s="414" t="s">
        <v>1677</v>
      </c>
      <c r="D1026" s="413" t="s">
        <v>710</v>
      </c>
      <c r="E1026" s="413" t="s">
        <v>137</v>
      </c>
      <c r="F1026" s="413" t="s">
        <v>711</v>
      </c>
      <c r="G1026" s="413" t="s">
        <v>715</v>
      </c>
      <c r="H1026" s="415">
        <v>7.0</v>
      </c>
      <c r="I1026" s="416" t="b">
        <v>0</v>
      </c>
      <c r="J1026" s="413" t="s">
        <v>472</v>
      </c>
      <c r="K1026" s="415">
        <v>0.0</v>
      </c>
      <c r="L1026" s="415">
        <v>7.0</v>
      </c>
      <c r="M1026" s="413" t="s">
        <v>1120</v>
      </c>
      <c r="N1026" s="413" t="s">
        <v>1743</v>
      </c>
    </row>
    <row r="1027">
      <c r="A1027" s="409">
        <v>45869.0</v>
      </c>
      <c r="B1027" s="102">
        <v>2025.0</v>
      </c>
      <c r="C1027" s="410" t="s">
        <v>1677</v>
      </c>
      <c r="D1027" s="102" t="s">
        <v>702</v>
      </c>
      <c r="E1027" s="102" t="s">
        <v>465</v>
      </c>
      <c r="F1027" s="102" t="s">
        <v>703</v>
      </c>
      <c r="G1027" s="102" t="s">
        <v>732</v>
      </c>
      <c r="H1027" s="360">
        <v>2052.0</v>
      </c>
      <c r="I1027" s="411" t="b">
        <v>0</v>
      </c>
      <c r="J1027" s="102" t="s">
        <v>1744</v>
      </c>
      <c r="K1027" s="360">
        <v>0.0</v>
      </c>
      <c r="L1027" s="360">
        <v>2052.0</v>
      </c>
      <c r="M1027" s="102" t="s">
        <v>1120</v>
      </c>
      <c r="N1027" s="102" t="s">
        <v>1745</v>
      </c>
    </row>
    <row r="1028">
      <c r="A1028" s="412">
        <v>45869.0</v>
      </c>
      <c r="B1028" s="413">
        <v>2025.0</v>
      </c>
      <c r="C1028" s="414" t="s">
        <v>1677</v>
      </c>
      <c r="D1028" s="413" t="s">
        <v>702</v>
      </c>
      <c r="E1028" s="413" t="s">
        <v>465</v>
      </c>
      <c r="F1028" s="413" t="s">
        <v>703</v>
      </c>
      <c r="G1028" s="413" t="s">
        <v>715</v>
      </c>
      <c r="H1028" s="415">
        <v>494.0</v>
      </c>
      <c r="I1028" s="416" t="b">
        <v>0</v>
      </c>
      <c r="J1028" s="413" t="s">
        <v>1746</v>
      </c>
      <c r="K1028" s="415">
        <v>0.0</v>
      </c>
      <c r="L1028" s="415">
        <v>494.0</v>
      </c>
      <c r="M1028" s="413" t="s">
        <v>1120</v>
      </c>
      <c r="N1028" s="413" t="s">
        <v>1745</v>
      </c>
    </row>
    <row r="1029">
      <c r="A1029" s="409">
        <v>45869.0</v>
      </c>
      <c r="B1029" s="102">
        <v>2025.0</v>
      </c>
      <c r="C1029" s="410" t="s">
        <v>1677</v>
      </c>
      <c r="D1029" s="102" t="s">
        <v>702</v>
      </c>
      <c r="E1029" s="102" t="s">
        <v>465</v>
      </c>
      <c r="F1029" s="102" t="s">
        <v>703</v>
      </c>
      <c r="G1029" s="102" t="s">
        <v>732</v>
      </c>
      <c r="H1029" s="360">
        <v>432.0</v>
      </c>
      <c r="I1029" s="411" t="b">
        <v>0</v>
      </c>
      <c r="J1029" s="102" t="s">
        <v>1747</v>
      </c>
      <c r="K1029" s="360">
        <v>0.0</v>
      </c>
      <c r="L1029" s="360">
        <v>432.0</v>
      </c>
      <c r="M1029" s="102" t="s">
        <v>1120</v>
      </c>
      <c r="N1029" s="102" t="s">
        <v>1745</v>
      </c>
    </row>
    <row r="1030">
      <c r="A1030" s="412">
        <v>45869.0</v>
      </c>
      <c r="B1030" s="413">
        <v>2025.0</v>
      </c>
      <c r="C1030" s="414" t="s">
        <v>1677</v>
      </c>
      <c r="D1030" s="413" t="s">
        <v>710</v>
      </c>
      <c r="E1030" s="413" t="s">
        <v>137</v>
      </c>
      <c r="F1030" s="413" t="s">
        <v>711</v>
      </c>
      <c r="G1030" s="413" t="s">
        <v>724</v>
      </c>
      <c r="H1030" s="415">
        <v>1740.0</v>
      </c>
      <c r="I1030" s="416" t="b">
        <v>1</v>
      </c>
      <c r="J1030" s="413" t="s">
        <v>472</v>
      </c>
      <c r="K1030" s="415">
        <v>0.0</v>
      </c>
      <c r="L1030" s="415">
        <v>0.0</v>
      </c>
      <c r="M1030" s="413" t="s">
        <v>1120</v>
      </c>
      <c r="N1030" s="413" t="s">
        <v>1748</v>
      </c>
    </row>
    <row r="1031">
      <c r="A1031" s="409">
        <v>45869.0</v>
      </c>
      <c r="B1031" s="102">
        <v>2025.0</v>
      </c>
      <c r="C1031" s="410" t="s">
        <v>1677</v>
      </c>
      <c r="D1031" s="102" t="s">
        <v>702</v>
      </c>
      <c r="E1031" s="102" t="s">
        <v>465</v>
      </c>
      <c r="F1031" s="102" t="s">
        <v>703</v>
      </c>
      <c r="G1031" s="102" t="s">
        <v>715</v>
      </c>
      <c r="H1031" s="360">
        <v>1000.0</v>
      </c>
      <c r="I1031" s="411" t="b">
        <v>0</v>
      </c>
      <c r="J1031" s="102" t="s">
        <v>1749</v>
      </c>
      <c r="K1031" s="360">
        <v>0.0</v>
      </c>
      <c r="L1031" s="360">
        <v>1000.0</v>
      </c>
      <c r="M1031" s="102" t="s">
        <v>1120</v>
      </c>
      <c r="N1031" s="102" t="s">
        <v>1748</v>
      </c>
    </row>
    <row r="1032">
      <c r="A1032" s="412">
        <v>45869.0</v>
      </c>
      <c r="B1032" s="413">
        <v>2025.0</v>
      </c>
      <c r="C1032" s="414" t="s">
        <v>1677</v>
      </c>
      <c r="D1032" s="413" t="s">
        <v>723</v>
      </c>
      <c r="E1032" s="413" t="s">
        <v>137</v>
      </c>
      <c r="F1032" s="413" t="s">
        <v>703</v>
      </c>
      <c r="G1032" s="413" t="s">
        <v>724</v>
      </c>
      <c r="H1032" s="415">
        <v>1740.0</v>
      </c>
      <c r="I1032" s="416" t="b">
        <v>1</v>
      </c>
      <c r="J1032" s="413" t="s">
        <v>472</v>
      </c>
      <c r="K1032" s="415">
        <v>0.0</v>
      </c>
      <c r="L1032" s="415">
        <v>0.0</v>
      </c>
      <c r="M1032" s="413" t="s">
        <v>1120</v>
      </c>
      <c r="N1032" s="413" t="s">
        <v>1748</v>
      </c>
    </row>
    <row r="1033">
      <c r="A1033" s="409">
        <v>45877.0</v>
      </c>
      <c r="B1033" s="102">
        <v>2025.0</v>
      </c>
      <c r="C1033" s="410" t="s">
        <v>1750</v>
      </c>
      <c r="D1033" s="102" t="s">
        <v>702</v>
      </c>
      <c r="E1033" s="102" t="s">
        <v>465</v>
      </c>
      <c r="F1033" s="102" t="s">
        <v>711</v>
      </c>
      <c r="G1033" s="102" t="s">
        <v>767</v>
      </c>
      <c r="H1033" s="360">
        <v>550.0</v>
      </c>
      <c r="I1033" s="411" t="b">
        <v>0</v>
      </c>
      <c r="J1033" s="102" t="s">
        <v>1367</v>
      </c>
      <c r="K1033" s="360">
        <v>75.86206896551721</v>
      </c>
      <c r="L1033" s="360">
        <v>474.1379310344828</v>
      </c>
      <c r="M1033" s="102" t="s">
        <v>1120</v>
      </c>
      <c r="N1033" s="102" t="s">
        <v>1751</v>
      </c>
    </row>
    <row r="1034">
      <c r="A1034" s="412">
        <v>45877.0</v>
      </c>
      <c r="B1034" s="413">
        <v>2025.0</v>
      </c>
      <c r="C1034" s="414" t="s">
        <v>1750</v>
      </c>
      <c r="D1034" s="413" t="s">
        <v>702</v>
      </c>
      <c r="E1034" s="413" t="s">
        <v>465</v>
      </c>
      <c r="F1034" s="413" t="s">
        <v>703</v>
      </c>
      <c r="G1034" s="413" t="s">
        <v>715</v>
      </c>
      <c r="H1034" s="415">
        <v>88.0</v>
      </c>
      <c r="I1034" s="416" t="b">
        <v>0</v>
      </c>
      <c r="J1034" s="413" t="s">
        <v>1752</v>
      </c>
      <c r="K1034" s="415">
        <v>0.0</v>
      </c>
      <c r="L1034" s="415">
        <v>88.0</v>
      </c>
      <c r="M1034" s="413" t="s">
        <v>1120</v>
      </c>
      <c r="N1034" s="413" t="s">
        <v>1751</v>
      </c>
    </row>
    <row r="1035">
      <c r="A1035" s="409">
        <v>45877.0</v>
      </c>
      <c r="B1035" s="102">
        <v>2025.0</v>
      </c>
      <c r="C1035" s="410" t="s">
        <v>1750</v>
      </c>
      <c r="D1035" s="102" t="s">
        <v>702</v>
      </c>
      <c r="E1035" s="102" t="s">
        <v>465</v>
      </c>
      <c r="F1035" s="102" t="s">
        <v>711</v>
      </c>
      <c r="G1035" s="102" t="s">
        <v>767</v>
      </c>
      <c r="H1035" s="360">
        <v>1050.0</v>
      </c>
      <c r="I1035" s="411" t="b">
        <v>0</v>
      </c>
      <c r="J1035" s="102" t="s">
        <v>1753</v>
      </c>
      <c r="K1035" s="360">
        <v>144.8275862068965</v>
      </c>
      <c r="L1035" s="360">
        <v>905.1724137931035</v>
      </c>
      <c r="M1035" s="102" t="s">
        <v>1120</v>
      </c>
      <c r="N1035" s="102" t="s">
        <v>1751</v>
      </c>
    </row>
    <row r="1036">
      <c r="A1036" s="412">
        <v>45877.0</v>
      </c>
      <c r="B1036" s="413">
        <v>2025.0</v>
      </c>
      <c r="C1036" s="414" t="s">
        <v>1750</v>
      </c>
      <c r="D1036" s="413" t="s">
        <v>710</v>
      </c>
      <c r="E1036" s="413" t="s">
        <v>137</v>
      </c>
      <c r="F1036" s="413" t="s">
        <v>703</v>
      </c>
      <c r="G1036" s="413" t="s">
        <v>769</v>
      </c>
      <c r="H1036" s="415">
        <v>8000.0</v>
      </c>
      <c r="I1036" s="416" t="b">
        <v>0</v>
      </c>
      <c r="J1036" s="413" t="s">
        <v>472</v>
      </c>
      <c r="K1036" s="415">
        <v>0.0</v>
      </c>
      <c r="L1036" s="415">
        <v>8000.0</v>
      </c>
      <c r="M1036" s="413" t="s">
        <v>1120</v>
      </c>
      <c r="N1036" s="413" t="s">
        <v>1751</v>
      </c>
    </row>
    <row r="1037">
      <c r="A1037" s="409">
        <v>45877.0</v>
      </c>
      <c r="B1037" s="102">
        <v>2025.0</v>
      </c>
      <c r="C1037" s="410" t="s">
        <v>1750</v>
      </c>
      <c r="D1037" s="102" t="s">
        <v>702</v>
      </c>
      <c r="E1037" s="102" t="s">
        <v>465</v>
      </c>
      <c r="F1037" s="102" t="s">
        <v>703</v>
      </c>
      <c r="G1037" s="102" t="s">
        <v>601</v>
      </c>
      <c r="H1037" s="360">
        <v>550.0</v>
      </c>
      <c r="I1037" s="411" t="b">
        <v>0</v>
      </c>
      <c r="J1037" s="102" t="s">
        <v>472</v>
      </c>
      <c r="K1037" s="360">
        <v>0.0</v>
      </c>
      <c r="L1037" s="360">
        <v>550.0</v>
      </c>
      <c r="M1037" s="102" t="s">
        <v>1120</v>
      </c>
      <c r="N1037" s="102" t="s">
        <v>1751</v>
      </c>
    </row>
    <row r="1038">
      <c r="A1038" s="412">
        <v>45877.0</v>
      </c>
      <c r="B1038" s="413">
        <v>2025.0</v>
      </c>
      <c r="C1038" s="414" t="s">
        <v>1750</v>
      </c>
      <c r="D1038" s="413" t="s">
        <v>702</v>
      </c>
      <c r="E1038" s="413" t="s">
        <v>465</v>
      </c>
      <c r="F1038" s="413" t="s">
        <v>703</v>
      </c>
      <c r="G1038" s="413" t="s">
        <v>715</v>
      </c>
      <c r="H1038" s="415">
        <v>899.0</v>
      </c>
      <c r="I1038" s="416" t="b">
        <v>0</v>
      </c>
      <c r="J1038" s="413" t="s">
        <v>472</v>
      </c>
      <c r="K1038" s="415">
        <v>0.0</v>
      </c>
      <c r="L1038" s="415">
        <v>899.0</v>
      </c>
      <c r="M1038" s="413" t="s">
        <v>1120</v>
      </c>
      <c r="N1038" s="413" t="s">
        <v>1751</v>
      </c>
    </row>
    <row r="1039">
      <c r="A1039" s="409">
        <v>45877.0</v>
      </c>
      <c r="B1039" s="102">
        <v>2025.0</v>
      </c>
      <c r="C1039" s="410" t="s">
        <v>1750</v>
      </c>
      <c r="D1039" s="102" t="s">
        <v>702</v>
      </c>
      <c r="E1039" s="102" t="s">
        <v>465</v>
      </c>
      <c r="F1039" s="102" t="s">
        <v>711</v>
      </c>
      <c r="G1039" s="102" t="s">
        <v>767</v>
      </c>
      <c r="H1039" s="360">
        <v>950.0</v>
      </c>
      <c r="I1039" s="411" t="b">
        <v>0</v>
      </c>
      <c r="J1039" s="102" t="s">
        <v>1246</v>
      </c>
      <c r="K1039" s="360">
        <v>131.03448275862058</v>
      </c>
      <c r="L1039" s="360">
        <v>818.9655172413794</v>
      </c>
      <c r="M1039" s="102" t="s">
        <v>1120</v>
      </c>
      <c r="N1039" s="102" t="s">
        <v>1751</v>
      </c>
    </row>
    <row r="1040">
      <c r="A1040" s="412">
        <v>45880.0</v>
      </c>
      <c r="B1040" s="413">
        <v>2025.0</v>
      </c>
      <c r="C1040" s="414" t="s">
        <v>1750</v>
      </c>
      <c r="D1040" s="413" t="s">
        <v>710</v>
      </c>
      <c r="E1040" s="413" t="s">
        <v>137</v>
      </c>
      <c r="F1040" s="413" t="s">
        <v>711</v>
      </c>
      <c r="G1040" s="413" t="s">
        <v>767</v>
      </c>
      <c r="H1040" s="415">
        <v>950.0</v>
      </c>
      <c r="I1040" s="416" t="b">
        <v>0</v>
      </c>
      <c r="J1040" s="413" t="s">
        <v>1232</v>
      </c>
      <c r="K1040" s="415">
        <v>0.0</v>
      </c>
      <c r="L1040" s="415">
        <v>950.0</v>
      </c>
      <c r="M1040" s="413" t="s">
        <v>1120</v>
      </c>
      <c r="N1040" s="413" t="s">
        <v>1754</v>
      </c>
    </row>
    <row r="1041">
      <c r="A1041" s="409">
        <v>45880.0</v>
      </c>
      <c r="B1041" s="102">
        <v>2025.0</v>
      </c>
      <c r="C1041" s="410" t="s">
        <v>1750</v>
      </c>
      <c r="D1041" s="102" t="s">
        <v>710</v>
      </c>
      <c r="E1041" s="102" t="s">
        <v>137</v>
      </c>
      <c r="F1041" s="102" t="s">
        <v>711</v>
      </c>
      <c r="G1041" s="102" t="s">
        <v>767</v>
      </c>
      <c r="H1041" s="360">
        <v>475.0</v>
      </c>
      <c r="I1041" s="411" t="b">
        <v>0</v>
      </c>
      <c r="J1041" s="102" t="s">
        <v>1755</v>
      </c>
      <c r="K1041" s="360">
        <v>0.0</v>
      </c>
      <c r="L1041" s="360">
        <v>475.0</v>
      </c>
      <c r="M1041" s="102" t="s">
        <v>1120</v>
      </c>
      <c r="N1041" s="102" t="s">
        <v>1756</v>
      </c>
    </row>
    <row r="1042">
      <c r="A1042" s="412">
        <v>45880.0</v>
      </c>
      <c r="B1042" s="413">
        <v>2025.0</v>
      </c>
      <c r="C1042" s="414" t="s">
        <v>1750</v>
      </c>
      <c r="D1042" s="413" t="s">
        <v>710</v>
      </c>
      <c r="E1042" s="413" t="s">
        <v>137</v>
      </c>
      <c r="F1042" s="413" t="s">
        <v>711</v>
      </c>
      <c r="G1042" s="413" t="s">
        <v>734</v>
      </c>
      <c r="H1042" s="415">
        <v>180.0</v>
      </c>
      <c r="I1042" s="416" t="b">
        <v>0</v>
      </c>
      <c r="J1042" s="413" t="s">
        <v>1757</v>
      </c>
      <c r="K1042" s="415">
        <v>0.0</v>
      </c>
      <c r="L1042" s="415">
        <v>180.0</v>
      </c>
      <c r="M1042" s="413" t="s">
        <v>1120</v>
      </c>
      <c r="N1042" s="413" t="s">
        <v>1758</v>
      </c>
    </row>
    <row r="1043">
      <c r="A1043" s="409">
        <v>45880.0</v>
      </c>
      <c r="B1043" s="102">
        <v>2025.0</v>
      </c>
      <c r="C1043" s="410" t="s">
        <v>1750</v>
      </c>
      <c r="D1043" s="102" t="s">
        <v>710</v>
      </c>
      <c r="E1043" s="102" t="s">
        <v>137</v>
      </c>
      <c r="F1043" s="102" t="s">
        <v>711</v>
      </c>
      <c r="G1043" s="102" t="s">
        <v>767</v>
      </c>
      <c r="H1043" s="360">
        <v>475.0</v>
      </c>
      <c r="I1043" s="411" t="b">
        <v>0</v>
      </c>
      <c r="J1043" s="102" t="s">
        <v>1218</v>
      </c>
      <c r="K1043" s="360">
        <v>0.0</v>
      </c>
      <c r="L1043" s="360">
        <v>475.0</v>
      </c>
      <c r="M1043" s="102" t="s">
        <v>1120</v>
      </c>
      <c r="N1043" s="102" t="s">
        <v>1759</v>
      </c>
    </row>
    <row r="1044">
      <c r="A1044" s="412">
        <v>45881.0</v>
      </c>
      <c r="B1044" s="413">
        <v>2025.0</v>
      </c>
      <c r="C1044" s="414" t="s">
        <v>1750</v>
      </c>
      <c r="D1044" s="413" t="s">
        <v>702</v>
      </c>
      <c r="E1044" s="413" t="s">
        <v>465</v>
      </c>
      <c r="F1044" s="413" t="s">
        <v>711</v>
      </c>
      <c r="G1044" s="413" t="s">
        <v>767</v>
      </c>
      <c r="H1044" s="415">
        <v>1247.0</v>
      </c>
      <c r="I1044" s="416" t="b">
        <v>0</v>
      </c>
      <c r="J1044" s="413" t="s">
        <v>1248</v>
      </c>
      <c r="K1044" s="415">
        <v>172.0</v>
      </c>
      <c r="L1044" s="415">
        <v>1075.0</v>
      </c>
      <c r="M1044" s="413" t="s">
        <v>1120</v>
      </c>
      <c r="N1044" s="413" t="s">
        <v>1760</v>
      </c>
    </row>
    <row r="1045">
      <c r="A1045" s="409">
        <v>45881.0</v>
      </c>
      <c r="B1045" s="102">
        <v>2025.0</v>
      </c>
      <c r="C1045" s="410" t="s">
        <v>1750</v>
      </c>
      <c r="D1045" s="102" t="s">
        <v>702</v>
      </c>
      <c r="E1045" s="102" t="s">
        <v>465</v>
      </c>
      <c r="F1045" s="102" t="s">
        <v>711</v>
      </c>
      <c r="G1045" s="102" t="s">
        <v>767</v>
      </c>
      <c r="H1045" s="360">
        <v>950.0</v>
      </c>
      <c r="I1045" s="411" t="b">
        <v>0</v>
      </c>
      <c r="J1045" s="102" t="s">
        <v>1224</v>
      </c>
      <c r="K1045" s="360">
        <v>131.03448275862058</v>
      </c>
      <c r="L1045" s="360">
        <v>818.9655172413794</v>
      </c>
      <c r="M1045" s="102" t="s">
        <v>1120</v>
      </c>
      <c r="N1045" s="102" t="s">
        <v>1761</v>
      </c>
    </row>
    <row r="1046">
      <c r="A1046" s="412">
        <v>45881.0</v>
      </c>
      <c r="B1046" s="413">
        <v>2025.0</v>
      </c>
      <c r="C1046" s="414" t="s">
        <v>1750</v>
      </c>
      <c r="D1046" s="413" t="s">
        <v>710</v>
      </c>
      <c r="E1046" s="413" t="s">
        <v>137</v>
      </c>
      <c r="F1046" s="413" t="s">
        <v>711</v>
      </c>
      <c r="G1046" s="413" t="s">
        <v>767</v>
      </c>
      <c r="H1046" s="415">
        <v>800.0</v>
      </c>
      <c r="I1046" s="416" t="b">
        <v>0</v>
      </c>
      <c r="J1046" s="413" t="s">
        <v>1524</v>
      </c>
      <c r="K1046" s="415">
        <v>0.0</v>
      </c>
      <c r="L1046" s="415">
        <v>800.0</v>
      </c>
      <c r="M1046" s="413" t="s">
        <v>1120</v>
      </c>
      <c r="N1046" s="413" t="s">
        <v>1762</v>
      </c>
    </row>
    <row r="1047">
      <c r="A1047" s="409">
        <v>45881.0</v>
      </c>
      <c r="B1047" s="102">
        <v>2025.0</v>
      </c>
      <c r="C1047" s="410" t="s">
        <v>1750</v>
      </c>
      <c r="D1047" s="102" t="s">
        <v>710</v>
      </c>
      <c r="E1047" s="102" t="s">
        <v>137</v>
      </c>
      <c r="F1047" s="102" t="s">
        <v>711</v>
      </c>
      <c r="G1047" s="102" t="s">
        <v>767</v>
      </c>
      <c r="H1047" s="360">
        <v>800.0</v>
      </c>
      <c r="I1047" s="411" t="b">
        <v>0</v>
      </c>
      <c r="J1047" s="102" t="s">
        <v>1197</v>
      </c>
      <c r="K1047" s="360">
        <v>0.0</v>
      </c>
      <c r="L1047" s="360">
        <v>800.0</v>
      </c>
      <c r="M1047" s="102" t="s">
        <v>1120</v>
      </c>
      <c r="N1047" s="102" t="s">
        <v>1763</v>
      </c>
    </row>
    <row r="1048">
      <c r="A1048" s="412">
        <v>45882.0</v>
      </c>
      <c r="B1048" s="413">
        <v>2025.0</v>
      </c>
      <c r="C1048" s="414" t="s">
        <v>1750</v>
      </c>
      <c r="D1048" s="413" t="s">
        <v>702</v>
      </c>
      <c r="E1048" s="413" t="s">
        <v>465</v>
      </c>
      <c r="F1048" s="413" t="s">
        <v>711</v>
      </c>
      <c r="G1048" s="413" t="s">
        <v>767</v>
      </c>
      <c r="H1048" s="415">
        <v>800.0</v>
      </c>
      <c r="I1048" s="416" t="b">
        <v>0</v>
      </c>
      <c r="J1048" s="413" t="s">
        <v>1218</v>
      </c>
      <c r="K1048" s="415">
        <v>110.34482758620686</v>
      </c>
      <c r="L1048" s="415">
        <v>689.6551724137931</v>
      </c>
      <c r="M1048" s="413" t="s">
        <v>1120</v>
      </c>
      <c r="N1048" s="413" t="s">
        <v>1764</v>
      </c>
    </row>
    <row r="1049">
      <c r="A1049" s="409">
        <v>45882.0</v>
      </c>
      <c r="B1049" s="102">
        <v>2025.0</v>
      </c>
      <c r="C1049" s="410" t="s">
        <v>1750</v>
      </c>
      <c r="D1049" s="102" t="s">
        <v>702</v>
      </c>
      <c r="E1049" s="102" t="s">
        <v>465</v>
      </c>
      <c r="F1049" s="102" t="s">
        <v>703</v>
      </c>
      <c r="G1049" s="102" t="s">
        <v>715</v>
      </c>
      <c r="H1049" s="360">
        <v>333.0</v>
      </c>
      <c r="I1049" s="411" t="b">
        <v>0</v>
      </c>
      <c r="J1049" s="102" t="s">
        <v>1765</v>
      </c>
      <c r="K1049" s="360">
        <v>0.0</v>
      </c>
      <c r="L1049" s="360">
        <v>333.0</v>
      </c>
      <c r="M1049" s="102" t="s">
        <v>1120</v>
      </c>
      <c r="N1049" s="102" t="s">
        <v>1766</v>
      </c>
    </row>
    <row r="1050">
      <c r="A1050" s="412">
        <v>45882.0</v>
      </c>
      <c r="B1050" s="413">
        <v>2025.0</v>
      </c>
      <c r="C1050" s="414" t="s">
        <v>1750</v>
      </c>
      <c r="D1050" s="413" t="s">
        <v>702</v>
      </c>
      <c r="E1050" s="413" t="s">
        <v>465</v>
      </c>
      <c r="F1050" s="413" t="s">
        <v>711</v>
      </c>
      <c r="G1050" s="413" t="s">
        <v>767</v>
      </c>
      <c r="H1050" s="415">
        <v>1103.0</v>
      </c>
      <c r="I1050" s="416" t="b">
        <v>0</v>
      </c>
      <c r="J1050" s="413" t="s">
        <v>1705</v>
      </c>
      <c r="K1050" s="415">
        <v>152.13793103448268</v>
      </c>
      <c r="L1050" s="415">
        <v>950.8620689655173</v>
      </c>
      <c r="M1050" s="413" t="s">
        <v>1120</v>
      </c>
      <c r="N1050" s="413" t="s">
        <v>1767</v>
      </c>
    </row>
    <row r="1051">
      <c r="A1051" s="409">
        <v>45882.0</v>
      </c>
      <c r="B1051" s="102">
        <v>2025.0</v>
      </c>
      <c r="C1051" s="410" t="s">
        <v>1750</v>
      </c>
      <c r="D1051" s="102" t="s">
        <v>710</v>
      </c>
      <c r="E1051" s="102" t="s">
        <v>137</v>
      </c>
      <c r="F1051" s="102" t="s">
        <v>703</v>
      </c>
      <c r="G1051" s="102" t="s">
        <v>715</v>
      </c>
      <c r="H1051" s="360">
        <v>150.0</v>
      </c>
      <c r="I1051" s="411" t="b">
        <v>0</v>
      </c>
      <c r="J1051" s="102" t="s">
        <v>472</v>
      </c>
      <c r="K1051" s="360">
        <v>0.0</v>
      </c>
      <c r="L1051" s="360">
        <v>150.0</v>
      </c>
      <c r="M1051" s="102" t="s">
        <v>1120</v>
      </c>
      <c r="N1051" s="102" t="s">
        <v>1768</v>
      </c>
    </row>
    <row r="1052">
      <c r="A1052" s="412">
        <v>45882.0</v>
      </c>
      <c r="B1052" s="413">
        <v>2025.0</v>
      </c>
      <c r="C1052" s="414" t="s">
        <v>1750</v>
      </c>
      <c r="D1052" s="413" t="s">
        <v>702</v>
      </c>
      <c r="E1052" s="413" t="s">
        <v>465</v>
      </c>
      <c r="F1052" s="413" t="s">
        <v>703</v>
      </c>
      <c r="G1052" s="413" t="s">
        <v>715</v>
      </c>
      <c r="H1052" s="415">
        <v>380.0</v>
      </c>
      <c r="I1052" s="416" t="b">
        <v>0</v>
      </c>
      <c r="J1052" s="413" t="s">
        <v>472</v>
      </c>
      <c r="K1052" s="415">
        <v>0.0</v>
      </c>
      <c r="L1052" s="415">
        <v>380.0</v>
      </c>
      <c r="M1052" s="413" t="s">
        <v>1120</v>
      </c>
      <c r="N1052" s="413" t="s">
        <v>1769</v>
      </c>
    </row>
    <row r="1053">
      <c r="A1053" s="409">
        <v>45884.0</v>
      </c>
      <c r="B1053" s="102">
        <v>2025.0</v>
      </c>
      <c r="C1053" s="410" t="s">
        <v>1750</v>
      </c>
      <c r="D1053" s="102" t="s">
        <v>710</v>
      </c>
      <c r="E1053" s="102" t="s">
        <v>137</v>
      </c>
      <c r="F1053" s="102" t="s">
        <v>711</v>
      </c>
      <c r="G1053" s="102" t="s">
        <v>767</v>
      </c>
      <c r="H1053" s="360">
        <v>1050.0</v>
      </c>
      <c r="I1053" s="411" t="b">
        <v>0</v>
      </c>
      <c r="J1053" s="102" t="s">
        <v>1770</v>
      </c>
      <c r="K1053" s="360">
        <v>0.0</v>
      </c>
      <c r="L1053" s="360">
        <v>1050.0</v>
      </c>
      <c r="M1053" s="102" t="s">
        <v>1120</v>
      </c>
      <c r="N1053" s="102" t="s">
        <v>1771</v>
      </c>
    </row>
    <row r="1054">
      <c r="A1054" s="412">
        <v>45884.0</v>
      </c>
      <c r="B1054" s="413">
        <v>2025.0</v>
      </c>
      <c r="C1054" s="414" t="s">
        <v>1750</v>
      </c>
      <c r="D1054" s="413" t="s">
        <v>702</v>
      </c>
      <c r="E1054" s="413" t="s">
        <v>465</v>
      </c>
      <c r="F1054" s="413" t="s">
        <v>711</v>
      </c>
      <c r="G1054" s="413" t="s">
        <v>730</v>
      </c>
      <c r="H1054" s="415">
        <v>67.0</v>
      </c>
      <c r="I1054" s="416" t="b">
        <v>0</v>
      </c>
      <c r="J1054" s="413" t="s">
        <v>472</v>
      </c>
      <c r="K1054" s="415">
        <v>9.241379310344826</v>
      </c>
      <c r="L1054" s="415">
        <v>57.758620689655174</v>
      </c>
      <c r="M1054" s="413" t="s">
        <v>1120</v>
      </c>
      <c r="N1054" s="413" t="s">
        <v>1772</v>
      </c>
    </row>
    <row r="1055">
      <c r="A1055" s="409">
        <v>45887.0</v>
      </c>
      <c r="B1055" s="102">
        <v>2025.0</v>
      </c>
      <c r="C1055" s="410" t="s">
        <v>1750</v>
      </c>
      <c r="D1055" s="102" t="s">
        <v>702</v>
      </c>
      <c r="E1055" s="102" t="s">
        <v>465</v>
      </c>
      <c r="F1055" s="102" t="s">
        <v>711</v>
      </c>
      <c r="G1055" s="102" t="s">
        <v>734</v>
      </c>
      <c r="H1055" s="360">
        <v>180.0</v>
      </c>
      <c r="I1055" s="411" t="b">
        <v>0</v>
      </c>
      <c r="J1055" s="102" t="s">
        <v>472</v>
      </c>
      <c r="K1055" s="360">
        <v>24.82758620689654</v>
      </c>
      <c r="L1055" s="360">
        <v>155.17241379310346</v>
      </c>
      <c r="M1055" s="102" t="s">
        <v>1120</v>
      </c>
      <c r="N1055" s="102" t="s">
        <v>1773</v>
      </c>
    </row>
    <row r="1056">
      <c r="A1056" s="412">
        <v>45887.0</v>
      </c>
      <c r="B1056" s="413">
        <v>2025.0</v>
      </c>
      <c r="C1056" s="414" t="s">
        <v>1750</v>
      </c>
      <c r="D1056" s="413" t="s">
        <v>702</v>
      </c>
      <c r="E1056" s="413" t="s">
        <v>465</v>
      </c>
      <c r="F1056" s="413" t="s">
        <v>711</v>
      </c>
      <c r="G1056" s="413" t="s">
        <v>767</v>
      </c>
      <c r="H1056" s="415">
        <v>900.0</v>
      </c>
      <c r="I1056" s="416" t="b">
        <v>0</v>
      </c>
      <c r="J1056" s="413" t="s">
        <v>1774</v>
      </c>
      <c r="K1056" s="415">
        <v>124.13793103448268</v>
      </c>
      <c r="L1056" s="415">
        <v>775.8620689655173</v>
      </c>
      <c r="M1056" s="413" t="s">
        <v>1120</v>
      </c>
      <c r="N1056" s="413" t="s">
        <v>1775</v>
      </c>
    </row>
    <row r="1057">
      <c r="A1057" s="409">
        <v>45887.0</v>
      </c>
      <c r="B1057" s="102">
        <v>2025.0</v>
      </c>
      <c r="C1057" s="410" t="s">
        <v>1750</v>
      </c>
      <c r="D1057" s="102" t="s">
        <v>702</v>
      </c>
      <c r="E1057" s="102" t="s">
        <v>465</v>
      </c>
      <c r="F1057" s="102" t="s">
        <v>711</v>
      </c>
      <c r="G1057" s="102" t="s">
        <v>767</v>
      </c>
      <c r="H1057" s="360">
        <v>800.0</v>
      </c>
      <c r="I1057" s="411" t="b">
        <v>0</v>
      </c>
      <c r="J1057" s="102" t="s">
        <v>1396</v>
      </c>
      <c r="K1057" s="360">
        <v>110.34482758620686</v>
      </c>
      <c r="L1057" s="360">
        <v>689.6551724137931</v>
      </c>
      <c r="M1057" s="102" t="s">
        <v>1120</v>
      </c>
      <c r="N1057" s="102" t="s">
        <v>1776</v>
      </c>
    </row>
    <row r="1058">
      <c r="A1058" s="412">
        <v>45888.0</v>
      </c>
      <c r="B1058" s="413">
        <v>2025.0</v>
      </c>
      <c r="C1058" s="414" t="s">
        <v>1750</v>
      </c>
      <c r="D1058" s="413" t="s">
        <v>710</v>
      </c>
      <c r="E1058" s="413" t="s">
        <v>137</v>
      </c>
      <c r="F1058" s="413" t="s">
        <v>711</v>
      </c>
      <c r="G1058" s="413" t="s">
        <v>767</v>
      </c>
      <c r="H1058" s="415">
        <v>950.0</v>
      </c>
      <c r="I1058" s="416" t="b">
        <v>0</v>
      </c>
      <c r="J1058" s="413" t="s">
        <v>1230</v>
      </c>
      <c r="K1058" s="415">
        <v>0.0</v>
      </c>
      <c r="L1058" s="415">
        <v>950.0</v>
      </c>
      <c r="M1058" s="413" t="s">
        <v>1120</v>
      </c>
      <c r="N1058" s="413" t="s">
        <v>1777</v>
      </c>
    </row>
    <row r="1059">
      <c r="A1059" s="409">
        <v>45888.0</v>
      </c>
      <c r="B1059" s="102">
        <v>2025.0</v>
      </c>
      <c r="C1059" s="410" t="s">
        <v>1750</v>
      </c>
      <c r="D1059" s="102" t="s">
        <v>710</v>
      </c>
      <c r="E1059" s="102" t="s">
        <v>137</v>
      </c>
      <c r="F1059" s="102" t="s">
        <v>711</v>
      </c>
      <c r="G1059" s="102" t="s">
        <v>740</v>
      </c>
      <c r="H1059" s="360">
        <v>7.0</v>
      </c>
      <c r="I1059" s="411" t="b">
        <v>0</v>
      </c>
      <c r="J1059" s="102" t="s">
        <v>472</v>
      </c>
      <c r="K1059" s="360">
        <v>0.0</v>
      </c>
      <c r="L1059" s="360">
        <v>7.0</v>
      </c>
      <c r="M1059" s="102" t="s">
        <v>1120</v>
      </c>
      <c r="N1059" s="102" t="s">
        <v>1778</v>
      </c>
    </row>
    <row r="1060">
      <c r="A1060" s="412">
        <v>45888.0</v>
      </c>
      <c r="B1060" s="413">
        <v>2025.0</v>
      </c>
      <c r="C1060" s="414" t="s">
        <v>1750</v>
      </c>
      <c r="D1060" s="413" t="s">
        <v>702</v>
      </c>
      <c r="E1060" s="413" t="s">
        <v>465</v>
      </c>
      <c r="F1060" s="413" t="s">
        <v>711</v>
      </c>
      <c r="G1060" s="413" t="s">
        <v>769</v>
      </c>
      <c r="H1060" s="415">
        <v>3680.0</v>
      </c>
      <c r="I1060" s="416" t="b">
        <v>0</v>
      </c>
      <c r="J1060" s="413" t="s">
        <v>1779</v>
      </c>
      <c r="K1060" s="415">
        <v>507.58620689655163</v>
      </c>
      <c r="L1060" s="415">
        <v>3172.4137931034484</v>
      </c>
      <c r="M1060" s="413" t="s">
        <v>1120</v>
      </c>
      <c r="N1060" s="413" t="s">
        <v>1780</v>
      </c>
    </row>
    <row r="1061">
      <c r="A1061" s="409">
        <v>45888.0</v>
      </c>
      <c r="B1061" s="102">
        <v>2025.0</v>
      </c>
      <c r="C1061" s="410" t="s">
        <v>1750</v>
      </c>
      <c r="D1061" s="102" t="s">
        <v>702</v>
      </c>
      <c r="E1061" s="102" t="s">
        <v>465</v>
      </c>
      <c r="F1061" s="102" t="s">
        <v>703</v>
      </c>
      <c r="G1061" s="102" t="s">
        <v>730</v>
      </c>
      <c r="H1061" s="360">
        <v>500.0</v>
      </c>
      <c r="I1061" s="411" t="b">
        <v>0</v>
      </c>
      <c r="J1061" s="102" t="s">
        <v>1781</v>
      </c>
      <c r="K1061" s="360">
        <v>0.0</v>
      </c>
      <c r="L1061" s="360">
        <v>500.0</v>
      </c>
      <c r="M1061" s="102" t="s">
        <v>1120</v>
      </c>
      <c r="N1061" s="102" t="s">
        <v>1782</v>
      </c>
    </row>
    <row r="1062">
      <c r="A1062" s="412">
        <v>45888.0</v>
      </c>
      <c r="B1062" s="413">
        <v>2025.0</v>
      </c>
      <c r="C1062" s="414" t="s">
        <v>1750</v>
      </c>
      <c r="D1062" s="413" t="s">
        <v>702</v>
      </c>
      <c r="E1062" s="413" t="s">
        <v>465</v>
      </c>
      <c r="F1062" s="413" t="s">
        <v>703</v>
      </c>
      <c r="G1062" s="413" t="s">
        <v>715</v>
      </c>
      <c r="H1062" s="415">
        <v>395.0</v>
      </c>
      <c r="I1062" s="416" t="b">
        <v>0</v>
      </c>
      <c r="J1062" s="413" t="s">
        <v>472</v>
      </c>
      <c r="K1062" s="415">
        <v>0.0</v>
      </c>
      <c r="L1062" s="415">
        <v>395.0</v>
      </c>
      <c r="M1062" s="413" t="s">
        <v>1120</v>
      </c>
      <c r="N1062" s="413" t="s">
        <v>1783</v>
      </c>
    </row>
    <row r="1063">
      <c r="A1063" s="409">
        <v>45888.0</v>
      </c>
      <c r="B1063" s="102">
        <v>2025.0</v>
      </c>
      <c r="C1063" s="410" t="s">
        <v>1750</v>
      </c>
      <c r="D1063" s="102" t="s">
        <v>702</v>
      </c>
      <c r="E1063" s="102" t="s">
        <v>465</v>
      </c>
      <c r="F1063" s="102" t="s">
        <v>711</v>
      </c>
      <c r="G1063" s="102" t="s">
        <v>767</v>
      </c>
      <c r="H1063" s="360">
        <v>150.0</v>
      </c>
      <c r="I1063" s="411" t="b">
        <v>0</v>
      </c>
      <c r="J1063" s="102" t="s">
        <v>1784</v>
      </c>
      <c r="K1063" s="360">
        <v>20.68965517241378</v>
      </c>
      <c r="L1063" s="360">
        <v>129.31034482758622</v>
      </c>
      <c r="M1063" s="102" t="s">
        <v>1120</v>
      </c>
      <c r="N1063" s="102" t="s">
        <v>1785</v>
      </c>
    </row>
    <row r="1064">
      <c r="A1064" s="412">
        <v>45888.0</v>
      </c>
      <c r="B1064" s="413">
        <v>2025.0</v>
      </c>
      <c r="C1064" s="414" t="s">
        <v>1750</v>
      </c>
      <c r="D1064" s="413" t="s">
        <v>702</v>
      </c>
      <c r="E1064" s="413" t="s">
        <v>465</v>
      </c>
      <c r="F1064" s="413" t="s">
        <v>711</v>
      </c>
      <c r="G1064" s="413" t="s">
        <v>767</v>
      </c>
      <c r="H1064" s="415">
        <v>1150.0</v>
      </c>
      <c r="I1064" s="416" t="b">
        <v>0</v>
      </c>
      <c r="J1064" s="413" t="s">
        <v>1786</v>
      </c>
      <c r="K1064" s="415">
        <v>158.62068965517233</v>
      </c>
      <c r="L1064" s="415">
        <v>991.3793103448277</v>
      </c>
      <c r="M1064" s="413" t="s">
        <v>1120</v>
      </c>
      <c r="N1064" s="413" t="s">
        <v>1787</v>
      </c>
    </row>
    <row r="1065">
      <c r="A1065" s="409">
        <v>45888.0</v>
      </c>
      <c r="B1065" s="102">
        <v>2025.0</v>
      </c>
      <c r="C1065" s="410" t="s">
        <v>1750</v>
      </c>
      <c r="D1065" s="102" t="s">
        <v>710</v>
      </c>
      <c r="E1065" s="102" t="s">
        <v>137</v>
      </c>
      <c r="F1065" s="102" t="s">
        <v>711</v>
      </c>
      <c r="G1065" s="102" t="s">
        <v>767</v>
      </c>
      <c r="H1065" s="360">
        <v>500.0</v>
      </c>
      <c r="I1065" s="411" t="b">
        <v>0</v>
      </c>
      <c r="J1065" s="102" t="s">
        <v>1788</v>
      </c>
      <c r="K1065" s="360">
        <v>0.0</v>
      </c>
      <c r="L1065" s="360">
        <v>500.0</v>
      </c>
      <c r="M1065" s="102" t="s">
        <v>1120</v>
      </c>
      <c r="N1065" s="102" t="s">
        <v>1789</v>
      </c>
    </row>
    <row r="1066">
      <c r="A1066" s="412">
        <v>45888.0</v>
      </c>
      <c r="B1066" s="413">
        <v>2025.0</v>
      </c>
      <c r="C1066" s="414" t="s">
        <v>1750</v>
      </c>
      <c r="D1066" s="413" t="s">
        <v>702</v>
      </c>
      <c r="E1066" s="413" t="s">
        <v>465</v>
      </c>
      <c r="F1066" s="413" t="s">
        <v>711</v>
      </c>
      <c r="G1066" s="413" t="s">
        <v>767</v>
      </c>
      <c r="H1066" s="415">
        <v>400.0</v>
      </c>
      <c r="I1066" s="416" t="b">
        <v>0</v>
      </c>
      <c r="J1066" s="413" t="s">
        <v>1788</v>
      </c>
      <c r="K1066" s="415">
        <v>55.17241379310343</v>
      </c>
      <c r="L1066" s="415">
        <v>344.82758620689657</v>
      </c>
      <c r="M1066" s="413" t="s">
        <v>1120</v>
      </c>
      <c r="N1066" s="413" t="s">
        <v>1790</v>
      </c>
    </row>
    <row r="1067">
      <c r="A1067" s="409">
        <v>45888.0</v>
      </c>
      <c r="B1067" s="102">
        <v>2025.0</v>
      </c>
      <c r="C1067" s="410" t="s">
        <v>1750</v>
      </c>
      <c r="D1067" s="102" t="s">
        <v>710</v>
      </c>
      <c r="E1067" s="102" t="s">
        <v>137</v>
      </c>
      <c r="F1067" s="102" t="s">
        <v>711</v>
      </c>
      <c r="G1067" s="102" t="s">
        <v>767</v>
      </c>
      <c r="H1067" s="360">
        <v>450.0</v>
      </c>
      <c r="I1067" s="411" t="b">
        <v>0</v>
      </c>
      <c r="J1067" s="102" t="s">
        <v>1148</v>
      </c>
      <c r="K1067" s="360">
        <v>0.0</v>
      </c>
      <c r="L1067" s="360">
        <v>450.0</v>
      </c>
      <c r="M1067" s="102" t="s">
        <v>1120</v>
      </c>
      <c r="N1067" s="102" t="s">
        <v>1791</v>
      </c>
    </row>
    <row r="1068">
      <c r="A1068" s="412">
        <v>45888.0</v>
      </c>
      <c r="B1068" s="413">
        <v>2025.0</v>
      </c>
      <c r="C1068" s="414" t="s">
        <v>1750</v>
      </c>
      <c r="D1068" s="413" t="s">
        <v>702</v>
      </c>
      <c r="E1068" s="413" t="s">
        <v>465</v>
      </c>
      <c r="F1068" s="413" t="s">
        <v>711</v>
      </c>
      <c r="G1068" s="413" t="s">
        <v>767</v>
      </c>
      <c r="H1068" s="415">
        <v>1250.0</v>
      </c>
      <c r="I1068" s="416" t="b">
        <v>0</v>
      </c>
      <c r="J1068" s="413" t="s">
        <v>1197</v>
      </c>
      <c r="K1068" s="415">
        <v>172.41379310344814</v>
      </c>
      <c r="L1068" s="415">
        <v>1077.5862068965519</v>
      </c>
      <c r="M1068" s="413" t="s">
        <v>1120</v>
      </c>
      <c r="N1068" s="413" t="s">
        <v>1792</v>
      </c>
    </row>
    <row r="1069">
      <c r="A1069" s="409">
        <v>45888.0</v>
      </c>
      <c r="B1069" s="102">
        <v>2025.0</v>
      </c>
      <c r="C1069" s="410" t="s">
        <v>1750</v>
      </c>
      <c r="D1069" s="102" t="s">
        <v>702</v>
      </c>
      <c r="E1069" s="102" t="s">
        <v>465</v>
      </c>
      <c r="F1069" s="102" t="s">
        <v>711</v>
      </c>
      <c r="G1069" s="102" t="s">
        <v>730</v>
      </c>
      <c r="H1069" s="360">
        <v>70.0</v>
      </c>
      <c r="I1069" s="411" t="b">
        <v>0</v>
      </c>
      <c r="J1069" s="102" t="s">
        <v>472</v>
      </c>
      <c r="K1069" s="360">
        <v>9.655172413793096</v>
      </c>
      <c r="L1069" s="360">
        <v>60.344827586206904</v>
      </c>
      <c r="M1069" s="102" t="s">
        <v>1120</v>
      </c>
      <c r="N1069" s="102" t="s">
        <v>1793</v>
      </c>
    </row>
    <row r="1070">
      <c r="A1070" s="412">
        <v>45888.0</v>
      </c>
      <c r="B1070" s="413">
        <v>2025.0</v>
      </c>
      <c r="C1070" s="414" t="s">
        <v>1750</v>
      </c>
      <c r="D1070" s="413" t="s">
        <v>702</v>
      </c>
      <c r="E1070" s="413" t="s">
        <v>465</v>
      </c>
      <c r="F1070" s="413" t="s">
        <v>703</v>
      </c>
      <c r="G1070" s="413" t="s">
        <v>715</v>
      </c>
      <c r="H1070" s="415">
        <v>911.0</v>
      </c>
      <c r="I1070" s="416" t="b">
        <v>0</v>
      </c>
      <c r="J1070" s="413" t="s">
        <v>1547</v>
      </c>
      <c r="K1070" s="415">
        <v>0.0</v>
      </c>
      <c r="L1070" s="415">
        <v>911.0</v>
      </c>
      <c r="M1070" s="413" t="s">
        <v>1120</v>
      </c>
      <c r="N1070" s="413" t="s">
        <v>1794</v>
      </c>
    </row>
    <row r="1071">
      <c r="A1071" s="409">
        <v>45888.0</v>
      </c>
      <c r="B1071" s="102">
        <v>2025.0</v>
      </c>
      <c r="C1071" s="410" t="s">
        <v>1750</v>
      </c>
      <c r="D1071" s="102" t="s">
        <v>702</v>
      </c>
      <c r="E1071" s="102" t="s">
        <v>465</v>
      </c>
      <c r="F1071" s="102" t="s">
        <v>711</v>
      </c>
      <c r="G1071" s="102" t="s">
        <v>767</v>
      </c>
      <c r="H1071" s="360">
        <v>1150.0</v>
      </c>
      <c r="I1071" s="411" t="b">
        <v>0</v>
      </c>
      <c r="J1071" s="102" t="s">
        <v>1371</v>
      </c>
      <c r="K1071" s="360">
        <v>158.62068965517233</v>
      </c>
      <c r="L1071" s="360">
        <v>991.3793103448277</v>
      </c>
      <c r="M1071" s="102" t="s">
        <v>1120</v>
      </c>
      <c r="N1071" s="102" t="s">
        <v>1795</v>
      </c>
    </row>
    <row r="1072">
      <c r="A1072" s="412">
        <v>45889.0</v>
      </c>
      <c r="B1072" s="413">
        <v>2025.0</v>
      </c>
      <c r="C1072" s="414" t="s">
        <v>1750</v>
      </c>
      <c r="D1072" s="413" t="s">
        <v>710</v>
      </c>
      <c r="E1072" s="413" t="s">
        <v>137</v>
      </c>
      <c r="F1072" s="413" t="s">
        <v>711</v>
      </c>
      <c r="G1072" s="413" t="s">
        <v>767</v>
      </c>
      <c r="H1072" s="415">
        <v>475.0</v>
      </c>
      <c r="I1072" s="416" t="b">
        <v>0</v>
      </c>
      <c r="J1072" s="413" t="s">
        <v>1213</v>
      </c>
      <c r="K1072" s="415">
        <v>0.0</v>
      </c>
      <c r="L1072" s="415">
        <v>475.0</v>
      </c>
      <c r="M1072" s="413" t="s">
        <v>1120</v>
      </c>
      <c r="N1072" s="413" t="s">
        <v>1796</v>
      </c>
    </row>
    <row r="1073">
      <c r="A1073" s="409">
        <v>45889.0</v>
      </c>
      <c r="B1073" s="102">
        <v>2025.0</v>
      </c>
      <c r="C1073" s="410" t="s">
        <v>1750</v>
      </c>
      <c r="D1073" s="102" t="s">
        <v>710</v>
      </c>
      <c r="E1073" s="102" t="s">
        <v>137</v>
      </c>
      <c r="F1073" s="102" t="s">
        <v>703</v>
      </c>
      <c r="G1073" s="102" t="s">
        <v>715</v>
      </c>
      <c r="H1073" s="360">
        <v>300.0</v>
      </c>
      <c r="I1073" s="411" t="b">
        <v>0</v>
      </c>
      <c r="J1073" s="102" t="s">
        <v>472</v>
      </c>
      <c r="K1073" s="360">
        <v>0.0</v>
      </c>
      <c r="L1073" s="360">
        <v>300.0</v>
      </c>
      <c r="M1073" s="102" t="s">
        <v>1120</v>
      </c>
      <c r="N1073" s="102" t="s">
        <v>1797</v>
      </c>
    </row>
    <row r="1074">
      <c r="A1074" s="412">
        <v>45890.0</v>
      </c>
      <c r="B1074" s="413">
        <v>2025.0</v>
      </c>
      <c r="C1074" s="414" t="s">
        <v>1750</v>
      </c>
      <c r="D1074" s="413" t="s">
        <v>710</v>
      </c>
      <c r="E1074" s="413" t="s">
        <v>137</v>
      </c>
      <c r="F1074" s="413" t="s">
        <v>703</v>
      </c>
      <c r="G1074" s="413" t="s">
        <v>715</v>
      </c>
      <c r="H1074" s="415">
        <v>235.0</v>
      </c>
      <c r="I1074" s="416" t="b">
        <v>0</v>
      </c>
      <c r="J1074" s="413" t="s">
        <v>472</v>
      </c>
      <c r="K1074" s="415">
        <v>0.0</v>
      </c>
      <c r="L1074" s="415">
        <v>235.0</v>
      </c>
      <c r="M1074" s="413" t="s">
        <v>1120</v>
      </c>
      <c r="N1074" s="413" t="s">
        <v>1798</v>
      </c>
    </row>
    <row r="1075">
      <c r="A1075" s="409">
        <v>45890.0</v>
      </c>
      <c r="B1075" s="102">
        <v>2025.0</v>
      </c>
      <c r="C1075" s="410" t="s">
        <v>1750</v>
      </c>
      <c r="D1075" s="102" t="s">
        <v>710</v>
      </c>
      <c r="E1075" s="102" t="s">
        <v>137</v>
      </c>
      <c r="F1075" s="102" t="s">
        <v>711</v>
      </c>
      <c r="G1075" s="102" t="s">
        <v>767</v>
      </c>
      <c r="H1075" s="360">
        <v>340.0</v>
      </c>
      <c r="I1075" s="411" t="b">
        <v>0</v>
      </c>
      <c r="J1075" s="102" t="s">
        <v>1799</v>
      </c>
      <c r="K1075" s="360">
        <v>0.0</v>
      </c>
      <c r="L1075" s="360">
        <v>340.0</v>
      </c>
      <c r="M1075" s="102" t="s">
        <v>1120</v>
      </c>
      <c r="N1075" s="102" t="s">
        <v>1800</v>
      </c>
    </row>
    <row r="1076">
      <c r="A1076" s="412">
        <v>45892.0</v>
      </c>
      <c r="B1076" s="413">
        <v>2025.0</v>
      </c>
      <c r="C1076" s="414" t="s">
        <v>1750</v>
      </c>
      <c r="D1076" s="413" t="s">
        <v>710</v>
      </c>
      <c r="E1076" s="413" t="s">
        <v>137</v>
      </c>
      <c r="F1076" s="413" t="s">
        <v>711</v>
      </c>
      <c r="G1076" s="413" t="s">
        <v>767</v>
      </c>
      <c r="H1076" s="415">
        <v>550.0</v>
      </c>
      <c r="I1076" s="416" t="b">
        <v>0</v>
      </c>
      <c r="J1076" s="413" t="s">
        <v>1265</v>
      </c>
      <c r="K1076" s="415">
        <v>0.0</v>
      </c>
      <c r="L1076" s="415">
        <v>550.0</v>
      </c>
      <c r="M1076" s="413" t="s">
        <v>1120</v>
      </c>
      <c r="N1076" s="413" t="s">
        <v>1801</v>
      </c>
    </row>
    <row r="1077">
      <c r="A1077" s="409">
        <v>45892.0</v>
      </c>
      <c r="B1077" s="102">
        <v>2025.0</v>
      </c>
      <c r="C1077" s="410" t="s">
        <v>1750</v>
      </c>
      <c r="D1077" s="102" t="s">
        <v>702</v>
      </c>
      <c r="E1077" s="102" t="s">
        <v>465</v>
      </c>
      <c r="F1077" s="102" t="s">
        <v>711</v>
      </c>
      <c r="G1077" s="102" t="s">
        <v>734</v>
      </c>
      <c r="H1077" s="360">
        <v>180.0</v>
      </c>
      <c r="I1077" s="411" t="b">
        <v>0</v>
      </c>
      <c r="J1077" s="102" t="s">
        <v>1483</v>
      </c>
      <c r="K1077" s="360">
        <v>24.82758620689654</v>
      </c>
      <c r="L1077" s="360">
        <v>155.17241379310346</v>
      </c>
      <c r="M1077" s="102" t="s">
        <v>1120</v>
      </c>
      <c r="N1077" s="102" t="s">
        <v>1802</v>
      </c>
    </row>
    <row r="1078">
      <c r="A1078" s="412">
        <v>45892.0</v>
      </c>
      <c r="B1078" s="413">
        <v>2025.0</v>
      </c>
      <c r="C1078" s="414" t="s">
        <v>1750</v>
      </c>
      <c r="D1078" s="413" t="s">
        <v>710</v>
      </c>
      <c r="E1078" s="413" t="s">
        <v>137</v>
      </c>
      <c r="F1078" s="413" t="s">
        <v>711</v>
      </c>
      <c r="G1078" s="413" t="s">
        <v>740</v>
      </c>
      <c r="H1078" s="415">
        <v>7.0</v>
      </c>
      <c r="I1078" s="416" t="b">
        <v>0</v>
      </c>
      <c r="J1078" s="413" t="s">
        <v>472</v>
      </c>
      <c r="K1078" s="415">
        <v>0.0</v>
      </c>
      <c r="L1078" s="415">
        <v>7.0</v>
      </c>
      <c r="M1078" s="413" t="s">
        <v>1120</v>
      </c>
      <c r="N1078" s="413" t="s">
        <v>1803</v>
      </c>
    </row>
    <row r="1079">
      <c r="A1079" s="409">
        <v>45892.0</v>
      </c>
      <c r="B1079" s="102">
        <v>2025.0</v>
      </c>
      <c r="C1079" s="410" t="s">
        <v>1750</v>
      </c>
      <c r="D1079" s="102" t="s">
        <v>710</v>
      </c>
      <c r="E1079" s="102" t="s">
        <v>137</v>
      </c>
      <c r="F1079" s="102" t="s">
        <v>711</v>
      </c>
      <c r="G1079" s="102" t="s">
        <v>740</v>
      </c>
      <c r="H1079" s="360">
        <v>10.0</v>
      </c>
      <c r="I1079" s="411" t="b">
        <v>0</v>
      </c>
      <c r="J1079" s="102" t="s">
        <v>472</v>
      </c>
      <c r="K1079" s="360">
        <v>0.0</v>
      </c>
      <c r="L1079" s="360">
        <v>10.0</v>
      </c>
      <c r="M1079" s="102" t="s">
        <v>1120</v>
      </c>
      <c r="N1079" s="102" t="s">
        <v>1804</v>
      </c>
    </row>
    <row r="1080">
      <c r="A1080" s="412">
        <v>45892.0</v>
      </c>
      <c r="B1080" s="413">
        <v>2025.0</v>
      </c>
      <c r="C1080" s="414" t="s">
        <v>1750</v>
      </c>
      <c r="D1080" s="413" t="s">
        <v>702</v>
      </c>
      <c r="E1080" s="413" t="s">
        <v>465</v>
      </c>
      <c r="F1080" s="413" t="s">
        <v>703</v>
      </c>
      <c r="G1080" s="413" t="s">
        <v>715</v>
      </c>
      <c r="H1080" s="415">
        <v>2000.0</v>
      </c>
      <c r="I1080" s="416" t="b">
        <v>0</v>
      </c>
      <c r="J1080" s="413" t="s">
        <v>472</v>
      </c>
      <c r="K1080" s="415">
        <v>0.0</v>
      </c>
      <c r="L1080" s="415">
        <v>2000.0</v>
      </c>
      <c r="M1080" s="413" t="s">
        <v>1120</v>
      </c>
      <c r="N1080" s="413" t="s">
        <v>1805</v>
      </c>
    </row>
    <row r="1081">
      <c r="A1081" s="409">
        <v>45892.0</v>
      </c>
      <c r="B1081" s="102">
        <v>2025.0</v>
      </c>
      <c r="C1081" s="410" t="s">
        <v>1750</v>
      </c>
      <c r="D1081" s="102" t="s">
        <v>702</v>
      </c>
      <c r="E1081" s="102" t="s">
        <v>465</v>
      </c>
      <c r="F1081" s="102" t="s">
        <v>703</v>
      </c>
      <c r="G1081" s="102" t="s">
        <v>715</v>
      </c>
      <c r="H1081" s="360">
        <v>2330.0</v>
      </c>
      <c r="I1081" s="411" t="b">
        <v>0</v>
      </c>
      <c r="J1081" s="102" t="s">
        <v>472</v>
      </c>
      <c r="K1081" s="360">
        <v>0.0</v>
      </c>
      <c r="L1081" s="360">
        <v>2330.0</v>
      </c>
      <c r="M1081" s="102" t="s">
        <v>1120</v>
      </c>
      <c r="N1081" s="102" t="s">
        <v>1806</v>
      </c>
    </row>
    <row r="1082">
      <c r="A1082" s="412">
        <v>45892.0</v>
      </c>
      <c r="B1082" s="413">
        <v>2025.0</v>
      </c>
      <c r="C1082" s="414" t="s">
        <v>1750</v>
      </c>
      <c r="D1082" s="413" t="s">
        <v>702</v>
      </c>
      <c r="E1082" s="413" t="s">
        <v>465</v>
      </c>
      <c r="F1082" s="413" t="s">
        <v>703</v>
      </c>
      <c r="G1082" s="413" t="s">
        <v>715</v>
      </c>
      <c r="H1082" s="415">
        <v>160.0</v>
      </c>
      <c r="I1082" s="416" t="b">
        <v>0</v>
      </c>
      <c r="J1082" s="413" t="s">
        <v>1807</v>
      </c>
      <c r="K1082" s="415">
        <v>0.0</v>
      </c>
      <c r="L1082" s="415">
        <v>160.0</v>
      </c>
      <c r="M1082" s="413" t="s">
        <v>1120</v>
      </c>
      <c r="N1082" s="413" t="s">
        <v>1808</v>
      </c>
    </row>
    <row r="1083">
      <c r="A1083" s="409">
        <v>45899.0</v>
      </c>
      <c r="B1083" s="102">
        <v>2025.0</v>
      </c>
      <c r="C1083" s="410" t="s">
        <v>1750</v>
      </c>
      <c r="D1083" s="102" t="s">
        <v>702</v>
      </c>
      <c r="E1083" s="102" t="s">
        <v>465</v>
      </c>
      <c r="F1083" s="102" t="s">
        <v>711</v>
      </c>
      <c r="G1083" s="102" t="s">
        <v>734</v>
      </c>
      <c r="H1083" s="360">
        <v>180.0</v>
      </c>
      <c r="I1083" s="411" t="b">
        <v>0</v>
      </c>
      <c r="J1083" s="102" t="s">
        <v>1507</v>
      </c>
      <c r="K1083" s="360">
        <v>24.82758620689654</v>
      </c>
      <c r="L1083" s="360">
        <v>155.17241379310346</v>
      </c>
      <c r="M1083" s="102" t="s">
        <v>1120</v>
      </c>
      <c r="N1083" s="102" t="s">
        <v>1809</v>
      </c>
    </row>
    <row r="1084">
      <c r="A1084" s="412">
        <v>45899.0</v>
      </c>
      <c r="B1084" s="413">
        <v>2025.0</v>
      </c>
      <c r="C1084" s="414" t="s">
        <v>1750</v>
      </c>
      <c r="D1084" s="413" t="s">
        <v>710</v>
      </c>
      <c r="E1084" s="413" t="s">
        <v>137</v>
      </c>
      <c r="F1084" s="413" t="s">
        <v>703</v>
      </c>
      <c r="G1084" s="413" t="s">
        <v>715</v>
      </c>
      <c r="H1084" s="415">
        <v>100.0</v>
      </c>
      <c r="I1084" s="416" t="b">
        <v>0</v>
      </c>
      <c r="J1084" s="413" t="s">
        <v>472</v>
      </c>
      <c r="K1084" s="415">
        <v>0.0</v>
      </c>
      <c r="L1084" s="415">
        <v>100.0</v>
      </c>
      <c r="M1084" s="413" t="s">
        <v>1120</v>
      </c>
      <c r="N1084" s="413" t="s">
        <v>1810</v>
      </c>
    </row>
    <row r="1085">
      <c r="A1085" s="409">
        <v>45899.0</v>
      </c>
      <c r="B1085" s="102">
        <v>2025.0</v>
      </c>
      <c r="C1085" s="410" t="s">
        <v>1750</v>
      </c>
      <c r="D1085" s="102" t="s">
        <v>710</v>
      </c>
      <c r="E1085" s="102" t="s">
        <v>137</v>
      </c>
      <c r="F1085" s="102" t="s">
        <v>703</v>
      </c>
      <c r="G1085" s="102" t="s">
        <v>715</v>
      </c>
      <c r="H1085" s="360">
        <v>144.0</v>
      </c>
      <c r="I1085" s="411" t="b">
        <v>0</v>
      </c>
      <c r="J1085" s="102" t="s">
        <v>472</v>
      </c>
      <c r="K1085" s="360">
        <v>0.0</v>
      </c>
      <c r="L1085" s="360">
        <v>144.0</v>
      </c>
      <c r="M1085" s="102" t="s">
        <v>1120</v>
      </c>
      <c r="N1085" s="102" t="s">
        <v>1811</v>
      </c>
    </row>
    <row r="1086">
      <c r="A1086" s="412">
        <v>45899.0</v>
      </c>
      <c r="B1086" s="413">
        <v>2025.0</v>
      </c>
      <c r="C1086" s="414" t="s">
        <v>1750</v>
      </c>
      <c r="D1086" s="413" t="s">
        <v>710</v>
      </c>
      <c r="E1086" s="413" t="s">
        <v>137</v>
      </c>
      <c r="F1086" s="413" t="s">
        <v>711</v>
      </c>
      <c r="G1086" s="413" t="s">
        <v>734</v>
      </c>
      <c r="H1086" s="415">
        <v>280.0</v>
      </c>
      <c r="I1086" s="416" t="b">
        <v>0</v>
      </c>
      <c r="J1086" s="413" t="s">
        <v>1237</v>
      </c>
      <c r="K1086" s="415">
        <v>0.0</v>
      </c>
      <c r="L1086" s="415">
        <v>280.0</v>
      </c>
      <c r="M1086" s="413" t="s">
        <v>1120</v>
      </c>
      <c r="N1086" s="413" t="s">
        <v>1812</v>
      </c>
    </row>
    <row r="1087">
      <c r="A1087" s="409">
        <v>45899.0</v>
      </c>
      <c r="B1087" s="102">
        <v>2025.0</v>
      </c>
      <c r="C1087" s="410" t="s">
        <v>1750</v>
      </c>
      <c r="D1087" s="102" t="s">
        <v>710</v>
      </c>
      <c r="E1087" s="102" t="s">
        <v>137</v>
      </c>
      <c r="F1087" s="102" t="s">
        <v>703</v>
      </c>
      <c r="G1087" s="102" t="s">
        <v>715</v>
      </c>
      <c r="H1087" s="360">
        <v>500.0</v>
      </c>
      <c r="I1087" s="411" t="b">
        <v>0</v>
      </c>
      <c r="J1087" s="102" t="s">
        <v>472</v>
      </c>
      <c r="K1087" s="360">
        <v>0.0</v>
      </c>
      <c r="L1087" s="360">
        <v>500.0</v>
      </c>
      <c r="M1087" s="102" t="s">
        <v>1120</v>
      </c>
      <c r="N1087" s="102" t="s">
        <v>1813</v>
      </c>
    </row>
    <row r="1088">
      <c r="A1088" s="412">
        <v>45899.0</v>
      </c>
      <c r="B1088" s="413">
        <v>2025.0</v>
      </c>
      <c r="C1088" s="414" t="s">
        <v>1750</v>
      </c>
      <c r="D1088" s="413" t="s">
        <v>710</v>
      </c>
      <c r="E1088" s="413" t="s">
        <v>137</v>
      </c>
      <c r="F1088" s="413" t="s">
        <v>711</v>
      </c>
      <c r="G1088" s="413" t="s">
        <v>740</v>
      </c>
      <c r="H1088" s="415">
        <v>46.0</v>
      </c>
      <c r="I1088" s="416" t="b">
        <v>0</v>
      </c>
      <c r="J1088" s="413" t="s">
        <v>472</v>
      </c>
      <c r="K1088" s="415">
        <v>0.0</v>
      </c>
      <c r="L1088" s="415">
        <v>46.0</v>
      </c>
      <c r="M1088" s="413" t="s">
        <v>1120</v>
      </c>
      <c r="N1088" s="413" t="s">
        <v>1814</v>
      </c>
    </row>
    <row r="1089">
      <c r="A1089" s="409">
        <v>45899.0</v>
      </c>
      <c r="B1089" s="102">
        <v>2025.0</v>
      </c>
      <c r="C1089" s="410" t="s">
        <v>1750</v>
      </c>
      <c r="D1089" s="102" t="s">
        <v>702</v>
      </c>
      <c r="E1089" s="102" t="s">
        <v>465</v>
      </c>
      <c r="F1089" s="102" t="s">
        <v>711</v>
      </c>
      <c r="G1089" s="102" t="s">
        <v>767</v>
      </c>
      <c r="H1089" s="360">
        <v>550.0</v>
      </c>
      <c r="I1089" s="411" t="b">
        <v>0</v>
      </c>
      <c r="J1089" s="102" t="s">
        <v>1415</v>
      </c>
      <c r="K1089" s="360">
        <v>75.86206896551721</v>
      </c>
      <c r="L1089" s="360">
        <v>474.1379310344828</v>
      </c>
      <c r="M1089" s="102" t="s">
        <v>1120</v>
      </c>
      <c r="N1089" s="102" t="s">
        <v>1815</v>
      </c>
    </row>
    <row r="1090">
      <c r="A1090" s="412">
        <v>45899.0</v>
      </c>
      <c r="B1090" s="413">
        <v>2025.0</v>
      </c>
      <c r="C1090" s="414" t="s">
        <v>1750</v>
      </c>
      <c r="D1090" s="413" t="s">
        <v>702</v>
      </c>
      <c r="E1090" s="413" t="s">
        <v>465</v>
      </c>
      <c r="F1090" s="413" t="s">
        <v>711</v>
      </c>
      <c r="G1090" s="413" t="s">
        <v>730</v>
      </c>
      <c r="H1090" s="415">
        <v>419.0</v>
      </c>
      <c r="I1090" s="416" t="b">
        <v>0</v>
      </c>
      <c r="J1090" s="413" t="s">
        <v>472</v>
      </c>
      <c r="K1090" s="415">
        <v>57.793103448275815</v>
      </c>
      <c r="L1090" s="415">
        <v>361.2068965517242</v>
      </c>
      <c r="M1090" s="413" t="s">
        <v>1120</v>
      </c>
      <c r="N1090" s="413" t="s">
        <v>1816</v>
      </c>
    </row>
    <row r="1091">
      <c r="A1091" s="409">
        <v>45899.0</v>
      </c>
      <c r="B1091" s="102">
        <v>2025.0</v>
      </c>
      <c r="C1091" s="410" t="s">
        <v>1750</v>
      </c>
      <c r="D1091" s="102" t="s">
        <v>702</v>
      </c>
      <c r="E1091" s="102" t="s">
        <v>465</v>
      </c>
      <c r="F1091" s="102" t="s">
        <v>703</v>
      </c>
      <c r="G1091" s="102" t="s">
        <v>906</v>
      </c>
      <c r="H1091" s="360">
        <v>3000.0</v>
      </c>
      <c r="I1091" s="411" t="b">
        <v>0</v>
      </c>
      <c r="J1091" s="102" t="s">
        <v>472</v>
      </c>
      <c r="K1091" s="360">
        <v>0.0</v>
      </c>
      <c r="L1091" s="360">
        <v>3000.0</v>
      </c>
      <c r="M1091" s="102" t="s">
        <v>1120</v>
      </c>
      <c r="N1091" s="102" t="s">
        <v>1817</v>
      </c>
    </row>
    <row r="1092">
      <c r="A1092" s="412">
        <v>45900.0</v>
      </c>
      <c r="B1092" s="413">
        <v>2025.0</v>
      </c>
      <c r="C1092" s="414" t="s">
        <v>1750</v>
      </c>
      <c r="D1092" s="413" t="s">
        <v>710</v>
      </c>
      <c r="E1092" s="413" t="s">
        <v>137</v>
      </c>
      <c r="F1092" s="413" t="s">
        <v>703</v>
      </c>
      <c r="G1092" s="413" t="s">
        <v>715</v>
      </c>
      <c r="H1092" s="415">
        <v>400.0</v>
      </c>
      <c r="I1092" s="416" t="b">
        <v>0</v>
      </c>
      <c r="J1092" s="413" t="s">
        <v>472</v>
      </c>
      <c r="K1092" s="415">
        <v>0.0</v>
      </c>
      <c r="L1092" s="415">
        <v>400.0</v>
      </c>
      <c r="M1092" s="413" t="s">
        <v>1120</v>
      </c>
      <c r="N1092" s="413" t="s">
        <v>1818</v>
      </c>
    </row>
    <row r="1093">
      <c r="A1093" s="409">
        <v>45902.0</v>
      </c>
      <c r="B1093" s="102">
        <v>2025.0</v>
      </c>
      <c r="C1093" s="410" t="s">
        <v>1819</v>
      </c>
      <c r="D1093" s="102" t="s">
        <v>702</v>
      </c>
      <c r="E1093" s="102" t="s">
        <v>465</v>
      </c>
      <c r="F1093" s="102" t="s">
        <v>711</v>
      </c>
      <c r="G1093" s="102" t="s">
        <v>767</v>
      </c>
      <c r="H1093" s="360">
        <v>901.0</v>
      </c>
      <c r="I1093" s="411" t="b">
        <v>0</v>
      </c>
      <c r="J1093" s="102" t="s">
        <v>1820</v>
      </c>
      <c r="K1093" s="360">
        <v>124.27586206896547</v>
      </c>
      <c r="L1093" s="360">
        <v>776.7241379310345</v>
      </c>
      <c r="M1093" s="102" t="s">
        <v>1120</v>
      </c>
      <c r="N1093" s="102" t="s">
        <v>1821</v>
      </c>
    </row>
    <row r="1094">
      <c r="A1094" s="412">
        <v>45902.0</v>
      </c>
      <c r="B1094" s="413">
        <v>2025.0</v>
      </c>
      <c r="C1094" s="414" t="s">
        <v>1819</v>
      </c>
      <c r="D1094" s="413" t="s">
        <v>710</v>
      </c>
      <c r="E1094" s="413" t="s">
        <v>137</v>
      </c>
      <c r="F1094" s="413" t="s">
        <v>711</v>
      </c>
      <c r="G1094" s="413" t="s">
        <v>767</v>
      </c>
      <c r="H1094" s="415">
        <v>780.0</v>
      </c>
      <c r="I1094" s="416" t="b">
        <v>0</v>
      </c>
      <c r="J1094" s="413" t="s">
        <v>1561</v>
      </c>
      <c r="K1094" s="415">
        <v>0.0</v>
      </c>
      <c r="L1094" s="415">
        <v>780.0</v>
      </c>
      <c r="M1094" s="413" t="s">
        <v>1120</v>
      </c>
      <c r="N1094" s="413" t="s">
        <v>1822</v>
      </c>
    </row>
    <row r="1095">
      <c r="A1095" s="409">
        <v>45902.0</v>
      </c>
      <c r="B1095" s="102">
        <v>2025.0</v>
      </c>
      <c r="C1095" s="410" t="s">
        <v>1819</v>
      </c>
      <c r="D1095" s="102" t="s">
        <v>710</v>
      </c>
      <c r="E1095" s="102" t="s">
        <v>137</v>
      </c>
      <c r="F1095" s="102" t="s">
        <v>711</v>
      </c>
      <c r="G1095" s="102" t="s">
        <v>767</v>
      </c>
      <c r="H1095" s="360">
        <v>800.0</v>
      </c>
      <c r="I1095" s="411" t="b">
        <v>0</v>
      </c>
      <c r="J1095" s="102" t="s">
        <v>1823</v>
      </c>
      <c r="K1095" s="360">
        <v>0.0</v>
      </c>
      <c r="L1095" s="360">
        <v>800.0</v>
      </c>
      <c r="M1095" s="102" t="s">
        <v>1120</v>
      </c>
      <c r="N1095" s="102" t="s">
        <v>1824</v>
      </c>
    </row>
    <row r="1096">
      <c r="A1096" s="412">
        <v>45902.0</v>
      </c>
      <c r="B1096" s="413">
        <v>2025.0</v>
      </c>
      <c r="C1096" s="414" t="s">
        <v>1819</v>
      </c>
      <c r="D1096" s="413" t="s">
        <v>702</v>
      </c>
      <c r="E1096" s="413" t="s">
        <v>465</v>
      </c>
      <c r="F1096" s="413" t="s">
        <v>711</v>
      </c>
      <c r="G1096" s="413" t="s">
        <v>767</v>
      </c>
      <c r="H1096" s="415">
        <v>550.0</v>
      </c>
      <c r="I1096" s="416" t="b">
        <v>0</v>
      </c>
      <c r="J1096" s="413" t="s">
        <v>1367</v>
      </c>
      <c r="K1096" s="415">
        <v>75.86206896551721</v>
      </c>
      <c r="L1096" s="415">
        <v>474.1379310344828</v>
      </c>
      <c r="M1096" s="413" t="s">
        <v>1120</v>
      </c>
      <c r="N1096" s="413" t="s">
        <v>1825</v>
      </c>
    </row>
    <row r="1097">
      <c r="A1097" s="409">
        <v>45902.0</v>
      </c>
      <c r="B1097" s="102">
        <v>2025.0</v>
      </c>
      <c r="C1097" s="410" t="s">
        <v>1819</v>
      </c>
      <c r="D1097" s="102" t="s">
        <v>702</v>
      </c>
      <c r="E1097" s="102" t="s">
        <v>465</v>
      </c>
      <c r="F1097" s="102" t="s">
        <v>703</v>
      </c>
      <c r="G1097" s="102" t="s">
        <v>724</v>
      </c>
      <c r="H1097" s="360">
        <v>130.0</v>
      </c>
      <c r="I1097" s="411" t="b">
        <v>1</v>
      </c>
      <c r="J1097" s="102" t="s">
        <v>472</v>
      </c>
      <c r="K1097" s="360">
        <v>0.0</v>
      </c>
      <c r="L1097" s="360">
        <v>0.0</v>
      </c>
      <c r="M1097" s="102" t="s">
        <v>1120</v>
      </c>
      <c r="N1097" s="102" t="s">
        <v>1826</v>
      </c>
    </row>
    <row r="1098">
      <c r="A1098" s="412">
        <v>45902.0</v>
      </c>
      <c r="B1098" s="413">
        <v>2025.0</v>
      </c>
      <c r="C1098" s="414" t="s">
        <v>1819</v>
      </c>
      <c r="D1098" s="413" t="s">
        <v>710</v>
      </c>
      <c r="E1098" s="413" t="s">
        <v>137</v>
      </c>
      <c r="F1098" s="413" t="s">
        <v>711</v>
      </c>
      <c r="G1098" s="413" t="s">
        <v>724</v>
      </c>
      <c r="H1098" s="415">
        <v>130.0</v>
      </c>
      <c r="I1098" s="416" t="b">
        <v>1</v>
      </c>
      <c r="J1098" s="413" t="s">
        <v>472</v>
      </c>
      <c r="K1098" s="415">
        <v>0.0</v>
      </c>
      <c r="L1098" s="415">
        <v>0.0</v>
      </c>
      <c r="M1098" s="413" t="s">
        <v>1120</v>
      </c>
      <c r="N1098" s="413" t="s">
        <v>1826</v>
      </c>
    </row>
    <row r="1099">
      <c r="A1099" s="409">
        <v>45902.0</v>
      </c>
      <c r="B1099" s="102">
        <v>2025.0</v>
      </c>
      <c r="C1099" s="410" t="s">
        <v>1819</v>
      </c>
      <c r="D1099" s="102" t="s">
        <v>702</v>
      </c>
      <c r="E1099" s="102" t="s">
        <v>465</v>
      </c>
      <c r="F1099" s="102" t="s">
        <v>711</v>
      </c>
      <c r="G1099" s="102" t="s">
        <v>767</v>
      </c>
      <c r="H1099" s="360">
        <v>675.0</v>
      </c>
      <c r="I1099" s="411" t="b">
        <v>0</v>
      </c>
      <c r="J1099" s="102" t="s">
        <v>1655</v>
      </c>
      <c r="K1099" s="360">
        <v>93.10344827586198</v>
      </c>
      <c r="L1099" s="360">
        <v>581.896551724138</v>
      </c>
      <c r="M1099" s="102" t="s">
        <v>1120</v>
      </c>
      <c r="N1099" s="102" t="s">
        <v>1827</v>
      </c>
    </row>
    <row r="1100">
      <c r="A1100" s="412">
        <v>45902.0</v>
      </c>
      <c r="B1100" s="413">
        <v>2025.0</v>
      </c>
      <c r="C1100" s="414" t="s">
        <v>1819</v>
      </c>
      <c r="D1100" s="413" t="s">
        <v>702</v>
      </c>
      <c r="E1100" s="413" t="s">
        <v>465</v>
      </c>
      <c r="F1100" s="413" t="s">
        <v>711</v>
      </c>
      <c r="G1100" s="413" t="s">
        <v>767</v>
      </c>
      <c r="H1100" s="415">
        <v>675.0</v>
      </c>
      <c r="I1100" s="416" t="b">
        <v>0</v>
      </c>
      <c r="J1100" s="413" t="s">
        <v>472</v>
      </c>
      <c r="K1100" s="415">
        <v>93.10344827586198</v>
      </c>
      <c r="L1100" s="415">
        <v>581.896551724138</v>
      </c>
      <c r="M1100" s="413" t="s">
        <v>1120</v>
      </c>
      <c r="N1100" s="413" t="s">
        <v>1828</v>
      </c>
    </row>
    <row r="1101">
      <c r="A1101" s="409">
        <v>45902.0</v>
      </c>
      <c r="B1101" s="102">
        <v>2025.0</v>
      </c>
      <c r="C1101" s="410" t="s">
        <v>1819</v>
      </c>
      <c r="D1101" s="102" t="s">
        <v>702</v>
      </c>
      <c r="E1101" s="102" t="s">
        <v>465</v>
      </c>
      <c r="F1101" s="102" t="s">
        <v>711</v>
      </c>
      <c r="G1101" s="102" t="s">
        <v>730</v>
      </c>
      <c r="H1101" s="360">
        <v>41.0</v>
      </c>
      <c r="I1101" s="411" t="b">
        <v>0</v>
      </c>
      <c r="J1101" s="102" t="s">
        <v>472</v>
      </c>
      <c r="K1101" s="360">
        <v>5.655172413793103</v>
      </c>
      <c r="L1101" s="360">
        <v>35.3448275862069</v>
      </c>
      <c r="M1101" s="102" t="s">
        <v>1120</v>
      </c>
      <c r="N1101" s="102" t="s">
        <v>1829</v>
      </c>
    </row>
    <row r="1102">
      <c r="A1102" s="412">
        <v>45902.0</v>
      </c>
      <c r="B1102" s="413">
        <v>2025.0</v>
      </c>
      <c r="C1102" s="414" t="s">
        <v>1819</v>
      </c>
      <c r="D1102" s="413" t="s">
        <v>710</v>
      </c>
      <c r="E1102" s="413" t="s">
        <v>137</v>
      </c>
      <c r="F1102" s="413" t="s">
        <v>711</v>
      </c>
      <c r="G1102" s="413" t="s">
        <v>767</v>
      </c>
      <c r="H1102" s="415">
        <v>780.0</v>
      </c>
      <c r="I1102" s="416" t="b">
        <v>0</v>
      </c>
      <c r="J1102" s="413" t="s">
        <v>1830</v>
      </c>
      <c r="K1102" s="415">
        <v>0.0</v>
      </c>
      <c r="L1102" s="415">
        <v>780.0</v>
      </c>
      <c r="M1102" s="413" t="s">
        <v>1120</v>
      </c>
      <c r="N1102" s="413" t="s">
        <v>1831</v>
      </c>
    </row>
    <row r="1103">
      <c r="A1103" s="409">
        <v>45902.0</v>
      </c>
      <c r="B1103" s="102">
        <v>2025.0</v>
      </c>
      <c r="C1103" s="410" t="s">
        <v>1819</v>
      </c>
      <c r="D1103" s="102" t="s">
        <v>710</v>
      </c>
      <c r="E1103" s="102" t="s">
        <v>137</v>
      </c>
      <c r="F1103" s="102" t="s">
        <v>711</v>
      </c>
      <c r="G1103" s="102" t="s">
        <v>740</v>
      </c>
      <c r="H1103" s="360">
        <v>10.0</v>
      </c>
      <c r="I1103" s="411" t="b">
        <v>0</v>
      </c>
      <c r="J1103" s="102" t="s">
        <v>472</v>
      </c>
      <c r="K1103" s="360">
        <v>0.0</v>
      </c>
      <c r="L1103" s="360">
        <v>10.0</v>
      </c>
      <c r="M1103" s="102" t="s">
        <v>1120</v>
      </c>
      <c r="N1103" s="102" t="s">
        <v>1832</v>
      </c>
    </row>
    <row r="1104">
      <c r="A1104" s="412">
        <v>45902.0</v>
      </c>
      <c r="B1104" s="413">
        <v>2025.0</v>
      </c>
      <c r="C1104" s="414" t="s">
        <v>1819</v>
      </c>
      <c r="D1104" s="413" t="s">
        <v>702</v>
      </c>
      <c r="E1104" s="413" t="s">
        <v>465</v>
      </c>
      <c r="F1104" s="413" t="s">
        <v>703</v>
      </c>
      <c r="G1104" s="413" t="s">
        <v>797</v>
      </c>
      <c r="H1104" s="415">
        <v>740.0</v>
      </c>
      <c r="I1104" s="416" t="b">
        <v>0</v>
      </c>
      <c r="J1104" s="413" t="s">
        <v>472</v>
      </c>
      <c r="K1104" s="415">
        <v>0.0</v>
      </c>
      <c r="L1104" s="415">
        <v>740.0</v>
      </c>
      <c r="M1104" s="413" t="s">
        <v>1120</v>
      </c>
      <c r="N1104" s="413" t="s">
        <v>1833</v>
      </c>
    </row>
    <row r="1105">
      <c r="A1105" s="409">
        <v>45902.0</v>
      </c>
      <c r="B1105" s="102">
        <v>2025.0</v>
      </c>
      <c r="C1105" s="410" t="s">
        <v>1819</v>
      </c>
      <c r="D1105" s="102" t="s">
        <v>702</v>
      </c>
      <c r="E1105" s="102" t="s">
        <v>465</v>
      </c>
      <c r="F1105" s="102" t="s">
        <v>703</v>
      </c>
      <c r="G1105" s="102" t="s">
        <v>715</v>
      </c>
      <c r="H1105" s="360">
        <v>2497.0</v>
      </c>
      <c r="I1105" s="411" t="b">
        <v>0</v>
      </c>
      <c r="J1105" s="102" t="s">
        <v>1834</v>
      </c>
      <c r="K1105" s="360">
        <v>0.0</v>
      </c>
      <c r="L1105" s="360">
        <v>2497.0</v>
      </c>
      <c r="M1105" s="102" t="s">
        <v>1120</v>
      </c>
      <c r="N1105" s="102" t="s">
        <v>1835</v>
      </c>
    </row>
    <row r="1106">
      <c r="A1106" s="412">
        <v>45902.0</v>
      </c>
      <c r="B1106" s="413">
        <v>2025.0</v>
      </c>
      <c r="C1106" s="414" t="s">
        <v>1819</v>
      </c>
      <c r="D1106" s="413" t="s">
        <v>710</v>
      </c>
      <c r="E1106" s="413" t="s">
        <v>137</v>
      </c>
      <c r="F1106" s="413" t="s">
        <v>703</v>
      </c>
      <c r="G1106" s="413" t="s">
        <v>769</v>
      </c>
      <c r="H1106" s="415">
        <v>8000.0</v>
      </c>
      <c r="I1106" s="416" t="b">
        <v>0</v>
      </c>
      <c r="J1106" s="413" t="s">
        <v>472</v>
      </c>
      <c r="K1106" s="415">
        <v>0.0</v>
      </c>
      <c r="L1106" s="415">
        <v>8000.0</v>
      </c>
      <c r="M1106" s="413" t="s">
        <v>1120</v>
      </c>
      <c r="N1106" s="413" t="s">
        <v>1836</v>
      </c>
    </row>
    <row r="1107">
      <c r="A1107" s="409">
        <v>45904.0</v>
      </c>
      <c r="B1107" s="102">
        <v>2025.0</v>
      </c>
      <c r="C1107" s="410" t="s">
        <v>1819</v>
      </c>
      <c r="D1107" s="102" t="s">
        <v>710</v>
      </c>
      <c r="E1107" s="102" t="s">
        <v>137</v>
      </c>
      <c r="F1107" s="102" t="s">
        <v>711</v>
      </c>
      <c r="G1107" s="102" t="s">
        <v>734</v>
      </c>
      <c r="H1107" s="360">
        <v>360.0</v>
      </c>
      <c r="I1107" s="411" t="b">
        <v>0</v>
      </c>
      <c r="J1107" s="102" t="s">
        <v>1837</v>
      </c>
      <c r="K1107" s="360">
        <v>0.0</v>
      </c>
      <c r="L1107" s="360">
        <v>360.0</v>
      </c>
      <c r="M1107" s="102" t="s">
        <v>1120</v>
      </c>
      <c r="N1107" s="102" t="s">
        <v>1838</v>
      </c>
    </row>
    <row r="1108">
      <c r="A1108" s="412">
        <v>45904.0</v>
      </c>
      <c r="B1108" s="413">
        <v>2025.0</v>
      </c>
      <c r="C1108" s="414" t="s">
        <v>1819</v>
      </c>
      <c r="D1108" s="413" t="s">
        <v>710</v>
      </c>
      <c r="E1108" s="413" t="s">
        <v>137</v>
      </c>
      <c r="F1108" s="413" t="s">
        <v>703</v>
      </c>
      <c r="G1108" s="413" t="s">
        <v>715</v>
      </c>
      <c r="H1108" s="415">
        <v>200.0</v>
      </c>
      <c r="I1108" s="416" t="b">
        <v>0</v>
      </c>
      <c r="J1108" s="413" t="s">
        <v>472</v>
      </c>
      <c r="K1108" s="415">
        <v>0.0</v>
      </c>
      <c r="L1108" s="415">
        <v>200.0</v>
      </c>
      <c r="M1108" s="413" t="s">
        <v>1120</v>
      </c>
      <c r="N1108" s="413" t="s">
        <v>1839</v>
      </c>
    </row>
    <row r="1109">
      <c r="A1109" s="409">
        <v>45904.0</v>
      </c>
      <c r="B1109" s="102">
        <v>2025.0</v>
      </c>
      <c r="C1109" s="410" t="s">
        <v>1819</v>
      </c>
      <c r="D1109" s="102" t="s">
        <v>702</v>
      </c>
      <c r="E1109" s="102" t="s">
        <v>465</v>
      </c>
      <c r="F1109" s="102" t="s">
        <v>711</v>
      </c>
      <c r="G1109" s="102" t="s">
        <v>767</v>
      </c>
      <c r="H1109" s="360">
        <v>650.0</v>
      </c>
      <c r="I1109" s="411" t="b">
        <v>0</v>
      </c>
      <c r="J1109" s="102" t="s">
        <v>1216</v>
      </c>
      <c r="K1109" s="360">
        <v>89.65517241379303</v>
      </c>
      <c r="L1109" s="360">
        <v>560.344827586207</v>
      </c>
      <c r="M1109" s="102" t="s">
        <v>1120</v>
      </c>
      <c r="N1109" s="102" t="s">
        <v>1840</v>
      </c>
    </row>
    <row r="1110">
      <c r="A1110" s="412">
        <v>45904.0</v>
      </c>
      <c r="B1110" s="413">
        <v>2025.0</v>
      </c>
      <c r="C1110" s="414" t="s">
        <v>1819</v>
      </c>
      <c r="D1110" s="413" t="s">
        <v>702</v>
      </c>
      <c r="E1110" s="413" t="s">
        <v>465</v>
      </c>
      <c r="F1110" s="413" t="s">
        <v>703</v>
      </c>
      <c r="G1110" s="413" t="s">
        <v>715</v>
      </c>
      <c r="H1110" s="415">
        <v>193.0</v>
      </c>
      <c r="I1110" s="416" t="b">
        <v>0</v>
      </c>
      <c r="J1110" s="413" t="s">
        <v>472</v>
      </c>
      <c r="K1110" s="415">
        <v>0.0</v>
      </c>
      <c r="L1110" s="415">
        <v>193.0</v>
      </c>
      <c r="M1110" s="413" t="s">
        <v>1120</v>
      </c>
      <c r="N1110" s="413" t="s">
        <v>1841</v>
      </c>
    </row>
    <row r="1111">
      <c r="A1111" s="409">
        <v>45904.0</v>
      </c>
      <c r="B1111" s="102">
        <v>2025.0</v>
      </c>
      <c r="C1111" s="410" t="s">
        <v>1819</v>
      </c>
      <c r="D1111" s="102" t="s">
        <v>702</v>
      </c>
      <c r="E1111" s="102" t="s">
        <v>465</v>
      </c>
      <c r="F1111" s="102" t="s">
        <v>711</v>
      </c>
      <c r="G1111" s="102" t="s">
        <v>730</v>
      </c>
      <c r="H1111" s="360">
        <v>29.0</v>
      </c>
      <c r="I1111" s="411" t="b">
        <v>0</v>
      </c>
      <c r="J1111" s="102" t="s">
        <v>472</v>
      </c>
      <c r="K1111" s="360">
        <v>4.0</v>
      </c>
      <c r="L1111" s="360">
        <v>25.0</v>
      </c>
      <c r="M1111" s="102" t="s">
        <v>1120</v>
      </c>
      <c r="N1111" s="102" t="s">
        <v>1842</v>
      </c>
    </row>
    <row r="1112">
      <c r="A1112" s="412">
        <v>45904.0</v>
      </c>
      <c r="B1112" s="413">
        <v>2025.0</v>
      </c>
      <c r="C1112" s="414" t="s">
        <v>1819</v>
      </c>
      <c r="D1112" s="413" t="s">
        <v>710</v>
      </c>
      <c r="E1112" s="413" t="s">
        <v>137</v>
      </c>
      <c r="F1112" s="413" t="s">
        <v>703</v>
      </c>
      <c r="G1112" s="413" t="s">
        <v>724</v>
      </c>
      <c r="H1112" s="415">
        <v>1000.0</v>
      </c>
      <c r="I1112" s="416" t="b">
        <v>1</v>
      </c>
      <c r="J1112" s="413" t="s">
        <v>472</v>
      </c>
      <c r="K1112" s="415">
        <v>0.0</v>
      </c>
      <c r="L1112" s="415">
        <v>0.0</v>
      </c>
      <c r="M1112" s="413" t="s">
        <v>1120</v>
      </c>
      <c r="N1112" s="413" t="s">
        <v>1843</v>
      </c>
    </row>
    <row r="1113">
      <c r="A1113" s="409">
        <v>45904.0</v>
      </c>
      <c r="B1113" s="102">
        <v>2025.0</v>
      </c>
      <c r="C1113" s="410" t="s">
        <v>1819</v>
      </c>
      <c r="D1113" s="102" t="s">
        <v>723</v>
      </c>
      <c r="E1113" s="102" t="s">
        <v>137</v>
      </c>
      <c r="F1113" s="102" t="s">
        <v>711</v>
      </c>
      <c r="G1113" s="102" t="s">
        <v>724</v>
      </c>
      <c r="H1113" s="360">
        <v>1000.0</v>
      </c>
      <c r="I1113" s="411" t="b">
        <v>1</v>
      </c>
      <c r="J1113" s="102" t="s">
        <v>472</v>
      </c>
      <c r="K1113" s="360">
        <v>0.0</v>
      </c>
      <c r="L1113" s="360">
        <v>0.0</v>
      </c>
      <c r="M1113" s="102" t="s">
        <v>1120</v>
      </c>
      <c r="N1113" s="102" t="s">
        <v>1843</v>
      </c>
    </row>
    <row r="1114">
      <c r="A1114" s="412">
        <v>45904.0</v>
      </c>
      <c r="B1114" s="413">
        <v>2025.0</v>
      </c>
      <c r="C1114" s="414" t="s">
        <v>1819</v>
      </c>
      <c r="D1114" s="413" t="s">
        <v>723</v>
      </c>
      <c r="E1114" s="413" t="s">
        <v>137</v>
      </c>
      <c r="F1114" s="413" t="s">
        <v>711</v>
      </c>
      <c r="G1114" s="413" t="s">
        <v>767</v>
      </c>
      <c r="H1114" s="415">
        <v>800.0</v>
      </c>
      <c r="I1114" s="416" t="b">
        <v>0</v>
      </c>
      <c r="J1114" s="413" t="s">
        <v>1844</v>
      </c>
      <c r="K1114" s="415">
        <v>0.0</v>
      </c>
      <c r="L1114" s="415">
        <v>800.0</v>
      </c>
      <c r="M1114" s="413" t="s">
        <v>1120</v>
      </c>
      <c r="N1114" s="413" t="s">
        <v>1845</v>
      </c>
    </row>
    <row r="1115">
      <c r="A1115" s="409">
        <v>45904.0</v>
      </c>
      <c r="B1115" s="102">
        <v>2025.0</v>
      </c>
      <c r="C1115" s="410" t="s">
        <v>1819</v>
      </c>
      <c r="D1115" s="102" t="s">
        <v>723</v>
      </c>
      <c r="E1115" s="102" t="s">
        <v>137</v>
      </c>
      <c r="F1115" s="102" t="s">
        <v>711</v>
      </c>
      <c r="G1115" s="102" t="s">
        <v>767</v>
      </c>
      <c r="H1115" s="360">
        <v>800.0</v>
      </c>
      <c r="I1115" s="411" t="b">
        <v>0</v>
      </c>
      <c r="J1115" s="102" t="s">
        <v>1799</v>
      </c>
      <c r="K1115" s="360">
        <v>0.0</v>
      </c>
      <c r="L1115" s="360">
        <v>800.0</v>
      </c>
      <c r="M1115" s="102" t="s">
        <v>1120</v>
      </c>
      <c r="N1115" s="102" t="s">
        <v>1846</v>
      </c>
    </row>
    <row r="1116">
      <c r="A1116" s="412">
        <v>45904.0</v>
      </c>
      <c r="B1116" s="413">
        <v>2025.0</v>
      </c>
      <c r="C1116" s="414" t="s">
        <v>1819</v>
      </c>
      <c r="D1116" s="413" t="s">
        <v>723</v>
      </c>
      <c r="E1116" s="413" t="s">
        <v>137</v>
      </c>
      <c r="F1116" s="413" t="s">
        <v>711</v>
      </c>
      <c r="G1116" s="413" t="s">
        <v>767</v>
      </c>
      <c r="H1116" s="415">
        <v>800.0</v>
      </c>
      <c r="I1116" s="416" t="b">
        <v>0</v>
      </c>
      <c r="J1116" s="413" t="s">
        <v>1148</v>
      </c>
      <c r="K1116" s="415">
        <v>0.0</v>
      </c>
      <c r="L1116" s="415">
        <v>800.0</v>
      </c>
      <c r="M1116" s="413" t="s">
        <v>1120</v>
      </c>
      <c r="N1116" s="413" t="s">
        <v>1847</v>
      </c>
    </row>
    <row r="1117">
      <c r="A1117" s="409">
        <v>45904.0</v>
      </c>
      <c r="B1117" s="102">
        <v>2025.0</v>
      </c>
      <c r="C1117" s="410" t="s">
        <v>1819</v>
      </c>
      <c r="D1117" s="102" t="s">
        <v>702</v>
      </c>
      <c r="E1117" s="102" t="s">
        <v>465</v>
      </c>
      <c r="F1117" s="102" t="s">
        <v>711</v>
      </c>
      <c r="G1117" s="102" t="s">
        <v>767</v>
      </c>
      <c r="H1117" s="360">
        <v>550.0</v>
      </c>
      <c r="I1117" s="411" t="b">
        <v>0</v>
      </c>
      <c r="J1117" s="102" t="s">
        <v>1213</v>
      </c>
      <c r="K1117" s="360">
        <v>75.86206896551721</v>
      </c>
      <c r="L1117" s="360">
        <v>474.1379310344828</v>
      </c>
      <c r="M1117" s="102" t="s">
        <v>1120</v>
      </c>
      <c r="N1117" s="102" t="s">
        <v>1848</v>
      </c>
    </row>
    <row r="1118">
      <c r="A1118" s="412">
        <v>45906.0</v>
      </c>
      <c r="B1118" s="413">
        <v>2025.0</v>
      </c>
      <c r="C1118" s="414" t="s">
        <v>1819</v>
      </c>
      <c r="D1118" s="413" t="s">
        <v>723</v>
      </c>
      <c r="E1118" s="413" t="s">
        <v>137</v>
      </c>
      <c r="F1118" s="413" t="s">
        <v>711</v>
      </c>
      <c r="G1118" s="413" t="s">
        <v>767</v>
      </c>
      <c r="H1118" s="415">
        <v>490.0</v>
      </c>
      <c r="I1118" s="416" t="b">
        <v>0</v>
      </c>
      <c r="J1118" s="413" t="s">
        <v>1213</v>
      </c>
      <c r="K1118" s="415">
        <v>0.0</v>
      </c>
      <c r="L1118" s="415">
        <v>490.0</v>
      </c>
      <c r="M1118" s="413" t="s">
        <v>1120</v>
      </c>
      <c r="N1118" s="413" t="s">
        <v>1849</v>
      </c>
    </row>
    <row r="1119">
      <c r="A1119" s="409">
        <v>45906.0</v>
      </c>
      <c r="B1119" s="102">
        <v>2025.0</v>
      </c>
      <c r="C1119" s="410" t="s">
        <v>1819</v>
      </c>
      <c r="D1119" s="102" t="s">
        <v>702</v>
      </c>
      <c r="E1119" s="102" t="s">
        <v>465</v>
      </c>
      <c r="F1119" s="102" t="s">
        <v>711</v>
      </c>
      <c r="G1119" s="102" t="s">
        <v>734</v>
      </c>
      <c r="H1119" s="360">
        <v>180.0</v>
      </c>
      <c r="I1119" s="411" t="b">
        <v>0</v>
      </c>
      <c r="J1119" s="102" t="s">
        <v>1483</v>
      </c>
      <c r="K1119" s="360">
        <v>24.82758620689654</v>
      </c>
      <c r="L1119" s="360">
        <v>155.17241379310346</v>
      </c>
      <c r="M1119" s="102" t="s">
        <v>1120</v>
      </c>
      <c r="N1119" s="102" t="s">
        <v>1850</v>
      </c>
    </row>
    <row r="1120">
      <c r="A1120" s="412">
        <v>45906.0</v>
      </c>
      <c r="B1120" s="413">
        <v>2025.0</v>
      </c>
      <c r="C1120" s="414" t="s">
        <v>1819</v>
      </c>
      <c r="D1120" s="413" t="s">
        <v>723</v>
      </c>
      <c r="E1120" s="413" t="s">
        <v>137</v>
      </c>
      <c r="F1120" s="413" t="s">
        <v>703</v>
      </c>
      <c r="G1120" s="413" t="s">
        <v>715</v>
      </c>
      <c r="H1120" s="415">
        <v>218.0</v>
      </c>
      <c r="I1120" s="416" t="b">
        <v>0</v>
      </c>
      <c r="J1120" s="413" t="s">
        <v>472</v>
      </c>
      <c r="K1120" s="415">
        <v>0.0</v>
      </c>
      <c r="L1120" s="415">
        <v>218.0</v>
      </c>
      <c r="M1120" s="413" t="s">
        <v>1120</v>
      </c>
      <c r="N1120" s="413" t="s">
        <v>1851</v>
      </c>
    </row>
    <row r="1121">
      <c r="A1121" s="409">
        <v>45906.0</v>
      </c>
      <c r="B1121" s="102">
        <v>2025.0</v>
      </c>
      <c r="C1121" s="410" t="s">
        <v>1819</v>
      </c>
      <c r="D1121" s="102" t="s">
        <v>702</v>
      </c>
      <c r="E1121" s="102" t="s">
        <v>465</v>
      </c>
      <c r="F1121" s="102" t="s">
        <v>711</v>
      </c>
      <c r="G1121" s="102" t="s">
        <v>767</v>
      </c>
      <c r="H1121" s="360">
        <v>800.0</v>
      </c>
      <c r="I1121" s="411" t="b">
        <v>0</v>
      </c>
      <c r="J1121" s="102" t="s">
        <v>1218</v>
      </c>
      <c r="K1121" s="360">
        <v>110.34482758620686</v>
      </c>
      <c r="L1121" s="360">
        <v>689.6551724137931</v>
      </c>
      <c r="M1121" s="102" t="s">
        <v>1120</v>
      </c>
      <c r="N1121" s="102" t="s">
        <v>1852</v>
      </c>
    </row>
    <row r="1122">
      <c r="A1122" s="412">
        <v>45906.0</v>
      </c>
      <c r="B1122" s="413">
        <v>2025.0</v>
      </c>
      <c r="C1122" s="414" t="s">
        <v>1819</v>
      </c>
      <c r="D1122" s="413" t="s">
        <v>710</v>
      </c>
      <c r="E1122" s="413" t="s">
        <v>137</v>
      </c>
      <c r="F1122" s="413" t="s">
        <v>711</v>
      </c>
      <c r="G1122" s="413" t="s">
        <v>767</v>
      </c>
      <c r="H1122" s="415">
        <v>1300.0</v>
      </c>
      <c r="I1122" s="416" t="b">
        <v>0</v>
      </c>
      <c r="J1122" s="413" t="s">
        <v>1248</v>
      </c>
      <c r="K1122" s="415">
        <v>0.0</v>
      </c>
      <c r="L1122" s="415">
        <v>1300.0</v>
      </c>
      <c r="M1122" s="413" t="s">
        <v>1120</v>
      </c>
      <c r="N1122" s="413" t="s">
        <v>1853</v>
      </c>
    </row>
    <row r="1123">
      <c r="A1123" s="409">
        <v>45906.0</v>
      </c>
      <c r="B1123" s="102">
        <v>2025.0</v>
      </c>
      <c r="C1123" s="410" t="s">
        <v>1819</v>
      </c>
      <c r="D1123" s="102" t="s">
        <v>702</v>
      </c>
      <c r="E1123" s="102" t="s">
        <v>465</v>
      </c>
      <c r="F1123" s="102" t="s">
        <v>711</v>
      </c>
      <c r="G1123" s="102" t="s">
        <v>767</v>
      </c>
      <c r="H1123" s="360">
        <v>800.0</v>
      </c>
      <c r="I1123" s="411" t="b">
        <v>0</v>
      </c>
      <c r="J1123" s="102" t="s">
        <v>1466</v>
      </c>
      <c r="K1123" s="360">
        <v>110.34482758620686</v>
      </c>
      <c r="L1123" s="360">
        <v>689.6551724137931</v>
      </c>
      <c r="M1123" s="102" t="s">
        <v>1120</v>
      </c>
      <c r="N1123" s="102" t="s">
        <v>1854</v>
      </c>
    </row>
    <row r="1124">
      <c r="A1124" s="412">
        <v>45906.0</v>
      </c>
      <c r="B1124" s="413">
        <v>2025.0</v>
      </c>
      <c r="C1124" s="414" t="s">
        <v>1819</v>
      </c>
      <c r="D1124" s="413" t="s">
        <v>702</v>
      </c>
      <c r="E1124" s="413" t="s">
        <v>465</v>
      </c>
      <c r="F1124" s="413" t="s">
        <v>711</v>
      </c>
      <c r="G1124" s="413" t="s">
        <v>767</v>
      </c>
      <c r="H1124" s="415">
        <v>950.0</v>
      </c>
      <c r="I1124" s="416" t="b">
        <v>0</v>
      </c>
      <c r="J1124" s="413" t="s">
        <v>1855</v>
      </c>
      <c r="K1124" s="415">
        <v>131.03448275862058</v>
      </c>
      <c r="L1124" s="415">
        <v>818.9655172413794</v>
      </c>
      <c r="M1124" s="413" t="s">
        <v>1120</v>
      </c>
      <c r="N1124" s="413" t="s">
        <v>1856</v>
      </c>
    </row>
    <row r="1125">
      <c r="A1125" s="409">
        <v>45906.0</v>
      </c>
      <c r="B1125" s="102">
        <v>2025.0</v>
      </c>
      <c r="C1125" s="410" t="s">
        <v>1819</v>
      </c>
      <c r="D1125" s="102" t="s">
        <v>723</v>
      </c>
      <c r="E1125" s="102" t="s">
        <v>137</v>
      </c>
      <c r="F1125" s="102" t="s">
        <v>711</v>
      </c>
      <c r="G1125" s="102" t="s">
        <v>740</v>
      </c>
      <c r="H1125" s="360">
        <v>7.0</v>
      </c>
      <c r="I1125" s="411" t="b">
        <v>0</v>
      </c>
      <c r="J1125" s="102" t="s">
        <v>472</v>
      </c>
      <c r="K1125" s="360">
        <v>0.0</v>
      </c>
      <c r="L1125" s="360">
        <v>7.0</v>
      </c>
      <c r="M1125" s="102" t="s">
        <v>1120</v>
      </c>
      <c r="N1125" s="102" t="s">
        <v>1857</v>
      </c>
    </row>
    <row r="1126">
      <c r="A1126" s="412">
        <v>45906.0</v>
      </c>
      <c r="B1126" s="413">
        <v>2025.0</v>
      </c>
      <c r="C1126" s="414" t="s">
        <v>1819</v>
      </c>
      <c r="D1126" s="413" t="s">
        <v>723</v>
      </c>
      <c r="E1126" s="413" t="s">
        <v>137</v>
      </c>
      <c r="F1126" s="413" t="s">
        <v>711</v>
      </c>
      <c r="G1126" s="413" t="s">
        <v>767</v>
      </c>
      <c r="H1126" s="415">
        <v>475.0</v>
      </c>
      <c r="I1126" s="416" t="b">
        <v>0</v>
      </c>
      <c r="J1126" s="413" t="s">
        <v>1218</v>
      </c>
      <c r="K1126" s="415">
        <v>0.0</v>
      </c>
      <c r="L1126" s="415">
        <v>475.0</v>
      </c>
      <c r="M1126" s="413" t="s">
        <v>1120</v>
      </c>
      <c r="N1126" s="413" t="s">
        <v>1858</v>
      </c>
    </row>
    <row r="1127">
      <c r="A1127" s="409">
        <v>45906.0</v>
      </c>
      <c r="B1127" s="102">
        <v>2025.0</v>
      </c>
      <c r="C1127" s="410" t="s">
        <v>1819</v>
      </c>
      <c r="D1127" s="102" t="s">
        <v>702</v>
      </c>
      <c r="E1127" s="102" t="s">
        <v>465</v>
      </c>
      <c r="F1127" s="102" t="s">
        <v>711</v>
      </c>
      <c r="G1127" s="102" t="s">
        <v>767</v>
      </c>
      <c r="H1127" s="360">
        <v>475.0</v>
      </c>
      <c r="I1127" s="411" t="b">
        <v>0</v>
      </c>
      <c r="J1127" s="102" t="s">
        <v>1218</v>
      </c>
      <c r="K1127" s="360">
        <v>65.51724137931029</v>
      </c>
      <c r="L1127" s="360">
        <v>409.4827586206897</v>
      </c>
      <c r="M1127" s="102" t="s">
        <v>1120</v>
      </c>
      <c r="N1127" s="102" t="s">
        <v>1859</v>
      </c>
    </row>
    <row r="1128">
      <c r="A1128" s="412">
        <v>45906.0</v>
      </c>
      <c r="B1128" s="413">
        <v>2025.0</v>
      </c>
      <c r="C1128" s="414" t="s">
        <v>1819</v>
      </c>
      <c r="D1128" s="413" t="s">
        <v>723</v>
      </c>
      <c r="E1128" s="413" t="s">
        <v>137</v>
      </c>
      <c r="F1128" s="413" t="s">
        <v>711</v>
      </c>
      <c r="G1128" s="413" t="s">
        <v>767</v>
      </c>
      <c r="H1128" s="415">
        <v>950.0</v>
      </c>
      <c r="I1128" s="416" t="b">
        <v>0</v>
      </c>
      <c r="J1128" s="413" t="s">
        <v>1232</v>
      </c>
      <c r="K1128" s="415">
        <v>0.0</v>
      </c>
      <c r="L1128" s="415">
        <v>950.0</v>
      </c>
      <c r="M1128" s="413" t="s">
        <v>1120</v>
      </c>
      <c r="N1128" s="413" t="s">
        <v>1860</v>
      </c>
    </row>
    <row r="1129">
      <c r="A1129" s="409">
        <v>45908.0</v>
      </c>
      <c r="B1129" s="102">
        <v>2025.0</v>
      </c>
      <c r="C1129" s="410" t="s">
        <v>1819</v>
      </c>
      <c r="D1129" s="102" t="s">
        <v>710</v>
      </c>
      <c r="E1129" s="102" t="s">
        <v>137</v>
      </c>
      <c r="F1129" s="102" t="s">
        <v>711</v>
      </c>
      <c r="G1129" s="102" t="s">
        <v>767</v>
      </c>
      <c r="H1129" s="360">
        <v>705.0</v>
      </c>
      <c r="I1129" s="411" t="b">
        <v>0</v>
      </c>
      <c r="J1129" s="102" t="s">
        <v>1861</v>
      </c>
      <c r="K1129" s="360">
        <v>0.0</v>
      </c>
      <c r="L1129" s="360">
        <v>705.0</v>
      </c>
      <c r="M1129" s="102" t="s">
        <v>1120</v>
      </c>
      <c r="N1129" s="102" t="s">
        <v>1862</v>
      </c>
    </row>
    <row r="1130">
      <c r="A1130" s="412">
        <v>45908.0</v>
      </c>
      <c r="B1130" s="413">
        <v>2025.0</v>
      </c>
      <c r="C1130" s="414" t="s">
        <v>1819</v>
      </c>
      <c r="D1130" s="413" t="s">
        <v>723</v>
      </c>
      <c r="E1130" s="413" t="s">
        <v>137</v>
      </c>
      <c r="F1130" s="413" t="s">
        <v>711</v>
      </c>
      <c r="G1130" s="413" t="s">
        <v>767</v>
      </c>
      <c r="H1130" s="415">
        <v>950.0</v>
      </c>
      <c r="I1130" s="416" t="b">
        <v>0</v>
      </c>
      <c r="J1130" s="413" t="s">
        <v>1863</v>
      </c>
      <c r="K1130" s="415">
        <v>0.0</v>
      </c>
      <c r="L1130" s="415">
        <v>950.0</v>
      </c>
      <c r="M1130" s="413" t="s">
        <v>1120</v>
      </c>
      <c r="N1130" s="413" t="s">
        <v>1864</v>
      </c>
    </row>
    <row r="1131">
      <c r="A1131" s="409">
        <v>45908.0</v>
      </c>
      <c r="B1131" s="102">
        <v>2025.0</v>
      </c>
      <c r="C1131" s="410" t="s">
        <v>1819</v>
      </c>
      <c r="D1131" s="102" t="s">
        <v>702</v>
      </c>
      <c r="E1131" s="102" t="s">
        <v>465</v>
      </c>
      <c r="F1131" s="102" t="s">
        <v>711</v>
      </c>
      <c r="G1131" s="102" t="s">
        <v>767</v>
      </c>
      <c r="H1131" s="360">
        <v>390.0</v>
      </c>
      <c r="I1131" s="411" t="b">
        <v>0</v>
      </c>
      <c r="J1131" s="102" t="s">
        <v>1865</v>
      </c>
      <c r="K1131" s="360">
        <v>53.793103448275815</v>
      </c>
      <c r="L1131" s="360">
        <v>336.2068965517242</v>
      </c>
      <c r="M1131" s="102" t="s">
        <v>1120</v>
      </c>
      <c r="N1131" s="102" t="s">
        <v>1866</v>
      </c>
    </row>
    <row r="1132">
      <c r="A1132" s="412">
        <v>45909.0</v>
      </c>
      <c r="B1132" s="413">
        <v>2025.0</v>
      </c>
      <c r="C1132" s="414" t="s">
        <v>1819</v>
      </c>
      <c r="D1132" s="413" t="s">
        <v>702</v>
      </c>
      <c r="E1132" s="413" t="s">
        <v>465</v>
      </c>
      <c r="F1132" s="413" t="s">
        <v>711</v>
      </c>
      <c r="G1132" s="413" t="s">
        <v>730</v>
      </c>
      <c r="H1132" s="415">
        <v>138.0</v>
      </c>
      <c r="I1132" s="416" t="b">
        <v>0</v>
      </c>
      <c r="J1132" s="413" t="s">
        <v>472</v>
      </c>
      <c r="K1132" s="415">
        <v>19.034482758620683</v>
      </c>
      <c r="L1132" s="415">
        <v>118.96551724137932</v>
      </c>
      <c r="M1132" s="413" t="s">
        <v>1120</v>
      </c>
      <c r="N1132" s="413" t="s">
        <v>1867</v>
      </c>
    </row>
    <row r="1133">
      <c r="A1133" s="409">
        <v>45909.0</v>
      </c>
      <c r="B1133" s="102">
        <v>2025.0</v>
      </c>
      <c r="C1133" s="410" t="s">
        <v>1819</v>
      </c>
      <c r="D1133" s="102" t="s">
        <v>710</v>
      </c>
      <c r="E1133" s="102" t="s">
        <v>137</v>
      </c>
      <c r="F1133" s="102" t="s">
        <v>703</v>
      </c>
      <c r="G1133" s="102" t="s">
        <v>715</v>
      </c>
      <c r="H1133" s="360">
        <v>100.0</v>
      </c>
      <c r="I1133" s="411" t="b">
        <v>0</v>
      </c>
      <c r="J1133" s="102" t="s">
        <v>472</v>
      </c>
      <c r="K1133" s="360">
        <v>0.0</v>
      </c>
      <c r="L1133" s="360">
        <v>100.0</v>
      </c>
      <c r="M1133" s="102" t="s">
        <v>1120</v>
      </c>
      <c r="N1133" s="102" t="s">
        <v>1868</v>
      </c>
    </row>
    <row r="1134">
      <c r="A1134" s="412">
        <v>45909.0</v>
      </c>
      <c r="B1134" s="413">
        <v>2025.0</v>
      </c>
      <c r="C1134" s="414" t="s">
        <v>1819</v>
      </c>
      <c r="D1134" s="413" t="s">
        <v>710</v>
      </c>
      <c r="E1134" s="413" t="s">
        <v>137</v>
      </c>
      <c r="F1134" s="413" t="s">
        <v>711</v>
      </c>
      <c r="G1134" s="413" t="s">
        <v>724</v>
      </c>
      <c r="H1134" s="415">
        <v>6054.0</v>
      </c>
      <c r="I1134" s="416" t="b">
        <v>1</v>
      </c>
      <c r="J1134" s="413" t="s">
        <v>472</v>
      </c>
      <c r="K1134" s="415">
        <v>0.0</v>
      </c>
      <c r="L1134" s="415">
        <v>0.0</v>
      </c>
      <c r="M1134" s="413" t="s">
        <v>1120</v>
      </c>
      <c r="N1134" s="413" t="s">
        <v>1869</v>
      </c>
    </row>
    <row r="1135">
      <c r="A1135" s="409">
        <v>45909.0</v>
      </c>
      <c r="B1135" s="102">
        <v>2025.0</v>
      </c>
      <c r="C1135" s="410" t="s">
        <v>1819</v>
      </c>
      <c r="D1135" s="102" t="s">
        <v>723</v>
      </c>
      <c r="E1135" s="102" t="s">
        <v>137</v>
      </c>
      <c r="F1135" s="102" t="s">
        <v>703</v>
      </c>
      <c r="G1135" s="102" t="s">
        <v>724</v>
      </c>
      <c r="H1135" s="360">
        <v>6054.0</v>
      </c>
      <c r="I1135" s="411" t="b">
        <v>1</v>
      </c>
      <c r="J1135" s="102" t="s">
        <v>472</v>
      </c>
      <c r="K1135" s="360">
        <v>0.0</v>
      </c>
      <c r="L1135" s="360">
        <v>0.0</v>
      </c>
      <c r="M1135" s="102" t="s">
        <v>1120</v>
      </c>
      <c r="N1135" s="102" t="s">
        <v>1869</v>
      </c>
    </row>
    <row r="1136">
      <c r="A1136" s="412">
        <v>45909.0</v>
      </c>
      <c r="B1136" s="413">
        <v>2025.0</v>
      </c>
      <c r="C1136" s="414" t="s">
        <v>1819</v>
      </c>
      <c r="D1136" s="413" t="s">
        <v>710</v>
      </c>
      <c r="E1136" s="413" t="s">
        <v>137</v>
      </c>
      <c r="F1136" s="413" t="s">
        <v>703</v>
      </c>
      <c r="G1136" s="413" t="s">
        <v>715</v>
      </c>
      <c r="H1136" s="415">
        <v>100.0</v>
      </c>
      <c r="I1136" s="416" t="b">
        <v>0</v>
      </c>
      <c r="J1136" s="413" t="s">
        <v>472</v>
      </c>
      <c r="K1136" s="415">
        <v>0.0</v>
      </c>
      <c r="L1136" s="415">
        <v>100.0</v>
      </c>
      <c r="M1136" s="413" t="s">
        <v>1120</v>
      </c>
      <c r="N1136" s="413" t="s">
        <v>1870</v>
      </c>
    </row>
    <row r="1137">
      <c r="A1137" s="409">
        <v>45910.0</v>
      </c>
      <c r="B1137" s="102">
        <v>2025.0</v>
      </c>
      <c r="C1137" s="410" t="s">
        <v>1819</v>
      </c>
      <c r="D1137" s="102" t="s">
        <v>702</v>
      </c>
      <c r="E1137" s="102" t="s">
        <v>465</v>
      </c>
      <c r="F1137" s="102" t="s">
        <v>711</v>
      </c>
      <c r="G1137" s="102" t="s">
        <v>767</v>
      </c>
      <c r="H1137" s="360">
        <v>900.0</v>
      </c>
      <c r="I1137" s="411" t="b">
        <v>0</v>
      </c>
      <c r="J1137" s="102" t="s">
        <v>1237</v>
      </c>
      <c r="K1137" s="360">
        <v>124.13793103448268</v>
      </c>
      <c r="L1137" s="360">
        <v>775.8620689655173</v>
      </c>
      <c r="M1137" s="102" t="s">
        <v>1120</v>
      </c>
      <c r="N1137" s="102" t="s">
        <v>1871</v>
      </c>
    </row>
    <row r="1138">
      <c r="A1138" s="412">
        <v>45910.0</v>
      </c>
      <c r="B1138" s="413">
        <v>2025.0</v>
      </c>
      <c r="C1138" s="414" t="s">
        <v>1819</v>
      </c>
      <c r="D1138" s="413" t="s">
        <v>702</v>
      </c>
      <c r="E1138" s="413" t="s">
        <v>465</v>
      </c>
      <c r="F1138" s="413" t="s">
        <v>703</v>
      </c>
      <c r="G1138" s="413" t="s">
        <v>715</v>
      </c>
      <c r="H1138" s="415">
        <v>5300.0</v>
      </c>
      <c r="I1138" s="416" t="b">
        <v>0</v>
      </c>
      <c r="J1138" s="413" t="s">
        <v>472</v>
      </c>
      <c r="K1138" s="415">
        <v>0.0</v>
      </c>
      <c r="L1138" s="415">
        <v>5300.0</v>
      </c>
      <c r="M1138" s="413" t="s">
        <v>1120</v>
      </c>
      <c r="N1138" s="413" t="s">
        <v>1872</v>
      </c>
    </row>
    <row r="1139">
      <c r="A1139" s="409">
        <v>45910.0</v>
      </c>
      <c r="B1139" s="102">
        <v>2025.0</v>
      </c>
      <c r="C1139" s="410" t="s">
        <v>1819</v>
      </c>
      <c r="D1139" s="102" t="s">
        <v>702</v>
      </c>
      <c r="E1139" s="102" t="s">
        <v>465</v>
      </c>
      <c r="F1139" s="102" t="s">
        <v>703</v>
      </c>
      <c r="G1139" s="102" t="s">
        <v>715</v>
      </c>
      <c r="H1139" s="360">
        <v>615.0</v>
      </c>
      <c r="I1139" s="411" t="b">
        <v>0</v>
      </c>
      <c r="J1139" s="102" t="s">
        <v>472</v>
      </c>
      <c r="K1139" s="360">
        <v>0.0</v>
      </c>
      <c r="L1139" s="360">
        <v>615.0</v>
      </c>
      <c r="M1139" s="102" t="s">
        <v>1120</v>
      </c>
      <c r="N1139" s="102" t="s">
        <v>1873</v>
      </c>
    </row>
    <row r="1140">
      <c r="A1140" s="412">
        <v>45910.0</v>
      </c>
      <c r="B1140" s="413">
        <v>2025.0</v>
      </c>
      <c r="C1140" s="414" t="s">
        <v>1819</v>
      </c>
      <c r="D1140" s="413" t="s">
        <v>710</v>
      </c>
      <c r="E1140" s="413" t="s">
        <v>137</v>
      </c>
      <c r="F1140" s="413" t="s">
        <v>711</v>
      </c>
      <c r="G1140" s="413" t="s">
        <v>767</v>
      </c>
      <c r="H1140" s="415">
        <v>1070.0</v>
      </c>
      <c r="I1140" s="416" t="b">
        <v>0</v>
      </c>
      <c r="J1140" s="413" t="s">
        <v>1874</v>
      </c>
      <c r="K1140" s="415">
        <v>0.0</v>
      </c>
      <c r="L1140" s="415">
        <v>1070.0</v>
      </c>
      <c r="M1140" s="413" t="s">
        <v>1120</v>
      </c>
      <c r="N1140" s="413" t="s">
        <v>1875</v>
      </c>
    </row>
    <row r="1141">
      <c r="A1141" s="409">
        <v>45912.0</v>
      </c>
      <c r="B1141" s="102">
        <v>2025.0</v>
      </c>
      <c r="C1141" s="410" t="s">
        <v>1819</v>
      </c>
      <c r="D1141" s="102" t="s">
        <v>702</v>
      </c>
      <c r="E1141" s="102" t="s">
        <v>465</v>
      </c>
      <c r="F1141" s="102" t="s">
        <v>711</v>
      </c>
      <c r="G1141" s="102" t="s">
        <v>734</v>
      </c>
      <c r="H1141" s="360">
        <v>180.0</v>
      </c>
      <c r="I1141" s="411" t="b">
        <v>0</v>
      </c>
      <c r="J1141" s="102" t="s">
        <v>1415</v>
      </c>
      <c r="K1141" s="360">
        <v>24.82758620689654</v>
      </c>
      <c r="L1141" s="360">
        <v>155.17241379310346</v>
      </c>
      <c r="M1141" s="102" t="s">
        <v>1120</v>
      </c>
      <c r="N1141" s="102" t="s">
        <v>1876</v>
      </c>
    </row>
    <row r="1142">
      <c r="A1142" s="412">
        <v>45913.0</v>
      </c>
      <c r="B1142" s="413">
        <v>2025.0</v>
      </c>
      <c r="C1142" s="414" t="s">
        <v>1819</v>
      </c>
      <c r="D1142" s="413" t="s">
        <v>702</v>
      </c>
      <c r="E1142" s="413" t="s">
        <v>465</v>
      </c>
      <c r="F1142" s="413" t="s">
        <v>711</v>
      </c>
      <c r="G1142" s="413" t="s">
        <v>767</v>
      </c>
      <c r="H1142" s="415">
        <v>1199.0</v>
      </c>
      <c r="I1142" s="416" t="b">
        <v>0</v>
      </c>
      <c r="J1142" s="413" t="s">
        <v>1705</v>
      </c>
      <c r="K1142" s="415">
        <v>165.37931034482745</v>
      </c>
      <c r="L1142" s="415">
        <v>1033.6206896551726</v>
      </c>
      <c r="M1142" s="413" t="s">
        <v>1120</v>
      </c>
      <c r="N1142" s="413" t="s">
        <v>1877</v>
      </c>
    </row>
    <row r="1143">
      <c r="A1143" s="409">
        <v>45913.0</v>
      </c>
      <c r="B1143" s="102">
        <v>2025.0</v>
      </c>
      <c r="C1143" s="410" t="s">
        <v>1819</v>
      </c>
      <c r="D1143" s="102" t="s">
        <v>702</v>
      </c>
      <c r="E1143" s="102" t="s">
        <v>465</v>
      </c>
      <c r="F1143" s="102" t="s">
        <v>711</v>
      </c>
      <c r="G1143" s="102" t="s">
        <v>734</v>
      </c>
      <c r="H1143" s="360">
        <v>180.0</v>
      </c>
      <c r="I1143" s="411" t="b">
        <v>0</v>
      </c>
      <c r="J1143" s="102" t="s">
        <v>1483</v>
      </c>
      <c r="K1143" s="360">
        <v>24.82758620689654</v>
      </c>
      <c r="L1143" s="360">
        <v>155.17241379310346</v>
      </c>
      <c r="M1143" s="102" t="s">
        <v>1120</v>
      </c>
      <c r="N1143" s="102" t="s">
        <v>1878</v>
      </c>
    </row>
    <row r="1144">
      <c r="A1144" s="412">
        <v>45913.0</v>
      </c>
      <c r="B1144" s="413">
        <v>2025.0</v>
      </c>
      <c r="C1144" s="414" t="s">
        <v>1819</v>
      </c>
      <c r="D1144" s="413" t="s">
        <v>702</v>
      </c>
      <c r="E1144" s="413" t="s">
        <v>465</v>
      </c>
      <c r="F1144" s="413" t="s">
        <v>711</v>
      </c>
      <c r="G1144" s="413" t="s">
        <v>730</v>
      </c>
      <c r="H1144" s="415">
        <v>46.0</v>
      </c>
      <c r="I1144" s="416" t="b">
        <v>0</v>
      </c>
      <c r="J1144" s="413" t="s">
        <v>472</v>
      </c>
      <c r="K1144" s="415">
        <v>6.344827586206897</v>
      </c>
      <c r="L1144" s="415">
        <v>39.6551724137931</v>
      </c>
      <c r="M1144" s="413" t="s">
        <v>1120</v>
      </c>
      <c r="N1144" s="413" t="s">
        <v>1879</v>
      </c>
    </row>
    <row r="1145">
      <c r="A1145" s="409">
        <v>45917.0</v>
      </c>
      <c r="B1145" s="102">
        <v>2025.0</v>
      </c>
      <c r="C1145" s="410" t="s">
        <v>1819</v>
      </c>
      <c r="D1145" s="102" t="s">
        <v>702</v>
      </c>
      <c r="E1145" s="102" t="s">
        <v>465</v>
      </c>
      <c r="F1145" s="102" t="s">
        <v>711</v>
      </c>
      <c r="G1145" s="102" t="s">
        <v>767</v>
      </c>
      <c r="H1145" s="360">
        <v>900.0</v>
      </c>
      <c r="I1145" s="411" t="b">
        <v>0</v>
      </c>
      <c r="J1145" s="102" t="s">
        <v>1788</v>
      </c>
      <c r="K1145" s="360">
        <v>124.13793103448268</v>
      </c>
      <c r="L1145" s="360">
        <v>775.8620689655173</v>
      </c>
      <c r="M1145" s="102" t="s">
        <v>1120</v>
      </c>
      <c r="N1145" s="102" t="s">
        <v>1880</v>
      </c>
    </row>
    <row r="1146">
      <c r="A1146" s="412">
        <v>45917.0</v>
      </c>
      <c r="B1146" s="413">
        <v>2025.0</v>
      </c>
      <c r="C1146" s="414" t="s">
        <v>1819</v>
      </c>
      <c r="D1146" s="413" t="s">
        <v>702</v>
      </c>
      <c r="E1146" s="413" t="s">
        <v>465</v>
      </c>
      <c r="F1146" s="413" t="s">
        <v>711</v>
      </c>
      <c r="G1146" s="413" t="s">
        <v>767</v>
      </c>
      <c r="H1146" s="415">
        <v>590.0</v>
      </c>
      <c r="I1146" s="416" t="b">
        <v>0</v>
      </c>
      <c r="J1146" s="413" t="s">
        <v>1881</v>
      </c>
      <c r="K1146" s="415">
        <v>81.37931034482756</v>
      </c>
      <c r="L1146" s="415">
        <v>508.62068965517244</v>
      </c>
      <c r="M1146" s="413" t="s">
        <v>1120</v>
      </c>
      <c r="N1146" s="413" t="s">
        <v>1882</v>
      </c>
    </row>
    <row r="1147">
      <c r="A1147" s="409">
        <v>45918.0</v>
      </c>
      <c r="B1147" s="102">
        <v>2025.0</v>
      </c>
      <c r="C1147" s="410" t="s">
        <v>1819</v>
      </c>
      <c r="D1147" s="102" t="s">
        <v>710</v>
      </c>
      <c r="E1147" s="102" t="s">
        <v>137</v>
      </c>
      <c r="F1147" s="102" t="s">
        <v>711</v>
      </c>
      <c r="G1147" s="102" t="s">
        <v>724</v>
      </c>
      <c r="H1147" s="360">
        <v>800.0</v>
      </c>
      <c r="I1147" s="411" t="b">
        <v>1</v>
      </c>
      <c r="J1147" s="102" t="s">
        <v>472</v>
      </c>
      <c r="K1147" s="360">
        <v>0.0</v>
      </c>
      <c r="L1147" s="360">
        <v>0.0</v>
      </c>
      <c r="M1147" s="102" t="s">
        <v>1120</v>
      </c>
      <c r="N1147" s="102" t="s">
        <v>1883</v>
      </c>
    </row>
    <row r="1148">
      <c r="A1148" s="412">
        <v>45918.0</v>
      </c>
      <c r="B1148" s="413">
        <v>2025.0</v>
      </c>
      <c r="C1148" s="414" t="s">
        <v>1819</v>
      </c>
      <c r="D1148" s="413" t="s">
        <v>702</v>
      </c>
      <c r="E1148" s="413" t="s">
        <v>465</v>
      </c>
      <c r="F1148" s="413" t="s">
        <v>703</v>
      </c>
      <c r="G1148" s="413" t="s">
        <v>724</v>
      </c>
      <c r="H1148" s="415">
        <v>800.0</v>
      </c>
      <c r="I1148" s="416" t="b">
        <v>1</v>
      </c>
      <c r="J1148" s="413" t="s">
        <v>472</v>
      </c>
      <c r="K1148" s="415">
        <v>0.0</v>
      </c>
      <c r="L1148" s="415">
        <v>0.0</v>
      </c>
      <c r="M1148" s="413" t="s">
        <v>1120</v>
      </c>
      <c r="N1148" s="413" t="s">
        <v>1883</v>
      </c>
    </row>
    <row r="1149">
      <c r="A1149" s="409">
        <v>45918.0</v>
      </c>
      <c r="B1149" s="102">
        <v>2025.0</v>
      </c>
      <c r="C1149" s="410" t="s">
        <v>1819</v>
      </c>
      <c r="D1149" s="102" t="s">
        <v>702</v>
      </c>
      <c r="E1149" s="102" t="s">
        <v>465</v>
      </c>
      <c r="F1149" s="102" t="s">
        <v>711</v>
      </c>
      <c r="G1149" s="102" t="s">
        <v>730</v>
      </c>
      <c r="H1149" s="360">
        <v>58.0</v>
      </c>
      <c r="I1149" s="411" t="b">
        <v>0</v>
      </c>
      <c r="J1149" s="102" t="s">
        <v>472</v>
      </c>
      <c r="K1149" s="360">
        <v>8.0</v>
      </c>
      <c r="L1149" s="360">
        <v>50.0</v>
      </c>
      <c r="M1149" s="102" t="s">
        <v>1120</v>
      </c>
      <c r="N1149" s="102" t="s">
        <v>1884</v>
      </c>
    </row>
    <row r="1150">
      <c r="A1150" s="412">
        <v>45918.0</v>
      </c>
      <c r="B1150" s="413">
        <v>2025.0</v>
      </c>
      <c r="C1150" s="414" t="s">
        <v>1819</v>
      </c>
      <c r="D1150" s="413" t="s">
        <v>710</v>
      </c>
      <c r="E1150" s="413" t="s">
        <v>137</v>
      </c>
      <c r="F1150" s="413" t="s">
        <v>703</v>
      </c>
      <c r="G1150" s="413" t="s">
        <v>715</v>
      </c>
      <c r="H1150" s="415">
        <v>200.0</v>
      </c>
      <c r="I1150" s="416" t="b">
        <v>0</v>
      </c>
      <c r="J1150" s="413" t="s">
        <v>472</v>
      </c>
      <c r="K1150" s="415">
        <v>0.0</v>
      </c>
      <c r="L1150" s="415">
        <v>200.0</v>
      </c>
      <c r="M1150" s="413" t="s">
        <v>1120</v>
      </c>
      <c r="N1150" s="413" t="s">
        <v>1885</v>
      </c>
    </row>
    <row r="1151">
      <c r="A1151" s="409">
        <v>45918.0</v>
      </c>
      <c r="B1151" s="102">
        <v>2025.0</v>
      </c>
      <c r="C1151" s="410" t="s">
        <v>1819</v>
      </c>
      <c r="D1151" s="102" t="s">
        <v>710</v>
      </c>
      <c r="E1151" s="102" t="s">
        <v>137</v>
      </c>
      <c r="F1151" s="102" t="s">
        <v>703</v>
      </c>
      <c r="G1151" s="102" t="s">
        <v>732</v>
      </c>
      <c r="H1151" s="360">
        <v>53.0</v>
      </c>
      <c r="I1151" s="411" t="b">
        <v>0</v>
      </c>
      <c r="J1151" s="102" t="s">
        <v>1886</v>
      </c>
      <c r="K1151" s="360">
        <v>0.0</v>
      </c>
      <c r="L1151" s="360">
        <v>53.0</v>
      </c>
      <c r="M1151" s="102" t="s">
        <v>1120</v>
      </c>
      <c r="N1151" s="102" t="s">
        <v>1887</v>
      </c>
    </row>
    <row r="1152">
      <c r="A1152" s="412">
        <v>45918.0</v>
      </c>
      <c r="B1152" s="413">
        <v>2025.0</v>
      </c>
      <c r="C1152" s="414" t="s">
        <v>1819</v>
      </c>
      <c r="D1152" s="413" t="s">
        <v>702</v>
      </c>
      <c r="E1152" s="413" t="s">
        <v>465</v>
      </c>
      <c r="F1152" s="413" t="s">
        <v>711</v>
      </c>
      <c r="G1152" s="413" t="s">
        <v>767</v>
      </c>
      <c r="H1152" s="415">
        <v>550.0</v>
      </c>
      <c r="I1152" s="416" t="b">
        <v>0</v>
      </c>
      <c r="J1152" s="413" t="s">
        <v>1755</v>
      </c>
      <c r="K1152" s="415">
        <v>75.86206896551721</v>
      </c>
      <c r="L1152" s="415">
        <v>474.1379310344828</v>
      </c>
      <c r="M1152" s="413" t="s">
        <v>1120</v>
      </c>
      <c r="N1152" s="413" t="s">
        <v>1888</v>
      </c>
    </row>
    <row r="1153">
      <c r="A1153" s="409">
        <v>45918.0</v>
      </c>
      <c r="B1153" s="102">
        <v>2025.0</v>
      </c>
      <c r="C1153" s="410" t="s">
        <v>1819</v>
      </c>
      <c r="D1153" s="102" t="s">
        <v>702</v>
      </c>
      <c r="E1153" s="102" t="s">
        <v>465</v>
      </c>
      <c r="F1153" s="102" t="s">
        <v>711</v>
      </c>
      <c r="G1153" s="102" t="s">
        <v>767</v>
      </c>
      <c r="H1153" s="360">
        <v>1250.0</v>
      </c>
      <c r="I1153" s="411" t="b">
        <v>0</v>
      </c>
      <c r="J1153" s="102" t="s">
        <v>1197</v>
      </c>
      <c r="K1153" s="360">
        <v>172.41379310344814</v>
      </c>
      <c r="L1153" s="360">
        <v>1077.5862068965519</v>
      </c>
      <c r="M1153" s="102" t="s">
        <v>1120</v>
      </c>
      <c r="N1153" s="102" t="s">
        <v>1889</v>
      </c>
    </row>
    <row r="1154">
      <c r="A1154" s="412">
        <v>45920.0</v>
      </c>
      <c r="B1154" s="413">
        <v>2025.0</v>
      </c>
      <c r="C1154" s="414" t="s">
        <v>1819</v>
      </c>
      <c r="D1154" s="413" t="s">
        <v>723</v>
      </c>
      <c r="E1154" s="413" t="s">
        <v>137</v>
      </c>
      <c r="F1154" s="413" t="s">
        <v>711</v>
      </c>
      <c r="G1154" s="413" t="s">
        <v>724</v>
      </c>
      <c r="H1154" s="415">
        <v>870.0</v>
      </c>
      <c r="I1154" s="416" t="b">
        <v>1</v>
      </c>
      <c r="J1154" s="413" t="s">
        <v>472</v>
      </c>
      <c r="K1154" s="415">
        <v>0.0</v>
      </c>
      <c r="L1154" s="415">
        <v>0.0</v>
      </c>
      <c r="M1154" s="413" t="s">
        <v>1120</v>
      </c>
      <c r="N1154" s="413" t="s">
        <v>1890</v>
      </c>
    </row>
    <row r="1155">
      <c r="A1155" s="409">
        <v>45920.0</v>
      </c>
      <c r="B1155" s="102">
        <v>2025.0</v>
      </c>
      <c r="C1155" s="410" t="s">
        <v>1819</v>
      </c>
      <c r="D1155" s="102" t="s">
        <v>710</v>
      </c>
      <c r="E1155" s="102" t="s">
        <v>137</v>
      </c>
      <c r="F1155" s="102" t="s">
        <v>703</v>
      </c>
      <c r="G1155" s="102" t="s">
        <v>724</v>
      </c>
      <c r="H1155" s="360">
        <v>870.0</v>
      </c>
      <c r="I1155" s="411" t="b">
        <v>1</v>
      </c>
      <c r="J1155" s="102" t="s">
        <v>472</v>
      </c>
      <c r="K1155" s="360">
        <v>0.0</v>
      </c>
      <c r="L1155" s="360">
        <v>0.0</v>
      </c>
      <c r="M1155" s="102" t="s">
        <v>1120</v>
      </c>
      <c r="N1155" s="102" t="s">
        <v>1890</v>
      </c>
    </row>
    <row r="1156">
      <c r="A1156" s="412">
        <v>45920.0</v>
      </c>
      <c r="B1156" s="413">
        <v>2025.0</v>
      </c>
      <c r="C1156" s="414" t="s">
        <v>1819</v>
      </c>
      <c r="D1156" s="413" t="s">
        <v>723</v>
      </c>
      <c r="E1156" s="413" t="s">
        <v>137</v>
      </c>
      <c r="F1156" s="413" t="s">
        <v>711</v>
      </c>
      <c r="G1156" s="413" t="s">
        <v>734</v>
      </c>
      <c r="H1156" s="415">
        <v>200.0</v>
      </c>
      <c r="I1156" s="416" t="b">
        <v>0</v>
      </c>
      <c r="J1156" s="413" t="s">
        <v>1891</v>
      </c>
      <c r="K1156" s="415">
        <v>0.0</v>
      </c>
      <c r="L1156" s="415">
        <v>200.0</v>
      </c>
      <c r="M1156" s="413" t="s">
        <v>1120</v>
      </c>
      <c r="N1156" s="413" t="s">
        <v>1892</v>
      </c>
    </row>
    <row r="1157">
      <c r="A1157" s="409">
        <v>45920.0</v>
      </c>
      <c r="B1157" s="102">
        <v>2025.0</v>
      </c>
      <c r="C1157" s="410" t="s">
        <v>1819</v>
      </c>
      <c r="D1157" s="102" t="s">
        <v>723</v>
      </c>
      <c r="E1157" s="102" t="s">
        <v>137</v>
      </c>
      <c r="F1157" s="102" t="s">
        <v>711</v>
      </c>
      <c r="G1157" s="102" t="s">
        <v>767</v>
      </c>
      <c r="H1157" s="360">
        <v>350.0</v>
      </c>
      <c r="I1157" s="411" t="b">
        <v>0</v>
      </c>
      <c r="J1157" s="102" t="s">
        <v>1350</v>
      </c>
      <c r="K1157" s="360">
        <v>0.0</v>
      </c>
      <c r="L1157" s="360">
        <v>350.0</v>
      </c>
      <c r="M1157" s="102" t="s">
        <v>1120</v>
      </c>
      <c r="N1157" s="102" t="s">
        <v>1893</v>
      </c>
    </row>
    <row r="1158">
      <c r="A1158" s="412">
        <v>45920.0</v>
      </c>
      <c r="B1158" s="413">
        <v>2025.0</v>
      </c>
      <c r="C1158" s="414" t="s">
        <v>1819</v>
      </c>
      <c r="D1158" s="413" t="s">
        <v>702</v>
      </c>
      <c r="E1158" s="413" t="s">
        <v>465</v>
      </c>
      <c r="F1158" s="413" t="s">
        <v>711</v>
      </c>
      <c r="G1158" s="413" t="s">
        <v>734</v>
      </c>
      <c r="H1158" s="415">
        <v>180.0</v>
      </c>
      <c r="I1158" s="416" t="b">
        <v>0</v>
      </c>
      <c r="J1158" s="413" t="s">
        <v>1483</v>
      </c>
      <c r="K1158" s="415">
        <v>24.82758620689654</v>
      </c>
      <c r="L1158" s="415">
        <v>155.17241379310346</v>
      </c>
      <c r="M1158" s="413" t="s">
        <v>1120</v>
      </c>
      <c r="N1158" s="413" t="s">
        <v>1894</v>
      </c>
    </row>
    <row r="1159">
      <c r="A1159" s="409">
        <v>45920.0</v>
      </c>
      <c r="B1159" s="102">
        <v>2025.0</v>
      </c>
      <c r="C1159" s="410" t="s">
        <v>1819</v>
      </c>
      <c r="D1159" s="102" t="s">
        <v>702</v>
      </c>
      <c r="E1159" s="102" t="s">
        <v>465</v>
      </c>
      <c r="F1159" s="102" t="s">
        <v>711</v>
      </c>
      <c r="G1159" s="102" t="s">
        <v>734</v>
      </c>
      <c r="H1159" s="360">
        <v>180.0</v>
      </c>
      <c r="I1159" s="411" t="b">
        <v>0</v>
      </c>
      <c r="J1159" s="102" t="s">
        <v>1415</v>
      </c>
      <c r="K1159" s="360">
        <v>24.82758620689654</v>
      </c>
      <c r="L1159" s="360">
        <v>155.17241379310346</v>
      </c>
      <c r="M1159" s="102" t="s">
        <v>1120</v>
      </c>
      <c r="N1159" s="102" t="s">
        <v>1895</v>
      </c>
    </row>
    <row r="1160">
      <c r="A1160" s="412">
        <v>45920.0</v>
      </c>
      <c r="B1160" s="413">
        <v>2025.0</v>
      </c>
      <c r="C1160" s="414" t="s">
        <v>1819</v>
      </c>
      <c r="D1160" s="413" t="s">
        <v>702</v>
      </c>
      <c r="E1160" s="413" t="s">
        <v>465</v>
      </c>
      <c r="F1160" s="413" t="s">
        <v>711</v>
      </c>
      <c r="G1160" s="413" t="s">
        <v>767</v>
      </c>
      <c r="H1160" s="415">
        <v>950.0</v>
      </c>
      <c r="I1160" s="416" t="b">
        <v>0</v>
      </c>
      <c r="J1160" s="413" t="s">
        <v>1246</v>
      </c>
      <c r="K1160" s="415">
        <v>131.03448275862058</v>
      </c>
      <c r="L1160" s="415">
        <v>818.9655172413794</v>
      </c>
      <c r="M1160" s="413" t="s">
        <v>1120</v>
      </c>
      <c r="N1160" s="413" t="s">
        <v>1896</v>
      </c>
    </row>
    <row r="1161">
      <c r="A1161" s="409">
        <v>45926.0</v>
      </c>
      <c r="B1161" s="102">
        <v>2025.0</v>
      </c>
      <c r="C1161" s="410" t="s">
        <v>1819</v>
      </c>
      <c r="D1161" s="102" t="s">
        <v>723</v>
      </c>
      <c r="E1161" s="102" t="s">
        <v>137</v>
      </c>
      <c r="F1161" s="102" t="s">
        <v>703</v>
      </c>
      <c r="G1161" s="102" t="s">
        <v>715</v>
      </c>
      <c r="H1161" s="360">
        <v>70.0</v>
      </c>
      <c r="I1161" s="411" t="b">
        <v>0</v>
      </c>
      <c r="J1161" s="102" t="s">
        <v>472</v>
      </c>
      <c r="K1161" s="360">
        <v>0.0</v>
      </c>
      <c r="L1161" s="360">
        <v>70.0</v>
      </c>
      <c r="M1161" s="102" t="s">
        <v>1120</v>
      </c>
      <c r="N1161" s="102" t="s">
        <v>1897</v>
      </c>
    </row>
    <row r="1162">
      <c r="A1162" s="412">
        <v>45926.0</v>
      </c>
      <c r="B1162" s="413">
        <v>2025.0</v>
      </c>
      <c r="C1162" s="414" t="s">
        <v>1819</v>
      </c>
      <c r="D1162" s="413" t="s">
        <v>723</v>
      </c>
      <c r="E1162" s="413" t="s">
        <v>137</v>
      </c>
      <c r="F1162" s="413" t="s">
        <v>703</v>
      </c>
      <c r="G1162" s="413" t="s">
        <v>715</v>
      </c>
      <c r="H1162" s="415">
        <v>200.0</v>
      </c>
      <c r="I1162" s="416" t="b">
        <v>0</v>
      </c>
      <c r="J1162" s="413" t="s">
        <v>472</v>
      </c>
      <c r="K1162" s="415">
        <v>0.0</v>
      </c>
      <c r="L1162" s="415">
        <v>200.0</v>
      </c>
      <c r="M1162" s="413" t="s">
        <v>1120</v>
      </c>
      <c r="N1162" s="413" t="s">
        <v>1898</v>
      </c>
    </row>
    <row r="1163">
      <c r="A1163" s="409">
        <v>45926.0</v>
      </c>
      <c r="B1163" s="102">
        <v>2025.0</v>
      </c>
      <c r="C1163" s="410" t="s">
        <v>1819</v>
      </c>
      <c r="D1163" s="102" t="s">
        <v>723</v>
      </c>
      <c r="E1163" s="102" t="s">
        <v>137</v>
      </c>
      <c r="F1163" s="102" t="s">
        <v>711</v>
      </c>
      <c r="G1163" s="102" t="s">
        <v>734</v>
      </c>
      <c r="H1163" s="360">
        <v>140.0</v>
      </c>
      <c r="I1163" s="411" t="b">
        <v>0</v>
      </c>
      <c r="J1163" s="102" t="s">
        <v>1899</v>
      </c>
      <c r="K1163" s="360">
        <v>0.0</v>
      </c>
      <c r="L1163" s="360">
        <v>140.0</v>
      </c>
      <c r="M1163" s="102" t="s">
        <v>1120</v>
      </c>
      <c r="N1163" s="102" t="s">
        <v>1900</v>
      </c>
    </row>
    <row r="1164">
      <c r="A1164" s="412">
        <v>45926.0</v>
      </c>
      <c r="B1164" s="413">
        <v>2025.0</v>
      </c>
      <c r="C1164" s="414" t="s">
        <v>1819</v>
      </c>
      <c r="D1164" s="413" t="s">
        <v>710</v>
      </c>
      <c r="E1164" s="413" t="s">
        <v>137</v>
      </c>
      <c r="F1164" s="413" t="s">
        <v>711</v>
      </c>
      <c r="G1164" s="413" t="s">
        <v>715</v>
      </c>
      <c r="H1164" s="415">
        <v>150.0</v>
      </c>
      <c r="I1164" s="416" t="b">
        <v>0</v>
      </c>
      <c r="J1164" s="413" t="s">
        <v>472</v>
      </c>
      <c r="K1164" s="415">
        <v>0.0</v>
      </c>
      <c r="L1164" s="415">
        <v>150.0</v>
      </c>
      <c r="M1164" s="413" t="s">
        <v>1120</v>
      </c>
      <c r="N1164" s="413" t="s">
        <v>1901</v>
      </c>
    </row>
    <row r="1165">
      <c r="A1165" s="409">
        <v>45926.0</v>
      </c>
      <c r="B1165" s="102">
        <v>2025.0</v>
      </c>
      <c r="C1165" s="410" t="s">
        <v>1819</v>
      </c>
      <c r="D1165" s="102" t="s">
        <v>723</v>
      </c>
      <c r="E1165" s="102" t="s">
        <v>137</v>
      </c>
      <c r="F1165" s="102" t="s">
        <v>711</v>
      </c>
      <c r="G1165" s="102" t="s">
        <v>740</v>
      </c>
      <c r="H1165" s="360">
        <v>31.0</v>
      </c>
      <c r="I1165" s="411" t="b">
        <v>0</v>
      </c>
      <c r="J1165" s="102" t="s">
        <v>472</v>
      </c>
      <c r="K1165" s="360">
        <v>0.0</v>
      </c>
      <c r="L1165" s="360">
        <v>31.0</v>
      </c>
      <c r="M1165" s="102" t="s">
        <v>1120</v>
      </c>
      <c r="N1165" s="102" t="s">
        <v>1902</v>
      </c>
    </row>
    <row r="1166">
      <c r="A1166" s="412">
        <v>45926.0</v>
      </c>
      <c r="B1166" s="413">
        <v>2025.0</v>
      </c>
      <c r="C1166" s="414" t="s">
        <v>1819</v>
      </c>
      <c r="D1166" s="413" t="s">
        <v>723</v>
      </c>
      <c r="E1166" s="413" t="s">
        <v>137</v>
      </c>
      <c r="F1166" s="413" t="s">
        <v>703</v>
      </c>
      <c r="G1166" s="413" t="s">
        <v>724</v>
      </c>
      <c r="H1166" s="415">
        <v>1321.0</v>
      </c>
      <c r="I1166" s="416" t="b">
        <v>1</v>
      </c>
      <c r="J1166" s="413" t="s">
        <v>472</v>
      </c>
      <c r="K1166" s="415">
        <v>0.0</v>
      </c>
      <c r="L1166" s="415">
        <v>0.0</v>
      </c>
      <c r="M1166" s="413" t="s">
        <v>1120</v>
      </c>
      <c r="N1166" s="413" t="s">
        <v>1903</v>
      </c>
    </row>
    <row r="1167">
      <c r="A1167" s="409">
        <v>45926.0</v>
      </c>
      <c r="B1167" s="102">
        <v>2025.0</v>
      </c>
      <c r="C1167" s="410" t="s">
        <v>1819</v>
      </c>
      <c r="D1167" s="102" t="s">
        <v>710</v>
      </c>
      <c r="E1167" s="102" t="s">
        <v>137</v>
      </c>
      <c r="F1167" s="102" t="s">
        <v>711</v>
      </c>
      <c r="G1167" s="102" t="s">
        <v>724</v>
      </c>
      <c r="H1167" s="360">
        <v>1321.0</v>
      </c>
      <c r="I1167" s="411" t="b">
        <v>1</v>
      </c>
      <c r="J1167" s="102" t="s">
        <v>472</v>
      </c>
      <c r="K1167" s="360">
        <v>0.0</v>
      </c>
      <c r="L1167" s="360">
        <v>0.0</v>
      </c>
      <c r="M1167" s="102" t="s">
        <v>1120</v>
      </c>
      <c r="N1167" s="102" t="s">
        <v>1903</v>
      </c>
    </row>
    <row r="1168">
      <c r="A1168" s="412">
        <v>45926.0</v>
      </c>
      <c r="B1168" s="413">
        <v>2025.0</v>
      </c>
      <c r="C1168" s="414" t="s">
        <v>1819</v>
      </c>
      <c r="D1168" s="413" t="s">
        <v>702</v>
      </c>
      <c r="E1168" s="413" t="s">
        <v>465</v>
      </c>
      <c r="F1168" s="413" t="s">
        <v>711</v>
      </c>
      <c r="G1168" s="413" t="s">
        <v>767</v>
      </c>
      <c r="H1168" s="415">
        <v>1103.0</v>
      </c>
      <c r="I1168" s="416" t="b">
        <v>0</v>
      </c>
      <c r="J1168" s="413" t="s">
        <v>1820</v>
      </c>
      <c r="K1168" s="415">
        <v>152.13793103448268</v>
      </c>
      <c r="L1168" s="415">
        <v>950.8620689655173</v>
      </c>
      <c r="M1168" s="413" t="s">
        <v>1120</v>
      </c>
      <c r="N1168" s="413" t="s">
        <v>1904</v>
      </c>
    </row>
    <row r="1169">
      <c r="A1169" s="409">
        <v>45926.0</v>
      </c>
      <c r="B1169" s="102">
        <v>2025.0</v>
      </c>
      <c r="C1169" s="410" t="s">
        <v>1819</v>
      </c>
      <c r="D1169" s="102" t="s">
        <v>702</v>
      </c>
      <c r="E1169" s="102" t="s">
        <v>465</v>
      </c>
      <c r="F1169" s="102" t="s">
        <v>711</v>
      </c>
      <c r="G1169" s="102" t="s">
        <v>730</v>
      </c>
      <c r="H1169" s="360">
        <v>83.0</v>
      </c>
      <c r="I1169" s="411" t="b">
        <v>0</v>
      </c>
      <c r="J1169" s="102" t="s">
        <v>472</v>
      </c>
      <c r="K1169" s="360">
        <v>11.448275862068954</v>
      </c>
      <c r="L1169" s="360">
        <v>71.55172413793105</v>
      </c>
      <c r="M1169" s="102" t="s">
        <v>1120</v>
      </c>
      <c r="N1169" s="102" t="s">
        <v>1905</v>
      </c>
    </row>
    <row r="1170">
      <c r="A1170" s="412">
        <v>45926.0</v>
      </c>
      <c r="B1170" s="413">
        <v>2025.0</v>
      </c>
      <c r="C1170" s="414" t="s">
        <v>1819</v>
      </c>
      <c r="D1170" s="413" t="s">
        <v>702</v>
      </c>
      <c r="E1170" s="413" t="s">
        <v>465</v>
      </c>
      <c r="F1170" s="413" t="s">
        <v>703</v>
      </c>
      <c r="G1170" s="413" t="s">
        <v>715</v>
      </c>
      <c r="H1170" s="415">
        <v>40.0</v>
      </c>
      <c r="I1170" s="416" t="b">
        <v>0</v>
      </c>
      <c r="J1170" s="413" t="s">
        <v>472</v>
      </c>
      <c r="K1170" s="415">
        <v>0.0</v>
      </c>
      <c r="L1170" s="415">
        <v>40.0</v>
      </c>
      <c r="M1170" s="413" t="s">
        <v>1120</v>
      </c>
      <c r="N1170" s="413" t="s">
        <v>1906</v>
      </c>
    </row>
    <row r="1171">
      <c r="A1171" s="409">
        <v>45926.0</v>
      </c>
      <c r="B1171" s="102">
        <v>2025.0</v>
      </c>
      <c r="C1171" s="410" t="s">
        <v>1819</v>
      </c>
      <c r="D1171" s="102" t="s">
        <v>702</v>
      </c>
      <c r="E1171" s="102" t="s">
        <v>465</v>
      </c>
      <c r="F1171" s="102" t="s">
        <v>711</v>
      </c>
      <c r="G1171" s="102" t="s">
        <v>730</v>
      </c>
      <c r="H1171" s="360">
        <v>22.0</v>
      </c>
      <c r="I1171" s="411" t="b">
        <v>0</v>
      </c>
      <c r="J1171" s="102" t="s">
        <v>472</v>
      </c>
      <c r="K1171" s="360">
        <v>3.034482758620687</v>
      </c>
      <c r="L1171" s="360">
        <v>18.965517241379313</v>
      </c>
      <c r="M1171" s="102" t="s">
        <v>1120</v>
      </c>
      <c r="N1171" s="102" t="s">
        <v>1907</v>
      </c>
    </row>
    <row r="1172">
      <c r="A1172" s="412">
        <v>45927.0</v>
      </c>
      <c r="B1172" s="413">
        <v>2025.0</v>
      </c>
      <c r="C1172" s="414" t="s">
        <v>1819</v>
      </c>
      <c r="D1172" s="413" t="s">
        <v>702</v>
      </c>
      <c r="E1172" s="413" t="s">
        <v>465</v>
      </c>
      <c r="F1172" s="413" t="s">
        <v>711</v>
      </c>
      <c r="G1172" s="413" t="s">
        <v>767</v>
      </c>
      <c r="H1172" s="415">
        <v>550.0</v>
      </c>
      <c r="I1172" s="416" t="b">
        <v>0</v>
      </c>
      <c r="J1172" s="413" t="s">
        <v>472</v>
      </c>
      <c r="K1172" s="415">
        <v>75.86206896551721</v>
      </c>
      <c r="L1172" s="415">
        <v>474.1379310344828</v>
      </c>
      <c r="M1172" s="413" t="s">
        <v>1120</v>
      </c>
      <c r="N1172" s="413" t="s">
        <v>1908</v>
      </c>
    </row>
    <row r="1173">
      <c r="A1173" s="409">
        <v>45928.0</v>
      </c>
      <c r="B1173" s="102">
        <v>2025.0</v>
      </c>
      <c r="C1173" s="410" t="s">
        <v>1819</v>
      </c>
      <c r="D1173" s="102" t="s">
        <v>710</v>
      </c>
      <c r="E1173" s="102" t="s">
        <v>137</v>
      </c>
      <c r="F1173" s="102" t="s">
        <v>703</v>
      </c>
      <c r="G1173" s="102" t="s">
        <v>715</v>
      </c>
      <c r="H1173" s="360">
        <v>200.0</v>
      </c>
      <c r="I1173" s="411" t="b">
        <v>0</v>
      </c>
      <c r="J1173" s="102" t="s">
        <v>472</v>
      </c>
      <c r="K1173" s="360">
        <v>0.0</v>
      </c>
      <c r="L1173" s="360">
        <v>200.0</v>
      </c>
      <c r="M1173" s="102" t="s">
        <v>1120</v>
      </c>
      <c r="N1173" s="102" t="s">
        <v>1909</v>
      </c>
    </row>
    <row r="1174">
      <c r="A1174" s="412">
        <v>45929.0</v>
      </c>
      <c r="B1174" s="413">
        <v>2025.0</v>
      </c>
      <c r="C1174" s="414" t="s">
        <v>1819</v>
      </c>
      <c r="D1174" s="413" t="s">
        <v>702</v>
      </c>
      <c r="E1174" s="413" t="s">
        <v>465</v>
      </c>
      <c r="F1174" s="413" t="s">
        <v>711</v>
      </c>
      <c r="G1174" s="413" t="s">
        <v>767</v>
      </c>
      <c r="H1174" s="415">
        <v>650.0</v>
      </c>
      <c r="I1174" s="416" t="b">
        <v>0</v>
      </c>
      <c r="J1174" s="413" t="s">
        <v>1216</v>
      </c>
      <c r="K1174" s="415">
        <v>89.65517241379303</v>
      </c>
      <c r="L1174" s="415">
        <v>560.344827586207</v>
      </c>
      <c r="M1174" s="413" t="s">
        <v>1120</v>
      </c>
      <c r="N1174" s="413" t="s">
        <v>1910</v>
      </c>
    </row>
    <row r="1175">
      <c r="A1175" s="409">
        <v>45930.0</v>
      </c>
      <c r="B1175" s="102">
        <v>2025.0</v>
      </c>
      <c r="C1175" s="410" t="s">
        <v>1819</v>
      </c>
      <c r="D1175" s="102" t="s">
        <v>702</v>
      </c>
      <c r="E1175" s="102" t="s">
        <v>465</v>
      </c>
      <c r="F1175" s="102" t="s">
        <v>703</v>
      </c>
      <c r="G1175" s="102" t="s">
        <v>1911</v>
      </c>
      <c r="H1175" s="360">
        <v>3000.0</v>
      </c>
      <c r="I1175" s="411" t="b">
        <v>0</v>
      </c>
      <c r="J1175" s="102" t="s">
        <v>472</v>
      </c>
      <c r="K1175" s="360">
        <v>0.0</v>
      </c>
      <c r="L1175" s="360">
        <v>3000.0</v>
      </c>
      <c r="M1175" s="102" t="s">
        <v>1120</v>
      </c>
      <c r="N1175" s="102" t="s">
        <v>1912</v>
      </c>
    </row>
    <row r="1176">
      <c r="A1176" s="412">
        <v>45930.0</v>
      </c>
      <c r="B1176" s="413">
        <v>2025.0</v>
      </c>
      <c r="C1176" s="414" t="s">
        <v>1819</v>
      </c>
      <c r="D1176" s="413" t="s">
        <v>710</v>
      </c>
      <c r="E1176" s="413" t="s">
        <v>137</v>
      </c>
      <c r="F1176" s="413" t="s">
        <v>703</v>
      </c>
      <c r="G1176" s="413" t="s">
        <v>747</v>
      </c>
      <c r="H1176" s="415">
        <v>500.0</v>
      </c>
      <c r="I1176" s="416" t="b">
        <v>0</v>
      </c>
      <c r="J1176" s="413" t="s">
        <v>1235</v>
      </c>
      <c r="K1176" s="415">
        <v>0.0</v>
      </c>
      <c r="L1176" s="415">
        <v>500.0</v>
      </c>
      <c r="M1176" s="413" t="s">
        <v>1120</v>
      </c>
      <c r="N1176" s="413" t="s">
        <v>1913</v>
      </c>
    </row>
    <row r="1177">
      <c r="A1177" s="409">
        <v>45931.0</v>
      </c>
      <c r="B1177" s="102">
        <v>2025.0</v>
      </c>
      <c r="C1177" s="410" t="s">
        <v>1914</v>
      </c>
      <c r="D1177" s="102" t="s">
        <v>702</v>
      </c>
      <c r="E1177" s="102" t="s">
        <v>465</v>
      </c>
      <c r="F1177" s="102" t="s">
        <v>711</v>
      </c>
      <c r="G1177" s="102" t="s">
        <v>767</v>
      </c>
      <c r="H1177" s="360">
        <v>800.0</v>
      </c>
      <c r="I1177" s="411" t="b">
        <v>0</v>
      </c>
      <c r="J1177" s="102" t="s">
        <v>472</v>
      </c>
      <c r="K1177" s="360">
        <v>110.34482758620686</v>
      </c>
      <c r="L1177" s="360">
        <v>689.6551724137931</v>
      </c>
      <c r="M1177" s="102" t="s">
        <v>1120</v>
      </c>
      <c r="N1177" s="102" t="s">
        <v>1915</v>
      </c>
    </row>
    <row r="1178">
      <c r="A1178" s="412">
        <v>45932.0</v>
      </c>
      <c r="B1178" s="413">
        <v>2025.0</v>
      </c>
      <c r="C1178" s="414" t="s">
        <v>1914</v>
      </c>
      <c r="D1178" s="413" t="s">
        <v>710</v>
      </c>
      <c r="E1178" s="413" t="s">
        <v>137</v>
      </c>
      <c r="F1178" s="413" t="s">
        <v>703</v>
      </c>
      <c r="G1178" s="413" t="s">
        <v>715</v>
      </c>
      <c r="H1178" s="415">
        <v>80.0</v>
      </c>
      <c r="I1178" s="416" t="b">
        <v>0</v>
      </c>
      <c r="J1178" s="413" t="s">
        <v>472</v>
      </c>
      <c r="K1178" s="415">
        <v>0.0</v>
      </c>
      <c r="L1178" s="415">
        <v>80.0</v>
      </c>
      <c r="M1178" s="413" t="s">
        <v>1120</v>
      </c>
      <c r="N1178" s="413" t="s">
        <v>1916</v>
      </c>
    </row>
    <row r="1179">
      <c r="A1179" s="409">
        <v>45932.0</v>
      </c>
      <c r="B1179" s="102">
        <v>2025.0</v>
      </c>
      <c r="C1179" s="410" t="s">
        <v>1914</v>
      </c>
      <c r="D1179" s="102" t="s">
        <v>710</v>
      </c>
      <c r="E1179" s="102" t="s">
        <v>137</v>
      </c>
      <c r="F1179" s="102" t="s">
        <v>703</v>
      </c>
      <c r="G1179" s="102" t="s">
        <v>715</v>
      </c>
      <c r="H1179" s="360">
        <v>103.0</v>
      </c>
      <c r="I1179" s="411" t="b">
        <v>0</v>
      </c>
      <c r="J1179" s="102" t="s">
        <v>1552</v>
      </c>
      <c r="K1179" s="360">
        <v>0.0</v>
      </c>
      <c r="L1179" s="360">
        <v>103.0</v>
      </c>
      <c r="M1179" s="102" t="s">
        <v>1120</v>
      </c>
      <c r="N1179" s="102" t="s">
        <v>1917</v>
      </c>
    </row>
    <row r="1180">
      <c r="A1180" s="412">
        <v>45932.0</v>
      </c>
      <c r="B1180" s="413">
        <v>2025.0</v>
      </c>
      <c r="C1180" s="414" t="s">
        <v>1914</v>
      </c>
      <c r="D1180" s="413" t="s">
        <v>710</v>
      </c>
      <c r="E1180" s="413" t="s">
        <v>137</v>
      </c>
      <c r="F1180" s="413" t="s">
        <v>703</v>
      </c>
      <c r="G1180" s="413" t="s">
        <v>715</v>
      </c>
      <c r="H1180" s="415">
        <v>200.0</v>
      </c>
      <c r="I1180" s="416" t="b">
        <v>0</v>
      </c>
      <c r="J1180" s="413" t="s">
        <v>1657</v>
      </c>
      <c r="K1180" s="415">
        <v>0.0</v>
      </c>
      <c r="L1180" s="415">
        <v>200.0</v>
      </c>
      <c r="M1180" s="413" t="s">
        <v>1120</v>
      </c>
      <c r="N1180" s="413" t="s">
        <v>1918</v>
      </c>
    </row>
    <row r="1181">
      <c r="A1181" s="409">
        <v>45932.0</v>
      </c>
      <c r="B1181" s="102">
        <v>2025.0</v>
      </c>
      <c r="C1181" s="410" t="s">
        <v>1914</v>
      </c>
      <c r="D1181" s="102" t="s">
        <v>710</v>
      </c>
      <c r="E1181" s="102" t="s">
        <v>137</v>
      </c>
      <c r="F1181" s="102" t="s">
        <v>703</v>
      </c>
      <c r="G1181" s="102" t="s">
        <v>715</v>
      </c>
      <c r="H1181" s="360">
        <v>600.0</v>
      </c>
      <c r="I1181" s="411" t="b">
        <v>0</v>
      </c>
      <c r="J1181" s="102" t="s">
        <v>1919</v>
      </c>
      <c r="K1181" s="360">
        <v>0.0</v>
      </c>
      <c r="L1181" s="360">
        <v>600.0</v>
      </c>
      <c r="M1181" s="102" t="s">
        <v>1120</v>
      </c>
      <c r="N1181" s="102" t="s">
        <v>1920</v>
      </c>
    </row>
    <row r="1182">
      <c r="A1182" s="412">
        <v>45932.0</v>
      </c>
      <c r="B1182" s="413">
        <v>2025.0</v>
      </c>
      <c r="C1182" s="414" t="s">
        <v>1914</v>
      </c>
      <c r="D1182" s="413" t="s">
        <v>710</v>
      </c>
      <c r="E1182" s="413" t="s">
        <v>137</v>
      </c>
      <c r="F1182" s="413" t="s">
        <v>703</v>
      </c>
      <c r="G1182" s="413" t="s">
        <v>732</v>
      </c>
      <c r="H1182" s="415">
        <v>83.0</v>
      </c>
      <c r="I1182" s="416" t="b">
        <v>0</v>
      </c>
      <c r="J1182" s="413" t="s">
        <v>472</v>
      </c>
      <c r="K1182" s="415">
        <v>0.0</v>
      </c>
      <c r="L1182" s="415">
        <v>83.0</v>
      </c>
      <c r="M1182" s="413" t="s">
        <v>1120</v>
      </c>
      <c r="N1182" s="413" t="s">
        <v>1921</v>
      </c>
    </row>
    <row r="1183">
      <c r="A1183" s="409">
        <v>45932.0</v>
      </c>
      <c r="B1183" s="102">
        <v>2025.0</v>
      </c>
      <c r="C1183" s="410" t="s">
        <v>1914</v>
      </c>
      <c r="D1183" s="102" t="s">
        <v>702</v>
      </c>
      <c r="E1183" s="102" t="s">
        <v>465</v>
      </c>
      <c r="F1183" s="102" t="s">
        <v>703</v>
      </c>
      <c r="G1183" s="102" t="s">
        <v>1922</v>
      </c>
      <c r="H1183" s="360">
        <v>220.0</v>
      </c>
      <c r="I1183" s="411" t="b">
        <v>0</v>
      </c>
      <c r="J1183" s="102" t="s">
        <v>472</v>
      </c>
      <c r="K1183" s="360">
        <v>0.0</v>
      </c>
      <c r="L1183" s="360">
        <v>220.0</v>
      </c>
      <c r="M1183" s="102" t="s">
        <v>1120</v>
      </c>
      <c r="N1183" s="102" t="s">
        <v>1923</v>
      </c>
    </row>
    <row r="1184">
      <c r="A1184" s="412">
        <v>45932.0</v>
      </c>
      <c r="B1184" s="413">
        <v>2025.0</v>
      </c>
      <c r="C1184" s="414" t="s">
        <v>1914</v>
      </c>
      <c r="D1184" s="413" t="s">
        <v>702</v>
      </c>
      <c r="E1184" s="413" t="s">
        <v>465</v>
      </c>
      <c r="F1184" s="413" t="s">
        <v>711</v>
      </c>
      <c r="G1184" s="413" t="s">
        <v>730</v>
      </c>
      <c r="H1184" s="415">
        <v>61.0</v>
      </c>
      <c r="I1184" s="416" t="b">
        <v>0</v>
      </c>
      <c r="J1184" s="413" t="s">
        <v>472</v>
      </c>
      <c r="K1184" s="415">
        <v>8.41379310344827</v>
      </c>
      <c r="L1184" s="415">
        <v>52.58620689655173</v>
      </c>
      <c r="M1184" s="413" t="s">
        <v>1120</v>
      </c>
      <c r="N1184" s="413" t="s">
        <v>1924</v>
      </c>
    </row>
    <row r="1185">
      <c r="A1185" s="409">
        <v>45932.0</v>
      </c>
      <c r="B1185" s="102">
        <v>2025.0</v>
      </c>
      <c r="C1185" s="410" t="s">
        <v>1914</v>
      </c>
      <c r="D1185" s="102" t="s">
        <v>710</v>
      </c>
      <c r="E1185" s="102" t="s">
        <v>137</v>
      </c>
      <c r="F1185" s="102" t="s">
        <v>703</v>
      </c>
      <c r="G1185" s="102" t="s">
        <v>715</v>
      </c>
      <c r="H1185" s="360">
        <v>500.0</v>
      </c>
      <c r="I1185" s="411" t="b">
        <v>0</v>
      </c>
      <c r="J1185" s="102" t="s">
        <v>472</v>
      </c>
      <c r="K1185" s="360">
        <v>0.0</v>
      </c>
      <c r="L1185" s="360">
        <v>500.0</v>
      </c>
      <c r="M1185" s="102" t="s">
        <v>1120</v>
      </c>
      <c r="N1185" s="102" t="s">
        <v>1925</v>
      </c>
    </row>
    <row r="1186">
      <c r="A1186" s="412">
        <v>45932.0</v>
      </c>
      <c r="B1186" s="413">
        <v>2025.0</v>
      </c>
      <c r="C1186" s="414" t="s">
        <v>1914</v>
      </c>
      <c r="D1186" s="413" t="s">
        <v>710</v>
      </c>
      <c r="E1186" s="413" t="s">
        <v>137</v>
      </c>
      <c r="F1186" s="413" t="s">
        <v>711</v>
      </c>
      <c r="G1186" s="413" t="s">
        <v>734</v>
      </c>
      <c r="H1186" s="415">
        <v>140.0</v>
      </c>
      <c r="I1186" s="416" t="b">
        <v>0</v>
      </c>
      <c r="J1186" s="413" t="s">
        <v>1899</v>
      </c>
      <c r="K1186" s="415">
        <v>0.0</v>
      </c>
      <c r="L1186" s="415">
        <v>140.0</v>
      </c>
      <c r="M1186" s="413" t="s">
        <v>1120</v>
      </c>
      <c r="N1186" s="413" t="s">
        <v>1926</v>
      </c>
    </row>
    <row r="1187">
      <c r="A1187" s="409">
        <v>45932.0</v>
      </c>
      <c r="B1187" s="102">
        <v>2025.0</v>
      </c>
      <c r="C1187" s="410" t="s">
        <v>1914</v>
      </c>
      <c r="D1187" s="102" t="s">
        <v>710</v>
      </c>
      <c r="E1187" s="102" t="s">
        <v>137</v>
      </c>
      <c r="F1187" s="102" t="s">
        <v>711</v>
      </c>
      <c r="G1187" s="102" t="s">
        <v>740</v>
      </c>
      <c r="H1187" s="360">
        <v>19.0</v>
      </c>
      <c r="I1187" s="411" t="b">
        <v>0</v>
      </c>
      <c r="J1187" s="102" t="s">
        <v>472</v>
      </c>
      <c r="K1187" s="360">
        <v>0.0</v>
      </c>
      <c r="L1187" s="360">
        <v>19.0</v>
      </c>
      <c r="M1187" s="102" t="s">
        <v>1120</v>
      </c>
      <c r="N1187" s="102" t="s">
        <v>1927</v>
      </c>
    </row>
    <row r="1188">
      <c r="A1188" s="412">
        <v>45932.0</v>
      </c>
      <c r="B1188" s="413">
        <v>2025.0</v>
      </c>
      <c r="C1188" s="414" t="s">
        <v>1914</v>
      </c>
      <c r="D1188" s="413" t="s">
        <v>710</v>
      </c>
      <c r="E1188" s="413" t="s">
        <v>137</v>
      </c>
      <c r="F1188" s="413" t="s">
        <v>711</v>
      </c>
      <c r="G1188" s="413" t="s">
        <v>767</v>
      </c>
      <c r="H1188" s="415">
        <v>800.0</v>
      </c>
      <c r="I1188" s="416" t="b">
        <v>0</v>
      </c>
      <c r="J1188" s="413" t="s">
        <v>1148</v>
      </c>
      <c r="K1188" s="415">
        <v>0.0</v>
      </c>
      <c r="L1188" s="415">
        <v>800.0</v>
      </c>
      <c r="M1188" s="413" t="s">
        <v>1120</v>
      </c>
      <c r="N1188" s="413" t="s">
        <v>1928</v>
      </c>
    </row>
    <row r="1189">
      <c r="A1189" s="409">
        <v>45932.0</v>
      </c>
      <c r="B1189" s="102">
        <v>2025.0</v>
      </c>
      <c r="C1189" s="410" t="s">
        <v>1914</v>
      </c>
      <c r="D1189" s="102" t="s">
        <v>702</v>
      </c>
      <c r="E1189" s="102" t="s">
        <v>465</v>
      </c>
      <c r="F1189" s="102" t="s">
        <v>711</v>
      </c>
      <c r="G1189" s="102" t="s">
        <v>767</v>
      </c>
      <c r="H1189" s="360">
        <v>1200.0</v>
      </c>
      <c r="I1189" s="411" t="b">
        <v>0</v>
      </c>
      <c r="J1189" s="102" t="s">
        <v>1753</v>
      </c>
      <c r="K1189" s="360">
        <v>165.51724137931024</v>
      </c>
      <c r="L1189" s="360">
        <v>1034.4827586206898</v>
      </c>
      <c r="M1189" s="102" t="s">
        <v>1120</v>
      </c>
      <c r="N1189" s="102" t="s">
        <v>1929</v>
      </c>
    </row>
    <row r="1190">
      <c r="A1190" s="412">
        <v>45932.0</v>
      </c>
      <c r="B1190" s="413">
        <v>2025.0</v>
      </c>
      <c r="C1190" s="414" t="s">
        <v>1914</v>
      </c>
      <c r="D1190" s="413" t="s">
        <v>702</v>
      </c>
      <c r="E1190" s="413" t="s">
        <v>465</v>
      </c>
      <c r="F1190" s="413" t="s">
        <v>711</v>
      </c>
      <c r="G1190" s="413" t="s">
        <v>767</v>
      </c>
      <c r="H1190" s="415">
        <v>650.0</v>
      </c>
      <c r="I1190" s="416" t="b">
        <v>0</v>
      </c>
      <c r="J1190" s="413" t="s">
        <v>1865</v>
      </c>
      <c r="K1190" s="415">
        <v>89.65517241379303</v>
      </c>
      <c r="L1190" s="415">
        <v>560.344827586207</v>
      </c>
      <c r="M1190" s="413" t="s">
        <v>1120</v>
      </c>
      <c r="N1190" s="413" t="s">
        <v>1930</v>
      </c>
    </row>
    <row r="1191">
      <c r="A1191" s="409">
        <v>45932.0</v>
      </c>
      <c r="B1191" s="102">
        <v>2025.0</v>
      </c>
      <c r="C1191" s="410" t="s">
        <v>1914</v>
      </c>
      <c r="D1191" s="102" t="s">
        <v>702</v>
      </c>
      <c r="E1191" s="102" t="s">
        <v>465</v>
      </c>
      <c r="F1191" s="102" t="s">
        <v>711</v>
      </c>
      <c r="G1191" s="102" t="s">
        <v>767</v>
      </c>
      <c r="H1191" s="360">
        <v>550.0</v>
      </c>
      <c r="I1191" s="411" t="b">
        <v>0</v>
      </c>
      <c r="J1191" s="102" t="s">
        <v>1367</v>
      </c>
      <c r="K1191" s="360">
        <v>75.86206896551721</v>
      </c>
      <c r="L1191" s="360">
        <v>474.1379310344828</v>
      </c>
      <c r="M1191" s="102" t="s">
        <v>1120</v>
      </c>
      <c r="N1191" s="102" t="s">
        <v>1931</v>
      </c>
    </row>
    <row r="1192">
      <c r="A1192" s="412">
        <v>45933.0</v>
      </c>
      <c r="B1192" s="413">
        <v>2025.0</v>
      </c>
      <c r="C1192" s="414" t="s">
        <v>1914</v>
      </c>
      <c r="D1192" s="413" t="s">
        <v>702</v>
      </c>
      <c r="E1192" s="413" t="s">
        <v>465</v>
      </c>
      <c r="F1192" s="413" t="s">
        <v>711</v>
      </c>
      <c r="G1192" s="413" t="s">
        <v>767</v>
      </c>
      <c r="H1192" s="415">
        <v>750.0</v>
      </c>
      <c r="I1192" s="416" t="b">
        <v>0</v>
      </c>
      <c r="J1192" s="413" t="s">
        <v>1274</v>
      </c>
      <c r="K1192" s="415">
        <v>103.44827586206895</v>
      </c>
      <c r="L1192" s="415">
        <v>646.551724137931</v>
      </c>
      <c r="M1192" s="413" t="s">
        <v>1120</v>
      </c>
      <c r="N1192" s="413" t="s">
        <v>1932</v>
      </c>
    </row>
    <row r="1193">
      <c r="A1193" s="409">
        <v>45933.0</v>
      </c>
      <c r="B1193" s="102">
        <v>2025.0</v>
      </c>
      <c r="C1193" s="410" t="s">
        <v>1914</v>
      </c>
      <c r="D1193" s="102" t="s">
        <v>702</v>
      </c>
      <c r="E1193" s="102" t="s">
        <v>465</v>
      </c>
      <c r="F1193" s="102" t="s">
        <v>703</v>
      </c>
      <c r="G1193" s="102" t="s">
        <v>601</v>
      </c>
      <c r="H1193" s="360">
        <v>550.0</v>
      </c>
      <c r="I1193" s="411" t="b">
        <v>0</v>
      </c>
      <c r="J1193" s="102" t="s">
        <v>472</v>
      </c>
      <c r="K1193" s="360">
        <v>0.0</v>
      </c>
      <c r="L1193" s="360">
        <v>550.0</v>
      </c>
      <c r="M1193" s="102" t="s">
        <v>1120</v>
      </c>
      <c r="N1193" s="102" t="s">
        <v>1933</v>
      </c>
    </row>
    <row r="1194">
      <c r="A1194" s="412">
        <v>45933.0</v>
      </c>
      <c r="B1194" s="413">
        <v>2025.0</v>
      </c>
      <c r="C1194" s="414" t="s">
        <v>1914</v>
      </c>
      <c r="D1194" s="413" t="s">
        <v>710</v>
      </c>
      <c r="E1194" s="413" t="s">
        <v>137</v>
      </c>
      <c r="F1194" s="413" t="s">
        <v>711</v>
      </c>
      <c r="G1194" s="413" t="s">
        <v>767</v>
      </c>
      <c r="H1194" s="415">
        <v>220.0</v>
      </c>
      <c r="I1194" s="416" t="b">
        <v>0</v>
      </c>
      <c r="J1194" s="413" t="s">
        <v>1934</v>
      </c>
      <c r="K1194" s="415">
        <v>0.0</v>
      </c>
      <c r="L1194" s="415">
        <v>220.0</v>
      </c>
      <c r="M1194" s="413" t="s">
        <v>1120</v>
      </c>
      <c r="N1194" s="413" t="s">
        <v>1935</v>
      </c>
    </row>
    <row r="1195">
      <c r="A1195" s="409">
        <v>45933.0</v>
      </c>
      <c r="B1195" s="102">
        <v>2025.0</v>
      </c>
      <c r="C1195" s="410" t="s">
        <v>1914</v>
      </c>
      <c r="D1195" s="102" t="s">
        <v>710</v>
      </c>
      <c r="E1195" s="102" t="s">
        <v>137</v>
      </c>
      <c r="F1195" s="102" t="s">
        <v>711</v>
      </c>
      <c r="G1195" s="102" t="s">
        <v>767</v>
      </c>
      <c r="H1195" s="360">
        <v>950.0</v>
      </c>
      <c r="I1195" s="411" t="b">
        <v>0</v>
      </c>
      <c r="J1195" s="102" t="s">
        <v>1232</v>
      </c>
      <c r="K1195" s="360">
        <v>0.0</v>
      </c>
      <c r="L1195" s="360">
        <v>950.0</v>
      </c>
      <c r="M1195" s="102" t="s">
        <v>1120</v>
      </c>
      <c r="N1195" s="102" t="s">
        <v>1936</v>
      </c>
    </row>
    <row r="1196">
      <c r="A1196" s="412">
        <v>45933.0</v>
      </c>
      <c r="B1196" s="413">
        <v>2025.0</v>
      </c>
      <c r="C1196" s="414" t="s">
        <v>1914</v>
      </c>
      <c r="D1196" s="413" t="s">
        <v>702</v>
      </c>
      <c r="E1196" s="413" t="s">
        <v>465</v>
      </c>
      <c r="F1196" s="413" t="s">
        <v>711</v>
      </c>
      <c r="G1196" s="413" t="s">
        <v>767</v>
      </c>
      <c r="H1196" s="415">
        <v>950.0</v>
      </c>
      <c r="I1196" s="416" t="b">
        <v>0</v>
      </c>
      <c r="J1196" s="413" t="s">
        <v>1937</v>
      </c>
      <c r="K1196" s="415">
        <v>131.03448275862058</v>
      </c>
      <c r="L1196" s="415">
        <v>818.9655172413794</v>
      </c>
      <c r="M1196" s="413" t="s">
        <v>1120</v>
      </c>
      <c r="N1196" s="413" t="s">
        <v>1938</v>
      </c>
    </row>
    <row r="1197">
      <c r="A1197" s="409">
        <v>45933.0</v>
      </c>
      <c r="B1197" s="102">
        <v>2025.0</v>
      </c>
      <c r="C1197" s="410" t="s">
        <v>1914</v>
      </c>
      <c r="D1197" s="102" t="s">
        <v>702</v>
      </c>
      <c r="E1197" s="102" t="s">
        <v>465</v>
      </c>
      <c r="F1197" s="102" t="s">
        <v>711</v>
      </c>
      <c r="G1197" s="102" t="s">
        <v>767</v>
      </c>
      <c r="H1197" s="360">
        <v>1247.0</v>
      </c>
      <c r="I1197" s="411" t="b">
        <v>0</v>
      </c>
      <c r="J1197" s="102" t="s">
        <v>1248</v>
      </c>
      <c r="K1197" s="360">
        <v>172.0</v>
      </c>
      <c r="L1197" s="360">
        <v>1075.0</v>
      </c>
      <c r="M1197" s="102" t="s">
        <v>1120</v>
      </c>
      <c r="N1197" s="102" t="s">
        <v>1939</v>
      </c>
    </row>
    <row r="1198">
      <c r="A1198" s="412">
        <v>45934.0</v>
      </c>
      <c r="B1198" s="413">
        <v>2025.0</v>
      </c>
      <c r="C1198" s="414" t="s">
        <v>1914</v>
      </c>
      <c r="D1198" s="413" t="s">
        <v>702</v>
      </c>
      <c r="E1198" s="413" t="s">
        <v>465</v>
      </c>
      <c r="F1198" s="413" t="s">
        <v>711</v>
      </c>
      <c r="G1198" s="413" t="s">
        <v>767</v>
      </c>
      <c r="H1198" s="415">
        <v>1250.0</v>
      </c>
      <c r="I1198" s="416" t="b">
        <v>0</v>
      </c>
      <c r="J1198" s="413" t="s">
        <v>1197</v>
      </c>
      <c r="K1198" s="415">
        <v>172.41379310344814</v>
      </c>
      <c r="L1198" s="415">
        <v>1077.5862068965519</v>
      </c>
      <c r="M1198" s="413" t="s">
        <v>1120</v>
      </c>
      <c r="N1198" s="413" t="s">
        <v>1940</v>
      </c>
    </row>
    <row r="1199">
      <c r="A1199" s="409">
        <v>45934.0</v>
      </c>
      <c r="B1199" s="102">
        <v>2025.0</v>
      </c>
      <c r="C1199" s="410" t="s">
        <v>1914</v>
      </c>
      <c r="D1199" s="102" t="s">
        <v>710</v>
      </c>
      <c r="E1199" s="102" t="s">
        <v>137</v>
      </c>
      <c r="F1199" s="102" t="s">
        <v>703</v>
      </c>
      <c r="G1199" s="102" t="s">
        <v>715</v>
      </c>
      <c r="H1199" s="360">
        <v>160.0</v>
      </c>
      <c r="I1199" s="411" t="b">
        <v>0</v>
      </c>
      <c r="J1199" s="102" t="s">
        <v>1552</v>
      </c>
      <c r="K1199" s="360">
        <v>0.0</v>
      </c>
      <c r="L1199" s="360">
        <v>160.0</v>
      </c>
      <c r="M1199" s="102" t="s">
        <v>1120</v>
      </c>
      <c r="N1199" s="102" t="s">
        <v>1941</v>
      </c>
    </row>
    <row r="1200">
      <c r="A1200" s="412">
        <v>45934.0</v>
      </c>
      <c r="B1200" s="413">
        <v>2025.0</v>
      </c>
      <c r="C1200" s="414" t="s">
        <v>1914</v>
      </c>
      <c r="D1200" s="413" t="s">
        <v>702</v>
      </c>
      <c r="E1200" s="413" t="s">
        <v>465</v>
      </c>
      <c r="F1200" s="413" t="s">
        <v>711</v>
      </c>
      <c r="G1200" s="413" t="s">
        <v>734</v>
      </c>
      <c r="H1200" s="415">
        <v>172.0</v>
      </c>
      <c r="I1200" s="416" t="b">
        <v>0</v>
      </c>
      <c r="J1200" s="413" t="s">
        <v>1942</v>
      </c>
      <c r="K1200" s="415">
        <v>23.724137931034477</v>
      </c>
      <c r="L1200" s="415">
        <v>148.27586206896552</v>
      </c>
      <c r="M1200" s="413" t="s">
        <v>1120</v>
      </c>
      <c r="N1200" s="413" t="s">
        <v>1943</v>
      </c>
    </row>
    <row r="1201">
      <c r="A1201" s="409">
        <v>45934.0</v>
      </c>
      <c r="B1201" s="102">
        <v>2025.0</v>
      </c>
      <c r="C1201" s="410" t="s">
        <v>1914</v>
      </c>
      <c r="D1201" s="102" t="s">
        <v>702</v>
      </c>
      <c r="E1201" s="102" t="s">
        <v>465</v>
      </c>
      <c r="F1201" s="102" t="s">
        <v>703</v>
      </c>
      <c r="G1201" s="102" t="s">
        <v>769</v>
      </c>
      <c r="H1201" s="360">
        <v>9280.0</v>
      </c>
      <c r="I1201" s="411" t="b">
        <v>0</v>
      </c>
      <c r="J1201" s="102" t="s">
        <v>472</v>
      </c>
      <c r="K1201" s="360">
        <v>0.0</v>
      </c>
      <c r="L1201" s="360">
        <v>9280.0</v>
      </c>
      <c r="M1201" s="102" t="s">
        <v>1120</v>
      </c>
      <c r="N1201" s="102" t="s">
        <v>1944</v>
      </c>
    </row>
    <row r="1202">
      <c r="A1202" s="412">
        <v>45934.0</v>
      </c>
      <c r="B1202" s="413">
        <v>2025.0</v>
      </c>
      <c r="C1202" s="414" t="s">
        <v>1914</v>
      </c>
      <c r="D1202" s="413" t="s">
        <v>702</v>
      </c>
      <c r="E1202" s="413" t="s">
        <v>465</v>
      </c>
      <c r="F1202" s="413" t="s">
        <v>703</v>
      </c>
      <c r="G1202" s="413" t="s">
        <v>1945</v>
      </c>
      <c r="H1202" s="415">
        <v>2088.0</v>
      </c>
      <c r="I1202" s="416" t="b">
        <v>0</v>
      </c>
      <c r="J1202" s="413" t="s">
        <v>472</v>
      </c>
      <c r="K1202" s="415">
        <v>0.0</v>
      </c>
      <c r="L1202" s="415">
        <v>2088.0</v>
      </c>
      <c r="M1202" s="413" t="s">
        <v>1120</v>
      </c>
      <c r="N1202" s="413" t="s">
        <v>1946</v>
      </c>
    </row>
    <row r="1203">
      <c r="A1203" s="409">
        <v>45935.0</v>
      </c>
      <c r="B1203" s="102">
        <v>2025.0</v>
      </c>
      <c r="C1203" s="410" t="s">
        <v>1914</v>
      </c>
      <c r="D1203" s="102" t="s">
        <v>702</v>
      </c>
      <c r="E1203" s="102" t="s">
        <v>465</v>
      </c>
      <c r="F1203" s="102" t="s">
        <v>703</v>
      </c>
      <c r="G1203" s="102" t="s">
        <v>715</v>
      </c>
      <c r="H1203" s="360">
        <v>135.0</v>
      </c>
      <c r="I1203" s="411" t="b">
        <v>0</v>
      </c>
      <c r="J1203" s="102" t="s">
        <v>472</v>
      </c>
      <c r="K1203" s="360">
        <v>0.0</v>
      </c>
      <c r="L1203" s="360">
        <v>135.0</v>
      </c>
      <c r="M1203" s="102" t="s">
        <v>1120</v>
      </c>
      <c r="N1203" s="102" t="s">
        <v>1947</v>
      </c>
    </row>
    <row r="1204">
      <c r="A1204" s="412">
        <v>45936.0</v>
      </c>
      <c r="B1204" s="413">
        <v>2025.0</v>
      </c>
      <c r="C1204" s="414" t="s">
        <v>1914</v>
      </c>
      <c r="D1204" s="413" t="s">
        <v>702</v>
      </c>
      <c r="E1204" s="413" t="s">
        <v>465</v>
      </c>
      <c r="F1204" s="413" t="s">
        <v>711</v>
      </c>
      <c r="G1204" s="413" t="s">
        <v>767</v>
      </c>
      <c r="H1204" s="415">
        <v>800.0</v>
      </c>
      <c r="I1204" s="416" t="b">
        <v>0</v>
      </c>
      <c r="J1204" s="413" t="s">
        <v>1655</v>
      </c>
      <c r="K1204" s="415">
        <v>110.34482758620686</v>
      </c>
      <c r="L1204" s="415">
        <v>689.6551724137931</v>
      </c>
      <c r="M1204" s="413" t="s">
        <v>1120</v>
      </c>
      <c r="N1204" s="413" t="s">
        <v>1948</v>
      </c>
    </row>
    <row r="1205">
      <c r="A1205" s="409">
        <v>45936.0</v>
      </c>
      <c r="B1205" s="102">
        <v>2025.0</v>
      </c>
      <c r="C1205" s="410" t="s">
        <v>1914</v>
      </c>
      <c r="D1205" s="102" t="s">
        <v>710</v>
      </c>
      <c r="E1205" s="102" t="s">
        <v>137</v>
      </c>
      <c r="F1205" s="102" t="s">
        <v>703</v>
      </c>
      <c r="G1205" s="102" t="s">
        <v>715</v>
      </c>
      <c r="H1205" s="360">
        <v>400.0</v>
      </c>
      <c r="I1205" s="411" t="b">
        <v>0</v>
      </c>
      <c r="J1205" s="102" t="s">
        <v>472</v>
      </c>
      <c r="K1205" s="360">
        <v>0.0</v>
      </c>
      <c r="L1205" s="360">
        <v>400.0</v>
      </c>
      <c r="M1205" s="102" t="s">
        <v>1120</v>
      </c>
      <c r="N1205" s="102" t="s">
        <v>1949</v>
      </c>
    </row>
    <row r="1206">
      <c r="A1206" s="412">
        <v>45936.0</v>
      </c>
      <c r="B1206" s="413">
        <v>2025.0</v>
      </c>
      <c r="C1206" s="414" t="s">
        <v>1914</v>
      </c>
      <c r="D1206" s="413" t="s">
        <v>702</v>
      </c>
      <c r="E1206" s="413" t="s">
        <v>465</v>
      </c>
      <c r="F1206" s="413" t="s">
        <v>711</v>
      </c>
      <c r="G1206" s="413" t="s">
        <v>767</v>
      </c>
      <c r="H1206" s="415">
        <v>800.0</v>
      </c>
      <c r="I1206" s="416" t="b">
        <v>0</v>
      </c>
      <c r="J1206" s="413" t="s">
        <v>1950</v>
      </c>
      <c r="K1206" s="415">
        <v>110.34482758620686</v>
      </c>
      <c r="L1206" s="415">
        <v>689.6551724137931</v>
      </c>
      <c r="M1206" s="413" t="s">
        <v>1120</v>
      </c>
      <c r="N1206" s="413" t="s">
        <v>1951</v>
      </c>
    </row>
    <row r="1207">
      <c r="A1207" s="409">
        <v>45936.0</v>
      </c>
      <c r="B1207" s="102">
        <v>2025.0</v>
      </c>
      <c r="C1207" s="410" t="s">
        <v>1914</v>
      </c>
      <c r="D1207" s="102" t="s">
        <v>710</v>
      </c>
      <c r="E1207" s="102" t="s">
        <v>137</v>
      </c>
      <c r="F1207" s="102" t="s">
        <v>703</v>
      </c>
      <c r="G1207" s="102" t="s">
        <v>747</v>
      </c>
      <c r="H1207" s="360">
        <v>500.0</v>
      </c>
      <c r="I1207" s="411" t="b">
        <v>0</v>
      </c>
      <c r="J1207" s="102" t="s">
        <v>472</v>
      </c>
      <c r="K1207" s="360">
        <v>0.0</v>
      </c>
      <c r="L1207" s="360">
        <v>500.0</v>
      </c>
      <c r="M1207" s="102" t="s">
        <v>1120</v>
      </c>
      <c r="N1207" s="102" t="s">
        <v>1952</v>
      </c>
    </row>
    <row r="1208">
      <c r="A1208" s="412">
        <v>45936.0</v>
      </c>
      <c r="B1208" s="413">
        <v>2025.0</v>
      </c>
      <c r="C1208" s="414" t="s">
        <v>1914</v>
      </c>
      <c r="D1208" s="413" t="s">
        <v>723</v>
      </c>
      <c r="E1208" s="413" t="s">
        <v>137</v>
      </c>
      <c r="F1208" s="413" t="s">
        <v>711</v>
      </c>
      <c r="G1208" s="413" t="s">
        <v>740</v>
      </c>
      <c r="H1208" s="415">
        <v>10.0</v>
      </c>
      <c r="I1208" s="416" t="b">
        <v>0</v>
      </c>
      <c r="J1208" s="413" t="s">
        <v>472</v>
      </c>
      <c r="K1208" s="415">
        <v>0.0</v>
      </c>
      <c r="L1208" s="415">
        <v>10.0</v>
      </c>
      <c r="M1208" s="413" t="s">
        <v>1120</v>
      </c>
      <c r="N1208" s="413" t="s">
        <v>1953</v>
      </c>
    </row>
    <row r="1209">
      <c r="A1209" s="409">
        <v>45936.0</v>
      </c>
      <c r="B1209" s="102">
        <v>2025.0</v>
      </c>
      <c r="C1209" s="410" t="s">
        <v>1914</v>
      </c>
      <c r="D1209" s="102" t="s">
        <v>723</v>
      </c>
      <c r="E1209" s="102" t="s">
        <v>137</v>
      </c>
      <c r="F1209" s="102" t="s">
        <v>711</v>
      </c>
      <c r="G1209" s="102" t="s">
        <v>767</v>
      </c>
      <c r="H1209" s="360">
        <v>950.0</v>
      </c>
      <c r="I1209" s="411" t="b">
        <v>0</v>
      </c>
      <c r="J1209" s="102" t="s">
        <v>1218</v>
      </c>
      <c r="K1209" s="360">
        <v>0.0</v>
      </c>
      <c r="L1209" s="360">
        <v>950.0</v>
      </c>
      <c r="M1209" s="102" t="s">
        <v>1120</v>
      </c>
      <c r="N1209" s="102" t="s">
        <v>1954</v>
      </c>
    </row>
    <row r="1210">
      <c r="A1210" s="412">
        <v>45936.0</v>
      </c>
      <c r="B1210" s="413">
        <v>2025.0</v>
      </c>
      <c r="C1210" s="414" t="s">
        <v>1914</v>
      </c>
      <c r="D1210" s="413" t="s">
        <v>723</v>
      </c>
      <c r="E1210" s="413" t="s">
        <v>137</v>
      </c>
      <c r="F1210" s="413" t="s">
        <v>711</v>
      </c>
      <c r="G1210" s="413" t="s">
        <v>767</v>
      </c>
      <c r="H1210" s="415">
        <v>1000.0</v>
      </c>
      <c r="I1210" s="416" t="b">
        <v>0</v>
      </c>
      <c r="J1210" s="413" t="s">
        <v>1955</v>
      </c>
      <c r="K1210" s="415">
        <v>0.0</v>
      </c>
      <c r="L1210" s="415">
        <v>1000.0</v>
      </c>
      <c r="M1210" s="413" t="s">
        <v>1120</v>
      </c>
      <c r="N1210" s="413" t="s">
        <v>1956</v>
      </c>
    </row>
    <row r="1211">
      <c r="A1211" s="409">
        <v>45938.0</v>
      </c>
      <c r="B1211" s="102">
        <v>2025.0</v>
      </c>
      <c r="C1211" s="410" t="s">
        <v>1914</v>
      </c>
      <c r="D1211" s="102" t="s">
        <v>723</v>
      </c>
      <c r="E1211" s="102" t="s">
        <v>137</v>
      </c>
      <c r="F1211" s="102" t="s">
        <v>711</v>
      </c>
      <c r="G1211" s="102" t="s">
        <v>767</v>
      </c>
      <c r="H1211" s="360">
        <v>900.0</v>
      </c>
      <c r="I1211" s="411" t="b">
        <v>0</v>
      </c>
      <c r="J1211" s="102" t="s">
        <v>1957</v>
      </c>
      <c r="K1211" s="360">
        <v>0.0</v>
      </c>
      <c r="L1211" s="360">
        <v>900.0</v>
      </c>
      <c r="M1211" s="102" t="s">
        <v>1120</v>
      </c>
      <c r="N1211" s="102" t="s">
        <v>1958</v>
      </c>
    </row>
    <row r="1212">
      <c r="A1212" s="412">
        <v>45938.0</v>
      </c>
      <c r="B1212" s="413">
        <v>2025.0</v>
      </c>
      <c r="C1212" s="414" t="s">
        <v>1914</v>
      </c>
      <c r="D1212" s="413" t="s">
        <v>723</v>
      </c>
      <c r="E1212" s="413" t="s">
        <v>137</v>
      </c>
      <c r="F1212" s="413" t="s">
        <v>711</v>
      </c>
      <c r="G1212" s="413" t="s">
        <v>767</v>
      </c>
      <c r="H1212" s="415">
        <v>900.0</v>
      </c>
      <c r="I1212" s="416" t="b">
        <v>0</v>
      </c>
      <c r="J1212" s="413" t="s">
        <v>1197</v>
      </c>
      <c r="K1212" s="415">
        <v>0.0</v>
      </c>
      <c r="L1212" s="415">
        <v>900.0</v>
      </c>
      <c r="M1212" s="413" t="s">
        <v>1120</v>
      </c>
      <c r="N1212" s="413" t="s">
        <v>1959</v>
      </c>
    </row>
    <row r="1213">
      <c r="A1213" s="409">
        <v>45938.0</v>
      </c>
      <c r="B1213" s="102">
        <v>2025.0</v>
      </c>
      <c r="C1213" s="410" t="s">
        <v>1914</v>
      </c>
      <c r="D1213" s="102" t="s">
        <v>723</v>
      </c>
      <c r="E1213" s="102" t="s">
        <v>137</v>
      </c>
      <c r="F1213" s="102" t="s">
        <v>711</v>
      </c>
      <c r="G1213" s="102" t="s">
        <v>767</v>
      </c>
      <c r="H1213" s="360">
        <v>500.0</v>
      </c>
      <c r="I1213" s="411" t="b">
        <v>0</v>
      </c>
      <c r="J1213" s="102" t="s">
        <v>1520</v>
      </c>
      <c r="K1213" s="360">
        <v>0.0</v>
      </c>
      <c r="L1213" s="360">
        <v>500.0</v>
      </c>
      <c r="M1213" s="102" t="s">
        <v>1120</v>
      </c>
      <c r="N1213" s="102" t="s">
        <v>1960</v>
      </c>
    </row>
    <row r="1214">
      <c r="A1214" s="412">
        <v>45938.0</v>
      </c>
      <c r="B1214" s="413">
        <v>2025.0</v>
      </c>
      <c r="C1214" s="414" t="s">
        <v>1914</v>
      </c>
      <c r="D1214" s="413" t="s">
        <v>723</v>
      </c>
      <c r="E1214" s="413" t="s">
        <v>137</v>
      </c>
      <c r="F1214" s="413" t="s">
        <v>711</v>
      </c>
      <c r="G1214" s="413" t="s">
        <v>740</v>
      </c>
      <c r="H1214" s="415">
        <v>10.0</v>
      </c>
      <c r="I1214" s="416" t="b">
        <v>0</v>
      </c>
      <c r="J1214" s="413" t="s">
        <v>472</v>
      </c>
      <c r="K1214" s="415">
        <v>0.0</v>
      </c>
      <c r="L1214" s="415">
        <v>10.0</v>
      </c>
      <c r="M1214" s="413" t="s">
        <v>1120</v>
      </c>
      <c r="N1214" s="413" t="s">
        <v>1961</v>
      </c>
    </row>
    <row r="1215">
      <c r="A1215" s="409">
        <v>45938.0</v>
      </c>
      <c r="B1215" s="102">
        <v>2025.0</v>
      </c>
      <c r="C1215" s="410" t="s">
        <v>1914</v>
      </c>
      <c r="D1215" s="102" t="s">
        <v>723</v>
      </c>
      <c r="E1215" s="102" t="s">
        <v>137</v>
      </c>
      <c r="F1215" s="102" t="s">
        <v>703</v>
      </c>
      <c r="G1215" s="102" t="s">
        <v>715</v>
      </c>
      <c r="H1215" s="360">
        <v>200.0</v>
      </c>
      <c r="I1215" s="411" t="b">
        <v>0</v>
      </c>
      <c r="J1215" s="102" t="s">
        <v>472</v>
      </c>
      <c r="K1215" s="360">
        <v>0.0</v>
      </c>
      <c r="L1215" s="360">
        <v>200.0</v>
      </c>
      <c r="M1215" s="102" t="s">
        <v>1120</v>
      </c>
      <c r="N1215" s="102" t="s">
        <v>1962</v>
      </c>
    </row>
    <row r="1216">
      <c r="A1216" s="412">
        <v>45938.0</v>
      </c>
      <c r="B1216" s="413">
        <v>2025.0</v>
      </c>
      <c r="C1216" s="414" t="s">
        <v>1914</v>
      </c>
      <c r="D1216" s="413" t="s">
        <v>723</v>
      </c>
      <c r="E1216" s="413" t="s">
        <v>137</v>
      </c>
      <c r="F1216" s="413" t="s">
        <v>711</v>
      </c>
      <c r="G1216" s="413" t="s">
        <v>767</v>
      </c>
      <c r="H1216" s="415">
        <v>550.0</v>
      </c>
      <c r="I1216" s="416" t="b">
        <v>0</v>
      </c>
      <c r="J1216" s="413" t="s">
        <v>1755</v>
      </c>
      <c r="K1216" s="415">
        <v>0.0</v>
      </c>
      <c r="L1216" s="415">
        <v>550.0</v>
      </c>
      <c r="M1216" s="413" t="s">
        <v>1120</v>
      </c>
      <c r="N1216" s="413" t="s">
        <v>1963</v>
      </c>
    </row>
    <row r="1217">
      <c r="A1217" s="409">
        <v>45939.0</v>
      </c>
      <c r="B1217" s="102">
        <v>2025.0</v>
      </c>
      <c r="C1217" s="410" t="s">
        <v>1914</v>
      </c>
      <c r="D1217" s="102" t="s">
        <v>702</v>
      </c>
      <c r="E1217" s="102" t="s">
        <v>465</v>
      </c>
      <c r="F1217" s="102" t="s">
        <v>711</v>
      </c>
      <c r="G1217" s="102" t="s">
        <v>767</v>
      </c>
      <c r="H1217" s="360">
        <v>1050.0</v>
      </c>
      <c r="I1217" s="411" t="b">
        <v>0</v>
      </c>
      <c r="J1217" s="102" t="s">
        <v>1224</v>
      </c>
      <c r="K1217" s="360">
        <v>144.8275862068965</v>
      </c>
      <c r="L1217" s="360">
        <v>905.1724137931035</v>
      </c>
      <c r="M1217" s="102" t="s">
        <v>1120</v>
      </c>
      <c r="N1217" s="102" t="s">
        <v>1964</v>
      </c>
    </row>
    <row r="1218">
      <c r="A1218" s="412">
        <v>45940.0</v>
      </c>
      <c r="B1218" s="413">
        <v>2025.0</v>
      </c>
      <c r="C1218" s="414" t="s">
        <v>1914</v>
      </c>
      <c r="D1218" s="413" t="s">
        <v>723</v>
      </c>
      <c r="E1218" s="413" t="s">
        <v>137</v>
      </c>
      <c r="F1218" s="413" t="s">
        <v>711</v>
      </c>
      <c r="G1218" s="413" t="s">
        <v>740</v>
      </c>
      <c r="H1218" s="415">
        <v>7.0</v>
      </c>
      <c r="I1218" s="416" t="b">
        <v>0</v>
      </c>
      <c r="J1218" s="413" t="s">
        <v>472</v>
      </c>
      <c r="K1218" s="415">
        <v>0.0</v>
      </c>
      <c r="L1218" s="415">
        <v>7.0</v>
      </c>
      <c r="M1218" s="413" t="s">
        <v>1120</v>
      </c>
      <c r="N1218" s="413" t="s">
        <v>1965</v>
      </c>
    </row>
    <row r="1219">
      <c r="A1219" s="409">
        <v>45940.0</v>
      </c>
      <c r="B1219" s="102">
        <v>2025.0</v>
      </c>
      <c r="C1219" s="410" t="s">
        <v>1914</v>
      </c>
      <c r="D1219" s="102" t="s">
        <v>723</v>
      </c>
      <c r="E1219" s="102" t="s">
        <v>137</v>
      </c>
      <c r="F1219" s="102" t="s">
        <v>711</v>
      </c>
      <c r="G1219" s="102" t="s">
        <v>740</v>
      </c>
      <c r="H1219" s="360">
        <v>10.0</v>
      </c>
      <c r="I1219" s="411" t="b">
        <v>0</v>
      </c>
      <c r="J1219" s="102" t="s">
        <v>472</v>
      </c>
      <c r="K1219" s="360">
        <v>0.0</v>
      </c>
      <c r="L1219" s="360">
        <v>10.0</v>
      </c>
      <c r="M1219" s="102" t="s">
        <v>1120</v>
      </c>
      <c r="N1219" s="102" t="s">
        <v>1966</v>
      </c>
    </row>
    <row r="1220">
      <c r="A1220" s="412">
        <v>45940.0</v>
      </c>
      <c r="B1220" s="413">
        <v>2025.0</v>
      </c>
      <c r="C1220" s="414" t="s">
        <v>1914</v>
      </c>
      <c r="D1220" s="413" t="s">
        <v>702</v>
      </c>
      <c r="E1220" s="413" t="s">
        <v>465</v>
      </c>
      <c r="F1220" s="413" t="s">
        <v>711</v>
      </c>
      <c r="G1220" s="413" t="s">
        <v>767</v>
      </c>
      <c r="H1220" s="415">
        <v>901.0</v>
      </c>
      <c r="I1220" s="416" t="b">
        <v>0</v>
      </c>
      <c r="J1220" s="413" t="s">
        <v>1967</v>
      </c>
      <c r="K1220" s="415">
        <v>124.27586206896547</v>
      </c>
      <c r="L1220" s="415">
        <v>776.7241379310345</v>
      </c>
      <c r="M1220" s="413" t="s">
        <v>1120</v>
      </c>
      <c r="N1220" s="413" t="s">
        <v>1968</v>
      </c>
    </row>
    <row r="1221">
      <c r="A1221" s="409">
        <v>45941.0</v>
      </c>
      <c r="B1221" s="102">
        <v>2025.0</v>
      </c>
      <c r="C1221" s="410" t="s">
        <v>1914</v>
      </c>
      <c r="D1221" s="102" t="s">
        <v>723</v>
      </c>
      <c r="E1221" s="102" t="s">
        <v>137</v>
      </c>
      <c r="F1221" s="102" t="s">
        <v>711</v>
      </c>
      <c r="G1221" s="102" t="s">
        <v>767</v>
      </c>
      <c r="H1221" s="360">
        <v>560.0</v>
      </c>
      <c r="I1221" s="411" t="b">
        <v>0</v>
      </c>
      <c r="J1221" s="102" t="s">
        <v>1350</v>
      </c>
      <c r="K1221" s="360">
        <v>0.0</v>
      </c>
      <c r="L1221" s="360">
        <v>560.0</v>
      </c>
      <c r="M1221" s="102" t="s">
        <v>1120</v>
      </c>
      <c r="N1221" s="102" t="s">
        <v>1969</v>
      </c>
    </row>
    <row r="1222">
      <c r="A1222" s="412">
        <v>45941.0</v>
      </c>
      <c r="B1222" s="413">
        <v>2025.0</v>
      </c>
      <c r="C1222" s="414" t="s">
        <v>1914</v>
      </c>
      <c r="D1222" s="413" t="s">
        <v>723</v>
      </c>
      <c r="E1222" s="413" t="s">
        <v>137</v>
      </c>
      <c r="F1222" s="413" t="s">
        <v>711</v>
      </c>
      <c r="G1222" s="413" t="s">
        <v>767</v>
      </c>
      <c r="H1222" s="415">
        <v>50.0</v>
      </c>
      <c r="I1222" s="416" t="b">
        <v>0</v>
      </c>
      <c r="J1222" s="413" t="s">
        <v>1655</v>
      </c>
      <c r="K1222" s="415">
        <v>0.0</v>
      </c>
      <c r="L1222" s="415">
        <v>50.0</v>
      </c>
      <c r="M1222" s="413" t="s">
        <v>1120</v>
      </c>
      <c r="N1222" s="413" t="s">
        <v>1970</v>
      </c>
    </row>
    <row r="1223">
      <c r="A1223" s="409">
        <v>45941.0</v>
      </c>
      <c r="B1223" s="102">
        <v>2025.0</v>
      </c>
      <c r="C1223" s="410" t="s">
        <v>1914</v>
      </c>
      <c r="D1223" s="102" t="s">
        <v>723</v>
      </c>
      <c r="E1223" s="102" t="s">
        <v>137</v>
      </c>
      <c r="F1223" s="102" t="s">
        <v>711</v>
      </c>
      <c r="G1223" s="102" t="s">
        <v>767</v>
      </c>
      <c r="H1223" s="360">
        <v>900.0</v>
      </c>
      <c r="I1223" s="411" t="b">
        <v>0</v>
      </c>
      <c r="J1223" s="102" t="s">
        <v>1799</v>
      </c>
      <c r="K1223" s="360">
        <v>0.0</v>
      </c>
      <c r="L1223" s="360">
        <v>900.0</v>
      </c>
      <c r="M1223" s="102" t="s">
        <v>1120</v>
      </c>
      <c r="N1223" s="102" t="s">
        <v>1971</v>
      </c>
    </row>
    <row r="1224">
      <c r="A1224" s="412">
        <v>45941.0</v>
      </c>
      <c r="B1224" s="413">
        <v>2025.0</v>
      </c>
      <c r="C1224" s="414" t="s">
        <v>1914</v>
      </c>
      <c r="D1224" s="413" t="s">
        <v>723</v>
      </c>
      <c r="E1224" s="413" t="s">
        <v>137</v>
      </c>
      <c r="F1224" s="413" t="s">
        <v>711</v>
      </c>
      <c r="G1224" s="413" t="s">
        <v>767</v>
      </c>
      <c r="H1224" s="415">
        <v>900.0</v>
      </c>
      <c r="I1224" s="416" t="b">
        <v>0</v>
      </c>
      <c r="J1224" s="413" t="s">
        <v>1561</v>
      </c>
      <c r="K1224" s="415">
        <v>0.0</v>
      </c>
      <c r="L1224" s="415">
        <v>900.0</v>
      </c>
      <c r="M1224" s="413" t="s">
        <v>1120</v>
      </c>
      <c r="N1224" s="413" t="s">
        <v>1972</v>
      </c>
    </row>
    <row r="1225">
      <c r="A1225" s="409">
        <v>45941.0</v>
      </c>
      <c r="B1225" s="102">
        <v>2025.0</v>
      </c>
      <c r="C1225" s="410" t="s">
        <v>1914</v>
      </c>
      <c r="D1225" s="102" t="s">
        <v>702</v>
      </c>
      <c r="E1225" s="102" t="s">
        <v>465</v>
      </c>
      <c r="F1225" s="102" t="s">
        <v>711</v>
      </c>
      <c r="G1225" s="102" t="s">
        <v>734</v>
      </c>
      <c r="H1225" s="360">
        <v>180.0</v>
      </c>
      <c r="I1225" s="411" t="b">
        <v>0</v>
      </c>
      <c r="J1225" s="102" t="s">
        <v>1483</v>
      </c>
      <c r="K1225" s="360">
        <v>24.82758620689654</v>
      </c>
      <c r="L1225" s="360">
        <v>155.17241379310346</v>
      </c>
      <c r="M1225" s="102" t="s">
        <v>1120</v>
      </c>
      <c r="N1225" s="102" t="s">
        <v>1973</v>
      </c>
    </row>
    <row r="1226">
      <c r="A1226" s="412">
        <v>45941.0</v>
      </c>
      <c r="B1226" s="413">
        <v>2025.0</v>
      </c>
      <c r="C1226" s="414" t="s">
        <v>1914</v>
      </c>
      <c r="D1226" s="413" t="s">
        <v>723</v>
      </c>
      <c r="E1226" s="413" t="s">
        <v>137</v>
      </c>
      <c r="F1226" s="413" t="s">
        <v>711</v>
      </c>
      <c r="G1226" s="413" t="s">
        <v>767</v>
      </c>
      <c r="H1226" s="415">
        <v>550.0</v>
      </c>
      <c r="I1226" s="416" t="b">
        <v>0</v>
      </c>
      <c r="J1226" s="413" t="s">
        <v>1213</v>
      </c>
      <c r="K1226" s="415">
        <v>0.0</v>
      </c>
      <c r="L1226" s="415">
        <v>550.0</v>
      </c>
      <c r="M1226" s="413" t="s">
        <v>1120</v>
      </c>
      <c r="N1226" s="413" t="s">
        <v>1974</v>
      </c>
    </row>
    <row r="1227">
      <c r="A1227" s="409">
        <v>45941.0</v>
      </c>
      <c r="B1227" s="102">
        <v>2025.0</v>
      </c>
      <c r="C1227" s="410" t="s">
        <v>1914</v>
      </c>
      <c r="D1227" s="102" t="s">
        <v>723</v>
      </c>
      <c r="E1227" s="102" t="s">
        <v>137</v>
      </c>
      <c r="F1227" s="102" t="s">
        <v>711</v>
      </c>
      <c r="G1227" s="102" t="s">
        <v>767</v>
      </c>
      <c r="H1227" s="360">
        <v>950.0</v>
      </c>
      <c r="I1227" s="411" t="b">
        <v>0</v>
      </c>
      <c r="J1227" s="102" t="s">
        <v>1881</v>
      </c>
      <c r="K1227" s="360">
        <v>0.0</v>
      </c>
      <c r="L1227" s="360">
        <v>950.0</v>
      </c>
      <c r="M1227" s="102" t="s">
        <v>1120</v>
      </c>
      <c r="N1227" s="102" t="s">
        <v>1975</v>
      </c>
    </row>
    <row r="1228">
      <c r="A1228" s="412">
        <v>45941.0</v>
      </c>
      <c r="B1228" s="413">
        <v>2025.0</v>
      </c>
      <c r="C1228" s="414" t="s">
        <v>1914</v>
      </c>
      <c r="D1228" s="413" t="s">
        <v>723</v>
      </c>
      <c r="E1228" s="413" t="s">
        <v>137</v>
      </c>
      <c r="F1228" s="413" t="s">
        <v>703</v>
      </c>
      <c r="G1228" s="413" t="s">
        <v>732</v>
      </c>
      <c r="H1228" s="415">
        <v>26.0</v>
      </c>
      <c r="I1228" s="416" t="b">
        <v>0</v>
      </c>
      <c r="J1228" s="413" t="s">
        <v>1976</v>
      </c>
      <c r="K1228" s="415">
        <v>0.0</v>
      </c>
      <c r="L1228" s="415">
        <v>26.0</v>
      </c>
      <c r="M1228" s="413" t="s">
        <v>1120</v>
      </c>
      <c r="N1228" s="413" t="s">
        <v>1977</v>
      </c>
    </row>
    <row r="1229">
      <c r="A1229" s="409">
        <v>45941.0</v>
      </c>
      <c r="B1229" s="102">
        <v>2025.0</v>
      </c>
      <c r="C1229" s="410" t="s">
        <v>1914</v>
      </c>
      <c r="D1229" s="102" t="s">
        <v>723</v>
      </c>
      <c r="E1229" s="102" t="s">
        <v>137</v>
      </c>
      <c r="F1229" s="102" t="s">
        <v>703</v>
      </c>
      <c r="G1229" s="102" t="s">
        <v>724</v>
      </c>
      <c r="H1229" s="360">
        <v>8521.0</v>
      </c>
      <c r="I1229" s="411" t="b">
        <v>1</v>
      </c>
      <c r="J1229" s="102" t="s">
        <v>472</v>
      </c>
      <c r="K1229" s="360">
        <v>0.0</v>
      </c>
      <c r="L1229" s="360">
        <v>0.0</v>
      </c>
      <c r="M1229" s="102" t="s">
        <v>1120</v>
      </c>
      <c r="N1229" s="102" t="s">
        <v>1978</v>
      </c>
    </row>
    <row r="1230">
      <c r="A1230" s="412">
        <v>45941.0</v>
      </c>
      <c r="B1230" s="413">
        <v>2025.0</v>
      </c>
      <c r="C1230" s="414" t="s">
        <v>1914</v>
      </c>
      <c r="D1230" s="413" t="s">
        <v>710</v>
      </c>
      <c r="E1230" s="413" t="s">
        <v>137</v>
      </c>
      <c r="F1230" s="413" t="s">
        <v>711</v>
      </c>
      <c r="G1230" s="413" t="s">
        <v>724</v>
      </c>
      <c r="H1230" s="415">
        <v>8521.0</v>
      </c>
      <c r="I1230" s="416" t="b">
        <v>1</v>
      </c>
      <c r="J1230" s="413" t="s">
        <v>472</v>
      </c>
      <c r="K1230" s="415">
        <v>0.0</v>
      </c>
      <c r="L1230" s="415">
        <v>0.0</v>
      </c>
      <c r="M1230" s="413" t="s">
        <v>1120</v>
      </c>
      <c r="N1230" s="413" t="s">
        <v>1978</v>
      </c>
    </row>
    <row r="1231">
      <c r="A1231" s="409">
        <v>45941.0</v>
      </c>
      <c r="B1231" s="102">
        <v>2025.0</v>
      </c>
      <c r="C1231" s="410" t="s">
        <v>1914</v>
      </c>
      <c r="D1231" s="102" t="s">
        <v>710</v>
      </c>
      <c r="E1231" s="102" t="s">
        <v>137</v>
      </c>
      <c r="F1231" s="102" t="s">
        <v>711</v>
      </c>
      <c r="G1231" s="102" t="s">
        <v>740</v>
      </c>
      <c r="H1231" s="360">
        <v>50.0</v>
      </c>
      <c r="I1231" s="411" t="b">
        <v>0</v>
      </c>
      <c r="J1231" s="102" t="s">
        <v>472</v>
      </c>
      <c r="K1231" s="360">
        <v>0.0</v>
      </c>
      <c r="L1231" s="360">
        <v>50.0</v>
      </c>
      <c r="M1231" s="102" t="s">
        <v>1120</v>
      </c>
      <c r="N1231" s="102" t="s">
        <v>1979</v>
      </c>
    </row>
    <row r="1232">
      <c r="A1232" s="412">
        <v>45942.0</v>
      </c>
      <c r="B1232" s="413">
        <v>2025.0</v>
      </c>
      <c r="C1232" s="414" t="s">
        <v>1914</v>
      </c>
      <c r="D1232" s="413" t="s">
        <v>710</v>
      </c>
      <c r="E1232" s="413" t="s">
        <v>137</v>
      </c>
      <c r="F1232" s="413" t="s">
        <v>703</v>
      </c>
      <c r="G1232" s="413" t="s">
        <v>1980</v>
      </c>
      <c r="H1232" s="415">
        <v>200.0</v>
      </c>
      <c r="I1232" s="416" t="b">
        <v>0</v>
      </c>
      <c r="J1232" s="413" t="s">
        <v>472</v>
      </c>
      <c r="K1232" s="415">
        <v>0.0</v>
      </c>
      <c r="L1232" s="415">
        <v>200.0</v>
      </c>
      <c r="M1232" s="413" t="s">
        <v>1120</v>
      </c>
      <c r="N1232" s="413" t="s">
        <v>1981</v>
      </c>
    </row>
    <row r="1233">
      <c r="A1233" s="409">
        <v>45942.0</v>
      </c>
      <c r="B1233" s="102">
        <v>2025.0</v>
      </c>
      <c r="C1233" s="410" t="s">
        <v>1914</v>
      </c>
      <c r="D1233" s="102" t="s">
        <v>710</v>
      </c>
      <c r="E1233" s="102" t="s">
        <v>137</v>
      </c>
      <c r="F1233" s="102" t="s">
        <v>703</v>
      </c>
      <c r="G1233" s="102" t="s">
        <v>715</v>
      </c>
      <c r="H1233" s="360">
        <v>200.0</v>
      </c>
      <c r="I1233" s="411" t="b">
        <v>0</v>
      </c>
      <c r="J1233" s="102" t="s">
        <v>472</v>
      </c>
      <c r="K1233" s="360">
        <v>0.0</v>
      </c>
      <c r="L1233" s="360">
        <v>200.0</v>
      </c>
      <c r="M1233" s="102" t="s">
        <v>1120</v>
      </c>
      <c r="N1233" s="102" t="s">
        <v>1981</v>
      </c>
    </row>
    <row r="1234">
      <c r="A1234" s="412">
        <v>45943.0</v>
      </c>
      <c r="B1234" s="413">
        <v>2025.0</v>
      </c>
      <c r="C1234" s="414" t="s">
        <v>1914</v>
      </c>
      <c r="D1234" s="413" t="s">
        <v>702</v>
      </c>
      <c r="E1234" s="413" t="s">
        <v>465</v>
      </c>
      <c r="F1234" s="413" t="s">
        <v>703</v>
      </c>
      <c r="G1234" s="413" t="s">
        <v>747</v>
      </c>
      <c r="H1234" s="415">
        <v>696.0</v>
      </c>
      <c r="I1234" s="416" t="b">
        <v>0</v>
      </c>
      <c r="J1234" s="413" t="s">
        <v>1982</v>
      </c>
      <c r="K1234" s="415">
        <v>0.0</v>
      </c>
      <c r="L1234" s="415">
        <v>696.0</v>
      </c>
      <c r="M1234" s="413" t="s">
        <v>1120</v>
      </c>
      <c r="N1234" s="413" t="s">
        <v>1983</v>
      </c>
    </row>
    <row r="1235">
      <c r="A1235" s="409">
        <v>45943.0</v>
      </c>
      <c r="B1235" s="102">
        <v>2025.0</v>
      </c>
      <c r="C1235" s="410" t="s">
        <v>1914</v>
      </c>
      <c r="D1235" s="102" t="s">
        <v>702</v>
      </c>
      <c r="E1235" s="102" t="s">
        <v>465</v>
      </c>
      <c r="F1235" s="102" t="s">
        <v>711</v>
      </c>
      <c r="G1235" s="102" t="s">
        <v>730</v>
      </c>
      <c r="H1235" s="360">
        <v>5.0</v>
      </c>
      <c r="I1235" s="411" t="b">
        <v>0</v>
      </c>
      <c r="J1235" s="102" t="s">
        <v>472</v>
      </c>
      <c r="K1235" s="360">
        <v>0.6896551724137927</v>
      </c>
      <c r="L1235" s="360">
        <v>4.310344827586207</v>
      </c>
      <c r="M1235" s="102" t="s">
        <v>1120</v>
      </c>
      <c r="N1235" s="102" t="s">
        <v>1984</v>
      </c>
    </row>
    <row r="1236">
      <c r="A1236" s="412">
        <v>45943.0</v>
      </c>
      <c r="B1236" s="413">
        <v>2025.0</v>
      </c>
      <c r="C1236" s="414" t="s">
        <v>1914</v>
      </c>
      <c r="D1236" s="413" t="s">
        <v>723</v>
      </c>
      <c r="E1236" s="413" t="s">
        <v>137</v>
      </c>
      <c r="F1236" s="413" t="s">
        <v>711</v>
      </c>
      <c r="G1236" s="413" t="s">
        <v>767</v>
      </c>
      <c r="H1236" s="415">
        <v>950.0</v>
      </c>
      <c r="I1236" s="416" t="b">
        <v>0</v>
      </c>
      <c r="J1236" s="413" t="s">
        <v>1985</v>
      </c>
      <c r="K1236" s="415">
        <v>0.0</v>
      </c>
      <c r="L1236" s="415">
        <v>950.0</v>
      </c>
      <c r="M1236" s="413" t="s">
        <v>1120</v>
      </c>
      <c r="N1236" s="413" t="s">
        <v>1986</v>
      </c>
    </row>
    <row r="1237">
      <c r="A1237" s="409">
        <v>45944.0</v>
      </c>
      <c r="B1237" s="102">
        <v>2025.0</v>
      </c>
      <c r="C1237" s="410" t="s">
        <v>1914</v>
      </c>
      <c r="D1237" s="102" t="s">
        <v>710</v>
      </c>
      <c r="E1237" s="102" t="s">
        <v>137</v>
      </c>
      <c r="F1237" s="102" t="s">
        <v>703</v>
      </c>
      <c r="G1237" s="102" t="s">
        <v>715</v>
      </c>
      <c r="H1237" s="360">
        <v>18.0</v>
      </c>
      <c r="I1237" s="411" t="b">
        <v>0</v>
      </c>
      <c r="J1237" s="102" t="s">
        <v>1987</v>
      </c>
      <c r="K1237" s="360">
        <v>0.0</v>
      </c>
      <c r="L1237" s="360">
        <v>18.0</v>
      </c>
      <c r="M1237" s="102" t="s">
        <v>1120</v>
      </c>
      <c r="N1237" s="102" t="s">
        <v>1988</v>
      </c>
    </row>
    <row r="1238">
      <c r="A1238" s="412">
        <v>45944.0</v>
      </c>
      <c r="B1238" s="413">
        <v>2025.0</v>
      </c>
      <c r="C1238" s="414" t="s">
        <v>1914</v>
      </c>
      <c r="D1238" s="413" t="s">
        <v>710</v>
      </c>
      <c r="E1238" s="413" t="s">
        <v>137</v>
      </c>
      <c r="F1238" s="413" t="s">
        <v>703</v>
      </c>
      <c r="G1238" s="413" t="s">
        <v>715</v>
      </c>
      <c r="H1238" s="415">
        <v>73.0</v>
      </c>
      <c r="I1238" s="416" t="b">
        <v>0</v>
      </c>
      <c r="J1238" s="413" t="s">
        <v>1989</v>
      </c>
      <c r="K1238" s="415">
        <v>0.0</v>
      </c>
      <c r="L1238" s="415">
        <v>73.0</v>
      </c>
      <c r="M1238" s="413" t="s">
        <v>1120</v>
      </c>
      <c r="N1238" s="413" t="s">
        <v>1990</v>
      </c>
    </row>
    <row r="1239">
      <c r="A1239" s="409">
        <v>45944.0</v>
      </c>
      <c r="B1239" s="102">
        <v>2025.0</v>
      </c>
      <c r="C1239" s="410" t="s">
        <v>1914</v>
      </c>
      <c r="D1239" s="102" t="s">
        <v>723</v>
      </c>
      <c r="E1239" s="102" t="s">
        <v>137</v>
      </c>
      <c r="F1239" s="102" t="s">
        <v>711</v>
      </c>
      <c r="G1239" s="102" t="s">
        <v>740</v>
      </c>
      <c r="H1239" s="360">
        <v>10.0</v>
      </c>
      <c r="I1239" s="411" t="b">
        <v>0</v>
      </c>
      <c r="J1239" s="102" t="s">
        <v>472</v>
      </c>
      <c r="K1239" s="360">
        <v>0.0</v>
      </c>
      <c r="L1239" s="360">
        <v>10.0</v>
      </c>
      <c r="M1239" s="102" t="s">
        <v>1120</v>
      </c>
      <c r="N1239" s="102" t="s">
        <v>1991</v>
      </c>
    </row>
    <row r="1240">
      <c r="A1240" s="412">
        <v>45944.0</v>
      </c>
      <c r="B1240" s="413">
        <v>2025.0</v>
      </c>
      <c r="C1240" s="414" t="s">
        <v>1914</v>
      </c>
      <c r="D1240" s="413" t="s">
        <v>723</v>
      </c>
      <c r="E1240" s="413" t="s">
        <v>137</v>
      </c>
      <c r="F1240" s="413" t="s">
        <v>711</v>
      </c>
      <c r="G1240" s="413" t="s">
        <v>740</v>
      </c>
      <c r="H1240" s="415">
        <v>20.0</v>
      </c>
      <c r="I1240" s="416" t="b">
        <v>0</v>
      </c>
      <c r="J1240" s="413" t="s">
        <v>472</v>
      </c>
      <c r="K1240" s="415">
        <v>0.0</v>
      </c>
      <c r="L1240" s="415">
        <v>20.0</v>
      </c>
      <c r="M1240" s="413" t="s">
        <v>1120</v>
      </c>
      <c r="N1240" s="413" t="s">
        <v>1992</v>
      </c>
    </row>
    <row r="1241">
      <c r="A1241" s="409">
        <v>45945.0</v>
      </c>
      <c r="B1241" s="102">
        <v>2025.0</v>
      </c>
      <c r="C1241" s="410" t="s">
        <v>1914</v>
      </c>
      <c r="D1241" s="102" t="s">
        <v>723</v>
      </c>
      <c r="E1241" s="102" t="s">
        <v>137</v>
      </c>
      <c r="F1241" s="102" t="s">
        <v>711</v>
      </c>
      <c r="G1241" s="102" t="s">
        <v>767</v>
      </c>
      <c r="H1241" s="360">
        <v>900.0</v>
      </c>
      <c r="I1241" s="411" t="b">
        <v>0</v>
      </c>
      <c r="J1241" s="102" t="s">
        <v>1899</v>
      </c>
      <c r="K1241" s="360">
        <v>0.0</v>
      </c>
      <c r="L1241" s="360">
        <v>900.0</v>
      </c>
      <c r="M1241" s="102" t="s">
        <v>1120</v>
      </c>
      <c r="N1241" s="102" t="s">
        <v>1993</v>
      </c>
    </row>
    <row r="1242">
      <c r="A1242" s="412">
        <v>45945.0</v>
      </c>
      <c r="B1242" s="413">
        <v>2025.0</v>
      </c>
      <c r="C1242" s="414" t="s">
        <v>1914</v>
      </c>
      <c r="D1242" s="413" t="s">
        <v>723</v>
      </c>
      <c r="E1242" s="413" t="s">
        <v>137</v>
      </c>
      <c r="F1242" s="413" t="s">
        <v>711</v>
      </c>
      <c r="G1242" s="413" t="s">
        <v>767</v>
      </c>
      <c r="H1242" s="415">
        <v>50.0</v>
      </c>
      <c r="I1242" s="416" t="b">
        <v>0</v>
      </c>
      <c r="J1242" s="413" t="s">
        <v>1994</v>
      </c>
      <c r="K1242" s="415">
        <v>0.0</v>
      </c>
      <c r="L1242" s="415">
        <v>50.0</v>
      </c>
      <c r="M1242" s="413" t="s">
        <v>1120</v>
      </c>
      <c r="N1242" s="413" t="s">
        <v>1995</v>
      </c>
    </row>
    <row r="1243">
      <c r="A1243" s="409">
        <v>45945.0</v>
      </c>
      <c r="B1243" s="102">
        <v>2025.0</v>
      </c>
      <c r="C1243" s="410" t="s">
        <v>1914</v>
      </c>
      <c r="D1243" s="102" t="s">
        <v>723</v>
      </c>
      <c r="E1243" s="102" t="s">
        <v>137</v>
      </c>
      <c r="F1243" s="102" t="s">
        <v>711</v>
      </c>
      <c r="G1243" s="102" t="s">
        <v>740</v>
      </c>
      <c r="H1243" s="360">
        <v>7.0</v>
      </c>
      <c r="I1243" s="411" t="b">
        <v>0</v>
      </c>
      <c r="J1243" s="102" t="s">
        <v>472</v>
      </c>
      <c r="K1243" s="360">
        <v>0.0</v>
      </c>
      <c r="L1243" s="360">
        <v>7.0</v>
      </c>
      <c r="M1243" s="102" t="s">
        <v>1120</v>
      </c>
      <c r="N1243" s="102" t="s">
        <v>1996</v>
      </c>
    </row>
    <row r="1244">
      <c r="A1244" s="412">
        <v>45945.0</v>
      </c>
      <c r="B1244" s="413">
        <v>2025.0</v>
      </c>
      <c r="C1244" s="414" t="s">
        <v>1914</v>
      </c>
      <c r="D1244" s="413" t="s">
        <v>723</v>
      </c>
      <c r="E1244" s="413" t="s">
        <v>137</v>
      </c>
      <c r="F1244" s="413" t="s">
        <v>711</v>
      </c>
      <c r="G1244" s="413" t="s">
        <v>740</v>
      </c>
      <c r="H1244" s="415">
        <v>7.0</v>
      </c>
      <c r="I1244" s="416" t="b">
        <v>0</v>
      </c>
      <c r="J1244" s="413" t="s">
        <v>472</v>
      </c>
      <c r="K1244" s="415">
        <v>0.0</v>
      </c>
      <c r="L1244" s="415">
        <v>7.0</v>
      </c>
      <c r="M1244" s="413" t="s">
        <v>1120</v>
      </c>
      <c r="N1244" s="413" t="s">
        <v>1997</v>
      </c>
    </row>
    <row r="1245">
      <c r="A1245" s="409">
        <v>45946.0</v>
      </c>
      <c r="B1245" s="102">
        <v>2025.0</v>
      </c>
      <c r="C1245" s="410" t="s">
        <v>1914</v>
      </c>
      <c r="D1245" s="102" t="s">
        <v>723</v>
      </c>
      <c r="E1245" s="102" t="s">
        <v>137</v>
      </c>
      <c r="F1245" s="102" t="s">
        <v>711</v>
      </c>
      <c r="G1245" s="102" t="s">
        <v>740</v>
      </c>
      <c r="H1245" s="360">
        <v>20.0</v>
      </c>
      <c r="I1245" s="411" t="b">
        <v>0</v>
      </c>
      <c r="J1245" s="102" t="s">
        <v>472</v>
      </c>
      <c r="K1245" s="360">
        <v>0.0</v>
      </c>
      <c r="L1245" s="360">
        <v>20.0</v>
      </c>
      <c r="M1245" s="102" t="s">
        <v>1120</v>
      </c>
      <c r="N1245" s="102" t="s">
        <v>1998</v>
      </c>
    </row>
    <row r="1246">
      <c r="A1246" s="412">
        <v>45946.0</v>
      </c>
      <c r="B1246" s="413">
        <v>2025.0</v>
      </c>
      <c r="C1246" s="414" t="s">
        <v>1914</v>
      </c>
      <c r="D1246" s="413" t="s">
        <v>710</v>
      </c>
      <c r="E1246" s="413" t="s">
        <v>137</v>
      </c>
      <c r="F1246" s="413" t="s">
        <v>703</v>
      </c>
      <c r="G1246" s="413" t="s">
        <v>715</v>
      </c>
      <c r="H1246" s="415">
        <v>24.0</v>
      </c>
      <c r="I1246" s="416" t="b">
        <v>0</v>
      </c>
      <c r="J1246" s="413" t="s">
        <v>472</v>
      </c>
      <c r="K1246" s="415">
        <v>0.0</v>
      </c>
      <c r="L1246" s="415">
        <v>24.0</v>
      </c>
      <c r="M1246" s="413" t="s">
        <v>1120</v>
      </c>
      <c r="N1246" s="413" t="s">
        <v>1999</v>
      </c>
    </row>
    <row r="1247">
      <c r="A1247" s="409">
        <v>45946.0</v>
      </c>
      <c r="B1247" s="102">
        <v>2025.0</v>
      </c>
      <c r="C1247" s="410" t="s">
        <v>1914</v>
      </c>
      <c r="D1247" s="102" t="s">
        <v>723</v>
      </c>
      <c r="E1247" s="102" t="s">
        <v>137</v>
      </c>
      <c r="F1247" s="102" t="s">
        <v>703</v>
      </c>
      <c r="G1247" s="102" t="s">
        <v>715</v>
      </c>
      <c r="H1247" s="360">
        <v>200.0</v>
      </c>
      <c r="I1247" s="411" t="b">
        <v>0</v>
      </c>
      <c r="J1247" s="102" t="s">
        <v>472</v>
      </c>
      <c r="K1247" s="360">
        <v>0.0</v>
      </c>
      <c r="L1247" s="360">
        <v>200.0</v>
      </c>
      <c r="M1247" s="102" t="s">
        <v>1120</v>
      </c>
      <c r="N1247" s="102" t="s">
        <v>2000</v>
      </c>
    </row>
    <row r="1248">
      <c r="A1248" s="412">
        <v>45946.0</v>
      </c>
      <c r="B1248" s="413">
        <v>2025.0</v>
      </c>
      <c r="C1248" s="414" t="s">
        <v>1914</v>
      </c>
      <c r="D1248" s="413" t="s">
        <v>723</v>
      </c>
      <c r="E1248" s="413" t="s">
        <v>137</v>
      </c>
      <c r="F1248" s="413" t="s">
        <v>703</v>
      </c>
      <c r="G1248" s="413" t="s">
        <v>715</v>
      </c>
      <c r="H1248" s="415">
        <v>200.0</v>
      </c>
      <c r="I1248" s="416" t="b">
        <v>0</v>
      </c>
      <c r="J1248" s="413" t="s">
        <v>472</v>
      </c>
      <c r="K1248" s="415">
        <v>0.0</v>
      </c>
      <c r="L1248" s="415">
        <v>200.0</v>
      </c>
      <c r="M1248" s="413" t="s">
        <v>1120</v>
      </c>
      <c r="N1248" s="413" t="s">
        <v>2001</v>
      </c>
    </row>
    <row r="1249">
      <c r="A1249" s="409">
        <v>45946.0</v>
      </c>
      <c r="B1249" s="102">
        <v>2025.0</v>
      </c>
      <c r="C1249" s="410" t="s">
        <v>1914</v>
      </c>
      <c r="D1249" s="102" t="s">
        <v>702</v>
      </c>
      <c r="E1249" s="102" t="s">
        <v>465</v>
      </c>
      <c r="F1249" s="102" t="s">
        <v>711</v>
      </c>
      <c r="G1249" s="102" t="s">
        <v>767</v>
      </c>
      <c r="H1249" s="360">
        <v>1199.0</v>
      </c>
      <c r="I1249" s="411" t="b">
        <v>0</v>
      </c>
      <c r="J1249" s="102" t="s">
        <v>1164</v>
      </c>
      <c r="K1249" s="360">
        <v>165.37931034482745</v>
      </c>
      <c r="L1249" s="360">
        <v>1033.6206896551726</v>
      </c>
      <c r="M1249" s="102" t="s">
        <v>1120</v>
      </c>
      <c r="N1249" s="102" t="s">
        <v>2002</v>
      </c>
    </row>
    <row r="1250">
      <c r="A1250" s="412">
        <v>45947.0</v>
      </c>
      <c r="B1250" s="413">
        <v>2025.0</v>
      </c>
      <c r="C1250" s="414" t="s">
        <v>1914</v>
      </c>
      <c r="D1250" s="413" t="s">
        <v>710</v>
      </c>
      <c r="E1250" s="413" t="s">
        <v>137</v>
      </c>
      <c r="F1250" s="413" t="s">
        <v>703</v>
      </c>
      <c r="G1250" s="413" t="s">
        <v>715</v>
      </c>
      <c r="H1250" s="415">
        <v>30.0</v>
      </c>
      <c r="I1250" s="416" t="b">
        <v>0</v>
      </c>
      <c r="J1250" s="413" t="s">
        <v>2003</v>
      </c>
      <c r="K1250" s="415">
        <v>0.0</v>
      </c>
      <c r="L1250" s="415">
        <v>30.0</v>
      </c>
      <c r="M1250" s="413" t="s">
        <v>1120</v>
      </c>
      <c r="N1250" s="413" t="s">
        <v>2004</v>
      </c>
    </row>
    <row r="1251">
      <c r="A1251" s="409">
        <v>45947.0</v>
      </c>
      <c r="B1251" s="102">
        <v>2025.0</v>
      </c>
      <c r="C1251" s="410" t="s">
        <v>1914</v>
      </c>
      <c r="D1251" s="102" t="s">
        <v>710</v>
      </c>
      <c r="E1251" s="102" t="s">
        <v>137</v>
      </c>
      <c r="F1251" s="102" t="s">
        <v>703</v>
      </c>
      <c r="G1251" s="102" t="s">
        <v>715</v>
      </c>
      <c r="H1251" s="360">
        <v>6500.0</v>
      </c>
      <c r="I1251" s="411" t="b">
        <v>0</v>
      </c>
      <c r="J1251" s="102" t="s">
        <v>472</v>
      </c>
      <c r="K1251" s="360">
        <v>0.0</v>
      </c>
      <c r="L1251" s="360">
        <v>6500.0</v>
      </c>
      <c r="M1251" s="102" t="s">
        <v>1120</v>
      </c>
      <c r="N1251" s="102" t="s">
        <v>2005</v>
      </c>
    </row>
    <row r="1252">
      <c r="A1252" s="412">
        <v>45947.0</v>
      </c>
      <c r="B1252" s="413">
        <v>2025.0</v>
      </c>
      <c r="C1252" s="414" t="s">
        <v>1914</v>
      </c>
      <c r="D1252" s="413" t="s">
        <v>710</v>
      </c>
      <c r="E1252" s="413" t="s">
        <v>137</v>
      </c>
      <c r="F1252" s="413" t="s">
        <v>703</v>
      </c>
      <c r="G1252" s="413" t="s">
        <v>732</v>
      </c>
      <c r="H1252" s="415">
        <v>60.0</v>
      </c>
      <c r="I1252" s="416" t="b">
        <v>0</v>
      </c>
      <c r="J1252" s="413" t="s">
        <v>472</v>
      </c>
      <c r="K1252" s="415">
        <v>0.0</v>
      </c>
      <c r="L1252" s="415">
        <v>60.0</v>
      </c>
      <c r="M1252" s="413" t="s">
        <v>1120</v>
      </c>
      <c r="N1252" s="413" t="s">
        <v>2006</v>
      </c>
    </row>
    <row r="1253">
      <c r="A1253" s="409">
        <v>45947.0</v>
      </c>
      <c r="B1253" s="102">
        <v>2025.0</v>
      </c>
      <c r="C1253" s="410" t="s">
        <v>1914</v>
      </c>
      <c r="D1253" s="102" t="s">
        <v>710</v>
      </c>
      <c r="E1253" s="102" t="s">
        <v>137</v>
      </c>
      <c r="F1253" s="102" t="s">
        <v>703</v>
      </c>
      <c r="G1253" s="102" t="s">
        <v>732</v>
      </c>
      <c r="H1253" s="360">
        <v>40.0</v>
      </c>
      <c r="I1253" s="411" t="b">
        <v>0</v>
      </c>
      <c r="J1253" s="102" t="s">
        <v>472</v>
      </c>
      <c r="K1253" s="360">
        <v>0.0</v>
      </c>
      <c r="L1253" s="360">
        <v>40.0</v>
      </c>
      <c r="M1253" s="102" t="s">
        <v>1120</v>
      </c>
      <c r="N1253" s="102" t="s">
        <v>2007</v>
      </c>
    </row>
    <row r="1254">
      <c r="A1254" s="412">
        <v>45947.0</v>
      </c>
      <c r="B1254" s="413">
        <v>2025.0</v>
      </c>
      <c r="C1254" s="414" t="s">
        <v>1914</v>
      </c>
      <c r="D1254" s="413" t="s">
        <v>702</v>
      </c>
      <c r="E1254" s="413" t="s">
        <v>465</v>
      </c>
      <c r="F1254" s="413" t="s">
        <v>703</v>
      </c>
      <c r="G1254" s="413" t="s">
        <v>715</v>
      </c>
      <c r="H1254" s="415">
        <v>1736.0</v>
      </c>
      <c r="I1254" s="416" t="b">
        <v>0</v>
      </c>
      <c r="J1254" s="413" t="s">
        <v>472</v>
      </c>
      <c r="K1254" s="415">
        <v>0.0</v>
      </c>
      <c r="L1254" s="415">
        <v>1736.0</v>
      </c>
      <c r="M1254" s="413" t="s">
        <v>1120</v>
      </c>
      <c r="N1254" s="413" t="s">
        <v>2008</v>
      </c>
    </row>
    <row r="1255">
      <c r="A1255" s="409">
        <v>45947.0</v>
      </c>
      <c r="B1255" s="102">
        <v>2025.0</v>
      </c>
      <c r="C1255" s="410" t="s">
        <v>1914</v>
      </c>
      <c r="D1255" s="102" t="s">
        <v>702</v>
      </c>
      <c r="E1255" s="102" t="s">
        <v>465</v>
      </c>
      <c r="F1255" s="102" t="s">
        <v>703</v>
      </c>
      <c r="G1255" s="102" t="s">
        <v>732</v>
      </c>
      <c r="H1255" s="360">
        <v>930.0</v>
      </c>
      <c r="I1255" s="411" t="b">
        <v>0</v>
      </c>
      <c r="J1255" s="102" t="s">
        <v>2009</v>
      </c>
      <c r="K1255" s="360">
        <v>0.0</v>
      </c>
      <c r="L1255" s="360">
        <v>930.0</v>
      </c>
      <c r="M1255" s="102" t="s">
        <v>1120</v>
      </c>
      <c r="N1255" s="102" t="s">
        <v>2010</v>
      </c>
    </row>
    <row r="1256">
      <c r="A1256" s="412">
        <v>45947.0</v>
      </c>
      <c r="B1256" s="413">
        <v>2025.0</v>
      </c>
      <c r="C1256" s="414" t="s">
        <v>1914</v>
      </c>
      <c r="D1256" s="413" t="s">
        <v>723</v>
      </c>
      <c r="E1256" s="413" t="s">
        <v>137</v>
      </c>
      <c r="F1256" s="413" t="s">
        <v>711</v>
      </c>
      <c r="G1256" s="413" t="s">
        <v>767</v>
      </c>
      <c r="H1256" s="415">
        <v>50.0</v>
      </c>
      <c r="I1256" s="416" t="b">
        <v>0</v>
      </c>
      <c r="J1256" s="413" t="s">
        <v>2011</v>
      </c>
      <c r="K1256" s="415">
        <v>0.0</v>
      </c>
      <c r="L1256" s="415">
        <v>50.0</v>
      </c>
      <c r="M1256" s="413" t="s">
        <v>1120</v>
      </c>
      <c r="N1256" s="413" t="s">
        <v>2012</v>
      </c>
    </row>
    <row r="1257">
      <c r="A1257" s="409">
        <v>45947.0</v>
      </c>
      <c r="B1257" s="102">
        <v>2025.0</v>
      </c>
      <c r="C1257" s="410" t="s">
        <v>1914</v>
      </c>
      <c r="D1257" s="102" t="s">
        <v>702</v>
      </c>
      <c r="E1257" s="102" t="s">
        <v>465</v>
      </c>
      <c r="F1257" s="102" t="s">
        <v>711</v>
      </c>
      <c r="G1257" s="102" t="s">
        <v>734</v>
      </c>
      <c r="H1257" s="360">
        <v>180.0</v>
      </c>
      <c r="I1257" s="411" t="b">
        <v>0</v>
      </c>
      <c r="J1257" s="102" t="s">
        <v>472</v>
      </c>
      <c r="K1257" s="360">
        <v>24.82758620689654</v>
      </c>
      <c r="L1257" s="360">
        <v>155.17241379310346</v>
      </c>
      <c r="M1257" s="102" t="s">
        <v>1120</v>
      </c>
      <c r="N1257" s="102" t="s">
        <v>2013</v>
      </c>
    </row>
    <row r="1258">
      <c r="A1258" s="412">
        <v>45948.0</v>
      </c>
      <c r="B1258" s="413">
        <v>2025.0</v>
      </c>
      <c r="C1258" s="414" t="s">
        <v>1914</v>
      </c>
      <c r="D1258" s="413" t="s">
        <v>702</v>
      </c>
      <c r="E1258" s="413" t="s">
        <v>465</v>
      </c>
      <c r="F1258" s="413" t="s">
        <v>711</v>
      </c>
      <c r="G1258" s="413" t="s">
        <v>734</v>
      </c>
      <c r="H1258" s="415">
        <v>180.0</v>
      </c>
      <c r="I1258" s="416" t="b">
        <v>0</v>
      </c>
      <c r="J1258" s="413" t="s">
        <v>1507</v>
      </c>
      <c r="K1258" s="415">
        <v>24.82758620689654</v>
      </c>
      <c r="L1258" s="415">
        <v>155.17241379310346</v>
      </c>
      <c r="M1258" s="413" t="s">
        <v>1120</v>
      </c>
      <c r="N1258" s="413" t="s">
        <v>2014</v>
      </c>
    </row>
    <row r="1259">
      <c r="A1259" s="409">
        <v>45948.0</v>
      </c>
      <c r="B1259" s="102">
        <v>2025.0</v>
      </c>
      <c r="C1259" s="410" t="s">
        <v>1914</v>
      </c>
      <c r="D1259" s="102" t="s">
        <v>723</v>
      </c>
      <c r="E1259" s="102" t="s">
        <v>137</v>
      </c>
      <c r="F1259" s="102" t="s">
        <v>703</v>
      </c>
      <c r="G1259" s="102" t="s">
        <v>747</v>
      </c>
      <c r="H1259" s="360">
        <v>500.0</v>
      </c>
      <c r="I1259" s="411" t="b">
        <v>0</v>
      </c>
      <c r="J1259" s="102" t="s">
        <v>1235</v>
      </c>
      <c r="K1259" s="360">
        <v>0.0</v>
      </c>
      <c r="L1259" s="360">
        <v>500.0</v>
      </c>
      <c r="M1259" s="102" t="s">
        <v>1120</v>
      </c>
      <c r="N1259" s="102" t="s">
        <v>2015</v>
      </c>
    </row>
    <row r="1260">
      <c r="A1260" s="412">
        <v>45948.0</v>
      </c>
      <c r="B1260" s="413">
        <v>2025.0</v>
      </c>
      <c r="C1260" s="414" t="s">
        <v>1914</v>
      </c>
      <c r="D1260" s="413" t="s">
        <v>723</v>
      </c>
      <c r="E1260" s="413" t="s">
        <v>137</v>
      </c>
      <c r="F1260" s="413" t="s">
        <v>711</v>
      </c>
      <c r="G1260" s="413" t="s">
        <v>740</v>
      </c>
      <c r="H1260" s="415">
        <v>17.0</v>
      </c>
      <c r="I1260" s="416" t="b">
        <v>0</v>
      </c>
      <c r="J1260" s="413" t="s">
        <v>472</v>
      </c>
      <c r="K1260" s="415">
        <v>0.0</v>
      </c>
      <c r="L1260" s="415">
        <v>17.0</v>
      </c>
      <c r="M1260" s="413" t="s">
        <v>1120</v>
      </c>
      <c r="N1260" s="413" t="s">
        <v>2016</v>
      </c>
    </row>
    <row r="1261">
      <c r="A1261" s="409">
        <v>45948.0</v>
      </c>
      <c r="B1261" s="102">
        <v>2025.0</v>
      </c>
      <c r="C1261" s="410" t="s">
        <v>1914</v>
      </c>
      <c r="D1261" s="102" t="s">
        <v>702</v>
      </c>
      <c r="E1261" s="102" t="s">
        <v>465</v>
      </c>
      <c r="F1261" s="102" t="s">
        <v>703</v>
      </c>
      <c r="G1261" s="102" t="s">
        <v>724</v>
      </c>
      <c r="H1261" s="360">
        <v>3500.0</v>
      </c>
      <c r="I1261" s="411" t="b">
        <v>1</v>
      </c>
      <c r="J1261" s="102" t="s">
        <v>472</v>
      </c>
      <c r="K1261" s="360">
        <v>0.0</v>
      </c>
      <c r="L1261" s="360">
        <v>0.0</v>
      </c>
      <c r="M1261" s="102" t="s">
        <v>1120</v>
      </c>
      <c r="N1261" s="102" t="s">
        <v>2017</v>
      </c>
    </row>
    <row r="1262">
      <c r="A1262" s="412">
        <v>45948.0</v>
      </c>
      <c r="B1262" s="413">
        <v>2025.0</v>
      </c>
      <c r="C1262" s="414" t="s">
        <v>1914</v>
      </c>
      <c r="D1262" s="413" t="s">
        <v>710</v>
      </c>
      <c r="E1262" s="413" t="s">
        <v>137</v>
      </c>
      <c r="F1262" s="413" t="s">
        <v>711</v>
      </c>
      <c r="G1262" s="413" t="s">
        <v>724</v>
      </c>
      <c r="H1262" s="415">
        <v>3500.0</v>
      </c>
      <c r="I1262" s="416" t="b">
        <v>1</v>
      </c>
      <c r="J1262" s="413" t="s">
        <v>472</v>
      </c>
      <c r="K1262" s="415">
        <v>0.0</v>
      </c>
      <c r="L1262" s="415">
        <v>0.0</v>
      </c>
      <c r="M1262" s="413" t="s">
        <v>1120</v>
      </c>
      <c r="N1262" s="413" t="s">
        <v>2017</v>
      </c>
    </row>
    <row r="1263">
      <c r="A1263" s="409">
        <v>45948.0</v>
      </c>
      <c r="B1263" s="102">
        <v>2025.0</v>
      </c>
      <c r="C1263" s="410" t="s">
        <v>1914</v>
      </c>
      <c r="D1263" s="102" t="s">
        <v>710</v>
      </c>
      <c r="E1263" s="102" t="s">
        <v>137</v>
      </c>
      <c r="F1263" s="102" t="s">
        <v>703</v>
      </c>
      <c r="G1263" s="102" t="s">
        <v>715</v>
      </c>
      <c r="H1263" s="360">
        <v>350.0</v>
      </c>
      <c r="I1263" s="411" t="b">
        <v>0</v>
      </c>
      <c r="J1263" s="102" t="s">
        <v>2018</v>
      </c>
      <c r="K1263" s="360">
        <v>0.0</v>
      </c>
      <c r="L1263" s="360">
        <v>350.0</v>
      </c>
      <c r="M1263" s="102" t="s">
        <v>1120</v>
      </c>
      <c r="N1263" s="102" t="s">
        <v>2019</v>
      </c>
    </row>
    <row r="1264">
      <c r="A1264" s="412">
        <v>45948.0</v>
      </c>
      <c r="B1264" s="413">
        <v>2025.0</v>
      </c>
      <c r="C1264" s="414" t="s">
        <v>1914</v>
      </c>
      <c r="D1264" s="413" t="s">
        <v>710</v>
      </c>
      <c r="E1264" s="413" t="s">
        <v>137</v>
      </c>
      <c r="F1264" s="413" t="s">
        <v>703</v>
      </c>
      <c r="G1264" s="413" t="s">
        <v>715</v>
      </c>
      <c r="H1264" s="415">
        <v>20.0</v>
      </c>
      <c r="I1264" s="416" t="b">
        <v>0</v>
      </c>
      <c r="J1264" s="413" t="s">
        <v>472</v>
      </c>
      <c r="K1264" s="415">
        <v>0.0</v>
      </c>
      <c r="L1264" s="415">
        <v>20.0</v>
      </c>
      <c r="M1264" s="413" t="s">
        <v>1120</v>
      </c>
      <c r="N1264" s="413" t="s">
        <v>2020</v>
      </c>
    </row>
    <row r="1265">
      <c r="A1265" s="409">
        <v>45948.0</v>
      </c>
      <c r="B1265" s="102">
        <v>2025.0</v>
      </c>
      <c r="C1265" s="410" t="s">
        <v>1914</v>
      </c>
      <c r="D1265" s="102" t="s">
        <v>702</v>
      </c>
      <c r="E1265" s="102" t="s">
        <v>465</v>
      </c>
      <c r="F1265" s="102" t="s">
        <v>711</v>
      </c>
      <c r="G1265" s="102" t="s">
        <v>767</v>
      </c>
      <c r="H1265" s="360">
        <v>950.0</v>
      </c>
      <c r="I1265" s="411" t="b">
        <v>0</v>
      </c>
      <c r="J1265" s="102" t="s">
        <v>1246</v>
      </c>
      <c r="K1265" s="360">
        <v>131.03448275862058</v>
      </c>
      <c r="L1265" s="360">
        <v>818.9655172413794</v>
      </c>
      <c r="M1265" s="102" t="s">
        <v>1120</v>
      </c>
      <c r="N1265" s="102" t="s">
        <v>2021</v>
      </c>
    </row>
    <row r="1266">
      <c r="A1266" s="412">
        <v>45948.0</v>
      </c>
      <c r="B1266" s="413">
        <v>2025.0</v>
      </c>
      <c r="C1266" s="414" t="s">
        <v>1914</v>
      </c>
      <c r="D1266" s="413" t="s">
        <v>702</v>
      </c>
      <c r="E1266" s="413" t="s">
        <v>465</v>
      </c>
      <c r="F1266" s="413" t="s">
        <v>711</v>
      </c>
      <c r="G1266" s="413" t="s">
        <v>730</v>
      </c>
      <c r="H1266" s="415">
        <v>40.0</v>
      </c>
      <c r="I1266" s="416" t="b">
        <v>0</v>
      </c>
      <c r="J1266" s="413" t="s">
        <v>472</v>
      </c>
      <c r="K1266" s="415">
        <v>5.517241379310342</v>
      </c>
      <c r="L1266" s="415">
        <v>34.48275862068966</v>
      </c>
      <c r="M1266" s="413" t="s">
        <v>1120</v>
      </c>
      <c r="N1266" s="413" t="s">
        <v>2022</v>
      </c>
    </row>
    <row r="1267">
      <c r="A1267" s="409">
        <v>45950.0</v>
      </c>
      <c r="B1267" s="102">
        <v>2025.0</v>
      </c>
      <c r="C1267" s="410" t="s">
        <v>1914</v>
      </c>
      <c r="D1267" s="102" t="s">
        <v>723</v>
      </c>
      <c r="E1267" s="102" t="s">
        <v>137</v>
      </c>
      <c r="F1267" s="102" t="s">
        <v>703</v>
      </c>
      <c r="G1267" s="102" t="s">
        <v>732</v>
      </c>
      <c r="H1267" s="360">
        <v>29.0</v>
      </c>
      <c r="I1267" s="411" t="b">
        <v>0</v>
      </c>
      <c r="J1267" s="102" t="s">
        <v>2023</v>
      </c>
      <c r="K1267" s="360">
        <v>0.0</v>
      </c>
      <c r="L1267" s="360">
        <v>29.0</v>
      </c>
      <c r="M1267" s="102" t="s">
        <v>1120</v>
      </c>
      <c r="N1267" s="102" t="s">
        <v>2024</v>
      </c>
    </row>
    <row r="1268">
      <c r="A1268" s="412">
        <v>45951.0</v>
      </c>
      <c r="B1268" s="413">
        <v>2025.0</v>
      </c>
      <c r="C1268" s="414" t="s">
        <v>1914</v>
      </c>
      <c r="D1268" s="413" t="s">
        <v>723</v>
      </c>
      <c r="E1268" s="413" t="s">
        <v>137</v>
      </c>
      <c r="F1268" s="413" t="s">
        <v>711</v>
      </c>
      <c r="G1268" s="413" t="s">
        <v>767</v>
      </c>
      <c r="H1268" s="415">
        <v>1200.0</v>
      </c>
      <c r="I1268" s="416" t="b">
        <v>0</v>
      </c>
      <c r="J1268" s="413" t="s">
        <v>1861</v>
      </c>
      <c r="K1268" s="415">
        <v>0.0</v>
      </c>
      <c r="L1268" s="415">
        <v>1200.0</v>
      </c>
      <c r="M1268" s="413" t="s">
        <v>1120</v>
      </c>
      <c r="N1268" s="413" t="s">
        <v>2025</v>
      </c>
    </row>
    <row r="1269">
      <c r="A1269" s="409">
        <v>45952.0</v>
      </c>
      <c r="B1269" s="102">
        <v>2025.0</v>
      </c>
      <c r="C1269" s="410" t="s">
        <v>1914</v>
      </c>
      <c r="D1269" s="102" t="s">
        <v>710</v>
      </c>
      <c r="E1269" s="102" t="s">
        <v>137</v>
      </c>
      <c r="F1269" s="102" t="s">
        <v>703</v>
      </c>
      <c r="G1269" s="102" t="s">
        <v>715</v>
      </c>
      <c r="H1269" s="360">
        <v>109.0</v>
      </c>
      <c r="I1269" s="411" t="b">
        <v>0</v>
      </c>
      <c r="J1269" s="102" t="s">
        <v>472</v>
      </c>
      <c r="K1269" s="360">
        <v>0.0</v>
      </c>
      <c r="L1269" s="360">
        <v>109.0</v>
      </c>
      <c r="M1269" s="102" t="s">
        <v>1120</v>
      </c>
      <c r="N1269" s="102" t="s">
        <v>2026</v>
      </c>
    </row>
    <row r="1270">
      <c r="A1270" s="412">
        <v>45952.0</v>
      </c>
      <c r="B1270" s="413">
        <v>2025.0</v>
      </c>
      <c r="C1270" s="414" t="s">
        <v>1914</v>
      </c>
      <c r="D1270" s="413" t="s">
        <v>723</v>
      </c>
      <c r="E1270" s="413" t="s">
        <v>137</v>
      </c>
      <c r="F1270" s="413" t="s">
        <v>711</v>
      </c>
      <c r="G1270" s="413" t="s">
        <v>740</v>
      </c>
      <c r="H1270" s="415">
        <v>14.0</v>
      </c>
      <c r="I1270" s="416" t="b">
        <v>0</v>
      </c>
      <c r="J1270" s="413" t="s">
        <v>472</v>
      </c>
      <c r="K1270" s="415">
        <v>0.0</v>
      </c>
      <c r="L1270" s="415">
        <v>14.0</v>
      </c>
      <c r="M1270" s="413" t="s">
        <v>1120</v>
      </c>
      <c r="N1270" s="413" t="s">
        <v>2027</v>
      </c>
    </row>
    <row r="1271">
      <c r="A1271" s="409">
        <v>45952.0</v>
      </c>
      <c r="B1271" s="102">
        <v>2025.0</v>
      </c>
      <c r="C1271" s="410" t="s">
        <v>1914</v>
      </c>
      <c r="D1271" s="102" t="s">
        <v>723</v>
      </c>
      <c r="E1271" s="102" t="s">
        <v>137</v>
      </c>
      <c r="F1271" s="102" t="s">
        <v>711</v>
      </c>
      <c r="G1271" s="102" t="s">
        <v>767</v>
      </c>
      <c r="H1271" s="360">
        <v>50.0</v>
      </c>
      <c r="I1271" s="411" t="b">
        <v>0</v>
      </c>
      <c r="J1271" s="102" t="s">
        <v>2028</v>
      </c>
      <c r="K1271" s="360">
        <v>0.0</v>
      </c>
      <c r="L1271" s="360">
        <v>50.0</v>
      </c>
      <c r="M1271" s="102" t="s">
        <v>1120</v>
      </c>
      <c r="N1271" s="102" t="s">
        <v>2029</v>
      </c>
    </row>
    <row r="1272">
      <c r="A1272" s="412">
        <v>45952.0</v>
      </c>
      <c r="B1272" s="413">
        <v>2025.0</v>
      </c>
      <c r="C1272" s="414" t="s">
        <v>1914</v>
      </c>
      <c r="D1272" s="413" t="s">
        <v>710</v>
      </c>
      <c r="E1272" s="413" t="s">
        <v>137</v>
      </c>
      <c r="F1272" s="413" t="s">
        <v>703</v>
      </c>
      <c r="G1272" s="413" t="s">
        <v>715</v>
      </c>
      <c r="H1272" s="415">
        <v>71.0</v>
      </c>
      <c r="I1272" s="416" t="b">
        <v>0</v>
      </c>
      <c r="J1272" s="413" t="s">
        <v>472</v>
      </c>
      <c r="K1272" s="415">
        <v>0.0</v>
      </c>
      <c r="L1272" s="415">
        <v>71.0</v>
      </c>
      <c r="M1272" s="413" t="s">
        <v>1120</v>
      </c>
      <c r="N1272" s="413" t="s">
        <v>2030</v>
      </c>
    </row>
    <row r="1273">
      <c r="A1273" s="409">
        <v>45953.0</v>
      </c>
      <c r="B1273" s="102">
        <v>2025.0</v>
      </c>
      <c r="C1273" s="410" t="s">
        <v>1914</v>
      </c>
      <c r="D1273" s="102" t="s">
        <v>723</v>
      </c>
      <c r="E1273" s="102" t="s">
        <v>137</v>
      </c>
      <c r="F1273" s="102" t="s">
        <v>711</v>
      </c>
      <c r="G1273" s="102" t="s">
        <v>767</v>
      </c>
      <c r="H1273" s="360">
        <v>500.0</v>
      </c>
      <c r="I1273" s="411" t="b">
        <v>0</v>
      </c>
      <c r="J1273" s="102" t="s">
        <v>1199</v>
      </c>
      <c r="K1273" s="360">
        <v>0.0</v>
      </c>
      <c r="L1273" s="360">
        <v>500.0</v>
      </c>
      <c r="M1273" s="102" t="s">
        <v>1120</v>
      </c>
      <c r="N1273" s="102" t="s">
        <v>2031</v>
      </c>
    </row>
    <row r="1274">
      <c r="A1274" s="412">
        <v>45953.0</v>
      </c>
      <c r="B1274" s="413">
        <v>2025.0</v>
      </c>
      <c r="C1274" s="414" t="s">
        <v>1914</v>
      </c>
      <c r="D1274" s="413" t="s">
        <v>710</v>
      </c>
      <c r="E1274" s="413" t="s">
        <v>137</v>
      </c>
      <c r="F1274" s="413" t="s">
        <v>703</v>
      </c>
      <c r="G1274" s="413" t="s">
        <v>715</v>
      </c>
      <c r="H1274" s="415">
        <v>350.0</v>
      </c>
      <c r="I1274" s="416" t="b">
        <v>0</v>
      </c>
      <c r="J1274" s="413" t="s">
        <v>472</v>
      </c>
      <c r="K1274" s="415">
        <v>0.0</v>
      </c>
      <c r="L1274" s="415">
        <v>350.0</v>
      </c>
      <c r="M1274" s="413" t="s">
        <v>1120</v>
      </c>
      <c r="N1274" s="413" t="s">
        <v>2032</v>
      </c>
    </row>
    <row r="1275">
      <c r="A1275" s="409">
        <v>45953.0</v>
      </c>
      <c r="B1275" s="102">
        <v>2025.0</v>
      </c>
      <c r="C1275" s="410" t="s">
        <v>1914</v>
      </c>
      <c r="D1275" s="102" t="s">
        <v>710</v>
      </c>
      <c r="E1275" s="102" t="s">
        <v>137</v>
      </c>
      <c r="F1275" s="102" t="s">
        <v>703</v>
      </c>
      <c r="G1275" s="102" t="s">
        <v>715</v>
      </c>
      <c r="H1275" s="360">
        <v>400.0</v>
      </c>
      <c r="I1275" s="411" t="b">
        <v>0</v>
      </c>
      <c r="J1275" s="102" t="s">
        <v>472</v>
      </c>
      <c r="K1275" s="360">
        <v>0.0</v>
      </c>
      <c r="L1275" s="360">
        <v>400.0</v>
      </c>
      <c r="M1275" s="102" t="s">
        <v>1120</v>
      </c>
      <c r="N1275" s="102" t="s">
        <v>2033</v>
      </c>
    </row>
    <row r="1276">
      <c r="A1276" s="412">
        <v>45953.0</v>
      </c>
      <c r="B1276" s="413">
        <v>2025.0</v>
      </c>
      <c r="C1276" s="414" t="s">
        <v>1914</v>
      </c>
      <c r="D1276" s="413" t="s">
        <v>702</v>
      </c>
      <c r="E1276" s="413" t="s">
        <v>465</v>
      </c>
      <c r="F1276" s="413" t="s">
        <v>711</v>
      </c>
      <c r="G1276" s="413" t="s">
        <v>724</v>
      </c>
      <c r="H1276" s="415">
        <v>4061.0</v>
      </c>
      <c r="I1276" s="416" t="b">
        <v>1</v>
      </c>
      <c r="J1276" s="413" t="s">
        <v>472</v>
      </c>
      <c r="K1276" s="415">
        <v>0.0</v>
      </c>
      <c r="L1276" s="415">
        <v>0.0</v>
      </c>
      <c r="M1276" s="413" t="s">
        <v>1120</v>
      </c>
      <c r="N1276" s="413" t="s">
        <v>2034</v>
      </c>
    </row>
    <row r="1277">
      <c r="A1277" s="409">
        <v>45953.0</v>
      </c>
      <c r="B1277" s="102">
        <v>2025.0</v>
      </c>
      <c r="C1277" s="410" t="s">
        <v>1914</v>
      </c>
      <c r="D1277" s="102" t="s">
        <v>710</v>
      </c>
      <c r="E1277" s="102" t="s">
        <v>137</v>
      </c>
      <c r="F1277" s="102" t="s">
        <v>703</v>
      </c>
      <c r="G1277" s="102" t="s">
        <v>724</v>
      </c>
      <c r="H1277" s="360">
        <v>4061.0</v>
      </c>
      <c r="I1277" s="411" t="b">
        <v>1</v>
      </c>
      <c r="J1277" s="102" t="s">
        <v>472</v>
      </c>
      <c r="K1277" s="360">
        <v>0.0</v>
      </c>
      <c r="L1277" s="360">
        <v>0.0</v>
      </c>
      <c r="M1277" s="102" t="s">
        <v>1120</v>
      </c>
      <c r="N1277" s="102" t="s">
        <v>2034</v>
      </c>
    </row>
    <row r="1278">
      <c r="A1278" s="412">
        <v>45954.0</v>
      </c>
      <c r="B1278" s="413">
        <v>2025.0</v>
      </c>
      <c r="C1278" s="414" t="s">
        <v>1914</v>
      </c>
      <c r="D1278" s="413" t="s">
        <v>723</v>
      </c>
      <c r="E1278" s="413" t="s">
        <v>137</v>
      </c>
      <c r="F1278" s="413" t="s">
        <v>711</v>
      </c>
      <c r="G1278" s="413" t="s">
        <v>740</v>
      </c>
      <c r="H1278" s="415">
        <v>30.0</v>
      </c>
      <c r="I1278" s="416" t="b">
        <v>0</v>
      </c>
      <c r="J1278" s="413" t="s">
        <v>472</v>
      </c>
      <c r="K1278" s="415">
        <v>0.0</v>
      </c>
      <c r="L1278" s="415">
        <v>30.0</v>
      </c>
      <c r="M1278" s="413" t="s">
        <v>1120</v>
      </c>
      <c r="N1278" s="413" t="s">
        <v>2035</v>
      </c>
    </row>
    <row r="1279">
      <c r="A1279" s="409">
        <v>45954.0</v>
      </c>
      <c r="B1279" s="102">
        <v>2025.0</v>
      </c>
      <c r="C1279" s="410" t="s">
        <v>1914</v>
      </c>
      <c r="D1279" s="102" t="s">
        <v>710</v>
      </c>
      <c r="E1279" s="102" t="s">
        <v>137</v>
      </c>
      <c r="F1279" s="102" t="s">
        <v>703</v>
      </c>
      <c r="G1279" s="102" t="s">
        <v>732</v>
      </c>
      <c r="H1279" s="360">
        <v>129.0</v>
      </c>
      <c r="I1279" s="411" t="b">
        <v>0</v>
      </c>
      <c r="J1279" s="102" t="s">
        <v>472</v>
      </c>
      <c r="K1279" s="360">
        <v>0.0</v>
      </c>
      <c r="L1279" s="360">
        <v>129.0</v>
      </c>
      <c r="M1279" s="102" t="s">
        <v>1120</v>
      </c>
      <c r="N1279" s="102" t="s">
        <v>2036</v>
      </c>
    </row>
    <row r="1280">
      <c r="A1280" s="412">
        <v>45954.0</v>
      </c>
      <c r="B1280" s="413">
        <v>2025.0</v>
      </c>
      <c r="C1280" s="414" t="s">
        <v>1914</v>
      </c>
      <c r="D1280" s="413" t="s">
        <v>723</v>
      </c>
      <c r="E1280" s="413" t="s">
        <v>137</v>
      </c>
      <c r="F1280" s="413" t="s">
        <v>703</v>
      </c>
      <c r="G1280" s="413" t="s">
        <v>724</v>
      </c>
      <c r="H1280" s="415">
        <v>2896.0</v>
      </c>
      <c r="I1280" s="416" t="b">
        <v>1</v>
      </c>
      <c r="J1280" s="413" t="s">
        <v>472</v>
      </c>
      <c r="K1280" s="415">
        <v>0.0</v>
      </c>
      <c r="L1280" s="415">
        <v>0.0</v>
      </c>
      <c r="M1280" s="413" t="s">
        <v>1120</v>
      </c>
      <c r="N1280" s="413" t="s">
        <v>2037</v>
      </c>
    </row>
    <row r="1281">
      <c r="A1281" s="409">
        <v>45954.0</v>
      </c>
      <c r="B1281" s="102">
        <v>2025.0</v>
      </c>
      <c r="C1281" s="410" t="s">
        <v>1914</v>
      </c>
      <c r="D1281" s="102" t="s">
        <v>710</v>
      </c>
      <c r="E1281" s="102" t="s">
        <v>137</v>
      </c>
      <c r="F1281" s="102" t="s">
        <v>711</v>
      </c>
      <c r="G1281" s="102" t="s">
        <v>724</v>
      </c>
      <c r="H1281" s="360">
        <v>2896.0</v>
      </c>
      <c r="I1281" s="411" t="b">
        <v>1</v>
      </c>
      <c r="J1281" s="102" t="s">
        <v>472</v>
      </c>
      <c r="K1281" s="360">
        <v>0.0</v>
      </c>
      <c r="L1281" s="360">
        <v>0.0</v>
      </c>
      <c r="M1281" s="102" t="s">
        <v>1120</v>
      </c>
      <c r="N1281" s="102" t="s">
        <v>2037</v>
      </c>
    </row>
    <row r="1282">
      <c r="A1282" s="412">
        <v>45954.0</v>
      </c>
      <c r="B1282" s="413">
        <v>2025.0</v>
      </c>
      <c r="C1282" s="414" t="s">
        <v>1914</v>
      </c>
      <c r="D1282" s="413" t="s">
        <v>702</v>
      </c>
      <c r="E1282" s="413" t="s">
        <v>465</v>
      </c>
      <c r="F1282" s="413" t="s">
        <v>711</v>
      </c>
      <c r="G1282" s="413" t="s">
        <v>767</v>
      </c>
      <c r="H1282" s="415">
        <v>950.0</v>
      </c>
      <c r="I1282" s="416" t="b">
        <v>0</v>
      </c>
      <c r="J1282" s="413" t="s">
        <v>2038</v>
      </c>
      <c r="K1282" s="415">
        <v>131.03448275862058</v>
      </c>
      <c r="L1282" s="415">
        <v>818.9655172413794</v>
      </c>
      <c r="M1282" s="413" t="s">
        <v>1120</v>
      </c>
      <c r="N1282" s="413" t="s">
        <v>2039</v>
      </c>
    </row>
    <row r="1283">
      <c r="A1283" s="409">
        <v>45955.0</v>
      </c>
      <c r="B1283" s="102">
        <v>2025.0</v>
      </c>
      <c r="C1283" s="410" t="s">
        <v>1914</v>
      </c>
      <c r="D1283" s="102" t="s">
        <v>702</v>
      </c>
      <c r="E1283" s="102" t="s">
        <v>465</v>
      </c>
      <c r="F1283" s="102" t="s">
        <v>711</v>
      </c>
      <c r="G1283" s="102" t="s">
        <v>734</v>
      </c>
      <c r="H1283" s="360">
        <v>180.0</v>
      </c>
      <c r="I1283" s="411" t="b">
        <v>0</v>
      </c>
      <c r="J1283" s="102" t="s">
        <v>1415</v>
      </c>
      <c r="K1283" s="360">
        <v>24.82758620689654</v>
      </c>
      <c r="L1283" s="360">
        <v>155.17241379310346</v>
      </c>
      <c r="M1283" s="102" t="s">
        <v>1120</v>
      </c>
      <c r="N1283" s="102" t="s">
        <v>2040</v>
      </c>
    </row>
    <row r="1284">
      <c r="A1284" s="412">
        <v>45955.0</v>
      </c>
      <c r="B1284" s="413">
        <v>2025.0</v>
      </c>
      <c r="C1284" s="414" t="s">
        <v>1914</v>
      </c>
      <c r="D1284" s="413" t="s">
        <v>702</v>
      </c>
      <c r="E1284" s="413" t="s">
        <v>465</v>
      </c>
      <c r="F1284" s="413" t="s">
        <v>711</v>
      </c>
      <c r="G1284" s="413" t="s">
        <v>767</v>
      </c>
      <c r="H1284" s="415">
        <v>900.0</v>
      </c>
      <c r="I1284" s="416" t="b">
        <v>0</v>
      </c>
      <c r="J1284" s="413" t="s">
        <v>1466</v>
      </c>
      <c r="K1284" s="415">
        <v>124.13793103448268</v>
      </c>
      <c r="L1284" s="415">
        <v>775.8620689655173</v>
      </c>
      <c r="M1284" s="413" t="s">
        <v>1120</v>
      </c>
      <c r="N1284" s="413" t="s">
        <v>2041</v>
      </c>
    </row>
    <row r="1285">
      <c r="A1285" s="409">
        <v>45955.0</v>
      </c>
      <c r="B1285" s="102">
        <v>2025.0</v>
      </c>
      <c r="C1285" s="410" t="s">
        <v>1914</v>
      </c>
      <c r="D1285" s="102" t="s">
        <v>702</v>
      </c>
      <c r="E1285" s="102" t="s">
        <v>465</v>
      </c>
      <c r="F1285" s="102" t="s">
        <v>711</v>
      </c>
      <c r="G1285" s="102" t="s">
        <v>734</v>
      </c>
      <c r="H1285" s="360">
        <v>180.0</v>
      </c>
      <c r="I1285" s="411" t="b">
        <v>0</v>
      </c>
      <c r="J1285" s="102" t="s">
        <v>1483</v>
      </c>
      <c r="K1285" s="360">
        <v>24.82758620689654</v>
      </c>
      <c r="L1285" s="360">
        <v>155.17241379310346</v>
      </c>
      <c r="M1285" s="102" t="s">
        <v>1120</v>
      </c>
      <c r="N1285" s="102" t="s">
        <v>2042</v>
      </c>
    </row>
    <row r="1286">
      <c r="A1286" s="412">
        <v>45956.0</v>
      </c>
      <c r="B1286" s="413">
        <v>2025.0</v>
      </c>
      <c r="C1286" s="414" t="s">
        <v>1914</v>
      </c>
      <c r="D1286" s="413" t="s">
        <v>710</v>
      </c>
      <c r="E1286" s="413" t="s">
        <v>137</v>
      </c>
      <c r="F1286" s="413" t="s">
        <v>703</v>
      </c>
      <c r="G1286" s="413" t="s">
        <v>715</v>
      </c>
      <c r="H1286" s="415">
        <v>200.0</v>
      </c>
      <c r="I1286" s="416" t="b">
        <v>0</v>
      </c>
      <c r="J1286" s="413" t="s">
        <v>472</v>
      </c>
      <c r="K1286" s="415">
        <v>0.0</v>
      </c>
      <c r="L1286" s="415">
        <v>200.0</v>
      </c>
      <c r="M1286" s="413" t="s">
        <v>1120</v>
      </c>
      <c r="N1286" s="413" t="s">
        <v>2043</v>
      </c>
    </row>
    <row r="1287">
      <c r="A1287" s="409">
        <v>45956.0</v>
      </c>
      <c r="B1287" s="102">
        <v>2025.0</v>
      </c>
      <c r="C1287" s="410" t="s">
        <v>1914</v>
      </c>
      <c r="D1287" s="102" t="s">
        <v>710</v>
      </c>
      <c r="E1287" s="102" t="s">
        <v>137</v>
      </c>
      <c r="F1287" s="102" t="s">
        <v>703</v>
      </c>
      <c r="G1287" s="102" t="s">
        <v>715</v>
      </c>
      <c r="H1287" s="360">
        <v>200.0</v>
      </c>
      <c r="I1287" s="411" t="b">
        <v>0</v>
      </c>
      <c r="J1287" s="102" t="s">
        <v>472</v>
      </c>
      <c r="K1287" s="360">
        <v>0.0</v>
      </c>
      <c r="L1287" s="360">
        <v>200.0</v>
      </c>
      <c r="M1287" s="102" t="s">
        <v>1120</v>
      </c>
      <c r="N1287" s="102" t="s">
        <v>2043</v>
      </c>
    </row>
    <row r="1288">
      <c r="A1288" s="412">
        <v>45958.0</v>
      </c>
      <c r="B1288" s="413">
        <v>2025.0</v>
      </c>
      <c r="C1288" s="414" t="s">
        <v>1914</v>
      </c>
      <c r="D1288" s="413" t="s">
        <v>723</v>
      </c>
      <c r="E1288" s="413" t="s">
        <v>137</v>
      </c>
      <c r="F1288" s="413" t="s">
        <v>711</v>
      </c>
      <c r="G1288" s="413" t="s">
        <v>740</v>
      </c>
      <c r="H1288" s="415">
        <v>30.0</v>
      </c>
      <c r="I1288" s="416" t="b">
        <v>0</v>
      </c>
      <c r="J1288" s="413" t="s">
        <v>472</v>
      </c>
      <c r="K1288" s="415">
        <v>0.0</v>
      </c>
      <c r="L1288" s="415">
        <v>30.0</v>
      </c>
      <c r="M1288" s="413" t="s">
        <v>1120</v>
      </c>
      <c r="N1288" s="413" t="s">
        <v>2044</v>
      </c>
    </row>
    <row r="1289">
      <c r="A1289" s="409">
        <v>45958.0</v>
      </c>
      <c r="B1289" s="102">
        <v>2025.0</v>
      </c>
      <c r="C1289" s="410" t="s">
        <v>1914</v>
      </c>
      <c r="D1289" s="102" t="s">
        <v>723</v>
      </c>
      <c r="E1289" s="102" t="s">
        <v>137</v>
      </c>
      <c r="F1289" s="102" t="s">
        <v>711</v>
      </c>
      <c r="G1289" s="102" t="s">
        <v>767</v>
      </c>
      <c r="H1289" s="360">
        <v>500.0</v>
      </c>
      <c r="I1289" s="411" t="b">
        <v>0</v>
      </c>
      <c r="J1289" s="102" t="s">
        <v>1197</v>
      </c>
      <c r="K1289" s="360">
        <v>0.0</v>
      </c>
      <c r="L1289" s="360">
        <v>500.0</v>
      </c>
      <c r="M1289" s="102" t="s">
        <v>1120</v>
      </c>
      <c r="N1289" s="102" t="s">
        <v>2045</v>
      </c>
    </row>
    <row r="1290">
      <c r="A1290" s="412">
        <v>45958.0</v>
      </c>
      <c r="B1290" s="413">
        <v>2025.0</v>
      </c>
      <c r="C1290" s="414" t="s">
        <v>1914</v>
      </c>
      <c r="D1290" s="413" t="s">
        <v>723</v>
      </c>
      <c r="E1290" s="413" t="s">
        <v>137</v>
      </c>
      <c r="F1290" s="413" t="s">
        <v>711</v>
      </c>
      <c r="G1290" s="413" t="s">
        <v>767</v>
      </c>
      <c r="H1290" s="415">
        <v>900.0</v>
      </c>
      <c r="I1290" s="416" t="b">
        <v>0</v>
      </c>
      <c r="J1290" s="413" t="s">
        <v>1788</v>
      </c>
      <c r="K1290" s="415">
        <v>0.0</v>
      </c>
      <c r="L1290" s="415">
        <v>900.0</v>
      </c>
      <c r="M1290" s="413" t="s">
        <v>1120</v>
      </c>
      <c r="N1290" s="413" t="s">
        <v>2046</v>
      </c>
    </row>
    <row r="1291">
      <c r="A1291" s="409">
        <v>45961.0</v>
      </c>
      <c r="B1291" s="102">
        <v>2025.0</v>
      </c>
      <c r="C1291" s="410" t="s">
        <v>1914</v>
      </c>
      <c r="D1291" s="102" t="s">
        <v>723</v>
      </c>
      <c r="E1291" s="102" t="s">
        <v>137</v>
      </c>
      <c r="F1291" s="102" t="s">
        <v>703</v>
      </c>
      <c r="G1291" s="102" t="s">
        <v>747</v>
      </c>
      <c r="H1291" s="360">
        <v>600.0</v>
      </c>
      <c r="I1291" s="411" t="b">
        <v>0</v>
      </c>
      <c r="J1291" s="102" t="s">
        <v>472</v>
      </c>
      <c r="K1291" s="360">
        <v>0.0</v>
      </c>
      <c r="L1291" s="360">
        <v>600.0</v>
      </c>
      <c r="M1291" s="102" t="s">
        <v>1120</v>
      </c>
      <c r="N1291" s="102" t="s">
        <v>2047</v>
      </c>
    </row>
    <row r="1292">
      <c r="A1292" s="412">
        <v>45961.0</v>
      </c>
      <c r="B1292" s="413">
        <v>2025.0</v>
      </c>
      <c r="C1292" s="414" t="s">
        <v>1914</v>
      </c>
      <c r="D1292" s="413" t="s">
        <v>702</v>
      </c>
      <c r="E1292" s="413" t="s">
        <v>465</v>
      </c>
      <c r="F1292" s="413" t="s">
        <v>703</v>
      </c>
      <c r="G1292" s="413" t="s">
        <v>991</v>
      </c>
      <c r="H1292" s="415">
        <v>4300.0</v>
      </c>
      <c r="I1292" s="416" t="b">
        <v>0</v>
      </c>
      <c r="J1292" s="413" t="s">
        <v>472</v>
      </c>
      <c r="K1292" s="415">
        <v>0.0</v>
      </c>
      <c r="L1292" s="415">
        <v>4300.0</v>
      </c>
      <c r="M1292" s="413" t="s">
        <v>1120</v>
      </c>
      <c r="N1292" s="413" t="s">
        <v>2048</v>
      </c>
    </row>
    <row r="1293">
      <c r="A1293" s="409">
        <v>45961.0</v>
      </c>
      <c r="B1293" s="102">
        <v>2025.0</v>
      </c>
      <c r="C1293" s="410" t="s">
        <v>1914</v>
      </c>
      <c r="D1293" s="102" t="s">
        <v>702</v>
      </c>
      <c r="E1293" s="102" t="s">
        <v>465</v>
      </c>
      <c r="F1293" s="102" t="s">
        <v>711</v>
      </c>
      <c r="G1293" s="102" t="s">
        <v>767</v>
      </c>
      <c r="H1293" s="360">
        <v>900.0</v>
      </c>
      <c r="I1293" s="411" t="b">
        <v>0</v>
      </c>
      <c r="J1293" s="102" t="s">
        <v>1237</v>
      </c>
      <c r="K1293" s="360">
        <v>124.13793103448268</v>
      </c>
      <c r="L1293" s="360">
        <v>775.8620689655173</v>
      </c>
      <c r="M1293" s="102" t="s">
        <v>1120</v>
      </c>
      <c r="N1293" s="102" t="s">
        <v>2049</v>
      </c>
    </row>
    <row r="1294">
      <c r="A1294" s="412">
        <v>45961.0</v>
      </c>
      <c r="B1294" s="413">
        <v>2025.0</v>
      </c>
      <c r="C1294" s="414" t="s">
        <v>1914</v>
      </c>
      <c r="D1294" s="413" t="s">
        <v>702</v>
      </c>
      <c r="E1294" s="413" t="s">
        <v>465</v>
      </c>
      <c r="F1294" s="413" t="s">
        <v>703</v>
      </c>
      <c r="G1294" s="413" t="s">
        <v>1603</v>
      </c>
      <c r="H1294" s="415">
        <v>210.0</v>
      </c>
      <c r="I1294" s="416" t="b">
        <v>0</v>
      </c>
      <c r="J1294" s="413" t="s">
        <v>472</v>
      </c>
      <c r="K1294" s="415">
        <v>0.0</v>
      </c>
      <c r="L1294" s="415">
        <v>210.0</v>
      </c>
      <c r="M1294" s="413" t="s">
        <v>1120</v>
      </c>
      <c r="N1294" s="413" t="s">
        <v>2050</v>
      </c>
    </row>
    <row r="1295">
      <c r="A1295" s="409">
        <v>45961.0</v>
      </c>
      <c r="B1295" s="102">
        <v>2025.0</v>
      </c>
      <c r="C1295" s="410" t="s">
        <v>1914</v>
      </c>
      <c r="D1295" s="102" t="s">
        <v>702</v>
      </c>
      <c r="E1295" s="102" t="s">
        <v>465</v>
      </c>
      <c r="F1295" s="102" t="s">
        <v>711</v>
      </c>
      <c r="G1295" s="102" t="s">
        <v>767</v>
      </c>
      <c r="H1295" s="360">
        <v>950.0</v>
      </c>
      <c r="I1295" s="411" t="b">
        <v>0</v>
      </c>
      <c r="J1295" s="102" t="s">
        <v>2051</v>
      </c>
      <c r="K1295" s="360">
        <v>131.03448275862058</v>
      </c>
      <c r="L1295" s="360">
        <v>818.9655172413794</v>
      </c>
      <c r="M1295" s="102" t="s">
        <v>1120</v>
      </c>
      <c r="N1295" s="102" t="s">
        <v>2052</v>
      </c>
    </row>
    <row r="1296">
      <c r="A1296" s="412">
        <v>45961.0</v>
      </c>
      <c r="B1296" s="413">
        <v>2025.0</v>
      </c>
      <c r="C1296" s="414" t="s">
        <v>1914</v>
      </c>
      <c r="D1296" s="413" t="s">
        <v>723</v>
      </c>
      <c r="E1296" s="413" t="s">
        <v>137</v>
      </c>
      <c r="F1296" s="413" t="s">
        <v>711</v>
      </c>
      <c r="G1296" s="413" t="s">
        <v>767</v>
      </c>
      <c r="H1296" s="415">
        <v>950.0</v>
      </c>
      <c r="I1296" s="416" t="b">
        <v>0</v>
      </c>
      <c r="J1296" s="413" t="s">
        <v>1881</v>
      </c>
      <c r="K1296" s="415">
        <v>0.0</v>
      </c>
      <c r="L1296" s="415">
        <v>950.0</v>
      </c>
      <c r="M1296" s="413" t="s">
        <v>1120</v>
      </c>
      <c r="N1296" s="413" t="s">
        <v>2053</v>
      </c>
    </row>
    <row r="1297">
      <c r="A1297" s="409">
        <v>45961.0</v>
      </c>
      <c r="B1297" s="102">
        <v>2025.0</v>
      </c>
      <c r="C1297" s="410" t="s">
        <v>1914</v>
      </c>
      <c r="D1297" s="102" t="s">
        <v>723</v>
      </c>
      <c r="E1297" s="102" t="s">
        <v>137</v>
      </c>
      <c r="F1297" s="102" t="s">
        <v>703</v>
      </c>
      <c r="G1297" s="102" t="s">
        <v>933</v>
      </c>
      <c r="H1297" s="360">
        <v>61.0</v>
      </c>
      <c r="I1297" s="411" t="b">
        <v>0</v>
      </c>
      <c r="J1297" s="102" t="s">
        <v>472</v>
      </c>
      <c r="K1297" s="360">
        <v>0.0</v>
      </c>
      <c r="L1297" s="360">
        <v>61.0</v>
      </c>
      <c r="M1297" s="102" t="s">
        <v>1120</v>
      </c>
      <c r="N1297" s="102" t="s">
        <v>2054</v>
      </c>
    </row>
    <row r="1298">
      <c r="A1298" s="412">
        <v>45961.0</v>
      </c>
      <c r="B1298" s="413">
        <v>2025.0</v>
      </c>
      <c r="C1298" s="414" t="s">
        <v>1914</v>
      </c>
      <c r="D1298" s="413" t="s">
        <v>723</v>
      </c>
      <c r="E1298" s="413" t="s">
        <v>137</v>
      </c>
      <c r="F1298" s="413" t="s">
        <v>711</v>
      </c>
      <c r="G1298" s="413" t="s">
        <v>740</v>
      </c>
      <c r="H1298" s="415">
        <v>27.0</v>
      </c>
      <c r="I1298" s="416" t="b">
        <v>0</v>
      </c>
      <c r="J1298" s="413" t="s">
        <v>472</v>
      </c>
      <c r="K1298" s="415">
        <v>0.0</v>
      </c>
      <c r="L1298" s="415">
        <v>27.0</v>
      </c>
      <c r="M1298" s="413" t="s">
        <v>1120</v>
      </c>
      <c r="N1298" s="413" t="s">
        <v>2055</v>
      </c>
    </row>
    <row r="1299">
      <c r="A1299" s="409">
        <v>45962.0</v>
      </c>
      <c r="B1299" s="102">
        <v>2025.0</v>
      </c>
      <c r="C1299" s="410" t="s">
        <v>2056</v>
      </c>
      <c r="D1299" s="102" t="s">
        <v>723</v>
      </c>
      <c r="E1299" s="102" t="s">
        <v>137</v>
      </c>
      <c r="F1299" s="102" t="s">
        <v>711</v>
      </c>
      <c r="G1299" s="102" t="s">
        <v>767</v>
      </c>
      <c r="H1299" s="360">
        <v>550.0</v>
      </c>
      <c r="I1299" s="411" t="b">
        <v>0</v>
      </c>
      <c r="J1299" s="102" t="s">
        <v>1213</v>
      </c>
      <c r="K1299" s="360">
        <v>0.0</v>
      </c>
      <c r="L1299" s="360">
        <v>550.0</v>
      </c>
      <c r="M1299" s="102" t="s">
        <v>1120</v>
      </c>
      <c r="N1299" s="102" t="s">
        <v>2057</v>
      </c>
    </row>
    <row r="1300">
      <c r="A1300" s="412">
        <v>45962.0</v>
      </c>
      <c r="B1300" s="413">
        <v>2025.0</v>
      </c>
      <c r="C1300" s="414" t="s">
        <v>2056</v>
      </c>
      <c r="D1300" s="413" t="s">
        <v>723</v>
      </c>
      <c r="E1300" s="413" t="s">
        <v>137</v>
      </c>
      <c r="F1300" s="413" t="s">
        <v>711</v>
      </c>
      <c r="G1300" s="413" t="s">
        <v>767</v>
      </c>
      <c r="H1300" s="415">
        <v>950.0</v>
      </c>
      <c r="I1300" s="416" t="b">
        <v>0</v>
      </c>
      <c r="J1300" s="413" t="s">
        <v>1232</v>
      </c>
      <c r="K1300" s="415">
        <v>0.0</v>
      </c>
      <c r="L1300" s="415">
        <v>950.0</v>
      </c>
      <c r="M1300" s="413" t="s">
        <v>1120</v>
      </c>
      <c r="N1300" s="413" t="s">
        <v>2058</v>
      </c>
    </row>
    <row r="1301">
      <c r="A1301" s="409">
        <v>45962.0</v>
      </c>
      <c r="B1301" s="102">
        <v>2025.0</v>
      </c>
      <c r="C1301" s="410" t="s">
        <v>2056</v>
      </c>
      <c r="D1301" s="102" t="s">
        <v>702</v>
      </c>
      <c r="E1301" s="102" t="s">
        <v>465</v>
      </c>
      <c r="F1301" s="102" t="s">
        <v>711</v>
      </c>
      <c r="G1301" s="102" t="s">
        <v>734</v>
      </c>
      <c r="H1301" s="360">
        <v>180.0</v>
      </c>
      <c r="I1301" s="411" t="b">
        <v>0</v>
      </c>
      <c r="J1301" s="102" t="s">
        <v>1507</v>
      </c>
      <c r="K1301" s="360">
        <v>24.82758620689654</v>
      </c>
      <c r="L1301" s="360">
        <v>155.17241379310346</v>
      </c>
      <c r="M1301" s="102" t="s">
        <v>1120</v>
      </c>
      <c r="N1301" s="102" t="s">
        <v>2059</v>
      </c>
    </row>
    <row r="1302">
      <c r="A1302" s="412">
        <v>45964.0</v>
      </c>
      <c r="B1302" s="413">
        <v>2025.0</v>
      </c>
      <c r="C1302" s="414" t="s">
        <v>2056</v>
      </c>
      <c r="D1302" s="413" t="s">
        <v>723</v>
      </c>
      <c r="E1302" s="413" t="s">
        <v>137</v>
      </c>
      <c r="F1302" s="413" t="s">
        <v>703</v>
      </c>
      <c r="G1302" s="413" t="s">
        <v>724</v>
      </c>
      <c r="H1302" s="415">
        <v>3246.0</v>
      </c>
      <c r="I1302" s="416" t="b">
        <v>1</v>
      </c>
      <c r="J1302" s="413" t="s">
        <v>472</v>
      </c>
      <c r="K1302" s="415">
        <v>0.0</v>
      </c>
      <c r="L1302" s="415">
        <v>0.0</v>
      </c>
      <c r="M1302" s="413" t="s">
        <v>1120</v>
      </c>
      <c r="N1302" s="413" t="s">
        <v>2060</v>
      </c>
    </row>
    <row r="1303">
      <c r="A1303" s="409">
        <v>45964.0</v>
      </c>
      <c r="B1303" s="102">
        <v>2025.0</v>
      </c>
      <c r="C1303" s="410" t="s">
        <v>2056</v>
      </c>
      <c r="D1303" s="102" t="s">
        <v>710</v>
      </c>
      <c r="E1303" s="102" t="s">
        <v>137</v>
      </c>
      <c r="F1303" s="102" t="s">
        <v>711</v>
      </c>
      <c r="G1303" s="102" t="s">
        <v>724</v>
      </c>
      <c r="H1303" s="360">
        <v>3246.0</v>
      </c>
      <c r="I1303" s="411" t="b">
        <v>1</v>
      </c>
      <c r="J1303" s="102" t="s">
        <v>472</v>
      </c>
      <c r="K1303" s="360">
        <v>0.0</v>
      </c>
      <c r="L1303" s="360">
        <v>0.0</v>
      </c>
      <c r="M1303" s="102" t="s">
        <v>1120</v>
      </c>
      <c r="N1303" s="102" t="s">
        <v>2060</v>
      </c>
    </row>
    <row r="1304">
      <c r="A1304" s="412">
        <v>45964.0</v>
      </c>
      <c r="B1304" s="413">
        <v>2025.0</v>
      </c>
      <c r="C1304" s="414" t="s">
        <v>2056</v>
      </c>
      <c r="D1304" s="413" t="s">
        <v>710</v>
      </c>
      <c r="E1304" s="413" t="s">
        <v>137</v>
      </c>
      <c r="F1304" s="413" t="s">
        <v>703</v>
      </c>
      <c r="G1304" s="413" t="s">
        <v>715</v>
      </c>
      <c r="H1304" s="415">
        <v>150.0</v>
      </c>
      <c r="I1304" s="416" t="b">
        <v>0</v>
      </c>
      <c r="J1304" s="413" t="s">
        <v>472</v>
      </c>
      <c r="K1304" s="415">
        <v>0.0</v>
      </c>
      <c r="L1304" s="415">
        <v>150.0</v>
      </c>
      <c r="M1304" s="413" t="s">
        <v>1120</v>
      </c>
      <c r="N1304" s="413" t="s">
        <v>2061</v>
      </c>
    </row>
    <row r="1305">
      <c r="A1305" s="409">
        <v>45964.0</v>
      </c>
      <c r="B1305" s="102">
        <v>2025.0</v>
      </c>
      <c r="C1305" s="410" t="s">
        <v>2056</v>
      </c>
      <c r="D1305" s="102" t="s">
        <v>710</v>
      </c>
      <c r="E1305" s="102" t="s">
        <v>137</v>
      </c>
      <c r="F1305" s="102" t="s">
        <v>703</v>
      </c>
      <c r="G1305" s="102" t="s">
        <v>747</v>
      </c>
      <c r="H1305" s="360">
        <v>350.0</v>
      </c>
      <c r="I1305" s="411" t="b">
        <v>0</v>
      </c>
      <c r="J1305" s="102" t="s">
        <v>2018</v>
      </c>
      <c r="K1305" s="360">
        <v>0.0</v>
      </c>
      <c r="L1305" s="360">
        <v>350.0</v>
      </c>
      <c r="M1305" s="102" t="s">
        <v>1120</v>
      </c>
      <c r="N1305" s="102" t="s">
        <v>2062</v>
      </c>
    </row>
    <row r="1306">
      <c r="A1306" s="412">
        <v>45964.0</v>
      </c>
      <c r="B1306" s="413">
        <v>2025.0</v>
      </c>
      <c r="C1306" s="414" t="s">
        <v>2056</v>
      </c>
      <c r="D1306" s="413" t="s">
        <v>702</v>
      </c>
      <c r="E1306" s="413" t="s">
        <v>465</v>
      </c>
      <c r="F1306" s="413" t="s">
        <v>711</v>
      </c>
      <c r="G1306" s="413" t="s">
        <v>767</v>
      </c>
      <c r="H1306" s="415">
        <v>550.0</v>
      </c>
      <c r="I1306" s="416" t="b">
        <v>0</v>
      </c>
      <c r="J1306" s="413" t="s">
        <v>1184</v>
      </c>
      <c r="K1306" s="415">
        <v>75.86206896551721</v>
      </c>
      <c r="L1306" s="415">
        <v>474.1379310344828</v>
      </c>
      <c r="M1306" s="413" t="s">
        <v>1120</v>
      </c>
      <c r="N1306" s="413" t="s">
        <v>2063</v>
      </c>
    </row>
    <row r="1307">
      <c r="A1307" s="409">
        <v>45964.0</v>
      </c>
      <c r="B1307" s="102">
        <v>2025.0</v>
      </c>
      <c r="C1307" s="410" t="s">
        <v>2056</v>
      </c>
      <c r="D1307" s="102" t="s">
        <v>702</v>
      </c>
      <c r="E1307" s="102" t="s">
        <v>465</v>
      </c>
      <c r="F1307" s="102" t="s">
        <v>711</v>
      </c>
      <c r="G1307" s="102" t="s">
        <v>730</v>
      </c>
      <c r="H1307" s="360">
        <v>25.0</v>
      </c>
      <c r="I1307" s="411" t="b">
        <v>0</v>
      </c>
      <c r="J1307" s="102" t="s">
        <v>472</v>
      </c>
      <c r="K1307" s="360">
        <v>3.4482758620689644</v>
      </c>
      <c r="L1307" s="360">
        <v>21.551724137931036</v>
      </c>
      <c r="M1307" s="102" t="s">
        <v>1120</v>
      </c>
      <c r="N1307" s="102" t="s">
        <v>2064</v>
      </c>
    </row>
    <row r="1308">
      <c r="A1308" s="412">
        <v>45964.0</v>
      </c>
      <c r="B1308" s="413">
        <v>2025.0</v>
      </c>
      <c r="C1308" s="414" t="s">
        <v>2056</v>
      </c>
      <c r="D1308" s="413" t="s">
        <v>710</v>
      </c>
      <c r="E1308" s="413" t="s">
        <v>137</v>
      </c>
      <c r="F1308" s="413" t="s">
        <v>703</v>
      </c>
      <c r="G1308" s="413" t="s">
        <v>715</v>
      </c>
      <c r="H1308" s="415">
        <v>166.0</v>
      </c>
      <c r="I1308" s="416" t="b">
        <v>0</v>
      </c>
      <c r="J1308" s="413" t="s">
        <v>472</v>
      </c>
      <c r="K1308" s="415">
        <v>0.0</v>
      </c>
      <c r="L1308" s="415">
        <v>166.0</v>
      </c>
      <c r="M1308" s="413" t="s">
        <v>1120</v>
      </c>
      <c r="N1308" s="413" t="s">
        <v>2065</v>
      </c>
    </row>
    <row r="1309">
      <c r="A1309" s="409">
        <v>45964.0</v>
      </c>
      <c r="B1309" s="102">
        <v>2025.0</v>
      </c>
      <c r="C1309" s="410" t="s">
        <v>2056</v>
      </c>
      <c r="D1309" s="102" t="s">
        <v>702</v>
      </c>
      <c r="E1309" s="102" t="s">
        <v>465</v>
      </c>
      <c r="F1309" s="102" t="s">
        <v>703</v>
      </c>
      <c r="G1309" s="102" t="s">
        <v>715</v>
      </c>
      <c r="H1309" s="360">
        <v>7858.0</v>
      </c>
      <c r="I1309" s="411" t="b">
        <v>0</v>
      </c>
      <c r="J1309" s="102" t="s">
        <v>472</v>
      </c>
      <c r="K1309" s="360">
        <v>0.0</v>
      </c>
      <c r="L1309" s="360">
        <v>7858.0</v>
      </c>
      <c r="M1309" s="102" t="s">
        <v>1120</v>
      </c>
      <c r="N1309" s="102" t="s">
        <v>2066</v>
      </c>
    </row>
    <row r="1310">
      <c r="A1310" s="412">
        <v>45964.0</v>
      </c>
      <c r="B1310" s="413">
        <v>2025.0</v>
      </c>
      <c r="C1310" s="414" t="s">
        <v>2056</v>
      </c>
      <c r="D1310" s="413" t="s">
        <v>710</v>
      </c>
      <c r="E1310" s="413" t="s">
        <v>137</v>
      </c>
      <c r="F1310" s="413" t="s">
        <v>711</v>
      </c>
      <c r="G1310" s="413" t="s">
        <v>767</v>
      </c>
      <c r="H1310" s="415">
        <v>1300.0</v>
      </c>
      <c r="I1310" s="416" t="b">
        <v>0</v>
      </c>
      <c r="J1310" s="413" t="s">
        <v>1248</v>
      </c>
      <c r="K1310" s="415">
        <v>0.0</v>
      </c>
      <c r="L1310" s="415">
        <v>1300.0</v>
      </c>
      <c r="M1310" s="413" t="s">
        <v>1120</v>
      </c>
      <c r="N1310" s="413" t="s">
        <v>2067</v>
      </c>
    </row>
    <row r="1311">
      <c r="A1311" s="409">
        <v>45964.0</v>
      </c>
      <c r="B1311" s="102">
        <v>2025.0</v>
      </c>
      <c r="C1311" s="410" t="s">
        <v>2056</v>
      </c>
      <c r="D1311" s="102" t="s">
        <v>710</v>
      </c>
      <c r="E1311" s="102" t="s">
        <v>137</v>
      </c>
      <c r="F1311" s="102" t="s">
        <v>711</v>
      </c>
      <c r="G1311" s="102" t="s">
        <v>740</v>
      </c>
      <c r="H1311" s="360">
        <v>21.0</v>
      </c>
      <c r="I1311" s="411" t="b">
        <v>0</v>
      </c>
      <c r="J1311" s="102" t="s">
        <v>472</v>
      </c>
      <c r="K1311" s="360">
        <v>0.0</v>
      </c>
      <c r="L1311" s="360">
        <v>21.0</v>
      </c>
      <c r="M1311" s="102" t="s">
        <v>1120</v>
      </c>
      <c r="N1311" s="102" t="s">
        <v>2068</v>
      </c>
    </row>
    <row r="1312">
      <c r="A1312" s="412">
        <v>45964.0</v>
      </c>
      <c r="B1312" s="413">
        <v>2025.0</v>
      </c>
      <c r="C1312" s="414" t="s">
        <v>2056</v>
      </c>
      <c r="D1312" s="413" t="s">
        <v>710</v>
      </c>
      <c r="E1312" s="413" t="s">
        <v>137</v>
      </c>
      <c r="F1312" s="413" t="s">
        <v>711</v>
      </c>
      <c r="G1312" s="413" t="s">
        <v>715</v>
      </c>
      <c r="H1312" s="415">
        <v>221.0</v>
      </c>
      <c r="I1312" s="416" t="b">
        <v>0</v>
      </c>
      <c r="J1312" s="413" t="s">
        <v>472</v>
      </c>
      <c r="K1312" s="415">
        <v>0.0</v>
      </c>
      <c r="L1312" s="415">
        <v>221.0</v>
      </c>
      <c r="M1312" s="413" t="s">
        <v>1120</v>
      </c>
      <c r="N1312" s="413" t="s">
        <v>2069</v>
      </c>
    </row>
    <row r="1313">
      <c r="A1313" s="409">
        <v>45964.0</v>
      </c>
      <c r="B1313" s="102">
        <v>2025.0</v>
      </c>
      <c r="C1313" s="410" t="s">
        <v>2056</v>
      </c>
      <c r="D1313" s="102" t="s">
        <v>710</v>
      </c>
      <c r="E1313" s="102" t="s">
        <v>137</v>
      </c>
      <c r="F1313" s="102" t="s">
        <v>703</v>
      </c>
      <c r="G1313" s="102" t="s">
        <v>724</v>
      </c>
      <c r="H1313" s="360">
        <v>850.0</v>
      </c>
      <c r="I1313" s="411" t="b">
        <v>1</v>
      </c>
      <c r="J1313" s="102" t="s">
        <v>472</v>
      </c>
      <c r="K1313" s="360">
        <v>0.0</v>
      </c>
      <c r="L1313" s="360">
        <v>0.0</v>
      </c>
      <c r="M1313" s="102" t="s">
        <v>1120</v>
      </c>
      <c r="N1313" s="102" t="s">
        <v>2070</v>
      </c>
    </row>
    <row r="1314">
      <c r="A1314" s="412">
        <v>45964.0</v>
      </c>
      <c r="B1314" s="413">
        <v>2025.0</v>
      </c>
      <c r="C1314" s="414" t="s">
        <v>2056</v>
      </c>
      <c r="D1314" s="413" t="s">
        <v>723</v>
      </c>
      <c r="E1314" s="413" t="s">
        <v>137</v>
      </c>
      <c r="F1314" s="413" t="s">
        <v>711</v>
      </c>
      <c r="G1314" s="413" t="s">
        <v>724</v>
      </c>
      <c r="H1314" s="415">
        <v>850.0</v>
      </c>
      <c r="I1314" s="416" t="b">
        <v>1</v>
      </c>
      <c r="J1314" s="413" t="s">
        <v>472</v>
      </c>
      <c r="K1314" s="415">
        <v>0.0</v>
      </c>
      <c r="L1314" s="415">
        <v>0.0</v>
      </c>
      <c r="M1314" s="413" t="s">
        <v>1120</v>
      </c>
      <c r="N1314" s="413" t="s">
        <v>2070</v>
      </c>
    </row>
    <row r="1315">
      <c r="A1315" s="409">
        <v>45965.0</v>
      </c>
      <c r="B1315" s="102">
        <v>2025.0</v>
      </c>
      <c r="C1315" s="410" t="s">
        <v>2056</v>
      </c>
      <c r="D1315" s="102" t="s">
        <v>723</v>
      </c>
      <c r="E1315" s="102" t="s">
        <v>137</v>
      </c>
      <c r="F1315" s="102" t="s">
        <v>711</v>
      </c>
      <c r="G1315" s="102" t="s">
        <v>767</v>
      </c>
      <c r="H1315" s="360">
        <v>800.0</v>
      </c>
      <c r="I1315" s="411" t="b">
        <v>0</v>
      </c>
      <c r="J1315" s="102" t="s">
        <v>2071</v>
      </c>
      <c r="K1315" s="360">
        <v>0.0</v>
      </c>
      <c r="L1315" s="360">
        <v>800.0</v>
      </c>
      <c r="M1315" s="102" t="s">
        <v>1120</v>
      </c>
      <c r="N1315" s="102" t="s">
        <v>2072</v>
      </c>
    </row>
    <row r="1316">
      <c r="A1316" s="412">
        <v>45965.0</v>
      </c>
      <c r="B1316" s="413">
        <v>2025.0</v>
      </c>
      <c r="C1316" s="414" t="s">
        <v>2056</v>
      </c>
      <c r="D1316" s="413" t="s">
        <v>723</v>
      </c>
      <c r="E1316" s="413" t="s">
        <v>137</v>
      </c>
      <c r="F1316" s="413" t="s">
        <v>711</v>
      </c>
      <c r="G1316" s="413" t="s">
        <v>767</v>
      </c>
      <c r="H1316" s="415">
        <v>800.0</v>
      </c>
      <c r="I1316" s="416" t="b">
        <v>0</v>
      </c>
      <c r="J1316" s="413" t="s">
        <v>2073</v>
      </c>
      <c r="K1316" s="415">
        <v>0.0</v>
      </c>
      <c r="L1316" s="415">
        <v>800.0</v>
      </c>
      <c r="M1316" s="413" t="s">
        <v>1120</v>
      </c>
      <c r="N1316" s="413" t="s">
        <v>2074</v>
      </c>
    </row>
    <row r="1317">
      <c r="A1317" s="409">
        <v>45965.0</v>
      </c>
      <c r="B1317" s="102">
        <v>2025.0</v>
      </c>
      <c r="C1317" s="410" t="s">
        <v>2056</v>
      </c>
      <c r="D1317" s="102" t="s">
        <v>702</v>
      </c>
      <c r="E1317" s="102" t="s">
        <v>465</v>
      </c>
      <c r="F1317" s="102" t="s">
        <v>711</v>
      </c>
      <c r="G1317" s="102" t="s">
        <v>767</v>
      </c>
      <c r="H1317" s="360">
        <v>550.0</v>
      </c>
      <c r="I1317" s="411" t="b">
        <v>0</v>
      </c>
      <c r="J1317" s="102" t="s">
        <v>1146</v>
      </c>
      <c r="K1317" s="360">
        <v>75.86206896551721</v>
      </c>
      <c r="L1317" s="360">
        <v>474.1379310344828</v>
      </c>
      <c r="M1317" s="102" t="s">
        <v>1120</v>
      </c>
      <c r="N1317" s="102" t="s">
        <v>2075</v>
      </c>
    </row>
    <row r="1318">
      <c r="A1318" s="412">
        <v>45966.0</v>
      </c>
      <c r="B1318" s="413">
        <v>2025.0</v>
      </c>
      <c r="C1318" s="414" t="s">
        <v>2056</v>
      </c>
      <c r="D1318" s="413" t="s">
        <v>702</v>
      </c>
      <c r="E1318" s="413" t="s">
        <v>465</v>
      </c>
      <c r="F1318" s="413" t="s">
        <v>711</v>
      </c>
      <c r="G1318" s="413" t="s">
        <v>767</v>
      </c>
      <c r="H1318" s="415">
        <v>800.0</v>
      </c>
      <c r="I1318" s="416" t="b">
        <v>0</v>
      </c>
      <c r="J1318" s="413" t="s">
        <v>1466</v>
      </c>
      <c r="K1318" s="415">
        <v>110.34482758620686</v>
      </c>
      <c r="L1318" s="415">
        <v>689.6551724137931</v>
      </c>
      <c r="M1318" s="413" t="s">
        <v>1120</v>
      </c>
      <c r="N1318" s="413" t="s">
        <v>2076</v>
      </c>
    </row>
    <row r="1319">
      <c r="A1319" s="409">
        <v>45966.0</v>
      </c>
      <c r="B1319" s="102">
        <v>2025.0</v>
      </c>
      <c r="C1319" s="410" t="s">
        <v>2056</v>
      </c>
      <c r="D1319" s="102" t="s">
        <v>702</v>
      </c>
      <c r="E1319" s="102" t="s">
        <v>465</v>
      </c>
      <c r="F1319" s="102" t="s">
        <v>711</v>
      </c>
      <c r="G1319" s="102" t="s">
        <v>767</v>
      </c>
      <c r="H1319" s="360">
        <v>800.0</v>
      </c>
      <c r="I1319" s="411" t="b">
        <v>0</v>
      </c>
      <c r="J1319" s="102" t="s">
        <v>2077</v>
      </c>
      <c r="K1319" s="360">
        <v>110.34482758620686</v>
      </c>
      <c r="L1319" s="360">
        <v>689.6551724137931</v>
      </c>
      <c r="M1319" s="102" t="s">
        <v>1120</v>
      </c>
      <c r="N1319" s="102" t="s">
        <v>2078</v>
      </c>
    </row>
    <row r="1320">
      <c r="A1320" s="412">
        <v>45966.0</v>
      </c>
      <c r="B1320" s="413">
        <v>2025.0</v>
      </c>
      <c r="C1320" s="414" t="s">
        <v>2056</v>
      </c>
      <c r="D1320" s="413" t="s">
        <v>702</v>
      </c>
      <c r="E1320" s="413" t="s">
        <v>465</v>
      </c>
      <c r="F1320" s="413" t="s">
        <v>711</v>
      </c>
      <c r="G1320" s="413" t="s">
        <v>767</v>
      </c>
      <c r="H1320" s="415">
        <v>800.0</v>
      </c>
      <c r="I1320" s="416" t="b">
        <v>0</v>
      </c>
      <c r="J1320" s="413" t="s">
        <v>1655</v>
      </c>
      <c r="K1320" s="415">
        <v>110.34482758620686</v>
      </c>
      <c r="L1320" s="415">
        <v>689.6551724137931</v>
      </c>
      <c r="M1320" s="413" t="s">
        <v>1120</v>
      </c>
      <c r="N1320" s="413" t="s">
        <v>2079</v>
      </c>
    </row>
    <row r="1321">
      <c r="A1321" s="409">
        <v>45966.0</v>
      </c>
      <c r="B1321" s="102">
        <v>2025.0</v>
      </c>
      <c r="C1321" s="410" t="s">
        <v>2056</v>
      </c>
      <c r="D1321" s="102" t="s">
        <v>702</v>
      </c>
      <c r="E1321" s="102" t="s">
        <v>465</v>
      </c>
      <c r="F1321" s="102" t="s">
        <v>711</v>
      </c>
      <c r="G1321" s="102" t="s">
        <v>767</v>
      </c>
      <c r="H1321" s="360">
        <v>950.0</v>
      </c>
      <c r="I1321" s="411" t="b">
        <v>0</v>
      </c>
      <c r="J1321" s="102" t="s">
        <v>1967</v>
      </c>
      <c r="K1321" s="360">
        <v>131.03448275862058</v>
      </c>
      <c r="L1321" s="360">
        <v>818.9655172413794</v>
      </c>
      <c r="M1321" s="102" t="s">
        <v>1120</v>
      </c>
      <c r="N1321" s="102" t="s">
        <v>2080</v>
      </c>
    </row>
    <row r="1322">
      <c r="A1322" s="412">
        <v>45966.0</v>
      </c>
      <c r="B1322" s="413">
        <v>2025.0</v>
      </c>
      <c r="C1322" s="414" t="s">
        <v>2056</v>
      </c>
      <c r="D1322" s="413" t="s">
        <v>723</v>
      </c>
      <c r="E1322" s="413" t="s">
        <v>137</v>
      </c>
      <c r="F1322" s="413" t="s">
        <v>711</v>
      </c>
      <c r="G1322" s="413" t="s">
        <v>740</v>
      </c>
      <c r="H1322" s="415">
        <v>7.0</v>
      </c>
      <c r="I1322" s="416" t="b">
        <v>0</v>
      </c>
      <c r="J1322" s="413" t="s">
        <v>472</v>
      </c>
      <c r="K1322" s="415">
        <v>0.0</v>
      </c>
      <c r="L1322" s="415">
        <v>7.0</v>
      </c>
      <c r="M1322" s="413" t="s">
        <v>1120</v>
      </c>
      <c r="N1322" s="413" t="s">
        <v>2081</v>
      </c>
    </row>
    <row r="1323">
      <c r="A1323" s="409">
        <v>45966.0</v>
      </c>
      <c r="B1323" s="102">
        <v>2025.0</v>
      </c>
      <c r="C1323" s="410" t="s">
        <v>2056</v>
      </c>
      <c r="D1323" s="102" t="s">
        <v>702</v>
      </c>
      <c r="E1323" s="102" t="s">
        <v>465</v>
      </c>
      <c r="F1323" s="102" t="s">
        <v>711</v>
      </c>
      <c r="G1323" s="102" t="s">
        <v>767</v>
      </c>
      <c r="H1323" s="360">
        <v>800.0</v>
      </c>
      <c r="I1323" s="411" t="b">
        <v>0</v>
      </c>
      <c r="J1323" s="102" t="s">
        <v>1466</v>
      </c>
      <c r="K1323" s="360">
        <v>110.34482758620686</v>
      </c>
      <c r="L1323" s="360">
        <v>689.6551724137931</v>
      </c>
      <c r="M1323" s="102" t="s">
        <v>1120</v>
      </c>
      <c r="N1323" s="102" t="s">
        <v>2082</v>
      </c>
    </row>
    <row r="1324">
      <c r="A1324" s="412">
        <v>45967.0</v>
      </c>
      <c r="B1324" s="413">
        <v>2025.0</v>
      </c>
      <c r="C1324" s="414" t="s">
        <v>2056</v>
      </c>
      <c r="D1324" s="413" t="s">
        <v>723</v>
      </c>
      <c r="E1324" s="413" t="s">
        <v>137</v>
      </c>
      <c r="F1324" s="413" t="s">
        <v>703</v>
      </c>
      <c r="G1324" s="413" t="s">
        <v>715</v>
      </c>
      <c r="H1324" s="415">
        <v>200.0</v>
      </c>
      <c r="I1324" s="416" t="b">
        <v>0</v>
      </c>
      <c r="J1324" s="413" t="s">
        <v>472</v>
      </c>
      <c r="K1324" s="415">
        <v>0.0</v>
      </c>
      <c r="L1324" s="415">
        <v>200.0</v>
      </c>
      <c r="M1324" s="413" t="s">
        <v>1120</v>
      </c>
      <c r="N1324" s="413" t="s">
        <v>2083</v>
      </c>
    </row>
    <row r="1325">
      <c r="A1325" s="409">
        <v>45967.0</v>
      </c>
      <c r="B1325" s="102">
        <v>2025.0</v>
      </c>
      <c r="C1325" s="410" t="s">
        <v>2056</v>
      </c>
      <c r="D1325" s="102" t="s">
        <v>710</v>
      </c>
      <c r="E1325" s="102" t="s">
        <v>137</v>
      </c>
      <c r="F1325" s="102" t="s">
        <v>703</v>
      </c>
      <c r="G1325" s="102" t="s">
        <v>747</v>
      </c>
      <c r="H1325" s="360">
        <v>350.0</v>
      </c>
      <c r="I1325" s="411" t="b">
        <v>0</v>
      </c>
      <c r="J1325" s="102" t="s">
        <v>2018</v>
      </c>
      <c r="K1325" s="360">
        <v>0.0</v>
      </c>
      <c r="L1325" s="360">
        <v>350.0</v>
      </c>
      <c r="M1325" s="102" t="s">
        <v>1120</v>
      </c>
      <c r="N1325" s="102" t="s">
        <v>2084</v>
      </c>
    </row>
    <row r="1326">
      <c r="A1326" s="412">
        <v>45967.0</v>
      </c>
      <c r="B1326" s="413">
        <v>2025.0</v>
      </c>
      <c r="C1326" s="414" t="s">
        <v>2056</v>
      </c>
      <c r="D1326" s="413" t="s">
        <v>702</v>
      </c>
      <c r="E1326" s="413" t="s">
        <v>465</v>
      </c>
      <c r="F1326" s="413" t="s">
        <v>703</v>
      </c>
      <c r="G1326" s="413" t="s">
        <v>601</v>
      </c>
      <c r="H1326" s="415">
        <v>550.0</v>
      </c>
      <c r="I1326" s="416" t="b">
        <v>0</v>
      </c>
      <c r="J1326" s="413" t="s">
        <v>472</v>
      </c>
      <c r="K1326" s="415">
        <v>0.0</v>
      </c>
      <c r="L1326" s="415">
        <v>550.0</v>
      </c>
      <c r="M1326" s="413" t="s">
        <v>1120</v>
      </c>
      <c r="N1326" s="413" t="s">
        <v>2085</v>
      </c>
    </row>
    <row r="1327">
      <c r="A1327" s="409">
        <v>45967.0</v>
      </c>
      <c r="B1327" s="102">
        <v>2025.0</v>
      </c>
      <c r="C1327" s="410" t="s">
        <v>2056</v>
      </c>
      <c r="D1327" s="102" t="s">
        <v>702</v>
      </c>
      <c r="E1327" s="102" t="s">
        <v>465</v>
      </c>
      <c r="F1327" s="102" t="s">
        <v>703</v>
      </c>
      <c r="G1327" s="102" t="s">
        <v>769</v>
      </c>
      <c r="H1327" s="360">
        <v>9280.0</v>
      </c>
      <c r="I1327" s="411" t="b">
        <v>0</v>
      </c>
      <c r="J1327" s="102" t="s">
        <v>472</v>
      </c>
      <c r="K1327" s="360">
        <v>0.0</v>
      </c>
      <c r="L1327" s="360">
        <v>9280.0</v>
      </c>
      <c r="M1327" s="102" t="s">
        <v>1120</v>
      </c>
      <c r="N1327" s="102" t="s">
        <v>2086</v>
      </c>
    </row>
    <row r="1328">
      <c r="A1328" s="412">
        <v>45967.0</v>
      </c>
      <c r="B1328" s="413">
        <v>2025.0</v>
      </c>
      <c r="C1328" s="414" t="s">
        <v>2056</v>
      </c>
      <c r="D1328" s="413" t="s">
        <v>702</v>
      </c>
      <c r="E1328" s="413" t="s">
        <v>465</v>
      </c>
      <c r="F1328" s="413" t="s">
        <v>703</v>
      </c>
      <c r="G1328" s="413" t="s">
        <v>797</v>
      </c>
      <c r="H1328" s="415">
        <v>773.0</v>
      </c>
      <c r="I1328" s="416" t="b">
        <v>0</v>
      </c>
      <c r="J1328" s="413" t="s">
        <v>472</v>
      </c>
      <c r="K1328" s="415">
        <v>0.0</v>
      </c>
      <c r="L1328" s="415">
        <v>773.0</v>
      </c>
      <c r="M1328" s="413" t="s">
        <v>1120</v>
      </c>
      <c r="N1328" s="413" t="s">
        <v>2087</v>
      </c>
    </row>
    <row r="1329">
      <c r="A1329" s="409">
        <v>45967.0</v>
      </c>
      <c r="B1329" s="102">
        <v>2025.0</v>
      </c>
      <c r="C1329" s="410" t="s">
        <v>2056</v>
      </c>
      <c r="D1329" s="102" t="s">
        <v>702</v>
      </c>
      <c r="E1329" s="102" t="s">
        <v>465</v>
      </c>
      <c r="F1329" s="102" t="s">
        <v>711</v>
      </c>
      <c r="G1329" s="102" t="s">
        <v>767</v>
      </c>
      <c r="H1329" s="360">
        <v>800.0</v>
      </c>
      <c r="I1329" s="411" t="b">
        <v>0</v>
      </c>
      <c r="J1329" s="102" t="s">
        <v>2088</v>
      </c>
      <c r="K1329" s="360">
        <v>110.34482758620686</v>
      </c>
      <c r="L1329" s="360">
        <v>689.6551724137931</v>
      </c>
      <c r="M1329" s="102" t="s">
        <v>1120</v>
      </c>
      <c r="N1329" s="102" t="s">
        <v>2089</v>
      </c>
    </row>
    <row r="1330">
      <c r="A1330" s="412">
        <v>45968.0</v>
      </c>
      <c r="B1330" s="413">
        <v>2025.0</v>
      </c>
      <c r="C1330" s="414" t="s">
        <v>2056</v>
      </c>
      <c r="D1330" s="413" t="s">
        <v>723</v>
      </c>
      <c r="E1330" s="413" t="s">
        <v>137</v>
      </c>
      <c r="F1330" s="413" t="s">
        <v>711</v>
      </c>
      <c r="G1330" s="413" t="s">
        <v>767</v>
      </c>
      <c r="H1330" s="415">
        <v>450.0</v>
      </c>
      <c r="I1330" s="416" t="b">
        <v>0</v>
      </c>
      <c r="J1330" s="413" t="s">
        <v>1655</v>
      </c>
      <c r="K1330" s="415">
        <v>0.0</v>
      </c>
      <c r="L1330" s="415">
        <v>450.0</v>
      </c>
      <c r="M1330" s="413" t="s">
        <v>1120</v>
      </c>
      <c r="N1330" s="413" t="s">
        <v>2090</v>
      </c>
    </row>
    <row r="1331">
      <c r="A1331" s="409">
        <v>45968.0</v>
      </c>
      <c r="B1331" s="102">
        <v>2025.0</v>
      </c>
      <c r="C1331" s="410" t="s">
        <v>2056</v>
      </c>
      <c r="D1331" s="102" t="s">
        <v>723</v>
      </c>
      <c r="E1331" s="102" t="s">
        <v>137</v>
      </c>
      <c r="F1331" s="102" t="s">
        <v>711</v>
      </c>
      <c r="G1331" s="102" t="s">
        <v>767</v>
      </c>
      <c r="H1331" s="360">
        <v>950.0</v>
      </c>
      <c r="I1331" s="411" t="b">
        <v>0</v>
      </c>
      <c r="J1331" s="102" t="s">
        <v>1561</v>
      </c>
      <c r="K1331" s="360">
        <v>0.0</v>
      </c>
      <c r="L1331" s="360">
        <v>950.0</v>
      </c>
      <c r="M1331" s="102" t="s">
        <v>1120</v>
      </c>
      <c r="N1331" s="102" t="s">
        <v>2091</v>
      </c>
    </row>
    <row r="1332">
      <c r="A1332" s="412">
        <v>45968.0</v>
      </c>
      <c r="B1332" s="413">
        <v>2025.0</v>
      </c>
      <c r="C1332" s="414" t="s">
        <v>2056</v>
      </c>
      <c r="D1332" s="413" t="s">
        <v>723</v>
      </c>
      <c r="E1332" s="413" t="s">
        <v>137</v>
      </c>
      <c r="F1332" s="413" t="s">
        <v>711</v>
      </c>
      <c r="G1332" s="413" t="s">
        <v>767</v>
      </c>
      <c r="H1332" s="415">
        <v>650.0</v>
      </c>
      <c r="I1332" s="416" t="b">
        <v>0</v>
      </c>
      <c r="J1332" s="413" t="s">
        <v>1415</v>
      </c>
      <c r="K1332" s="415">
        <v>0.0</v>
      </c>
      <c r="L1332" s="415">
        <v>650.0</v>
      </c>
      <c r="M1332" s="413" t="s">
        <v>1120</v>
      </c>
      <c r="N1332" s="413" t="s">
        <v>2092</v>
      </c>
    </row>
    <row r="1333">
      <c r="A1333" s="409">
        <v>45968.0</v>
      </c>
      <c r="B1333" s="102">
        <v>2025.0</v>
      </c>
      <c r="C1333" s="410" t="s">
        <v>2056</v>
      </c>
      <c r="D1333" s="102" t="s">
        <v>723</v>
      </c>
      <c r="E1333" s="102" t="s">
        <v>137</v>
      </c>
      <c r="F1333" s="102" t="s">
        <v>711</v>
      </c>
      <c r="G1333" s="102" t="s">
        <v>767</v>
      </c>
      <c r="H1333" s="360">
        <v>950.0</v>
      </c>
      <c r="I1333" s="411" t="b">
        <v>0</v>
      </c>
      <c r="J1333" s="102" t="s">
        <v>2093</v>
      </c>
      <c r="K1333" s="360">
        <v>0.0</v>
      </c>
      <c r="L1333" s="360">
        <v>950.0</v>
      </c>
      <c r="M1333" s="102" t="s">
        <v>1120</v>
      </c>
      <c r="N1333" s="102" t="s">
        <v>2094</v>
      </c>
    </row>
    <row r="1334">
      <c r="A1334" s="412">
        <v>45968.0</v>
      </c>
      <c r="B1334" s="413">
        <v>2025.0</v>
      </c>
      <c r="C1334" s="414" t="s">
        <v>2056</v>
      </c>
      <c r="D1334" s="413" t="s">
        <v>702</v>
      </c>
      <c r="E1334" s="413" t="s">
        <v>465</v>
      </c>
      <c r="F1334" s="413" t="s">
        <v>703</v>
      </c>
      <c r="G1334" s="413" t="s">
        <v>724</v>
      </c>
      <c r="H1334" s="415">
        <v>620.0</v>
      </c>
      <c r="I1334" s="416" t="b">
        <v>1</v>
      </c>
      <c r="J1334" s="413" t="s">
        <v>1475</v>
      </c>
      <c r="K1334" s="415">
        <v>0.0</v>
      </c>
      <c r="L1334" s="415">
        <v>0.0</v>
      </c>
      <c r="M1334" s="413" t="s">
        <v>1120</v>
      </c>
      <c r="N1334" s="413" t="s">
        <v>2095</v>
      </c>
    </row>
    <row r="1335">
      <c r="A1335" s="409">
        <v>45968.0</v>
      </c>
      <c r="B1335" s="102">
        <v>2025.0</v>
      </c>
      <c r="C1335" s="410" t="s">
        <v>2056</v>
      </c>
      <c r="D1335" s="102" t="s">
        <v>723</v>
      </c>
      <c r="E1335" s="102" t="s">
        <v>137</v>
      </c>
      <c r="F1335" s="102" t="s">
        <v>711</v>
      </c>
      <c r="G1335" s="102" t="s">
        <v>724</v>
      </c>
      <c r="H1335" s="360">
        <v>620.0</v>
      </c>
      <c r="I1335" s="411" t="b">
        <v>1</v>
      </c>
      <c r="J1335" s="102" t="s">
        <v>1475</v>
      </c>
      <c r="K1335" s="360">
        <v>0.0</v>
      </c>
      <c r="L1335" s="360">
        <v>0.0</v>
      </c>
      <c r="M1335" s="102" t="s">
        <v>1120</v>
      </c>
      <c r="N1335" s="102" t="s">
        <v>2095</v>
      </c>
    </row>
    <row r="1336">
      <c r="A1336" s="412">
        <v>45968.0</v>
      </c>
      <c r="B1336" s="413">
        <v>2025.0</v>
      </c>
      <c r="C1336" s="414" t="s">
        <v>2056</v>
      </c>
      <c r="D1336" s="413" t="s">
        <v>702</v>
      </c>
      <c r="E1336" s="413" t="s">
        <v>465</v>
      </c>
      <c r="F1336" s="413" t="s">
        <v>711</v>
      </c>
      <c r="G1336" s="413" t="s">
        <v>730</v>
      </c>
      <c r="H1336" s="415">
        <v>46.0</v>
      </c>
      <c r="I1336" s="416" t="b">
        <v>0</v>
      </c>
      <c r="J1336" s="413" t="s">
        <v>472</v>
      </c>
      <c r="K1336" s="415">
        <v>6.344827586206897</v>
      </c>
      <c r="L1336" s="415">
        <v>39.6551724137931</v>
      </c>
      <c r="M1336" s="413" t="s">
        <v>1120</v>
      </c>
      <c r="N1336" s="413" t="s">
        <v>2096</v>
      </c>
    </row>
    <row r="1337">
      <c r="A1337" s="409">
        <v>45968.0</v>
      </c>
      <c r="B1337" s="102">
        <v>2025.0</v>
      </c>
      <c r="C1337" s="410" t="s">
        <v>2056</v>
      </c>
      <c r="D1337" s="102" t="s">
        <v>723</v>
      </c>
      <c r="E1337" s="102" t="s">
        <v>137</v>
      </c>
      <c r="F1337" s="102" t="s">
        <v>711</v>
      </c>
      <c r="G1337" s="102" t="s">
        <v>740</v>
      </c>
      <c r="H1337" s="360">
        <v>14.0</v>
      </c>
      <c r="I1337" s="411" t="b">
        <v>0</v>
      </c>
      <c r="J1337" s="102" t="s">
        <v>472</v>
      </c>
      <c r="K1337" s="360">
        <v>0.0</v>
      </c>
      <c r="L1337" s="360">
        <v>14.0</v>
      </c>
      <c r="M1337" s="102" t="s">
        <v>1120</v>
      </c>
      <c r="N1337" s="102" t="s">
        <v>2097</v>
      </c>
    </row>
    <row r="1338">
      <c r="A1338" s="412">
        <v>45969.0</v>
      </c>
      <c r="B1338" s="413">
        <v>2025.0</v>
      </c>
      <c r="C1338" s="414" t="s">
        <v>2056</v>
      </c>
      <c r="D1338" s="413" t="s">
        <v>702</v>
      </c>
      <c r="E1338" s="413" t="s">
        <v>465</v>
      </c>
      <c r="F1338" s="413" t="s">
        <v>711</v>
      </c>
      <c r="G1338" s="413" t="s">
        <v>767</v>
      </c>
      <c r="H1338" s="415">
        <v>1103.0</v>
      </c>
      <c r="I1338" s="416" t="b">
        <v>0</v>
      </c>
      <c r="J1338" s="413" t="s">
        <v>2098</v>
      </c>
      <c r="K1338" s="415">
        <v>152.13793103448268</v>
      </c>
      <c r="L1338" s="415">
        <v>950.8620689655173</v>
      </c>
      <c r="M1338" s="413" t="s">
        <v>1120</v>
      </c>
      <c r="N1338" s="413" t="s">
        <v>2099</v>
      </c>
    </row>
    <row r="1339">
      <c r="A1339" s="409">
        <v>45969.0</v>
      </c>
      <c r="B1339" s="102">
        <v>2025.0</v>
      </c>
      <c r="C1339" s="410" t="s">
        <v>2056</v>
      </c>
      <c r="D1339" s="102" t="s">
        <v>702</v>
      </c>
      <c r="E1339" s="102" t="s">
        <v>465</v>
      </c>
      <c r="F1339" s="102" t="s">
        <v>711</v>
      </c>
      <c r="G1339" s="102" t="s">
        <v>767</v>
      </c>
      <c r="H1339" s="360">
        <v>1007.0</v>
      </c>
      <c r="I1339" s="411" t="b">
        <v>0</v>
      </c>
      <c r="J1339" s="102" t="s">
        <v>472</v>
      </c>
      <c r="K1339" s="360">
        <v>138.8965517241379</v>
      </c>
      <c r="L1339" s="360">
        <v>868.1034482758621</v>
      </c>
      <c r="M1339" s="102" t="s">
        <v>1120</v>
      </c>
      <c r="N1339" s="102" t="s">
        <v>2100</v>
      </c>
    </row>
    <row r="1340">
      <c r="A1340" s="412">
        <v>45969.0</v>
      </c>
      <c r="B1340" s="413">
        <v>2025.0</v>
      </c>
      <c r="C1340" s="414" t="s">
        <v>2056</v>
      </c>
      <c r="D1340" s="413" t="s">
        <v>702</v>
      </c>
      <c r="E1340" s="413" t="s">
        <v>465</v>
      </c>
      <c r="F1340" s="413" t="s">
        <v>711</v>
      </c>
      <c r="G1340" s="413" t="s">
        <v>734</v>
      </c>
      <c r="H1340" s="415">
        <v>180.0</v>
      </c>
      <c r="I1340" s="416" t="b">
        <v>0</v>
      </c>
      <c r="J1340" s="413" t="s">
        <v>1483</v>
      </c>
      <c r="K1340" s="415">
        <v>24.82758620689654</v>
      </c>
      <c r="L1340" s="415">
        <v>155.17241379310346</v>
      </c>
      <c r="M1340" s="413" t="s">
        <v>1120</v>
      </c>
      <c r="N1340" s="413" t="s">
        <v>2101</v>
      </c>
    </row>
    <row r="1341">
      <c r="A1341" s="409">
        <v>45972.0</v>
      </c>
      <c r="B1341" s="102">
        <v>2025.0</v>
      </c>
      <c r="C1341" s="410" t="s">
        <v>2056</v>
      </c>
      <c r="D1341" s="102" t="s">
        <v>723</v>
      </c>
      <c r="E1341" s="102" t="s">
        <v>137</v>
      </c>
      <c r="F1341" s="102" t="s">
        <v>711</v>
      </c>
      <c r="G1341" s="102" t="s">
        <v>767</v>
      </c>
      <c r="H1341" s="360">
        <v>950.0</v>
      </c>
      <c r="I1341" s="411" t="b">
        <v>0</v>
      </c>
      <c r="J1341" s="102" t="s">
        <v>1863</v>
      </c>
      <c r="K1341" s="360">
        <v>0.0</v>
      </c>
      <c r="L1341" s="360">
        <v>950.0</v>
      </c>
      <c r="M1341" s="102" t="s">
        <v>1120</v>
      </c>
      <c r="N1341" s="102" t="s">
        <v>2102</v>
      </c>
    </row>
    <row r="1342">
      <c r="A1342" s="412">
        <v>45972.0</v>
      </c>
      <c r="B1342" s="413">
        <v>2025.0</v>
      </c>
      <c r="C1342" s="414" t="s">
        <v>2056</v>
      </c>
      <c r="D1342" s="413" t="s">
        <v>723</v>
      </c>
      <c r="E1342" s="413" t="s">
        <v>137</v>
      </c>
      <c r="F1342" s="413" t="s">
        <v>711</v>
      </c>
      <c r="G1342" s="413" t="s">
        <v>767</v>
      </c>
      <c r="H1342" s="415">
        <v>800.0</v>
      </c>
      <c r="I1342" s="416" t="b">
        <v>0</v>
      </c>
      <c r="J1342" s="413" t="s">
        <v>1148</v>
      </c>
      <c r="K1342" s="415">
        <v>0.0</v>
      </c>
      <c r="L1342" s="415">
        <v>800.0</v>
      </c>
      <c r="M1342" s="413" t="s">
        <v>1120</v>
      </c>
      <c r="N1342" s="413" t="s">
        <v>2103</v>
      </c>
    </row>
    <row r="1343">
      <c r="A1343" s="409">
        <v>45972.0</v>
      </c>
      <c r="B1343" s="102">
        <v>2025.0</v>
      </c>
      <c r="C1343" s="410" t="s">
        <v>2056</v>
      </c>
      <c r="D1343" s="102" t="s">
        <v>723</v>
      </c>
      <c r="E1343" s="102" t="s">
        <v>137</v>
      </c>
      <c r="F1343" s="102" t="s">
        <v>711</v>
      </c>
      <c r="G1343" s="102" t="s">
        <v>767</v>
      </c>
      <c r="H1343" s="360">
        <v>900.0</v>
      </c>
      <c r="I1343" s="411" t="b">
        <v>0</v>
      </c>
      <c r="J1343" s="102" t="s">
        <v>1899</v>
      </c>
      <c r="K1343" s="360">
        <v>0.0</v>
      </c>
      <c r="L1343" s="360">
        <v>900.0</v>
      </c>
      <c r="M1343" s="102" t="s">
        <v>1120</v>
      </c>
      <c r="N1343" s="102" t="s">
        <v>2104</v>
      </c>
    </row>
    <row r="1344">
      <c r="A1344" s="412">
        <v>45972.0</v>
      </c>
      <c r="B1344" s="413">
        <v>2025.0</v>
      </c>
      <c r="C1344" s="414" t="s">
        <v>2056</v>
      </c>
      <c r="D1344" s="413" t="s">
        <v>702</v>
      </c>
      <c r="E1344" s="413" t="s">
        <v>465</v>
      </c>
      <c r="F1344" s="413" t="s">
        <v>711</v>
      </c>
      <c r="G1344" s="413" t="s">
        <v>767</v>
      </c>
      <c r="H1344" s="415">
        <v>675.0</v>
      </c>
      <c r="I1344" s="416" t="b">
        <v>0</v>
      </c>
      <c r="J1344" s="413" t="s">
        <v>1265</v>
      </c>
      <c r="K1344" s="415">
        <v>93.10344827586198</v>
      </c>
      <c r="L1344" s="415">
        <v>581.896551724138</v>
      </c>
      <c r="M1344" s="413" t="s">
        <v>1120</v>
      </c>
      <c r="N1344" s="413" t="s">
        <v>2105</v>
      </c>
    </row>
    <row r="1345">
      <c r="A1345" s="409">
        <v>45972.0</v>
      </c>
      <c r="B1345" s="102">
        <v>2025.0</v>
      </c>
      <c r="C1345" s="410" t="s">
        <v>2056</v>
      </c>
      <c r="D1345" s="102" t="s">
        <v>702</v>
      </c>
      <c r="E1345" s="102" t="s">
        <v>465</v>
      </c>
      <c r="F1345" s="102" t="s">
        <v>711</v>
      </c>
      <c r="G1345" s="102" t="s">
        <v>734</v>
      </c>
      <c r="H1345" s="360">
        <v>180.0</v>
      </c>
      <c r="I1345" s="411" t="b">
        <v>0</v>
      </c>
      <c r="J1345" s="102" t="s">
        <v>1483</v>
      </c>
      <c r="K1345" s="360">
        <v>24.82758620689654</v>
      </c>
      <c r="L1345" s="360">
        <v>155.17241379310346</v>
      </c>
      <c r="M1345" s="102" t="s">
        <v>1120</v>
      </c>
      <c r="N1345" s="102" t="s">
        <v>2106</v>
      </c>
    </row>
    <row r="1346">
      <c r="A1346" s="412">
        <v>45972.0</v>
      </c>
      <c r="B1346" s="413">
        <v>2025.0</v>
      </c>
      <c r="C1346" s="414" t="s">
        <v>2056</v>
      </c>
      <c r="D1346" s="413" t="s">
        <v>723</v>
      </c>
      <c r="E1346" s="413" t="s">
        <v>137</v>
      </c>
      <c r="F1346" s="413" t="s">
        <v>711</v>
      </c>
      <c r="G1346" s="413" t="s">
        <v>767</v>
      </c>
      <c r="H1346" s="415">
        <v>900.0</v>
      </c>
      <c r="I1346" s="416" t="b">
        <v>0</v>
      </c>
      <c r="J1346" s="413" t="s">
        <v>1799</v>
      </c>
      <c r="K1346" s="415">
        <v>0.0</v>
      </c>
      <c r="L1346" s="415">
        <v>900.0</v>
      </c>
      <c r="M1346" s="413" t="s">
        <v>1120</v>
      </c>
      <c r="N1346" s="413" t="s">
        <v>2107</v>
      </c>
    </row>
    <row r="1347">
      <c r="A1347" s="409">
        <v>45972.0</v>
      </c>
      <c r="B1347" s="102">
        <v>2025.0</v>
      </c>
      <c r="C1347" s="410" t="s">
        <v>2056</v>
      </c>
      <c r="D1347" s="102" t="s">
        <v>723</v>
      </c>
      <c r="E1347" s="102" t="s">
        <v>137</v>
      </c>
      <c r="F1347" s="102" t="s">
        <v>711</v>
      </c>
      <c r="G1347" s="102" t="s">
        <v>740</v>
      </c>
      <c r="H1347" s="360">
        <v>14.0</v>
      </c>
      <c r="I1347" s="411" t="b">
        <v>0</v>
      </c>
      <c r="J1347" s="102" t="s">
        <v>472</v>
      </c>
      <c r="K1347" s="360">
        <v>0.0</v>
      </c>
      <c r="L1347" s="360">
        <v>14.0</v>
      </c>
      <c r="M1347" s="102" t="s">
        <v>1120</v>
      </c>
      <c r="N1347" s="102" t="s">
        <v>2108</v>
      </c>
    </row>
    <row r="1348">
      <c r="A1348" s="412">
        <v>45972.0</v>
      </c>
      <c r="B1348" s="413">
        <v>2025.0</v>
      </c>
      <c r="C1348" s="414" t="s">
        <v>2056</v>
      </c>
      <c r="D1348" s="413" t="s">
        <v>723</v>
      </c>
      <c r="E1348" s="413" t="s">
        <v>137</v>
      </c>
      <c r="F1348" s="413" t="s">
        <v>703</v>
      </c>
      <c r="G1348" s="413" t="s">
        <v>724</v>
      </c>
      <c r="H1348" s="415">
        <v>9455.0</v>
      </c>
      <c r="I1348" s="416" t="b">
        <v>1</v>
      </c>
      <c r="J1348" s="413" t="s">
        <v>472</v>
      </c>
      <c r="K1348" s="415">
        <v>0.0</v>
      </c>
      <c r="L1348" s="415">
        <v>0.0</v>
      </c>
      <c r="M1348" s="413" t="s">
        <v>1120</v>
      </c>
      <c r="N1348" s="413" t="s">
        <v>2109</v>
      </c>
    </row>
    <row r="1349">
      <c r="A1349" s="409">
        <v>45972.0</v>
      </c>
      <c r="B1349" s="102">
        <v>2025.0</v>
      </c>
      <c r="C1349" s="410" t="s">
        <v>2056</v>
      </c>
      <c r="D1349" s="102" t="s">
        <v>710</v>
      </c>
      <c r="E1349" s="102" t="s">
        <v>137</v>
      </c>
      <c r="F1349" s="102" t="s">
        <v>711</v>
      </c>
      <c r="G1349" s="102" t="s">
        <v>724</v>
      </c>
      <c r="H1349" s="360">
        <v>9455.0</v>
      </c>
      <c r="I1349" s="411" t="b">
        <v>1</v>
      </c>
      <c r="J1349" s="102" t="s">
        <v>472</v>
      </c>
      <c r="K1349" s="360">
        <v>0.0</v>
      </c>
      <c r="L1349" s="360">
        <v>0.0</v>
      </c>
      <c r="M1349" s="102" t="s">
        <v>1120</v>
      </c>
      <c r="N1349" s="102" t="s">
        <v>2109</v>
      </c>
    </row>
    <row r="1350">
      <c r="A1350" s="412">
        <v>45972.0</v>
      </c>
      <c r="B1350" s="413">
        <v>2025.0</v>
      </c>
      <c r="C1350" s="414" t="s">
        <v>2056</v>
      </c>
      <c r="D1350" s="413" t="s">
        <v>710</v>
      </c>
      <c r="E1350" s="413" t="s">
        <v>137</v>
      </c>
      <c r="F1350" s="413" t="s">
        <v>703</v>
      </c>
      <c r="G1350" s="413" t="s">
        <v>715</v>
      </c>
      <c r="H1350" s="415">
        <v>65.0</v>
      </c>
      <c r="I1350" s="416" t="b">
        <v>0</v>
      </c>
      <c r="J1350" s="413" t="s">
        <v>472</v>
      </c>
      <c r="K1350" s="415">
        <v>0.0</v>
      </c>
      <c r="L1350" s="415">
        <v>65.0</v>
      </c>
      <c r="M1350" s="413" t="s">
        <v>1120</v>
      </c>
      <c r="N1350" s="413" t="s">
        <v>2110</v>
      </c>
    </row>
    <row r="1351">
      <c r="A1351" s="409">
        <v>45974.0</v>
      </c>
      <c r="B1351" s="102">
        <v>2025.0</v>
      </c>
      <c r="C1351" s="410" t="s">
        <v>2056</v>
      </c>
      <c r="D1351" s="102" t="s">
        <v>710</v>
      </c>
      <c r="E1351" s="102" t="s">
        <v>137</v>
      </c>
      <c r="F1351" s="102" t="s">
        <v>703</v>
      </c>
      <c r="G1351" s="102" t="s">
        <v>715</v>
      </c>
      <c r="H1351" s="360">
        <v>200.0</v>
      </c>
      <c r="I1351" s="411" t="b">
        <v>0</v>
      </c>
      <c r="J1351" s="102" t="s">
        <v>472</v>
      </c>
      <c r="K1351" s="360">
        <v>0.0</v>
      </c>
      <c r="L1351" s="360">
        <v>200.0</v>
      </c>
      <c r="M1351" s="102" t="s">
        <v>1120</v>
      </c>
      <c r="N1351" s="102" t="s">
        <v>2111</v>
      </c>
    </row>
    <row r="1352">
      <c r="A1352" s="412">
        <v>45974.0</v>
      </c>
      <c r="B1352" s="413">
        <v>2025.0</v>
      </c>
      <c r="C1352" s="414" t="s">
        <v>2056</v>
      </c>
      <c r="D1352" s="413" t="s">
        <v>710</v>
      </c>
      <c r="E1352" s="413" t="s">
        <v>137</v>
      </c>
      <c r="F1352" s="413" t="s">
        <v>703</v>
      </c>
      <c r="G1352" s="413" t="s">
        <v>715</v>
      </c>
      <c r="H1352" s="415">
        <v>401.0</v>
      </c>
      <c r="I1352" s="416" t="b">
        <v>0</v>
      </c>
      <c r="J1352" s="413" t="s">
        <v>472</v>
      </c>
      <c r="K1352" s="415">
        <v>0.0</v>
      </c>
      <c r="L1352" s="415">
        <v>401.0</v>
      </c>
      <c r="M1352" s="413" t="s">
        <v>1120</v>
      </c>
      <c r="N1352" s="413" t="s">
        <v>2112</v>
      </c>
    </row>
    <row r="1353">
      <c r="A1353" s="409">
        <v>45974.0</v>
      </c>
      <c r="B1353" s="102">
        <v>2025.0</v>
      </c>
      <c r="C1353" s="410" t="s">
        <v>2056</v>
      </c>
      <c r="D1353" s="102" t="s">
        <v>710</v>
      </c>
      <c r="E1353" s="102" t="s">
        <v>137</v>
      </c>
      <c r="F1353" s="102" t="s">
        <v>711</v>
      </c>
      <c r="G1353" s="102" t="s">
        <v>767</v>
      </c>
      <c r="H1353" s="360">
        <v>500.0</v>
      </c>
      <c r="I1353" s="411" t="b">
        <v>0</v>
      </c>
      <c r="J1353" s="102" t="s">
        <v>1520</v>
      </c>
      <c r="K1353" s="360">
        <v>0.0</v>
      </c>
      <c r="L1353" s="360">
        <v>500.0</v>
      </c>
      <c r="M1353" s="102" t="s">
        <v>1120</v>
      </c>
      <c r="N1353" s="102" t="s">
        <v>2113</v>
      </c>
    </row>
    <row r="1354">
      <c r="A1354" s="412">
        <v>45974.0</v>
      </c>
      <c r="B1354" s="413">
        <v>2025.0</v>
      </c>
      <c r="C1354" s="414" t="s">
        <v>2056</v>
      </c>
      <c r="D1354" s="413" t="s">
        <v>710</v>
      </c>
      <c r="E1354" s="413" t="s">
        <v>137</v>
      </c>
      <c r="F1354" s="413" t="s">
        <v>703</v>
      </c>
      <c r="G1354" s="413" t="s">
        <v>715</v>
      </c>
      <c r="H1354" s="415">
        <v>500.0</v>
      </c>
      <c r="I1354" s="416" t="b">
        <v>0</v>
      </c>
      <c r="J1354" s="413" t="s">
        <v>472</v>
      </c>
      <c r="K1354" s="415">
        <v>0.0</v>
      </c>
      <c r="L1354" s="415">
        <v>500.0</v>
      </c>
      <c r="M1354" s="413" t="s">
        <v>1120</v>
      </c>
      <c r="N1354" s="413" t="s">
        <v>2114</v>
      </c>
    </row>
    <row r="1355">
      <c r="A1355" s="409">
        <v>45974.0</v>
      </c>
      <c r="B1355" s="102">
        <v>2025.0</v>
      </c>
      <c r="C1355" s="410" t="s">
        <v>2056</v>
      </c>
      <c r="D1355" s="102" t="s">
        <v>710</v>
      </c>
      <c r="E1355" s="102" t="s">
        <v>137</v>
      </c>
      <c r="F1355" s="102" t="s">
        <v>703</v>
      </c>
      <c r="G1355" s="102" t="s">
        <v>906</v>
      </c>
      <c r="H1355" s="360">
        <v>3000.0</v>
      </c>
      <c r="I1355" s="411" t="b">
        <v>0</v>
      </c>
      <c r="J1355" s="102" t="s">
        <v>472</v>
      </c>
      <c r="K1355" s="360">
        <v>0.0</v>
      </c>
      <c r="L1355" s="360">
        <v>3000.0</v>
      </c>
      <c r="M1355" s="102" t="s">
        <v>1120</v>
      </c>
      <c r="N1355" s="102" t="s">
        <v>2115</v>
      </c>
    </row>
    <row r="1356">
      <c r="A1356" s="412">
        <v>45974.0</v>
      </c>
      <c r="B1356" s="413">
        <v>2025.0</v>
      </c>
      <c r="C1356" s="414" t="s">
        <v>2056</v>
      </c>
      <c r="D1356" s="413" t="s">
        <v>710</v>
      </c>
      <c r="E1356" s="413" t="s">
        <v>137</v>
      </c>
      <c r="F1356" s="413" t="s">
        <v>711</v>
      </c>
      <c r="G1356" s="413" t="s">
        <v>740</v>
      </c>
      <c r="H1356" s="415">
        <v>30.0</v>
      </c>
      <c r="I1356" s="416" t="b">
        <v>0</v>
      </c>
      <c r="J1356" s="413" t="s">
        <v>472</v>
      </c>
      <c r="K1356" s="415">
        <v>0.0</v>
      </c>
      <c r="L1356" s="415">
        <v>30.0</v>
      </c>
      <c r="M1356" s="413" t="s">
        <v>1120</v>
      </c>
      <c r="N1356" s="413" t="s">
        <v>2116</v>
      </c>
    </row>
    <row r="1357">
      <c r="A1357" s="409">
        <v>45974.0</v>
      </c>
      <c r="B1357" s="102">
        <v>2025.0</v>
      </c>
      <c r="C1357" s="410" t="s">
        <v>2056</v>
      </c>
      <c r="D1357" s="102" t="s">
        <v>723</v>
      </c>
      <c r="E1357" s="102" t="s">
        <v>137</v>
      </c>
      <c r="F1357" s="102" t="s">
        <v>711</v>
      </c>
      <c r="G1357" s="102" t="s">
        <v>724</v>
      </c>
      <c r="H1357" s="360">
        <v>960.0</v>
      </c>
      <c r="I1357" s="411" t="b">
        <v>1</v>
      </c>
      <c r="J1357" s="102" t="s">
        <v>472</v>
      </c>
      <c r="K1357" s="360">
        <v>0.0</v>
      </c>
      <c r="L1357" s="360">
        <v>0.0</v>
      </c>
      <c r="M1357" s="102" t="s">
        <v>1120</v>
      </c>
      <c r="N1357" s="102" t="s">
        <v>2117</v>
      </c>
    </row>
    <row r="1358">
      <c r="A1358" s="412">
        <v>45974.0</v>
      </c>
      <c r="B1358" s="413">
        <v>2025.0</v>
      </c>
      <c r="C1358" s="414" t="s">
        <v>2056</v>
      </c>
      <c r="D1358" s="413" t="s">
        <v>710</v>
      </c>
      <c r="E1358" s="413" t="s">
        <v>137</v>
      </c>
      <c r="F1358" s="413" t="s">
        <v>703</v>
      </c>
      <c r="G1358" s="413" t="s">
        <v>724</v>
      </c>
      <c r="H1358" s="415">
        <v>960.0</v>
      </c>
      <c r="I1358" s="416" t="b">
        <v>1</v>
      </c>
      <c r="J1358" s="413" t="s">
        <v>472</v>
      </c>
      <c r="K1358" s="415">
        <v>0.0</v>
      </c>
      <c r="L1358" s="415">
        <v>0.0</v>
      </c>
      <c r="M1358" s="413" t="s">
        <v>1120</v>
      </c>
      <c r="N1358" s="413" t="s">
        <v>2117</v>
      </c>
    </row>
    <row r="1359">
      <c r="A1359" s="409">
        <v>45975.0</v>
      </c>
      <c r="B1359" s="102">
        <v>2025.0</v>
      </c>
      <c r="C1359" s="410" t="s">
        <v>2056</v>
      </c>
      <c r="D1359" s="102" t="s">
        <v>723</v>
      </c>
      <c r="E1359" s="102" t="s">
        <v>137</v>
      </c>
      <c r="F1359" s="102" t="s">
        <v>711</v>
      </c>
      <c r="G1359" s="102" t="s">
        <v>767</v>
      </c>
      <c r="H1359" s="360">
        <v>950.0</v>
      </c>
      <c r="I1359" s="411" t="b">
        <v>0</v>
      </c>
      <c r="J1359" s="102" t="s">
        <v>2051</v>
      </c>
      <c r="K1359" s="360">
        <v>0.0</v>
      </c>
      <c r="L1359" s="360">
        <v>950.0</v>
      </c>
      <c r="M1359" s="102" t="s">
        <v>1120</v>
      </c>
      <c r="N1359" s="102" t="s">
        <v>2118</v>
      </c>
    </row>
    <row r="1360">
      <c r="A1360" s="412">
        <v>45975.0</v>
      </c>
      <c r="B1360" s="413">
        <v>2025.0</v>
      </c>
      <c r="C1360" s="414" t="s">
        <v>2056</v>
      </c>
      <c r="D1360" s="413" t="s">
        <v>702</v>
      </c>
      <c r="E1360" s="413" t="s">
        <v>465</v>
      </c>
      <c r="F1360" s="413" t="s">
        <v>711</v>
      </c>
      <c r="G1360" s="413" t="s">
        <v>767</v>
      </c>
      <c r="H1360" s="415">
        <v>1050.0</v>
      </c>
      <c r="I1360" s="416" t="b">
        <v>0</v>
      </c>
      <c r="J1360" s="413" t="s">
        <v>2119</v>
      </c>
      <c r="K1360" s="415">
        <v>144.8275862068965</v>
      </c>
      <c r="L1360" s="415">
        <v>905.1724137931035</v>
      </c>
      <c r="M1360" s="413" t="s">
        <v>1120</v>
      </c>
      <c r="N1360" s="413" t="s">
        <v>2120</v>
      </c>
    </row>
    <row r="1361">
      <c r="A1361" s="409">
        <v>45976.0</v>
      </c>
      <c r="B1361" s="102">
        <v>2025.0</v>
      </c>
      <c r="C1361" s="410" t="s">
        <v>2056</v>
      </c>
      <c r="D1361" s="102" t="s">
        <v>702</v>
      </c>
      <c r="E1361" s="102" t="s">
        <v>465</v>
      </c>
      <c r="F1361" s="102" t="s">
        <v>711</v>
      </c>
      <c r="G1361" s="102" t="s">
        <v>767</v>
      </c>
      <c r="H1361" s="360">
        <v>863.0</v>
      </c>
      <c r="I1361" s="411" t="b">
        <v>0</v>
      </c>
      <c r="J1361" s="102" t="s">
        <v>2121</v>
      </c>
      <c r="K1361" s="360">
        <v>119.03448275862058</v>
      </c>
      <c r="L1361" s="360">
        <v>743.9655172413794</v>
      </c>
      <c r="M1361" s="102" t="s">
        <v>1120</v>
      </c>
      <c r="N1361" s="102" t="s">
        <v>2122</v>
      </c>
    </row>
    <row r="1362">
      <c r="A1362" s="412">
        <v>45976.0</v>
      </c>
      <c r="B1362" s="413">
        <v>2025.0</v>
      </c>
      <c r="C1362" s="414" t="s">
        <v>2056</v>
      </c>
      <c r="D1362" s="413" t="s">
        <v>702</v>
      </c>
      <c r="E1362" s="413" t="s">
        <v>465</v>
      </c>
      <c r="F1362" s="413" t="s">
        <v>711</v>
      </c>
      <c r="G1362" s="413" t="s">
        <v>767</v>
      </c>
      <c r="H1362" s="415">
        <v>900.0</v>
      </c>
      <c r="I1362" s="416" t="b">
        <v>0</v>
      </c>
      <c r="J1362" s="413" t="s">
        <v>1788</v>
      </c>
      <c r="K1362" s="415">
        <v>124.13793103448268</v>
      </c>
      <c r="L1362" s="415">
        <v>775.8620689655173</v>
      </c>
      <c r="M1362" s="413" t="s">
        <v>1120</v>
      </c>
      <c r="N1362" s="413" t="s">
        <v>2123</v>
      </c>
    </row>
    <row r="1363">
      <c r="A1363" s="409">
        <v>45979.0</v>
      </c>
      <c r="B1363" s="102">
        <v>2025.0</v>
      </c>
      <c r="C1363" s="410" t="s">
        <v>2056</v>
      </c>
      <c r="D1363" s="102" t="s">
        <v>702</v>
      </c>
      <c r="E1363" s="102" t="s">
        <v>465</v>
      </c>
      <c r="F1363" s="102" t="s">
        <v>711</v>
      </c>
      <c r="G1363" s="102" t="s">
        <v>767</v>
      </c>
      <c r="H1363" s="360">
        <v>1199.0</v>
      </c>
      <c r="I1363" s="411" t="b">
        <v>0</v>
      </c>
      <c r="J1363" s="102" t="s">
        <v>1705</v>
      </c>
      <c r="K1363" s="360">
        <v>165.37931034482745</v>
      </c>
      <c r="L1363" s="360">
        <v>1033.6206896551726</v>
      </c>
      <c r="M1363" s="102" t="s">
        <v>1120</v>
      </c>
      <c r="N1363" s="102" t="s">
        <v>2124</v>
      </c>
    </row>
    <row r="1364">
      <c r="A1364" s="412">
        <v>45980.0</v>
      </c>
      <c r="B1364" s="413">
        <v>2025.0</v>
      </c>
      <c r="C1364" s="414" t="s">
        <v>2056</v>
      </c>
      <c r="D1364" s="413" t="s">
        <v>702</v>
      </c>
      <c r="E1364" s="413" t="s">
        <v>465</v>
      </c>
      <c r="F1364" s="413" t="s">
        <v>711</v>
      </c>
      <c r="G1364" s="413" t="s">
        <v>767</v>
      </c>
      <c r="H1364" s="415">
        <v>1250.0</v>
      </c>
      <c r="I1364" s="416" t="b">
        <v>0</v>
      </c>
      <c r="J1364" s="413" t="s">
        <v>1197</v>
      </c>
      <c r="K1364" s="415">
        <v>172.41379310344814</v>
      </c>
      <c r="L1364" s="415">
        <v>1077.5862068965519</v>
      </c>
      <c r="M1364" s="413" t="s">
        <v>1120</v>
      </c>
      <c r="N1364" s="413" t="s">
        <v>2125</v>
      </c>
    </row>
    <row r="1365">
      <c r="A1365" s="409">
        <v>45981.0</v>
      </c>
      <c r="B1365" s="102">
        <v>2025.0</v>
      </c>
      <c r="C1365" s="410" t="s">
        <v>2056</v>
      </c>
      <c r="D1365" s="102" t="s">
        <v>710</v>
      </c>
      <c r="E1365" s="102" t="s">
        <v>137</v>
      </c>
      <c r="F1365" s="102" t="s">
        <v>703</v>
      </c>
      <c r="G1365" s="102" t="s">
        <v>715</v>
      </c>
      <c r="H1365" s="360">
        <v>500.0</v>
      </c>
      <c r="I1365" s="411" t="b">
        <v>0</v>
      </c>
      <c r="J1365" s="102" t="s">
        <v>472</v>
      </c>
      <c r="K1365" s="360">
        <v>0.0</v>
      </c>
      <c r="L1365" s="360">
        <v>500.0</v>
      </c>
      <c r="M1365" s="102" t="s">
        <v>1120</v>
      </c>
      <c r="N1365" s="102" t="s">
        <v>2126</v>
      </c>
    </row>
    <row r="1366">
      <c r="A1366" s="412">
        <v>45981.0</v>
      </c>
      <c r="B1366" s="413">
        <v>2025.0</v>
      </c>
      <c r="C1366" s="414" t="s">
        <v>2056</v>
      </c>
      <c r="D1366" s="413" t="s">
        <v>710</v>
      </c>
      <c r="E1366" s="413" t="s">
        <v>137</v>
      </c>
      <c r="F1366" s="413" t="s">
        <v>711</v>
      </c>
      <c r="G1366" s="413" t="s">
        <v>767</v>
      </c>
      <c r="H1366" s="415">
        <v>650.0</v>
      </c>
      <c r="I1366" s="416" t="b">
        <v>0</v>
      </c>
      <c r="J1366" s="413" t="s">
        <v>472</v>
      </c>
      <c r="K1366" s="415">
        <v>0.0</v>
      </c>
      <c r="L1366" s="415">
        <v>650.0</v>
      </c>
      <c r="M1366" s="413" t="s">
        <v>1120</v>
      </c>
      <c r="N1366" s="413" t="s">
        <v>2127</v>
      </c>
    </row>
    <row r="1367">
      <c r="A1367" s="409">
        <v>45983.0</v>
      </c>
      <c r="B1367" s="102">
        <v>2025.0</v>
      </c>
      <c r="C1367" s="410" t="s">
        <v>2056</v>
      </c>
      <c r="D1367" s="102" t="s">
        <v>702</v>
      </c>
      <c r="E1367" s="102" t="s">
        <v>465</v>
      </c>
      <c r="F1367" s="102" t="s">
        <v>711</v>
      </c>
      <c r="G1367" s="102" t="s">
        <v>734</v>
      </c>
      <c r="H1367" s="360">
        <v>180.0</v>
      </c>
      <c r="I1367" s="411" t="b">
        <v>0</v>
      </c>
      <c r="J1367" s="102" t="s">
        <v>1483</v>
      </c>
      <c r="K1367" s="360">
        <v>24.82758620689654</v>
      </c>
      <c r="L1367" s="360">
        <v>155.17241379310346</v>
      </c>
      <c r="M1367" s="102" t="s">
        <v>1120</v>
      </c>
      <c r="N1367" s="102" t="s">
        <v>2128</v>
      </c>
    </row>
    <row r="1368">
      <c r="A1368" s="412">
        <v>45983.0</v>
      </c>
      <c r="B1368" s="413">
        <v>2025.0</v>
      </c>
      <c r="C1368" s="414" t="s">
        <v>2056</v>
      </c>
      <c r="D1368" s="413" t="s">
        <v>723</v>
      </c>
      <c r="E1368" s="413" t="s">
        <v>137</v>
      </c>
      <c r="F1368" s="413" t="s">
        <v>711</v>
      </c>
      <c r="G1368" s="413" t="s">
        <v>767</v>
      </c>
      <c r="H1368" s="415">
        <v>1320.0</v>
      </c>
      <c r="I1368" s="416" t="b">
        <v>0</v>
      </c>
      <c r="J1368" s="413" t="s">
        <v>1216</v>
      </c>
      <c r="K1368" s="415">
        <v>0.0</v>
      </c>
      <c r="L1368" s="415">
        <v>1320.0</v>
      </c>
      <c r="M1368" s="413" t="s">
        <v>1120</v>
      </c>
      <c r="N1368" s="413" t="s">
        <v>2129</v>
      </c>
    </row>
    <row r="1369">
      <c r="A1369" s="409">
        <v>45983.0</v>
      </c>
      <c r="B1369" s="102">
        <v>2025.0</v>
      </c>
      <c r="C1369" s="410" t="s">
        <v>2056</v>
      </c>
      <c r="D1369" s="102" t="s">
        <v>702</v>
      </c>
      <c r="E1369" s="102" t="s">
        <v>465</v>
      </c>
      <c r="F1369" s="102" t="s">
        <v>711</v>
      </c>
      <c r="G1369" s="102" t="s">
        <v>767</v>
      </c>
      <c r="H1369" s="360">
        <v>950.0</v>
      </c>
      <c r="I1369" s="411" t="b">
        <v>0</v>
      </c>
      <c r="J1369" s="102" t="s">
        <v>1246</v>
      </c>
      <c r="K1369" s="360">
        <v>131.03448275862058</v>
      </c>
      <c r="L1369" s="360">
        <v>818.9655172413794</v>
      </c>
      <c r="M1369" s="102" t="s">
        <v>1120</v>
      </c>
      <c r="N1369" s="102" t="s">
        <v>2130</v>
      </c>
    </row>
    <row r="1370">
      <c r="A1370" s="412">
        <v>45984.0</v>
      </c>
      <c r="B1370" s="413">
        <v>2025.0</v>
      </c>
      <c r="C1370" s="414" t="s">
        <v>2056</v>
      </c>
      <c r="D1370" s="413" t="s">
        <v>702</v>
      </c>
      <c r="E1370" s="413" t="s">
        <v>465</v>
      </c>
      <c r="F1370" s="413" t="s">
        <v>711</v>
      </c>
      <c r="G1370" s="413" t="s">
        <v>730</v>
      </c>
      <c r="H1370" s="415">
        <v>166.0</v>
      </c>
      <c r="I1370" s="416" t="b">
        <v>0</v>
      </c>
      <c r="J1370" s="413" t="s">
        <v>472</v>
      </c>
      <c r="K1370" s="415">
        <v>22.896551724137908</v>
      </c>
      <c r="L1370" s="415">
        <v>143.1034482758621</v>
      </c>
      <c r="M1370" s="413" t="s">
        <v>1120</v>
      </c>
      <c r="N1370" s="413" t="s">
        <v>2131</v>
      </c>
    </row>
    <row r="1371">
      <c r="A1371" s="409">
        <v>45984.0</v>
      </c>
      <c r="B1371" s="102">
        <v>2025.0</v>
      </c>
      <c r="C1371" s="410" t="s">
        <v>2056</v>
      </c>
      <c r="D1371" s="102" t="s">
        <v>702</v>
      </c>
      <c r="E1371" s="102" t="s">
        <v>465</v>
      </c>
      <c r="F1371" s="102" t="s">
        <v>703</v>
      </c>
      <c r="G1371" s="102" t="s">
        <v>715</v>
      </c>
      <c r="H1371" s="360">
        <v>317.0</v>
      </c>
      <c r="I1371" s="411" t="b">
        <v>0</v>
      </c>
      <c r="J1371" s="102" t="s">
        <v>2132</v>
      </c>
      <c r="K1371" s="360">
        <v>0.0</v>
      </c>
      <c r="L1371" s="360">
        <v>317.0</v>
      </c>
      <c r="M1371" s="102" t="s">
        <v>1120</v>
      </c>
      <c r="N1371" s="102" t="s">
        <v>2133</v>
      </c>
    </row>
    <row r="1372">
      <c r="A1372" s="412">
        <v>45984.0</v>
      </c>
      <c r="B1372" s="413">
        <v>2025.0</v>
      </c>
      <c r="C1372" s="414" t="s">
        <v>2056</v>
      </c>
      <c r="D1372" s="413" t="s">
        <v>702</v>
      </c>
      <c r="E1372" s="413" t="s">
        <v>465</v>
      </c>
      <c r="F1372" s="413" t="s">
        <v>703</v>
      </c>
      <c r="G1372" s="413" t="s">
        <v>715</v>
      </c>
      <c r="H1372" s="415">
        <v>779.0</v>
      </c>
      <c r="I1372" s="416" t="b">
        <v>0</v>
      </c>
      <c r="J1372" s="413" t="s">
        <v>2134</v>
      </c>
      <c r="K1372" s="415">
        <v>0.0</v>
      </c>
      <c r="L1372" s="415">
        <v>779.0</v>
      </c>
      <c r="M1372" s="413" t="s">
        <v>1120</v>
      </c>
      <c r="N1372" s="413" t="s">
        <v>2135</v>
      </c>
    </row>
    <row r="1373">
      <c r="A1373" s="409">
        <v>45987.0</v>
      </c>
      <c r="B1373" s="102">
        <v>2025.0</v>
      </c>
      <c r="C1373" s="410" t="s">
        <v>2056</v>
      </c>
      <c r="D1373" s="102" t="s">
        <v>702</v>
      </c>
      <c r="E1373" s="102" t="s">
        <v>465</v>
      </c>
      <c r="F1373" s="102" t="s">
        <v>711</v>
      </c>
      <c r="G1373" s="102" t="s">
        <v>767</v>
      </c>
      <c r="H1373" s="360">
        <v>650.0</v>
      </c>
      <c r="I1373" s="411" t="b">
        <v>0</v>
      </c>
      <c r="J1373" s="102" t="s">
        <v>1371</v>
      </c>
      <c r="K1373" s="360">
        <v>89.65517241379303</v>
      </c>
      <c r="L1373" s="360">
        <v>560.344827586207</v>
      </c>
      <c r="M1373" s="102" t="s">
        <v>1120</v>
      </c>
      <c r="N1373" s="102" t="s">
        <v>2136</v>
      </c>
    </row>
    <row r="1374">
      <c r="A1374" s="412">
        <v>45987.0</v>
      </c>
      <c r="B1374" s="413">
        <v>2025.0</v>
      </c>
      <c r="C1374" s="414" t="s">
        <v>2056</v>
      </c>
      <c r="D1374" s="413" t="s">
        <v>710</v>
      </c>
      <c r="E1374" s="413" t="s">
        <v>137</v>
      </c>
      <c r="F1374" s="413" t="s">
        <v>711</v>
      </c>
      <c r="G1374" s="413" t="s">
        <v>724</v>
      </c>
      <c r="H1374" s="415">
        <v>3230.0</v>
      </c>
      <c r="I1374" s="416" t="b">
        <v>1</v>
      </c>
      <c r="J1374" s="413" t="s">
        <v>472</v>
      </c>
      <c r="K1374" s="415">
        <v>0.0</v>
      </c>
      <c r="L1374" s="415">
        <v>0.0</v>
      </c>
      <c r="M1374" s="413" t="s">
        <v>1120</v>
      </c>
      <c r="N1374" s="413" t="s">
        <v>2137</v>
      </c>
    </row>
    <row r="1375">
      <c r="A1375" s="409">
        <v>45987.0</v>
      </c>
      <c r="B1375" s="102">
        <v>2025.0</v>
      </c>
      <c r="C1375" s="410" t="s">
        <v>2056</v>
      </c>
      <c r="D1375" s="102" t="s">
        <v>723</v>
      </c>
      <c r="E1375" s="102" t="s">
        <v>137</v>
      </c>
      <c r="F1375" s="102" t="s">
        <v>703</v>
      </c>
      <c r="G1375" s="102" t="s">
        <v>724</v>
      </c>
      <c r="H1375" s="360">
        <v>3230.0</v>
      </c>
      <c r="I1375" s="411" t="b">
        <v>1</v>
      </c>
      <c r="J1375" s="102" t="s">
        <v>472</v>
      </c>
      <c r="K1375" s="360">
        <v>0.0</v>
      </c>
      <c r="L1375" s="360">
        <v>0.0</v>
      </c>
      <c r="M1375" s="102" t="s">
        <v>1120</v>
      </c>
      <c r="N1375" s="102" t="s">
        <v>2137</v>
      </c>
    </row>
    <row r="1376">
      <c r="A1376" s="412">
        <v>45987.0</v>
      </c>
      <c r="B1376" s="413">
        <v>2025.0</v>
      </c>
      <c r="C1376" s="414" t="s">
        <v>2056</v>
      </c>
      <c r="D1376" s="413" t="s">
        <v>710</v>
      </c>
      <c r="E1376" s="413" t="s">
        <v>137</v>
      </c>
      <c r="F1376" s="413" t="s">
        <v>703</v>
      </c>
      <c r="G1376" s="413" t="s">
        <v>715</v>
      </c>
      <c r="H1376" s="415">
        <v>952.0</v>
      </c>
      <c r="I1376" s="416" t="b">
        <v>0</v>
      </c>
      <c r="J1376" s="413" t="s">
        <v>472</v>
      </c>
      <c r="K1376" s="415">
        <v>0.0</v>
      </c>
      <c r="L1376" s="415">
        <v>952.0</v>
      </c>
      <c r="M1376" s="413" t="s">
        <v>1120</v>
      </c>
      <c r="N1376" s="413" t="s">
        <v>2138</v>
      </c>
    </row>
    <row r="1377">
      <c r="A1377" s="409">
        <v>45987.0</v>
      </c>
      <c r="B1377" s="102">
        <v>2025.0</v>
      </c>
      <c r="C1377" s="410" t="s">
        <v>2056</v>
      </c>
      <c r="D1377" s="102" t="s">
        <v>702</v>
      </c>
      <c r="E1377" s="102" t="s">
        <v>465</v>
      </c>
      <c r="F1377" s="102" t="s">
        <v>703</v>
      </c>
      <c r="G1377" s="102" t="s">
        <v>732</v>
      </c>
      <c r="H1377" s="360">
        <v>1261.0</v>
      </c>
      <c r="I1377" s="411" t="b">
        <v>0</v>
      </c>
      <c r="J1377" s="102" t="s">
        <v>472</v>
      </c>
      <c r="K1377" s="360">
        <v>0.0</v>
      </c>
      <c r="L1377" s="360">
        <v>1261.0</v>
      </c>
      <c r="M1377" s="102" t="s">
        <v>1120</v>
      </c>
      <c r="N1377" s="102" t="s">
        <v>2139</v>
      </c>
    </row>
    <row r="1378">
      <c r="A1378" s="412">
        <v>45987.0</v>
      </c>
      <c r="B1378" s="413">
        <v>2025.0</v>
      </c>
      <c r="C1378" s="414" t="s">
        <v>2056</v>
      </c>
      <c r="D1378" s="413" t="s">
        <v>702</v>
      </c>
      <c r="E1378" s="413" t="s">
        <v>465</v>
      </c>
      <c r="F1378" s="413" t="s">
        <v>711</v>
      </c>
      <c r="G1378" s="413" t="s">
        <v>730</v>
      </c>
      <c r="H1378" s="415">
        <v>37.0</v>
      </c>
      <c r="I1378" s="416" t="b">
        <v>0</v>
      </c>
      <c r="J1378" s="413" t="s">
        <v>472</v>
      </c>
      <c r="K1378" s="415">
        <v>5.103448275862068</v>
      </c>
      <c r="L1378" s="415">
        <v>31.896551724137932</v>
      </c>
      <c r="M1378" s="413" t="s">
        <v>1120</v>
      </c>
      <c r="N1378" s="413" t="s">
        <v>2140</v>
      </c>
    </row>
    <row r="1379">
      <c r="A1379" s="409">
        <v>45987.0</v>
      </c>
      <c r="B1379" s="102">
        <v>2025.0</v>
      </c>
      <c r="C1379" s="410" t="s">
        <v>2056</v>
      </c>
      <c r="D1379" s="102" t="s">
        <v>702</v>
      </c>
      <c r="E1379" s="102" t="s">
        <v>465</v>
      </c>
      <c r="F1379" s="102" t="s">
        <v>703</v>
      </c>
      <c r="G1379" s="102" t="s">
        <v>740</v>
      </c>
      <c r="H1379" s="360">
        <v>118.0</v>
      </c>
      <c r="I1379" s="411" t="b">
        <v>0</v>
      </c>
      <c r="J1379" s="102" t="s">
        <v>472</v>
      </c>
      <c r="K1379" s="360">
        <v>0.0</v>
      </c>
      <c r="L1379" s="360">
        <v>118.0</v>
      </c>
      <c r="M1379" s="102" t="s">
        <v>1120</v>
      </c>
      <c r="N1379" s="102" t="s">
        <v>2141</v>
      </c>
    </row>
    <row r="1380">
      <c r="A1380" s="412">
        <v>45987.0</v>
      </c>
      <c r="B1380" s="413">
        <v>2025.0</v>
      </c>
      <c r="C1380" s="414" t="s">
        <v>2056</v>
      </c>
      <c r="D1380" s="413" t="s">
        <v>702</v>
      </c>
      <c r="E1380" s="413" t="s">
        <v>465</v>
      </c>
      <c r="F1380" s="413" t="s">
        <v>703</v>
      </c>
      <c r="G1380" s="413" t="s">
        <v>1945</v>
      </c>
      <c r="H1380" s="415">
        <v>1774.0</v>
      </c>
      <c r="I1380" s="416" t="b">
        <v>0</v>
      </c>
      <c r="J1380" s="413" t="s">
        <v>472</v>
      </c>
      <c r="K1380" s="415">
        <v>0.0</v>
      </c>
      <c r="L1380" s="415">
        <v>1774.0</v>
      </c>
      <c r="M1380" s="413" t="s">
        <v>1120</v>
      </c>
      <c r="N1380" s="413" t="s">
        <v>2142</v>
      </c>
    </row>
    <row r="1381">
      <c r="A1381" s="409">
        <v>45987.0</v>
      </c>
      <c r="B1381" s="102">
        <v>2025.0</v>
      </c>
      <c r="C1381" s="410" t="s">
        <v>2056</v>
      </c>
      <c r="D1381" s="102" t="s">
        <v>702</v>
      </c>
      <c r="E1381" s="102" t="s">
        <v>465</v>
      </c>
      <c r="F1381" s="102" t="s">
        <v>711</v>
      </c>
      <c r="G1381" s="102" t="s">
        <v>767</v>
      </c>
      <c r="H1381" s="360">
        <v>1050.0</v>
      </c>
      <c r="I1381" s="411" t="b">
        <v>0</v>
      </c>
      <c r="J1381" s="102" t="s">
        <v>2143</v>
      </c>
      <c r="K1381" s="360">
        <v>144.8275862068965</v>
      </c>
      <c r="L1381" s="360">
        <v>905.1724137931035</v>
      </c>
      <c r="M1381" s="102" t="s">
        <v>1120</v>
      </c>
      <c r="N1381" s="102" t="s">
        <v>2144</v>
      </c>
    </row>
    <row r="1382">
      <c r="A1382" s="412">
        <v>45988.0</v>
      </c>
      <c r="B1382" s="413">
        <v>2025.0</v>
      </c>
      <c r="C1382" s="414" t="s">
        <v>2056</v>
      </c>
      <c r="D1382" s="413" t="s">
        <v>710</v>
      </c>
      <c r="E1382" s="413" t="s">
        <v>137</v>
      </c>
      <c r="F1382" s="413" t="s">
        <v>703</v>
      </c>
      <c r="G1382" s="413" t="s">
        <v>715</v>
      </c>
      <c r="H1382" s="415">
        <v>200.0</v>
      </c>
      <c r="I1382" s="416" t="b">
        <v>0</v>
      </c>
      <c r="J1382" s="413" t="s">
        <v>472</v>
      </c>
      <c r="K1382" s="415">
        <v>0.0</v>
      </c>
      <c r="L1382" s="415">
        <v>200.0</v>
      </c>
      <c r="M1382" s="413" t="s">
        <v>1120</v>
      </c>
      <c r="N1382" s="413" t="s">
        <v>2145</v>
      </c>
    </row>
    <row r="1383">
      <c r="A1383" s="409">
        <v>45988.0</v>
      </c>
      <c r="B1383" s="102">
        <v>2025.0</v>
      </c>
      <c r="C1383" s="410" t="s">
        <v>2056</v>
      </c>
      <c r="D1383" s="102" t="s">
        <v>710</v>
      </c>
      <c r="E1383" s="102" t="s">
        <v>137</v>
      </c>
      <c r="F1383" s="102" t="s">
        <v>703</v>
      </c>
      <c r="G1383" s="102" t="s">
        <v>715</v>
      </c>
      <c r="H1383" s="360">
        <v>155.0</v>
      </c>
      <c r="I1383" s="411" t="b">
        <v>0</v>
      </c>
      <c r="J1383" s="102" t="s">
        <v>472</v>
      </c>
      <c r="K1383" s="360">
        <v>0.0</v>
      </c>
      <c r="L1383" s="360">
        <v>155.0</v>
      </c>
      <c r="M1383" s="102" t="s">
        <v>1120</v>
      </c>
      <c r="N1383" s="102" t="s">
        <v>2146</v>
      </c>
    </row>
    <row r="1384">
      <c r="A1384" s="412">
        <v>45988.0</v>
      </c>
      <c r="B1384" s="413">
        <v>2025.0</v>
      </c>
      <c r="C1384" s="414" t="s">
        <v>2056</v>
      </c>
      <c r="D1384" s="413" t="s">
        <v>710</v>
      </c>
      <c r="E1384" s="413" t="s">
        <v>137</v>
      </c>
      <c r="F1384" s="413" t="s">
        <v>711</v>
      </c>
      <c r="G1384" s="413" t="s">
        <v>740</v>
      </c>
      <c r="H1384" s="415">
        <v>17.0</v>
      </c>
      <c r="I1384" s="416" t="b">
        <v>0</v>
      </c>
      <c r="J1384" s="413" t="s">
        <v>472</v>
      </c>
      <c r="K1384" s="415">
        <v>0.0</v>
      </c>
      <c r="L1384" s="415">
        <v>17.0</v>
      </c>
      <c r="M1384" s="413" t="s">
        <v>1120</v>
      </c>
      <c r="N1384" s="413" t="s">
        <v>2147</v>
      </c>
    </row>
    <row r="1385">
      <c r="A1385" s="409">
        <v>45991.0</v>
      </c>
      <c r="B1385" s="102">
        <v>2025.0</v>
      </c>
      <c r="C1385" s="410" t="s">
        <v>2056</v>
      </c>
      <c r="D1385" s="102" t="s">
        <v>710</v>
      </c>
      <c r="E1385" s="102" t="s">
        <v>137</v>
      </c>
      <c r="F1385" s="102" t="s">
        <v>703</v>
      </c>
      <c r="G1385" s="102" t="s">
        <v>715</v>
      </c>
      <c r="H1385" s="360">
        <v>128.0</v>
      </c>
      <c r="I1385" s="411" t="b">
        <v>0</v>
      </c>
      <c r="J1385" s="102" t="s">
        <v>472</v>
      </c>
      <c r="K1385" s="360">
        <v>0.0</v>
      </c>
      <c r="L1385" s="360">
        <v>128.0</v>
      </c>
      <c r="M1385" s="102" t="s">
        <v>1120</v>
      </c>
      <c r="N1385" s="102" t="s">
        <v>2148</v>
      </c>
    </row>
    <row r="1386">
      <c r="A1386" s="412">
        <v>45991.0</v>
      </c>
      <c r="B1386" s="413">
        <v>2025.0</v>
      </c>
      <c r="C1386" s="414" t="s">
        <v>2056</v>
      </c>
      <c r="D1386" s="413" t="s">
        <v>710</v>
      </c>
      <c r="E1386" s="413" t="s">
        <v>137</v>
      </c>
      <c r="F1386" s="413" t="s">
        <v>703</v>
      </c>
      <c r="G1386" s="413" t="s">
        <v>732</v>
      </c>
      <c r="H1386" s="415">
        <v>136.0</v>
      </c>
      <c r="I1386" s="416" t="b">
        <v>0</v>
      </c>
      <c r="J1386" s="413" t="s">
        <v>472</v>
      </c>
      <c r="K1386" s="415">
        <v>0.0</v>
      </c>
      <c r="L1386" s="415">
        <v>136.0</v>
      </c>
      <c r="M1386" s="413" t="s">
        <v>1120</v>
      </c>
      <c r="N1386" s="413" t="s">
        <v>2149</v>
      </c>
    </row>
    <row r="1387">
      <c r="A1387" s="409">
        <v>45993.0</v>
      </c>
      <c r="B1387" s="102">
        <v>2025.0</v>
      </c>
      <c r="C1387" s="410" t="s">
        <v>2150</v>
      </c>
      <c r="D1387" s="102" t="s">
        <v>710</v>
      </c>
      <c r="E1387" s="102" t="s">
        <v>137</v>
      </c>
      <c r="F1387" s="102" t="s">
        <v>711</v>
      </c>
      <c r="G1387" s="102" t="s">
        <v>740</v>
      </c>
      <c r="H1387" s="360">
        <v>20.0</v>
      </c>
      <c r="I1387" s="411" t="b">
        <v>0</v>
      </c>
      <c r="J1387" s="102" t="s">
        <v>472</v>
      </c>
      <c r="K1387" s="360">
        <v>0.0</v>
      </c>
      <c r="L1387" s="360">
        <v>20.0</v>
      </c>
      <c r="M1387" s="102" t="s">
        <v>1120</v>
      </c>
      <c r="N1387" s="102" t="s">
        <v>2151</v>
      </c>
    </row>
    <row r="1388">
      <c r="A1388" s="412">
        <v>45993.0</v>
      </c>
      <c r="B1388" s="413">
        <v>2025.0</v>
      </c>
      <c r="C1388" s="414" t="s">
        <v>2150</v>
      </c>
      <c r="D1388" s="413" t="s">
        <v>710</v>
      </c>
      <c r="E1388" s="413" t="s">
        <v>137</v>
      </c>
      <c r="F1388" s="413" t="s">
        <v>711</v>
      </c>
      <c r="G1388" s="413" t="s">
        <v>740</v>
      </c>
      <c r="H1388" s="415">
        <v>20.0</v>
      </c>
      <c r="I1388" s="416" t="b">
        <v>0</v>
      </c>
      <c r="J1388" s="413" t="s">
        <v>472</v>
      </c>
      <c r="K1388" s="415">
        <v>0.0</v>
      </c>
      <c r="L1388" s="415">
        <v>20.0</v>
      </c>
      <c r="M1388" s="413" t="s">
        <v>1120</v>
      </c>
      <c r="N1388" s="413" t="s">
        <v>2152</v>
      </c>
    </row>
    <row r="1389">
      <c r="A1389" s="409">
        <v>45993.0</v>
      </c>
      <c r="B1389" s="102">
        <v>2025.0</v>
      </c>
      <c r="C1389" s="410" t="s">
        <v>2150</v>
      </c>
      <c r="D1389" s="102" t="s">
        <v>710</v>
      </c>
      <c r="E1389" s="102" t="s">
        <v>137</v>
      </c>
      <c r="F1389" s="102" t="s">
        <v>703</v>
      </c>
      <c r="G1389" s="102" t="s">
        <v>715</v>
      </c>
      <c r="H1389" s="360">
        <v>350.0</v>
      </c>
      <c r="I1389" s="411" t="b">
        <v>0</v>
      </c>
      <c r="J1389" s="102" t="s">
        <v>2018</v>
      </c>
      <c r="K1389" s="360">
        <v>0.0</v>
      </c>
      <c r="L1389" s="360">
        <v>350.0</v>
      </c>
      <c r="M1389" s="102" t="s">
        <v>1120</v>
      </c>
      <c r="N1389" s="102" t="s">
        <v>2153</v>
      </c>
    </row>
    <row r="1390">
      <c r="A1390" s="412">
        <v>45993.0</v>
      </c>
      <c r="B1390" s="413">
        <v>2025.0</v>
      </c>
      <c r="C1390" s="414" t="s">
        <v>2150</v>
      </c>
      <c r="D1390" s="413" t="s">
        <v>710</v>
      </c>
      <c r="E1390" s="413" t="s">
        <v>137</v>
      </c>
      <c r="F1390" s="413" t="s">
        <v>703</v>
      </c>
      <c r="G1390" s="413" t="s">
        <v>715</v>
      </c>
      <c r="H1390" s="415">
        <v>8.0</v>
      </c>
      <c r="I1390" s="416" t="b">
        <v>0</v>
      </c>
      <c r="J1390" s="413" t="s">
        <v>472</v>
      </c>
      <c r="K1390" s="415">
        <v>0.0</v>
      </c>
      <c r="L1390" s="415">
        <v>8.0</v>
      </c>
      <c r="M1390" s="413" t="s">
        <v>1120</v>
      </c>
      <c r="N1390" s="413" t="s">
        <v>2154</v>
      </c>
    </row>
    <row r="1391">
      <c r="A1391" s="409">
        <v>45993.0</v>
      </c>
      <c r="B1391" s="102">
        <v>2025.0</v>
      </c>
      <c r="C1391" s="410" t="s">
        <v>2150</v>
      </c>
      <c r="D1391" s="102" t="s">
        <v>710</v>
      </c>
      <c r="E1391" s="102" t="s">
        <v>137</v>
      </c>
      <c r="F1391" s="102" t="s">
        <v>711</v>
      </c>
      <c r="G1391" s="102" t="s">
        <v>767</v>
      </c>
      <c r="H1391" s="360">
        <v>800.0</v>
      </c>
      <c r="I1391" s="411" t="b">
        <v>0</v>
      </c>
      <c r="J1391" s="102" t="s">
        <v>1148</v>
      </c>
      <c r="K1391" s="360">
        <v>0.0</v>
      </c>
      <c r="L1391" s="360">
        <v>800.0</v>
      </c>
      <c r="M1391" s="102" t="s">
        <v>1120</v>
      </c>
      <c r="N1391" s="102" t="s">
        <v>2155</v>
      </c>
    </row>
    <row r="1392">
      <c r="A1392" s="412">
        <v>45993.0</v>
      </c>
      <c r="B1392" s="413">
        <v>2025.0</v>
      </c>
      <c r="C1392" s="414" t="s">
        <v>2150</v>
      </c>
      <c r="D1392" s="413" t="s">
        <v>710</v>
      </c>
      <c r="E1392" s="413" t="s">
        <v>137</v>
      </c>
      <c r="F1392" s="413" t="s">
        <v>711</v>
      </c>
      <c r="G1392" s="413" t="s">
        <v>767</v>
      </c>
      <c r="H1392" s="415">
        <v>550.0</v>
      </c>
      <c r="I1392" s="416" t="b">
        <v>0</v>
      </c>
      <c r="J1392" s="413" t="s">
        <v>1184</v>
      </c>
      <c r="K1392" s="415">
        <v>0.0</v>
      </c>
      <c r="L1392" s="415">
        <v>550.0</v>
      </c>
      <c r="M1392" s="413" t="s">
        <v>1120</v>
      </c>
      <c r="N1392" s="413" t="s">
        <v>2156</v>
      </c>
    </row>
    <row r="1393">
      <c r="A1393" s="409">
        <v>45994.0</v>
      </c>
      <c r="B1393" s="102">
        <v>2025.0</v>
      </c>
      <c r="C1393" s="410" t="s">
        <v>2150</v>
      </c>
      <c r="D1393" s="102" t="s">
        <v>723</v>
      </c>
      <c r="E1393" s="102" t="s">
        <v>137</v>
      </c>
      <c r="F1393" s="102" t="s">
        <v>711</v>
      </c>
      <c r="G1393" s="102" t="s">
        <v>767</v>
      </c>
      <c r="H1393" s="360">
        <v>800.0</v>
      </c>
      <c r="I1393" s="411" t="b">
        <v>0</v>
      </c>
      <c r="J1393" s="102" t="s">
        <v>2157</v>
      </c>
      <c r="K1393" s="360">
        <v>0.0</v>
      </c>
      <c r="L1393" s="360">
        <v>800.0</v>
      </c>
      <c r="M1393" s="102" t="s">
        <v>1120</v>
      </c>
      <c r="N1393" s="102" t="s">
        <v>2158</v>
      </c>
    </row>
    <row r="1394">
      <c r="A1394" s="412">
        <v>45994.0</v>
      </c>
      <c r="B1394" s="413">
        <v>2025.0</v>
      </c>
      <c r="C1394" s="414" t="s">
        <v>2150</v>
      </c>
      <c r="D1394" s="413" t="s">
        <v>723</v>
      </c>
      <c r="E1394" s="413" t="s">
        <v>137</v>
      </c>
      <c r="F1394" s="413" t="s">
        <v>711</v>
      </c>
      <c r="G1394" s="413" t="s">
        <v>767</v>
      </c>
      <c r="H1394" s="415">
        <v>1300.0</v>
      </c>
      <c r="I1394" s="416" t="b">
        <v>0</v>
      </c>
      <c r="J1394" s="413" t="s">
        <v>1248</v>
      </c>
      <c r="K1394" s="415">
        <v>0.0</v>
      </c>
      <c r="L1394" s="415">
        <v>1300.0</v>
      </c>
      <c r="M1394" s="413" t="s">
        <v>1120</v>
      </c>
      <c r="N1394" s="413" t="s">
        <v>2159</v>
      </c>
    </row>
    <row r="1395">
      <c r="A1395" s="409">
        <v>45994.0</v>
      </c>
      <c r="B1395" s="102">
        <v>2025.0</v>
      </c>
      <c r="C1395" s="410" t="s">
        <v>2150</v>
      </c>
      <c r="D1395" s="102" t="s">
        <v>723</v>
      </c>
      <c r="E1395" s="102" t="s">
        <v>137</v>
      </c>
      <c r="F1395" s="102" t="s">
        <v>711</v>
      </c>
      <c r="G1395" s="102" t="s">
        <v>767</v>
      </c>
      <c r="H1395" s="360">
        <v>1250.0</v>
      </c>
      <c r="I1395" s="411" t="b">
        <v>0</v>
      </c>
      <c r="J1395" s="102" t="s">
        <v>2160</v>
      </c>
      <c r="K1395" s="360">
        <v>0.0</v>
      </c>
      <c r="L1395" s="360">
        <v>1250.0</v>
      </c>
      <c r="M1395" s="102" t="s">
        <v>1120</v>
      </c>
      <c r="N1395" s="102" t="s">
        <v>2161</v>
      </c>
    </row>
    <row r="1396">
      <c r="A1396" s="412">
        <v>45994.0</v>
      </c>
      <c r="B1396" s="413">
        <v>2025.0</v>
      </c>
      <c r="C1396" s="414" t="s">
        <v>2150</v>
      </c>
      <c r="D1396" s="413" t="s">
        <v>702</v>
      </c>
      <c r="E1396" s="413" t="s">
        <v>465</v>
      </c>
      <c r="F1396" s="413" t="s">
        <v>711</v>
      </c>
      <c r="G1396" s="413" t="s">
        <v>767</v>
      </c>
      <c r="H1396" s="415">
        <v>2000.0</v>
      </c>
      <c r="I1396" s="416" t="b">
        <v>0</v>
      </c>
      <c r="J1396" s="413" t="s">
        <v>1753</v>
      </c>
      <c r="K1396" s="415">
        <v>275.8620689655172</v>
      </c>
      <c r="L1396" s="415">
        <v>1724.1379310344828</v>
      </c>
      <c r="M1396" s="413" t="s">
        <v>1120</v>
      </c>
      <c r="N1396" s="413" t="s">
        <v>2162</v>
      </c>
    </row>
    <row r="1397">
      <c r="A1397" s="409">
        <v>45994.0</v>
      </c>
      <c r="B1397" s="102">
        <v>2025.0</v>
      </c>
      <c r="C1397" s="410" t="s">
        <v>2150</v>
      </c>
      <c r="D1397" s="102" t="s">
        <v>702</v>
      </c>
      <c r="E1397" s="102" t="s">
        <v>465</v>
      </c>
      <c r="F1397" s="102" t="s">
        <v>703</v>
      </c>
      <c r="G1397" s="102" t="s">
        <v>715</v>
      </c>
      <c r="H1397" s="360">
        <v>200.0</v>
      </c>
      <c r="I1397" s="411" t="b">
        <v>0</v>
      </c>
      <c r="J1397" s="102" t="s">
        <v>1547</v>
      </c>
      <c r="K1397" s="360">
        <v>0.0</v>
      </c>
      <c r="L1397" s="360">
        <v>200.0</v>
      </c>
      <c r="M1397" s="102" t="s">
        <v>1120</v>
      </c>
      <c r="N1397" s="102" t="s">
        <v>2163</v>
      </c>
    </row>
    <row r="1398">
      <c r="A1398" s="412">
        <v>45994.0</v>
      </c>
      <c r="B1398" s="413">
        <v>2025.0</v>
      </c>
      <c r="C1398" s="414" t="s">
        <v>2150</v>
      </c>
      <c r="D1398" s="413" t="s">
        <v>702</v>
      </c>
      <c r="E1398" s="413" t="s">
        <v>465</v>
      </c>
      <c r="F1398" s="413" t="s">
        <v>703</v>
      </c>
      <c r="G1398" s="413" t="s">
        <v>715</v>
      </c>
      <c r="H1398" s="415">
        <v>7566.0</v>
      </c>
      <c r="I1398" s="416" t="b">
        <v>0</v>
      </c>
      <c r="J1398" s="413" t="s">
        <v>2164</v>
      </c>
      <c r="K1398" s="415">
        <v>0.0</v>
      </c>
      <c r="L1398" s="415">
        <v>7566.0</v>
      </c>
      <c r="M1398" s="413" t="s">
        <v>1120</v>
      </c>
      <c r="N1398" s="413" t="s">
        <v>2165</v>
      </c>
    </row>
    <row r="1399">
      <c r="A1399" s="409">
        <v>45994.0</v>
      </c>
      <c r="B1399" s="102">
        <v>2025.0</v>
      </c>
      <c r="C1399" s="410" t="s">
        <v>2150</v>
      </c>
      <c r="D1399" s="102" t="s">
        <v>710</v>
      </c>
      <c r="E1399" s="102" t="s">
        <v>137</v>
      </c>
      <c r="F1399" s="102" t="s">
        <v>711</v>
      </c>
      <c r="G1399" s="102" t="s">
        <v>767</v>
      </c>
      <c r="H1399" s="360">
        <v>100.0</v>
      </c>
      <c r="I1399" s="411" t="b">
        <v>0</v>
      </c>
      <c r="J1399" s="102" t="s">
        <v>1899</v>
      </c>
      <c r="K1399" s="360">
        <v>0.0</v>
      </c>
      <c r="L1399" s="360">
        <v>100.0</v>
      </c>
      <c r="M1399" s="102" t="s">
        <v>1120</v>
      </c>
      <c r="N1399" s="102" t="s">
        <v>2166</v>
      </c>
    </row>
    <row r="1400">
      <c r="A1400" s="412">
        <v>45994.0</v>
      </c>
      <c r="B1400" s="413">
        <v>2025.0</v>
      </c>
      <c r="C1400" s="414" t="s">
        <v>2150</v>
      </c>
      <c r="D1400" s="413" t="s">
        <v>723</v>
      </c>
      <c r="E1400" s="413" t="s">
        <v>137</v>
      </c>
      <c r="F1400" s="413" t="s">
        <v>711</v>
      </c>
      <c r="G1400" s="413" t="s">
        <v>740</v>
      </c>
      <c r="H1400" s="415">
        <v>45.0</v>
      </c>
      <c r="I1400" s="416" t="b">
        <v>0</v>
      </c>
      <c r="J1400" s="413" t="s">
        <v>472</v>
      </c>
      <c r="K1400" s="415">
        <v>0.0</v>
      </c>
      <c r="L1400" s="415">
        <v>45.0</v>
      </c>
      <c r="M1400" s="413" t="s">
        <v>1120</v>
      </c>
      <c r="N1400" s="413" t="s">
        <v>2167</v>
      </c>
    </row>
    <row r="1401">
      <c r="A1401" s="409">
        <v>45994.0</v>
      </c>
      <c r="B1401" s="102">
        <v>2025.0</v>
      </c>
      <c r="C1401" s="410" t="s">
        <v>2150</v>
      </c>
      <c r="D1401" s="102" t="s">
        <v>723</v>
      </c>
      <c r="E1401" s="102" t="s">
        <v>137</v>
      </c>
      <c r="F1401" s="102" t="s">
        <v>711</v>
      </c>
      <c r="G1401" s="102" t="s">
        <v>767</v>
      </c>
      <c r="H1401" s="360">
        <v>800.0</v>
      </c>
      <c r="I1401" s="411" t="b">
        <v>0</v>
      </c>
      <c r="J1401" s="102" t="s">
        <v>1655</v>
      </c>
      <c r="K1401" s="360">
        <v>0.0</v>
      </c>
      <c r="L1401" s="360">
        <v>800.0</v>
      </c>
      <c r="M1401" s="102" t="s">
        <v>1120</v>
      </c>
      <c r="N1401" s="102" t="s">
        <v>2168</v>
      </c>
    </row>
    <row r="1402">
      <c r="A1402" s="412">
        <v>45994.0</v>
      </c>
      <c r="B1402" s="413">
        <v>2025.0</v>
      </c>
      <c r="C1402" s="414" t="s">
        <v>2150</v>
      </c>
      <c r="D1402" s="413" t="s">
        <v>723</v>
      </c>
      <c r="E1402" s="413" t="s">
        <v>137</v>
      </c>
      <c r="F1402" s="413" t="s">
        <v>711</v>
      </c>
      <c r="G1402" s="413" t="s">
        <v>767</v>
      </c>
      <c r="H1402" s="415">
        <v>950.0</v>
      </c>
      <c r="I1402" s="416" t="b">
        <v>0</v>
      </c>
      <c r="J1402" s="413" t="s">
        <v>1232</v>
      </c>
      <c r="K1402" s="415">
        <v>0.0</v>
      </c>
      <c r="L1402" s="415">
        <v>950.0</v>
      </c>
      <c r="M1402" s="413" t="s">
        <v>1120</v>
      </c>
      <c r="N1402" s="413" t="s">
        <v>2169</v>
      </c>
    </row>
    <row r="1403">
      <c r="A1403" s="409">
        <v>45996.0</v>
      </c>
      <c r="B1403" s="102">
        <v>2025.0</v>
      </c>
      <c r="C1403" s="410" t="s">
        <v>2150</v>
      </c>
      <c r="D1403" s="102" t="s">
        <v>723</v>
      </c>
      <c r="E1403" s="102" t="s">
        <v>137</v>
      </c>
      <c r="F1403" s="102" t="s">
        <v>711</v>
      </c>
      <c r="G1403" s="102" t="s">
        <v>767</v>
      </c>
      <c r="H1403" s="360">
        <v>800.0</v>
      </c>
      <c r="I1403" s="411" t="b">
        <v>0</v>
      </c>
      <c r="J1403" s="102" t="s">
        <v>2073</v>
      </c>
      <c r="K1403" s="360">
        <v>0.0</v>
      </c>
      <c r="L1403" s="360">
        <v>800.0</v>
      </c>
      <c r="M1403" s="102" t="s">
        <v>1120</v>
      </c>
      <c r="N1403" s="102" t="s">
        <v>2170</v>
      </c>
    </row>
    <row r="1404">
      <c r="A1404" s="412">
        <v>45996.0</v>
      </c>
      <c r="B1404" s="413">
        <v>2025.0</v>
      </c>
      <c r="C1404" s="414" t="s">
        <v>2150</v>
      </c>
      <c r="D1404" s="413" t="s">
        <v>702</v>
      </c>
      <c r="E1404" s="413" t="s">
        <v>465</v>
      </c>
      <c r="F1404" s="413" t="s">
        <v>711</v>
      </c>
      <c r="G1404" s="413" t="s">
        <v>767</v>
      </c>
      <c r="H1404" s="415">
        <v>911.0</v>
      </c>
      <c r="I1404" s="416" t="b">
        <v>0</v>
      </c>
      <c r="J1404" s="413" t="s">
        <v>1224</v>
      </c>
      <c r="K1404" s="415">
        <v>125.65517241379303</v>
      </c>
      <c r="L1404" s="415">
        <v>785.344827586207</v>
      </c>
      <c r="M1404" s="413" t="s">
        <v>1120</v>
      </c>
      <c r="N1404" s="413" t="s">
        <v>2171</v>
      </c>
    </row>
    <row r="1405">
      <c r="A1405" s="409">
        <v>45996.0</v>
      </c>
      <c r="B1405" s="102">
        <v>2025.0</v>
      </c>
      <c r="C1405" s="410" t="s">
        <v>2150</v>
      </c>
      <c r="D1405" s="102" t="s">
        <v>710</v>
      </c>
      <c r="E1405" s="102" t="s">
        <v>137</v>
      </c>
      <c r="F1405" s="102" t="s">
        <v>703</v>
      </c>
      <c r="G1405" s="102" t="s">
        <v>715</v>
      </c>
      <c r="H1405" s="360">
        <v>200.0</v>
      </c>
      <c r="I1405" s="411" t="b">
        <v>0</v>
      </c>
      <c r="J1405" s="102" t="s">
        <v>472</v>
      </c>
      <c r="K1405" s="360">
        <v>0.0</v>
      </c>
      <c r="L1405" s="360">
        <v>200.0</v>
      </c>
      <c r="M1405" s="102" t="s">
        <v>1120</v>
      </c>
      <c r="N1405" s="102" t="s">
        <v>2172</v>
      </c>
    </row>
    <row r="1406">
      <c r="A1406" s="412">
        <v>45996.0</v>
      </c>
      <c r="B1406" s="413">
        <v>2025.0</v>
      </c>
      <c r="C1406" s="414" t="s">
        <v>2150</v>
      </c>
      <c r="D1406" s="413" t="s">
        <v>710</v>
      </c>
      <c r="E1406" s="413" t="s">
        <v>137</v>
      </c>
      <c r="F1406" s="413" t="s">
        <v>703</v>
      </c>
      <c r="G1406" s="413" t="s">
        <v>715</v>
      </c>
      <c r="H1406" s="415">
        <v>136.0</v>
      </c>
      <c r="I1406" s="416" t="b">
        <v>0</v>
      </c>
      <c r="J1406" s="413" t="s">
        <v>472</v>
      </c>
      <c r="K1406" s="415">
        <v>0.0</v>
      </c>
      <c r="L1406" s="415">
        <v>136.0</v>
      </c>
      <c r="M1406" s="413" t="s">
        <v>1120</v>
      </c>
      <c r="N1406" s="413" t="s">
        <v>2173</v>
      </c>
    </row>
    <row r="1407">
      <c r="A1407" s="409">
        <v>45996.0</v>
      </c>
      <c r="B1407" s="102">
        <v>2025.0</v>
      </c>
      <c r="C1407" s="410" t="s">
        <v>2150</v>
      </c>
      <c r="D1407" s="102" t="s">
        <v>702</v>
      </c>
      <c r="E1407" s="102" t="s">
        <v>465</v>
      </c>
      <c r="F1407" s="102" t="s">
        <v>703</v>
      </c>
      <c r="G1407" s="102" t="s">
        <v>747</v>
      </c>
      <c r="H1407" s="360">
        <v>695.0</v>
      </c>
      <c r="I1407" s="411" t="b">
        <v>0</v>
      </c>
      <c r="J1407" s="102" t="s">
        <v>460</v>
      </c>
      <c r="K1407" s="360">
        <v>0.0</v>
      </c>
      <c r="L1407" s="360">
        <v>695.0</v>
      </c>
      <c r="M1407" s="102" t="s">
        <v>1120</v>
      </c>
      <c r="N1407" s="102" t="s">
        <v>2174</v>
      </c>
    </row>
    <row r="1408">
      <c r="A1408" s="412">
        <v>45996.0</v>
      </c>
      <c r="B1408" s="413">
        <v>2025.0</v>
      </c>
      <c r="C1408" s="414" t="s">
        <v>2150</v>
      </c>
      <c r="D1408" s="413" t="s">
        <v>702</v>
      </c>
      <c r="E1408" s="413" t="s">
        <v>465</v>
      </c>
      <c r="F1408" s="413" t="s">
        <v>703</v>
      </c>
      <c r="G1408" s="413" t="s">
        <v>769</v>
      </c>
      <c r="H1408" s="415">
        <v>9280.0</v>
      </c>
      <c r="I1408" s="416" t="b">
        <v>0</v>
      </c>
      <c r="J1408" s="413" t="s">
        <v>472</v>
      </c>
      <c r="K1408" s="415">
        <v>0.0</v>
      </c>
      <c r="L1408" s="415">
        <v>9280.0</v>
      </c>
      <c r="M1408" s="413" t="s">
        <v>1120</v>
      </c>
      <c r="N1408" s="413" t="s">
        <v>2175</v>
      </c>
    </row>
    <row r="1409">
      <c r="A1409" s="409">
        <v>45996.0</v>
      </c>
      <c r="B1409" s="102">
        <v>2025.0</v>
      </c>
      <c r="C1409" s="410" t="s">
        <v>2150</v>
      </c>
      <c r="D1409" s="102" t="s">
        <v>723</v>
      </c>
      <c r="E1409" s="102" t="s">
        <v>137</v>
      </c>
      <c r="F1409" s="102" t="s">
        <v>711</v>
      </c>
      <c r="G1409" s="102" t="s">
        <v>767</v>
      </c>
      <c r="H1409" s="360">
        <v>550.0</v>
      </c>
      <c r="I1409" s="411" t="b">
        <v>0</v>
      </c>
      <c r="J1409" s="102" t="s">
        <v>1213</v>
      </c>
      <c r="K1409" s="360">
        <v>0.0</v>
      </c>
      <c r="L1409" s="360">
        <v>550.0</v>
      </c>
      <c r="M1409" s="102" t="s">
        <v>1120</v>
      </c>
      <c r="N1409" s="102" t="s">
        <v>2176</v>
      </c>
    </row>
    <row r="1410">
      <c r="A1410" s="412">
        <v>45996.0</v>
      </c>
      <c r="B1410" s="413">
        <v>2025.0</v>
      </c>
      <c r="C1410" s="414" t="s">
        <v>2150</v>
      </c>
      <c r="D1410" s="413" t="s">
        <v>702</v>
      </c>
      <c r="E1410" s="413" t="s">
        <v>465</v>
      </c>
      <c r="F1410" s="413" t="s">
        <v>711</v>
      </c>
      <c r="G1410" s="413" t="s">
        <v>734</v>
      </c>
      <c r="H1410" s="415">
        <v>360.0</v>
      </c>
      <c r="I1410" s="416" t="b">
        <v>0</v>
      </c>
      <c r="J1410" s="413" t="s">
        <v>1967</v>
      </c>
      <c r="K1410" s="415">
        <v>49.65517241379308</v>
      </c>
      <c r="L1410" s="415">
        <v>310.3448275862069</v>
      </c>
      <c r="M1410" s="413" t="s">
        <v>1120</v>
      </c>
      <c r="N1410" s="413" t="s">
        <v>2177</v>
      </c>
    </row>
    <row r="1411">
      <c r="A1411" s="409">
        <v>45996.0</v>
      </c>
      <c r="B1411" s="102">
        <v>2025.0</v>
      </c>
      <c r="C1411" s="410" t="s">
        <v>2150</v>
      </c>
      <c r="D1411" s="102" t="s">
        <v>723</v>
      </c>
      <c r="E1411" s="102" t="s">
        <v>137</v>
      </c>
      <c r="F1411" s="102" t="s">
        <v>711</v>
      </c>
      <c r="G1411" s="102" t="s">
        <v>767</v>
      </c>
      <c r="H1411" s="360">
        <v>150.0</v>
      </c>
      <c r="I1411" s="411" t="b">
        <v>0</v>
      </c>
      <c r="J1411" s="102" t="s">
        <v>1655</v>
      </c>
      <c r="K1411" s="360">
        <v>0.0</v>
      </c>
      <c r="L1411" s="360">
        <v>150.0</v>
      </c>
      <c r="M1411" s="102" t="s">
        <v>1120</v>
      </c>
      <c r="N1411" s="102" t="s">
        <v>2178</v>
      </c>
    </row>
    <row r="1412">
      <c r="A1412" s="412">
        <v>45996.0</v>
      </c>
      <c r="B1412" s="413">
        <v>2025.0</v>
      </c>
      <c r="C1412" s="414" t="s">
        <v>2150</v>
      </c>
      <c r="D1412" s="413" t="s">
        <v>723</v>
      </c>
      <c r="E1412" s="413" t="s">
        <v>137</v>
      </c>
      <c r="F1412" s="413" t="s">
        <v>711</v>
      </c>
      <c r="G1412" s="413" t="s">
        <v>767</v>
      </c>
      <c r="H1412" s="415">
        <v>950.0</v>
      </c>
      <c r="I1412" s="416" t="b">
        <v>0</v>
      </c>
      <c r="J1412" s="413" t="s">
        <v>1881</v>
      </c>
      <c r="K1412" s="415">
        <v>0.0</v>
      </c>
      <c r="L1412" s="415">
        <v>950.0</v>
      </c>
      <c r="M1412" s="413" t="s">
        <v>1120</v>
      </c>
      <c r="N1412" s="413" t="s">
        <v>2179</v>
      </c>
    </row>
    <row r="1413">
      <c r="A1413" s="409">
        <v>45996.0</v>
      </c>
      <c r="B1413" s="102">
        <v>2025.0</v>
      </c>
      <c r="C1413" s="410" t="s">
        <v>2150</v>
      </c>
      <c r="D1413" s="102" t="s">
        <v>702</v>
      </c>
      <c r="E1413" s="102" t="s">
        <v>465</v>
      </c>
      <c r="F1413" s="102" t="s">
        <v>711</v>
      </c>
      <c r="G1413" s="102" t="s">
        <v>767</v>
      </c>
      <c r="H1413" s="360">
        <v>1103.0</v>
      </c>
      <c r="I1413" s="411" t="b">
        <v>0</v>
      </c>
      <c r="J1413" s="102" t="s">
        <v>1820</v>
      </c>
      <c r="K1413" s="360">
        <v>152.13793103448268</v>
      </c>
      <c r="L1413" s="360">
        <v>950.8620689655173</v>
      </c>
      <c r="M1413" s="102" t="s">
        <v>1120</v>
      </c>
      <c r="N1413" s="102" t="s">
        <v>2180</v>
      </c>
    </row>
    <row r="1414">
      <c r="A1414" s="412">
        <v>45996.0</v>
      </c>
      <c r="B1414" s="413">
        <v>2025.0</v>
      </c>
      <c r="C1414" s="414" t="s">
        <v>2150</v>
      </c>
      <c r="D1414" s="413" t="s">
        <v>702</v>
      </c>
      <c r="E1414" s="413" t="s">
        <v>465</v>
      </c>
      <c r="F1414" s="413" t="s">
        <v>711</v>
      </c>
      <c r="G1414" s="413" t="s">
        <v>767</v>
      </c>
      <c r="H1414" s="415">
        <v>550.0</v>
      </c>
      <c r="I1414" s="416" t="b">
        <v>0</v>
      </c>
      <c r="J1414" s="413" t="s">
        <v>1415</v>
      </c>
      <c r="K1414" s="415">
        <v>75.86206896551721</v>
      </c>
      <c r="L1414" s="415">
        <v>474.1379310344828</v>
      </c>
      <c r="M1414" s="413" t="s">
        <v>1120</v>
      </c>
      <c r="N1414" s="413" t="s">
        <v>2181</v>
      </c>
    </row>
    <row r="1415">
      <c r="A1415" s="409">
        <v>45996.0</v>
      </c>
      <c r="B1415" s="102">
        <v>2025.0</v>
      </c>
      <c r="C1415" s="410" t="s">
        <v>2150</v>
      </c>
      <c r="D1415" s="102" t="s">
        <v>702</v>
      </c>
      <c r="E1415" s="102" t="s">
        <v>465</v>
      </c>
      <c r="F1415" s="102" t="s">
        <v>711</v>
      </c>
      <c r="G1415" s="102" t="s">
        <v>767</v>
      </c>
      <c r="H1415" s="360">
        <v>800.0</v>
      </c>
      <c r="I1415" s="411" t="b">
        <v>0</v>
      </c>
      <c r="J1415" s="102" t="s">
        <v>1950</v>
      </c>
      <c r="K1415" s="360">
        <v>110.34482758620686</v>
      </c>
      <c r="L1415" s="360">
        <v>689.6551724137931</v>
      </c>
      <c r="M1415" s="102" t="s">
        <v>1120</v>
      </c>
      <c r="N1415" s="102" t="s">
        <v>2182</v>
      </c>
    </row>
    <row r="1416">
      <c r="A1416" s="412">
        <v>45997.0</v>
      </c>
      <c r="B1416" s="413">
        <v>2025.0</v>
      </c>
      <c r="C1416" s="414" t="s">
        <v>2150</v>
      </c>
      <c r="D1416" s="413" t="s">
        <v>723</v>
      </c>
      <c r="E1416" s="413" t="s">
        <v>137</v>
      </c>
      <c r="F1416" s="413" t="s">
        <v>711</v>
      </c>
      <c r="G1416" s="413" t="s">
        <v>740</v>
      </c>
      <c r="H1416" s="415">
        <v>10.0</v>
      </c>
      <c r="I1416" s="416" t="b">
        <v>0</v>
      </c>
      <c r="J1416" s="413" t="s">
        <v>472</v>
      </c>
      <c r="K1416" s="415">
        <v>0.0</v>
      </c>
      <c r="L1416" s="415">
        <v>10.0</v>
      </c>
      <c r="M1416" s="413" t="s">
        <v>1120</v>
      </c>
      <c r="N1416" s="413" t="s">
        <v>2183</v>
      </c>
    </row>
    <row r="1417">
      <c r="A1417" s="409">
        <v>45997.0</v>
      </c>
      <c r="B1417" s="102">
        <v>2025.0</v>
      </c>
      <c r="C1417" s="410" t="s">
        <v>2150</v>
      </c>
      <c r="D1417" s="102" t="s">
        <v>723</v>
      </c>
      <c r="E1417" s="102" t="s">
        <v>137</v>
      </c>
      <c r="F1417" s="102" t="s">
        <v>703</v>
      </c>
      <c r="G1417" s="102" t="s">
        <v>715</v>
      </c>
      <c r="H1417" s="360">
        <v>1265.0</v>
      </c>
      <c r="I1417" s="411" t="b">
        <v>0</v>
      </c>
      <c r="J1417" s="102" t="s">
        <v>472</v>
      </c>
      <c r="K1417" s="360">
        <v>0.0</v>
      </c>
      <c r="L1417" s="360">
        <v>1265.0</v>
      </c>
      <c r="M1417" s="102" t="s">
        <v>1120</v>
      </c>
      <c r="N1417" s="102" t="s">
        <v>2184</v>
      </c>
    </row>
    <row r="1418">
      <c r="A1418" s="412">
        <v>45997.0</v>
      </c>
      <c r="B1418" s="413">
        <v>2025.0</v>
      </c>
      <c r="C1418" s="414" t="s">
        <v>2150</v>
      </c>
      <c r="D1418" s="413" t="s">
        <v>723</v>
      </c>
      <c r="E1418" s="413" t="s">
        <v>137</v>
      </c>
      <c r="F1418" s="413" t="s">
        <v>711</v>
      </c>
      <c r="G1418" s="413" t="s">
        <v>740</v>
      </c>
      <c r="H1418" s="415">
        <v>93.0</v>
      </c>
      <c r="I1418" s="416" t="b">
        <v>0</v>
      </c>
      <c r="J1418" s="413" t="s">
        <v>472</v>
      </c>
      <c r="K1418" s="415">
        <v>0.0</v>
      </c>
      <c r="L1418" s="415">
        <v>93.0</v>
      </c>
      <c r="M1418" s="413" t="s">
        <v>1120</v>
      </c>
      <c r="N1418" s="413" t="s">
        <v>2185</v>
      </c>
    </row>
    <row r="1419">
      <c r="A1419" s="409">
        <v>45997.0</v>
      </c>
      <c r="B1419" s="102">
        <v>2025.0</v>
      </c>
      <c r="C1419" s="410" t="s">
        <v>2150</v>
      </c>
      <c r="D1419" s="102" t="s">
        <v>723</v>
      </c>
      <c r="E1419" s="102" t="s">
        <v>137</v>
      </c>
      <c r="F1419" s="102" t="s">
        <v>711</v>
      </c>
      <c r="G1419" s="102" t="s">
        <v>724</v>
      </c>
      <c r="H1419" s="360">
        <v>1010.0</v>
      </c>
      <c r="I1419" s="411" t="b">
        <v>1</v>
      </c>
      <c r="J1419" s="102" t="s">
        <v>472</v>
      </c>
      <c r="K1419" s="360">
        <v>0.0</v>
      </c>
      <c r="L1419" s="360">
        <v>0.0</v>
      </c>
      <c r="M1419" s="102" t="s">
        <v>1120</v>
      </c>
      <c r="N1419" s="102" t="s">
        <v>2186</v>
      </c>
    </row>
    <row r="1420">
      <c r="A1420" s="412">
        <v>45997.0</v>
      </c>
      <c r="B1420" s="413">
        <v>2025.0</v>
      </c>
      <c r="C1420" s="414" t="s">
        <v>2150</v>
      </c>
      <c r="D1420" s="413" t="s">
        <v>710</v>
      </c>
      <c r="E1420" s="413" t="s">
        <v>137</v>
      </c>
      <c r="F1420" s="413" t="s">
        <v>703</v>
      </c>
      <c r="G1420" s="413" t="s">
        <v>724</v>
      </c>
      <c r="H1420" s="415">
        <v>1010.0</v>
      </c>
      <c r="I1420" s="416" t="b">
        <v>1</v>
      </c>
      <c r="J1420" s="413" t="s">
        <v>472</v>
      </c>
      <c r="K1420" s="415">
        <v>0.0</v>
      </c>
      <c r="L1420" s="415">
        <v>0.0</v>
      </c>
      <c r="M1420" s="413" t="s">
        <v>1120</v>
      </c>
      <c r="N1420" s="413" t="s">
        <v>2186</v>
      </c>
    </row>
    <row r="1421">
      <c r="A1421" s="409">
        <v>45997.0</v>
      </c>
      <c r="B1421" s="102">
        <v>2025.0</v>
      </c>
      <c r="C1421" s="410" t="s">
        <v>2150</v>
      </c>
      <c r="D1421" s="102" t="s">
        <v>710</v>
      </c>
      <c r="E1421" s="102" t="s">
        <v>137</v>
      </c>
      <c r="F1421" s="102" t="s">
        <v>711</v>
      </c>
      <c r="G1421" s="102" t="s">
        <v>724</v>
      </c>
      <c r="H1421" s="360">
        <v>6443.0</v>
      </c>
      <c r="I1421" s="411" t="b">
        <v>1</v>
      </c>
      <c r="J1421" s="102" t="s">
        <v>472</v>
      </c>
      <c r="K1421" s="360">
        <v>0.0</v>
      </c>
      <c r="L1421" s="360">
        <v>0.0</v>
      </c>
      <c r="M1421" s="102" t="s">
        <v>1120</v>
      </c>
      <c r="N1421" s="102" t="s">
        <v>2187</v>
      </c>
    </row>
    <row r="1422">
      <c r="A1422" s="412">
        <v>45997.0</v>
      </c>
      <c r="B1422" s="413">
        <v>2025.0</v>
      </c>
      <c r="C1422" s="414" t="s">
        <v>2150</v>
      </c>
      <c r="D1422" s="413" t="s">
        <v>723</v>
      </c>
      <c r="E1422" s="413" t="s">
        <v>137</v>
      </c>
      <c r="F1422" s="413" t="s">
        <v>703</v>
      </c>
      <c r="G1422" s="413" t="s">
        <v>724</v>
      </c>
      <c r="H1422" s="415">
        <v>6443.0</v>
      </c>
      <c r="I1422" s="416" t="b">
        <v>1</v>
      </c>
      <c r="J1422" s="413" t="s">
        <v>472</v>
      </c>
      <c r="K1422" s="415">
        <v>0.0</v>
      </c>
      <c r="L1422" s="415">
        <v>0.0</v>
      </c>
      <c r="M1422" s="413" t="s">
        <v>1120</v>
      </c>
      <c r="N1422" s="413" t="s">
        <v>2187</v>
      </c>
    </row>
    <row r="1423">
      <c r="A1423" s="409">
        <v>45997.0</v>
      </c>
      <c r="B1423" s="102">
        <v>2025.0</v>
      </c>
      <c r="C1423" s="410" t="s">
        <v>2150</v>
      </c>
      <c r="D1423" s="102" t="s">
        <v>702</v>
      </c>
      <c r="E1423" s="102" t="s">
        <v>465</v>
      </c>
      <c r="F1423" s="102" t="s">
        <v>711</v>
      </c>
      <c r="G1423" s="102" t="s">
        <v>767</v>
      </c>
      <c r="H1423" s="360">
        <v>100.0</v>
      </c>
      <c r="I1423" s="411" t="b">
        <v>0</v>
      </c>
      <c r="J1423" s="102" t="s">
        <v>1655</v>
      </c>
      <c r="K1423" s="360">
        <v>13.793103448275858</v>
      </c>
      <c r="L1423" s="360">
        <v>86.20689655172414</v>
      </c>
      <c r="M1423" s="102" t="s">
        <v>1120</v>
      </c>
      <c r="N1423" s="102" t="s">
        <v>2188</v>
      </c>
    </row>
    <row r="1424">
      <c r="A1424" s="412">
        <v>45999.0</v>
      </c>
      <c r="B1424" s="413">
        <v>2025.0</v>
      </c>
      <c r="C1424" s="414" t="s">
        <v>2150</v>
      </c>
      <c r="D1424" s="413" t="s">
        <v>723</v>
      </c>
      <c r="E1424" s="413" t="s">
        <v>137</v>
      </c>
      <c r="F1424" s="413" t="s">
        <v>711</v>
      </c>
      <c r="G1424" s="413" t="s">
        <v>767</v>
      </c>
      <c r="H1424" s="415">
        <v>950.0</v>
      </c>
      <c r="I1424" s="416" t="b">
        <v>0</v>
      </c>
      <c r="J1424" s="413" t="s">
        <v>2038</v>
      </c>
      <c r="K1424" s="415">
        <v>0.0</v>
      </c>
      <c r="L1424" s="415">
        <v>950.0</v>
      </c>
      <c r="M1424" s="413" t="s">
        <v>1120</v>
      </c>
      <c r="N1424" s="413" t="s">
        <v>2189</v>
      </c>
    </row>
    <row r="1425">
      <c r="A1425" s="409">
        <v>45999.0</v>
      </c>
      <c r="B1425" s="102">
        <v>2025.0</v>
      </c>
      <c r="C1425" s="410" t="s">
        <v>2150</v>
      </c>
      <c r="D1425" s="102" t="s">
        <v>723</v>
      </c>
      <c r="E1425" s="102" t="s">
        <v>137</v>
      </c>
      <c r="F1425" s="102" t="s">
        <v>711</v>
      </c>
      <c r="G1425" s="102" t="s">
        <v>767</v>
      </c>
      <c r="H1425" s="360">
        <v>950.0</v>
      </c>
      <c r="I1425" s="411" t="b">
        <v>0</v>
      </c>
      <c r="J1425" s="102" t="s">
        <v>2093</v>
      </c>
      <c r="K1425" s="360">
        <v>0.0</v>
      </c>
      <c r="L1425" s="360">
        <v>950.0</v>
      </c>
      <c r="M1425" s="102" t="s">
        <v>1120</v>
      </c>
      <c r="N1425" s="102" t="s">
        <v>2190</v>
      </c>
    </row>
    <row r="1426">
      <c r="A1426" s="412">
        <v>45999.0</v>
      </c>
      <c r="B1426" s="413">
        <v>2025.0</v>
      </c>
      <c r="C1426" s="414" t="s">
        <v>2150</v>
      </c>
      <c r="D1426" s="413" t="s">
        <v>702</v>
      </c>
      <c r="E1426" s="413" t="s">
        <v>465</v>
      </c>
      <c r="F1426" s="413" t="s">
        <v>711</v>
      </c>
      <c r="G1426" s="413" t="s">
        <v>767</v>
      </c>
      <c r="H1426" s="415">
        <v>950.0</v>
      </c>
      <c r="I1426" s="416" t="b">
        <v>0</v>
      </c>
      <c r="J1426" s="413" t="s">
        <v>1561</v>
      </c>
      <c r="K1426" s="415">
        <v>131.03448275862058</v>
      </c>
      <c r="L1426" s="415">
        <v>818.9655172413794</v>
      </c>
      <c r="M1426" s="413" t="s">
        <v>1120</v>
      </c>
      <c r="N1426" s="413" t="s">
        <v>2191</v>
      </c>
    </row>
    <row r="1427">
      <c r="A1427" s="409">
        <v>45999.0</v>
      </c>
      <c r="B1427" s="102">
        <v>2025.0</v>
      </c>
      <c r="C1427" s="410" t="s">
        <v>2150</v>
      </c>
      <c r="D1427" s="102" t="s">
        <v>723</v>
      </c>
      <c r="E1427" s="102" t="s">
        <v>137</v>
      </c>
      <c r="F1427" s="102" t="s">
        <v>711</v>
      </c>
      <c r="G1427" s="102" t="s">
        <v>767</v>
      </c>
      <c r="H1427" s="360">
        <v>800.0</v>
      </c>
      <c r="I1427" s="411" t="b">
        <v>0</v>
      </c>
      <c r="J1427" s="102" t="s">
        <v>2088</v>
      </c>
      <c r="K1427" s="360">
        <v>0.0</v>
      </c>
      <c r="L1427" s="360">
        <v>800.0</v>
      </c>
      <c r="M1427" s="102" t="s">
        <v>1120</v>
      </c>
      <c r="N1427" s="102" t="s">
        <v>2192</v>
      </c>
    </row>
    <row r="1428">
      <c r="A1428" s="412">
        <v>45999.0</v>
      </c>
      <c r="B1428" s="413">
        <v>2025.0</v>
      </c>
      <c r="C1428" s="414" t="s">
        <v>2150</v>
      </c>
      <c r="D1428" s="413" t="s">
        <v>723</v>
      </c>
      <c r="E1428" s="413" t="s">
        <v>137</v>
      </c>
      <c r="F1428" s="413" t="s">
        <v>711</v>
      </c>
      <c r="G1428" s="413" t="s">
        <v>740</v>
      </c>
      <c r="H1428" s="415">
        <v>3.0</v>
      </c>
      <c r="I1428" s="416" t="b">
        <v>0</v>
      </c>
      <c r="J1428" s="413" t="s">
        <v>472</v>
      </c>
      <c r="K1428" s="415">
        <v>0.0</v>
      </c>
      <c r="L1428" s="415">
        <v>3.0</v>
      </c>
      <c r="M1428" s="413" t="s">
        <v>1120</v>
      </c>
      <c r="N1428" s="413" t="s">
        <v>2193</v>
      </c>
    </row>
    <row r="1429">
      <c r="A1429" s="409">
        <v>45999.0</v>
      </c>
      <c r="B1429" s="102">
        <v>2025.0</v>
      </c>
      <c r="C1429" s="410" t="s">
        <v>2150</v>
      </c>
      <c r="D1429" s="102" t="s">
        <v>723</v>
      </c>
      <c r="E1429" s="102" t="s">
        <v>137</v>
      </c>
      <c r="F1429" s="102" t="s">
        <v>711</v>
      </c>
      <c r="G1429" s="102" t="s">
        <v>767</v>
      </c>
      <c r="H1429" s="360">
        <v>950.0</v>
      </c>
      <c r="I1429" s="411" t="b">
        <v>0</v>
      </c>
      <c r="J1429" s="102" t="s">
        <v>1863</v>
      </c>
      <c r="K1429" s="360">
        <v>0.0</v>
      </c>
      <c r="L1429" s="360">
        <v>950.0</v>
      </c>
      <c r="M1429" s="102" t="s">
        <v>1120</v>
      </c>
      <c r="N1429" s="102" t="s">
        <v>2194</v>
      </c>
    </row>
    <row r="1430">
      <c r="A1430" s="412">
        <v>45999.0</v>
      </c>
      <c r="B1430" s="413">
        <v>2025.0</v>
      </c>
      <c r="C1430" s="414" t="s">
        <v>2150</v>
      </c>
      <c r="D1430" s="413" t="s">
        <v>723</v>
      </c>
      <c r="E1430" s="413" t="s">
        <v>137</v>
      </c>
      <c r="F1430" s="413" t="s">
        <v>711</v>
      </c>
      <c r="G1430" s="413" t="s">
        <v>740</v>
      </c>
      <c r="H1430" s="415">
        <v>10.0</v>
      </c>
      <c r="I1430" s="416" t="b">
        <v>0</v>
      </c>
      <c r="J1430" s="413" t="s">
        <v>472</v>
      </c>
      <c r="K1430" s="415">
        <v>0.0</v>
      </c>
      <c r="L1430" s="415">
        <v>10.0</v>
      </c>
      <c r="M1430" s="413" t="s">
        <v>1120</v>
      </c>
      <c r="N1430" s="413" t="s">
        <v>2195</v>
      </c>
    </row>
    <row r="1431">
      <c r="A1431" s="409">
        <v>45999.0</v>
      </c>
      <c r="B1431" s="102">
        <v>2025.0</v>
      </c>
      <c r="C1431" s="410" t="s">
        <v>2150</v>
      </c>
      <c r="D1431" s="102" t="s">
        <v>710</v>
      </c>
      <c r="E1431" s="102" t="s">
        <v>137</v>
      </c>
      <c r="F1431" s="102" t="s">
        <v>711</v>
      </c>
      <c r="G1431" s="102" t="s">
        <v>724</v>
      </c>
      <c r="H1431" s="360">
        <v>3713.0</v>
      </c>
      <c r="I1431" s="411" t="b">
        <v>1</v>
      </c>
      <c r="J1431" s="102" t="s">
        <v>472</v>
      </c>
      <c r="K1431" s="360">
        <v>0.0</v>
      </c>
      <c r="L1431" s="360">
        <v>0.0</v>
      </c>
      <c r="M1431" s="102" t="s">
        <v>1120</v>
      </c>
      <c r="N1431" s="102" t="s">
        <v>2196</v>
      </c>
    </row>
    <row r="1432">
      <c r="A1432" s="412">
        <v>45999.0</v>
      </c>
      <c r="B1432" s="413">
        <v>2025.0</v>
      </c>
      <c r="C1432" s="414" t="s">
        <v>2150</v>
      </c>
      <c r="D1432" s="413" t="s">
        <v>723</v>
      </c>
      <c r="E1432" s="413" t="s">
        <v>137</v>
      </c>
      <c r="F1432" s="413" t="s">
        <v>703</v>
      </c>
      <c r="G1432" s="413" t="s">
        <v>724</v>
      </c>
      <c r="H1432" s="415">
        <v>3713.0</v>
      </c>
      <c r="I1432" s="416" t="b">
        <v>1</v>
      </c>
      <c r="J1432" s="413" t="s">
        <v>472</v>
      </c>
      <c r="K1432" s="415">
        <v>0.0</v>
      </c>
      <c r="L1432" s="415">
        <v>0.0</v>
      </c>
      <c r="M1432" s="413" t="s">
        <v>1120</v>
      </c>
      <c r="N1432" s="413" t="s">
        <v>2196</v>
      </c>
    </row>
    <row r="1433">
      <c r="A1433" s="409">
        <v>45999.0</v>
      </c>
      <c r="B1433" s="102">
        <v>2025.0</v>
      </c>
      <c r="C1433" s="410" t="s">
        <v>2150</v>
      </c>
      <c r="D1433" s="102" t="s">
        <v>710</v>
      </c>
      <c r="E1433" s="102" t="s">
        <v>137</v>
      </c>
      <c r="F1433" s="102" t="s">
        <v>703</v>
      </c>
      <c r="G1433" s="102" t="s">
        <v>715</v>
      </c>
      <c r="H1433" s="360">
        <v>500.0</v>
      </c>
      <c r="I1433" s="411" t="b">
        <v>0</v>
      </c>
      <c r="J1433" s="102" t="s">
        <v>472</v>
      </c>
      <c r="K1433" s="360">
        <v>0.0</v>
      </c>
      <c r="L1433" s="360">
        <v>500.0</v>
      </c>
      <c r="M1433" s="102" t="s">
        <v>1120</v>
      </c>
      <c r="N1433" s="102" t="s">
        <v>2197</v>
      </c>
    </row>
    <row r="1434">
      <c r="A1434" s="412">
        <v>45999.0</v>
      </c>
      <c r="B1434" s="413">
        <v>2025.0</v>
      </c>
      <c r="C1434" s="414" t="s">
        <v>2150</v>
      </c>
      <c r="D1434" s="413" t="s">
        <v>710</v>
      </c>
      <c r="E1434" s="413" t="s">
        <v>137</v>
      </c>
      <c r="F1434" s="413" t="s">
        <v>703</v>
      </c>
      <c r="G1434" s="413" t="s">
        <v>732</v>
      </c>
      <c r="H1434" s="415">
        <v>60.0</v>
      </c>
      <c r="I1434" s="416" t="b">
        <v>0</v>
      </c>
      <c r="J1434" s="413" t="s">
        <v>2198</v>
      </c>
      <c r="K1434" s="415">
        <v>0.0</v>
      </c>
      <c r="L1434" s="415">
        <v>60.0</v>
      </c>
      <c r="M1434" s="413" t="s">
        <v>1120</v>
      </c>
      <c r="N1434" s="413" t="s">
        <v>2199</v>
      </c>
    </row>
    <row r="1435">
      <c r="A1435" s="409">
        <v>45999.0</v>
      </c>
      <c r="B1435" s="102">
        <v>2025.0</v>
      </c>
      <c r="C1435" s="410" t="s">
        <v>2150</v>
      </c>
      <c r="D1435" s="102" t="s">
        <v>702</v>
      </c>
      <c r="E1435" s="102" t="s">
        <v>465</v>
      </c>
      <c r="F1435" s="102" t="s">
        <v>711</v>
      </c>
      <c r="G1435" s="102" t="s">
        <v>724</v>
      </c>
      <c r="H1435" s="360">
        <v>2273.0</v>
      </c>
      <c r="I1435" s="411" t="b">
        <v>1</v>
      </c>
      <c r="J1435" s="102" t="s">
        <v>472</v>
      </c>
      <c r="K1435" s="360">
        <v>0.0</v>
      </c>
      <c r="L1435" s="360">
        <v>0.0</v>
      </c>
      <c r="M1435" s="102" t="s">
        <v>1120</v>
      </c>
      <c r="N1435" s="102" t="s">
        <v>2200</v>
      </c>
    </row>
    <row r="1436">
      <c r="A1436" s="412">
        <v>45999.0</v>
      </c>
      <c r="B1436" s="413">
        <v>2025.0</v>
      </c>
      <c r="C1436" s="414" t="s">
        <v>2150</v>
      </c>
      <c r="D1436" s="413" t="s">
        <v>710</v>
      </c>
      <c r="E1436" s="413" t="s">
        <v>137</v>
      </c>
      <c r="F1436" s="413" t="s">
        <v>703</v>
      </c>
      <c r="G1436" s="413" t="s">
        <v>724</v>
      </c>
      <c r="H1436" s="415">
        <v>2273.0</v>
      </c>
      <c r="I1436" s="416" t="b">
        <v>1</v>
      </c>
      <c r="J1436" s="413" t="s">
        <v>472</v>
      </c>
      <c r="K1436" s="415">
        <v>0.0</v>
      </c>
      <c r="L1436" s="415">
        <v>0.0</v>
      </c>
      <c r="M1436" s="413" t="s">
        <v>1120</v>
      </c>
      <c r="N1436" s="413" t="s">
        <v>2200</v>
      </c>
    </row>
    <row r="1437">
      <c r="A1437" s="409">
        <v>45999.0</v>
      </c>
      <c r="B1437" s="102">
        <v>2025.0</v>
      </c>
      <c r="C1437" s="410" t="s">
        <v>2150</v>
      </c>
      <c r="D1437" s="102" t="s">
        <v>702</v>
      </c>
      <c r="E1437" s="102" t="s">
        <v>465</v>
      </c>
      <c r="F1437" s="102" t="s">
        <v>711</v>
      </c>
      <c r="G1437" s="102" t="s">
        <v>730</v>
      </c>
      <c r="H1437" s="360">
        <v>285.0</v>
      </c>
      <c r="I1437" s="411" t="b">
        <v>0</v>
      </c>
      <c r="J1437" s="102" t="s">
        <v>472</v>
      </c>
      <c r="K1437" s="360">
        <v>39.31034482758619</v>
      </c>
      <c r="L1437" s="360">
        <v>245.6896551724138</v>
      </c>
      <c r="M1437" s="102" t="s">
        <v>1120</v>
      </c>
      <c r="N1437" s="102" t="s">
        <v>2201</v>
      </c>
    </row>
    <row r="1438">
      <c r="A1438" s="412">
        <v>45999.0</v>
      </c>
      <c r="B1438" s="413">
        <v>2025.0</v>
      </c>
      <c r="C1438" s="414" t="s">
        <v>2150</v>
      </c>
      <c r="D1438" s="413" t="s">
        <v>702</v>
      </c>
      <c r="E1438" s="413" t="s">
        <v>465</v>
      </c>
      <c r="F1438" s="413" t="s">
        <v>703</v>
      </c>
      <c r="G1438" s="413" t="s">
        <v>715</v>
      </c>
      <c r="H1438" s="415">
        <v>449.0</v>
      </c>
      <c r="I1438" s="416" t="b">
        <v>0</v>
      </c>
      <c r="J1438" s="413" t="s">
        <v>2202</v>
      </c>
      <c r="K1438" s="415">
        <v>0.0</v>
      </c>
      <c r="L1438" s="415">
        <v>449.0</v>
      </c>
      <c r="M1438" s="413" t="s">
        <v>1120</v>
      </c>
      <c r="N1438" s="413" t="s">
        <v>2203</v>
      </c>
    </row>
    <row r="1439">
      <c r="A1439" s="409">
        <v>45999.0</v>
      </c>
      <c r="B1439" s="102">
        <v>2025.0</v>
      </c>
      <c r="C1439" s="410" t="s">
        <v>2150</v>
      </c>
      <c r="D1439" s="102" t="s">
        <v>710</v>
      </c>
      <c r="E1439" s="102" t="s">
        <v>137</v>
      </c>
      <c r="F1439" s="102" t="s">
        <v>703</v>
      </c>
      <c r="G1439" s="102" t="s">
        <v>715</v>
      </c>
      <c r="H1439" s="360">
        <v>200.0</v>
      </c>
      <c r="I1439" s="411" t="b">
        <v>0</v>
      </c>
      <c r="J1439" s="102" t="s">
        <v>472</v>
      </c>
      <c r="K1439" s="360">
        <v>0.0</v>
      </c>
      <c r="L1439" s="360">
        <v>200.0</v>
      </c>
      <c r="M1439" s="102" t="s">
        <v>1120</v>
      </c>
      <c r="N1439" s="102" t="s">
        <v>2204</v>
      </c>
    </row>
    <row r="1440">
      <c r="A1440" s="412">
        <v>46000.0</v>
      </c>
      <c r="B1440" s="413">
        <v>2025.0</v>
      </c>
      <c r="C1440" s="414" t="s">
        <v>2150</v>
      </c>
      <c r="D1440" s="413" t="s">
        <v>723</v>
      </c>
      <c r="E1440" s="413" t="s">
        <v>137</v>
      </c>
      <c r="F1440" s="413" t="s">
        <v>711</v>
      </c>
      <c r="G1440" s="413" t="s">
        <v>767</v>
      </c>
      <c r="H1440" s="415">
        <v>900.0</v>
      </c>
      <c r="I1440" s="416" t="b">
        <v>0</v>
      </c>
      <c r="J1440" s="413" t="s">
        <v>2205</v>
      </c>
      <c r="K1440" s="415">
        <v>0.0</v>
      </c>
      <c r="L1440" s="415">
        <v>900.0</v>
      </c>
      <c r="M1440" s="413" t="s">
        <v>1120</v>
      </c>
      <c r="N1440" s="413" t="s">
        <v>2206</v>
      </c>
    </row>
    <row r="1441">
      <c r="A1441" s="409">
        <v>46001.0</v>
      </c>
      <c r="B1441" s="102">
        <v>2025.0</v>
      </c>
      <c r="C1441" s="410" t="s">
        <v>2150</v>
      </c>
      <c r="D1441" s="102" t="s">
        <v>723</v>
      </c>
      <c r="E1441" s="102" t="s">
        <v>137</v>
      </c>
      <c r="F1441" s="102" t="s">
        <v>711</v>
      </c>
      <c r="G1441" s="102" t="s">
        <v>767</v>
      </c>
      <c r="H1441" s="360">
        <v>900.0</v>
      </c>
      <c r="I1441" s="411" t="b">
        <v>0</v>
      </c>
      <c r="J1441" s="102" t="s">
        <v>1799</v>
      </c>
      <c r="K1441" s="360">
        <v>0.0</v>
      </c>
      <c r="L1441" s="360">
        <v>900.0</v>
      </c>
      <c r="M1441" s="102" t="s">
        <v>1120</v>
      </c>
      <c r="N1441" s="102" t="s">
        <v>2207</v>
      </c>
    </row>
    <row r="1442">
      <c r="A1442" s="412">
        <v>46001.0</v>
      </c>
      <c r="B1442" s="413">
        <v>2025.0</v>
      </c>
      <c r="C1442" s="414" t="s">
        <v>2150</v>
      </c>
      <c r="D1442" s="413" t="s">
        <v>723</v>
      </c>
      <c r="E1442" s="413" t="s">
        <v>137</v>
      </c>
      <c r="F1442" s="413" t="s">
        <v>711</v>
      </c>
      <c r="G1442" s="413" t="s">
        <v>740</v>
      </c>
      <c r="H1442" s="415">
        <v>10.0</v>
      </c>
      <c r="I1442" s="416" t="b">
        <v>0</v>
      </c>
      <c r="J1442" s="413" t="s">
        <v>472</v>
      </c>
      <c r="K1442" s="415">
        <v>0.0</v>
      </c>
      <c r="L1442" s="415">
        <v>10.0</v>
      </c>
      <c r="M1442" s="413" t="s">
        <v>1120</v>
      </c>
      <c r="N1442" s="413" t="s">
        <v>2208</v>
      </c>
    </row>
    <row r="1443">
      <c r="A1443" s="409">
        <v>46001.0</v>
      </c>
      <c r="B1443" s="102">
        <v>2025.0</v>
      </c>
      <c r="C1443" s="410" t="s">
        <v>2150</v>
      </c>
      <c r="D1443" s="102" t="s">
        <v>702</v>
      </c>
      <c r="E1443" s="102" t="s">
        <v>465</v>
      </c>
      <c r="F1443" s="102" t="s">
        <v>711</v>
      </c>
      <c r="G1443" s="102" t="s">
        <v>734</v>
      </c>
      <c r="H1443" s="360">
        <v>360.0</v>
      </c>
      <c r="I1443" s="411" t="b">
        <v>0</v>
      </c>
      <c r="J1443" s="102" t="s">
        <v>1483</v>
      </c>
      <c r="K1443" s="360">
        <v>49.65517241379308</v>
      </c>
      <c r="L1443" s="360">
        <v>310.3448275862069</v>
      </c>
      <c r="M1443" s="102" t="s">
        <v>1120</v>
      </c>
      <c r="N1443" s="102" t="s">
        <v>2209</v>
      </c>
    </row>
    <row r="1444">
      <c r="A1444" s="412">
        <v>46001.0</v>
      </c>
      <c r="B1444" s="413">
        <v>2025.0</v>
      </c>
      <c r="C1444" s="414" t="s">
        <v>2150</v>
      </c>
      <c r="D1444" s="413" t="s">
        <v>723</v>
      </c>
      <c r="E1444" s="413" t="s">
        <v>137</v>
      </c>
      <c r="F1444" s="413" t="s">
        <v>711</v>
      </c>
      <c r="G1444" s="413" t="s">
        <v>740</v>
      </c>
      <c r="H1444" s="415">
        <v>10.0</v>
      </c>
      <c r="I1444" s="416" t="b">
        <v>0</v>
      </c>
      <c r="J1444" s="413" t="s">
        <v>472</v>
      </c>
      <c r="K1444" s="415">
        <v>0.0</v>
      </c>
      <c r="L1444" s="415">
        <v>10.0</v>
      </c>
      <c r="M1444" s="413" t="s">
        <v>1120</v>
      </c>
      <c r="N1444" s="413" t="s">
        <v>2210</v>
      </c>
    </row>
    <row r="1445">
      <c r="A1445" s="409">
        <v>46001.0</v>
      </c>
      <c r="B1445" s="102">
        <v>2025.0</v>
      </c>
      <c r="C1445" s="410" t="s">
        <v>2150</v>
      </c>
      <c r="D1445" s="102" t="s">
        <v>723</v>
      </c>
      <c r="E1445" s="102" t="s">
        <v>137</v>
      </c>
      <c r="F1445" s="102" t="s">
        <v>703</v>
      </c>
      <c r="G1445" s="102" t="s">
        <v>732</v>
      </c>
      <c r="H1445" s="360">
        <v>1212.0</v>
      </c>
      <c r="I1445" s="411" t="b">
        <v>0</v>
      </c>
      <c r="J1445" s="102" t="s">
        <v>2211</v>
      </c>
      <c r="K1445" s="360">
        <v>0.0</v>
      </c>
      <c r="L1445" s="360">
        <v>1212.0</v>
      </c>
      <c r="M1445" s="102" t="s">
        <v>1120</v>
      </c>
      <c r="N1445" s="102" t="s">
        <v>2212</v>
      </c>
    </row>
    <row r="1446">
      <c r="A1446" s="412">
        <v>46001.0</v>
      </c>
      <c r="B1446" s="413">
        <v>2025.0</v>
      </c>
      <c r="C1446" s="414" t="s">
        <v>2150</v>
      </c>
      <c r="D1446" s="413" t="s">
        <v>710</v>
      </c>
      <c r="E1446" s="413" t="s">
        <v>137</v>
      </c>
      <c r="F1446" s="413" t="s">
        <v>703</v>
      </c>
      <c r="G1446" s="413" t="s">
        <v>715</v>
      </c>
      <c r="H1446" s="415">
        <v>400.0</v>
      </c>
      <c r="I1446" s="416" t="b">
        <v>0</v>
      </c>
      <c r="J1446" s="413" t="s">
        <v>472</v>
      </c>
      <c r="K1446" s="415">
        <v>0.0</v>
      </c>
      <c r="L1446" s="415">
        <v>400.0</v>
      </c>
      <c r="M1446" s="413" t="s">
        <v>1120</v>
      </c>
      <c r="N1446" s="413" t="s">
        <v>2213</v>
      </c>
    </row>
    <row r="1447">
      <c r="A1447" s="409">
        <v>46003.0</v>
      </c>
      <c r="B1447" s="102">
        <v>2025.0</v>
      </c>
      <c r="C1447" s="410" t="s">
        <v>2150</v>
      </c>
      <c r="D1447" s="102" t="s">
        <v>702</v>
      </c>
      <c r="E1447" s="102" t="s">
        <v>465</v>
      </c>
      <c r="F1447" s="102" t="s">
        <v>711</v>
      </c>
      <c r="G1447" s="102" t="s">
        <v>767</v>
      </c>
      <c r="H1447" s="360">
        <v>900.0</v>
      </c>
      <c r="I1447" s="411" t="b">
        <v>0</v>
      </c>
      <c r="J1447" s="102" t="s">
        <v>2214</v>
      </c>
      <c r="K1447" s="360">
        <v>124.13793103448268</v>
      </c>
      <c r="L1447" s="360">
        <v>775.8620689655173</v>
      </c>
      <c r="M1447" s="102" t="s">
        <v>1120</v>
      </c>
      <c r="N1447" s="102" t="s">
        <v>2215</v>
      </c>
    </row>
    <row r="1448">
      <c r="A1448" s="412">
        <v>46003.0</v>
      </c>
      <c r="B1448" s="413">
        <v>2025.0</v>
      </c>
      <c r="C1448" s="414" t="s">
        <v>2150</v>
      </c>
      <c r="D1448" s="413" t="s">
        <v>702</v>
      </c>
      <c r="E1448" s="413" t="s">
        <v>465</v>
      </c>
      <c r="F1448" s="413" t="s">
        <v>711</v>
      </c>
      <c r="G1448" s="413" t="s">
        <v>767</v>
      </c>
      <c r="H1448" s="415">
        <v>1050.0</v>
      </c>
      <c r="I1448" s="416" t="b">
        <v>0</v>
      </c>
      <c r="J1448" s="413" t="s">
        <v>2143</v>
      </c>
      <c r="K1448" s="415">
        <v>144.8275862068965</v>
      </c>
      <c r="L1448" s="415">
        <v>905.1724137931035</v>
      </c>
      <c r="M1448" s="413" t="s">
        <v>1120</v>
      </c>
      <c r="N1448" s="413" t="s">
        <v>2216</v>
      </c>
    </row>
    <row r="1449">
      <c r="A1449" s="409">
        <v>46003.0</v>
      </c>
      <c r="B1449" s="102">
        <v>2025.0</v>
      </c>
      <c r="C1449" s="410" t="s">
        <v>2150</v>
      </c>
      <c r="D1449" s="102" t="s">
        <v>702</v>
      </c>
      <c r="E1449" s="102" t="s">
        <v>465</v>
      </c>
      <c r="F1449" s="102" t="s">
        <v>711</v>
      </c>
      <c r="G1449" s="102" t="s">
        <v>767</v>
      </c>
      <c r="H1449" s="360">
        <v>900.0</v>
      </c>
      <c r="I1449" s="411" t="b">
        <v>0</v>
      </c>
      <c r="J1449" s="102" t="s">
        <v>1237</v>
      </c>
      <c r="K1449" s="360">
        <v>124.13793103448268</v>
      </c>
      <c r="L1449" s="360">
        <v>775.8620689655173</v>
      </c>
      <c r="M1449" s="102" t="s">
        <v>1120</v>
      </c>
      <c r="N1449" s="102" t="s">
        <v>2217</v>
      </c>
    </row>
    <row r="1450">
      <c r="A1450" s="412">
        <v>46003.0</v>
      </c>
      <c r="B1450" s="413">
        <v>2025.0</v>
      </c>
      <c r="C1450" s="414" t="s">
        <v>2150</v>
      </c>
      <c r="D1450" s="413" t="s">
        <v>702</v>
      </c>
      <c r="E1450" s="413" t="s">
        <v>465</v>
      </c>
      <c r="F1450" s="413" t="s">
        <v>711</v>
      </c>
      <c r="G1450" s="413" t="s">
        <v>767</v>
      </c>
      <c r="H1450" s="415">
        <v>900.0</v>
      </c>
      <c r="I1450" s="416" t="b">
        <v>0</v>
      </c>
      <c r="J1450" s="413" t="s">
        <v>1788</v>
      </c>
      <c r="K1450" s="415">
        <v>124.13793103448268</v>
      </c>
      <c r="L1450" s="415">
        <v>775.8620689655173</v>
      </c>
      <c r="M1450" s="413" t="s">
        <v>1120</v>
      </c>
      <c r="N1450" s="413" t="s">
        <v>2218</v>
      </c>
    </row>
    <row r="1451">
      <c r="A1451" s="409">
        <v>46003.0</v>
      </c>
      <c r="B1451" s="102">
        <v>2025.0</v>
      </c>
      <c r="C1451" s="410" t="s">
        <v>2150</v>
      </c>
      <c r="D1451" s="102" t="s">
        <v>702</v>
      </c>
      <c r="E1451" s="102" t="s">
        <v>465</v>
      </c>
      <c r="F1451" s="102" t="s">
        <v>711</v>
      </c>
      <c r="G1451" s="102" t="s">
        <v>767</v>
      </c>
      <c r="H1451" s="360">
        <v>950.0</v>
      </c>
      <c r="I1451" s="411" t="b">
        <v>0</v>
      </c>
      <c r="J1451" s="102" t="s">
        <v>2219</v>
      </c>
      <c r="K1451" s="360">
        <v>131.03448275862058</v>
      </c>
      <c r="L1451" s="360">
        <v>818.9655172413794</v>
      </c>
      <c r="M1451" s="102" t="s">
        <v>1120</v>
      </c>
      <c r="N1451" s="102" t="s">
        <v>2220</v>
      </c>
    </row>
    <row r="1452">
      <c r="A1452" s="412">
        <v>46003.0</v>
      </c>
      <c r="B1452" s="413">
        <v>2025.0</v>
      </c>
      <c r="C1452" s="414" t="s">
        <v>2150</v>
      </c>
      <c r="D1452" s="413" t="s">
        <v>710</v>
      </c>
      <c r="E1452" s="413" t="s">
        <v>137</v>
      </c>
      <c r="F1452" s="413" t="s">
        <v>711</v>
      </c>
      <c r="G1452" s="413" t="s">
        <v>767</v>
      </c>
      <c r="H1452" s="415">
        <v>1000.0</v>
      </c>
      <c r="I1452" s="416" t="b">
        <v>0</v>
      </c>
      <c r="J1452" s="413" t="s">
        <v>2221</v>
      </c>
      <c r="K1452" s="415">
        <v>0.0</v>
      </c>
      <c r="L1452" s="415">
        <v>1000.0</v>
      </c>
      <c r="M1452" s="413" t="s">
        <v>1120</v>
      </c>
      <c r="N1452" s="413" t="s">
        <v>2222</v>
      </c>
    </row>
    <row r="1453">
      <c r="A1453" s="409">
        <v>46003.0</v>
      </c>
      <c r="B1453" s="102">
        <v>2025.0</v>
      </c>
      <c r="C1453" s="410" t="s">
        <v>2150</v>
      </c>
      <c r="D1453" s="102" t="s">
        <v>710</v>
      </c>
      <c r="E1453" s="102" t="s">
        <v>137</v>
      </c>
      <c r="F1453" s="102" t="s">
        <v>711</v>
      </c>
      <c r="G1453" s="102" t="s">
        <v>767</v>
      </c>
      <c r="H1453" s="360">
        <v>950.0</v>
      </c>
      <c r="I1453" s="411" t="b">
        <v>0</v>
      </c>
      <c r="J1453" s="102" t="s">
        <v>2223</v>
      </c>
      <c r="K1453" s="360">
        <v>0.0</v>
      </c>
      <c r="L1453" s="360">
        <v>950.0</v>
      </c>
      <c r="M1453" s="102" t="s">
        <v>1120</v>
      </c>
      <c r="N1453" s="102" t="s">
        <v>2224</v>
      </c>
    </row>
    <row r="1454">
      <c r="A1454" s="412">
        <v>46003.0</v>
      </c>
      <c r="B1454" s="413">
        <v>2025.0</v>
      </c>
      <c r="C1454" s="414" t="s">
        <v>2150</v>
      </c>
      <c r="D1454" s="413" t="s">
        <v>702</v>
      </c>
      <c r="E1454" s="413" t="s">
        <v>465</v>
      </c>
      <c r="F1454" s="413" t="s">
        <v>711</v>
      </c>
      <c r="G1454" s="413" t="s">
        <v>767</v>
      </c>
      <c r="H1454" s="415">
        <v>1050.0</v>
      </c>
      <c r="I1454" s="416" t="b">
        <v>0</v>
      </c>
      <c r="J1454" s="413" t="s">
        <v>2225</v>
      </c>
      <c r="K1454" s="415">
        <v>144.8275862068965</v>
      </c>
      <c r="L1454" s="415">
        <v>905.1724137931035</v>
      </c>
      <c r="M1454" s="413" t="s">
        <v>1120</v>
      </c>
      <c r="N1454" s="413" t="s">
        <v>2226</v>
      </c>
    </row>
    <row r="1455">
      <c r="A1455" s="409">
        <v>46004.0</v>
      </c>
      <c r="B1455" s="102">
        <v>2025.0</v>
      </c>
      <c r="C1455" s="410" t="s">
        <v>2150</v>
      </c>
      <c r="D1455" s="102" t="s">
        <v>710</v>
      </c>
      <c r="E1455" s="102" t="s">
        <v>137</v>
      </c>
      <c r="F1455" s="102" t="s">
        <v>703</v>
      </c>
      <c r="G1455" s="102" t="s">
        <v>732</v>
      </c>
      <c r="H1455" s="360">
        <v>313.0</v>
      </c>
      <c r="I1455" s="411" t="b">
        <v>0</v>
      </c>
      <c r="J1455" s="102" t="s">
        <v>2227</v>
      </c>
      <c r="K1455" s="360">
        <v>0.0</v>
      </c>
      <c r="L1455" s="360">
        <v>313.0</v>
      </c>
      <c r="M1455" s="102" t="s">
        <v>1120</v>
      </c>
      <c r="N1455" s="102" t="s">
        <v>2228</v>
      </c>
    </row>
    <row r="1456">
      <c r="A1456" s="412">
        <v>46004.0</v>
      </c>
      <c r="B1456" s="413">
        <v>2025.0</v>
      </c>
      <c r="C1456" s="414" t="s">
        <v>2150</v>
      </c>
      <c r="D1456" s="413" t="s">
        <v>702</v>
      </c>
      <c r="E1456" s="413" t="s">
        <v>465</v>
      </c>
      <c r="F1456" s="413" t="s">
        <v>711</v>
      </c>
      <c r="G1456" s="413" t="s">
        <v>730</v>
      </c>
      <c r="H1456" s="415">
        <v>18.0</v>
      </c>
      <c r="I1456" s="416" t="b">
        <v>0</v>
      </c>
      <c r="J1456" s="413" t="s">
        <v>472</v>
      </c>
      <c r="K1456" s="415">
        <v>2.482758620689655</v>
      </c>
      <c r="L1456" s="415">
        <v>15.517241379310345</v>
      </c>
      <c r="M1456" s="413" t="s">
        <v>1120</v>
      </c>
      <c r="N1456" s="413" t="s">
        <v>2229</v>
      </c>
    </row>
    <row r="1457">
      <c r="A1457" s="409">
        <v>46004.0</v>
      </c>
      <c r="B1457" s="102">
        <v>2025.0</v>
      </c>
      <c r="C1457" s="410" t="s">
        <v>2150</v>
      </c>
      <c r="D1457" s="102" t="s">
        <v>702</v>
      </c>
      <c r="E1457" s="102" t="s">
        <v>465</v>
      </c>
      <c r="F1457" s="102" t="s">
        <v>711</v>
      </c>
      <c r="G1457" s="102" t="s">
        <v>724</v>
      </c>
      <c r="H1457" s="360">
        <v>300.0</v>
      </c>
      <c r="I1457" s="411" t="b">
        <v>1</v>
      </c>
      <c r="J1457" s="102" t="s">
        <v>472</v>
      </c>
      <c r="K1457" s="360">
        <v>0.0</v>
      </c>
      <c r="L1457" s="360">
        <v>0.0</v>
      </c>
      <c r="M1457" s="102" t="s">
        <v>1120</v>
      </c>
      <c r="N1457" s="102" t="s">
        <v>2230</v>
      </c>
    </row>
    <row r="1458">
      <c r="A1458" s="412">
        <v>46004.0</v>
      </c>
      <c r="B1458" s="413">
        <v>2025.0</v>
      </c>
      <c r="C1458" s="414" t="s">
        <v>2150</v>
      </c>
      <c r="D1458" s="413" t="s">
        <v>710</v>
      </c>
      <c r="E1458" s="413" t="s">
        <v>137</v>
      </c>
      <c r="F1458" s="413" t="s">
        <v>703</v>
      </c>
      <c r="G1458" s="413" t="s">
        <v>724</v>
      </c>
      <c r="H1458" s="415">
        <v>300.0</v>
      </c>
      <c r="I1458" s="416" t="b">
        <v>1</v>
      </c>
      <c r="J1458" s="413" t="s">
        <v>472</v>
      </c>
      <c r="K1458" s="415">
        <v>0.0</v>
      </c>
      <c r="L1458" s="415">
        <v>0.0</v>
      </c>
      <c r="M1458" s="413" t="s">
        <v>1120</v>
      </c>
      <c r="N1458" s="413" t="s">
        <v>2230</v>
      </c>
    </row>
    <row r="1459">
      <c r="A1459" s="409">
        <v>46007.0</v>
      </c>
      <c r="B1459" s="102">
        <v>2025.0</v>
      </c>
      <c r="C1459" s="410" t="s">
        <v>2150</v>
      </c>
      <c r="D1459" s="102" t="s">
        <v>723</v>
      </c>
      <c r="E1459" s="102" t="s">
        <v>137</v>
      </c>
      <c r="F1459" s="102" t="s">
        <v>711</v>
      </c>
      <c r="G1459" s="102" t="s">
        <v>740</v>
      </c>
      <c r="H1459" s="360">
        <v>40.0</v>
      </c>
      <c r="I1459" s="411" t="b">
        <v>0</v>
      </c>
      <c r="J1459" s="102" t="s">
        <v>472</v>
      </c>
      <c r="K1459" s="360">
        <v>0.0</v>
      </c>
      <c r="L1459" s="360">
        <v>40.0</v>
      </c>
      <c r="M1459" s="102" t="s">
        <v>1120</v>
      </c>
      <c r="N1459" s="102" t="s">
        <v>2231</v>
      </c>
    </row>
    <row r="1460">
      <c r="A1460" s="412">
        <v>46007.0</v>
      </c>
      <c r="B1460" s="413">
        <v>2025.0</v>
      </c>
      <c r="C1460" s="414" t="s">
        <v>2150</v>
      </c>
      <c r="D1460" s="413" t="s">
        <v>710</v>
      </c>
      <c r="E1460" s="413" t="s">
        <v>137</v>
      </c>
      <c r="F1460" s="413" t="s">
        <v>703</v>
      </c>
      <c r="G1460" s="413" t="s">
        <v>724</v>
      </c>
      <c r="H1460" s="415">
        <v>20000.0</v>
      </c>
      <c r="I1460" s="416" t="b">
        <v>1</v>
      </c>
      <c r="J1460" s="413" t="s">
        <v>472</v>
      </c>
      <c r="K1460" s="415">
        <v>0.0</v>
      </c>
      <c r="L1460" s="415">
        <v>0.0</v>
      </c>
      <c r="M1460" s="413" t="s">
        <v>1120</v>
      </c>
      <c r="N1460" s="413" t="s">
        <v>2232</v>
      </c>
    </row>
    <row r="1461">
      <c r="A1461" s="409">
        <v>46007.0</v>
      </c>
      <c r="B1461" s="102">
        <v>2025.0</v>
      </c>
      <c r="C1461" s="410" t="s">
        <v>2150</v>
      </c>
      <c r="D1461" s="102" t="s">
        <v>702</v>
      </c>
      <c r="E1461" s="102" t="s">
        <v>465</v>
      </c>
      <c r="F1461" s="102" t="s">
        <v>711</v>
      </c>
      <c r="G1461" s="102" t="s">
        <v>724</v>
      </c>
      <c r="H1461" s="360">
        <v>20000.0</v>
      </c>
      <c r="I1461" s="411" t="b">
        <v>1</v>
      </c>
      <c r="J1461" s="102" t="s">
        <v>472</v>
      </c>
      <c r="K1461" s="360">
        <v>0.0</v>
      </c>
      <c r="L1461" s="360">
        <v>0.0</v>
      </c>
      <c r="M1461" s="102" t="s">
        <v>1120</v>
      </c>
      <c r="N1461" s="102" t="s">
        <v>2232</v>
      </c>
    </row>
    <row r="1462">
      <c r="A1462" s="412">
        <v>46007.0</v>
      </c>
      <c r="B1462" s="413">
        <v>2025.0</v>
      </c>
      <c r="C1462" s="414" t="s">
        <v>2150</v>
      </c>
      <c r="D1462" s="413" t="s">
        <v>723</v>
      </c>
      <c r="E1462" s="413" t="s">
        <v>137</v>
      </c>
      <c r="F1462" s="413" t="s">
        <v>703</v>
      </c>
      <c r="G1462" s="413" t="s">
        <v>724</v>
      </c>
      <c r="H1462" s="415">
        <v>1598.0</v>
      </c>
      <c r="I1462" s="416" t="b">
        <v>1</v>
      </c>
      <c r="J1462" s="413" t="s">
        <v>472</v>
      </c>
      <c r="K1462" s="415">
        <v>0.0</v>
      </c>
      <c r="L1462" s="415">
        <v>0.0</v>
      </c>
      <c r="M1462" s="413" t="s">
        <v>1120</v>
      </c>
      <c r="N1462" s="413" t="s">
        <v>2233</v>
      </c>
    </row>
    <row r="1463">
      <c r="A1463" s="409">
        <v>46007.0</v>
      </c>
      <c r="B1463" s="102">
        <v>2025.0</v>
      </c>
      <c r="C1463" s="410" t="s">
        <v>2150</v>
      </c>
      <c r="D1463" s="102" t="s">
        <v>710</v>
      </c>
      <c r="E1463" s="102" t="s">
        <v>137</v>
      </c>
      <c r="F1463" s="102" t="s">
        <v>711</v>
      </c>
      <c r="G1463" s="102" t="s">
        <v>724</v>
      </c>
      <c r="H1463" s="360">
        <v>1598.0</v>
      </c>
      <c r="I1463" s="411" t="b">
        <v>1</v>
      </c>
      <c r="J1463" s="102" t="s">
        <v>472</v>
      </c>
      <c r="K1463" s="360">
        <v>0.0</v>
      </c>
      <c r="L1463" s="360">
        <v>0.0</v>
      </c>
      <c r="M1463" s="102" t="s">
        <v>1120</v>
      </c>
      <c r="N1463" s="102" t="s">
        <v>2233</v>
      </c>
    </row>
    <row r="1464">
      <c r="A1464" s="412">
        <v>46007.0</v>
      </c>
      <c r="B1464" s="413">
        <v>2025.0</v>
      </c>
      <c r="C1464" s="414" t="s">
        <v>2150</v>
      </c>
      <c r="D1464" s="413" t="s">
        <v>710</v>
      </c>
      <c r="E1464" s="413" t="s">
        <v>137</v>
      </c>
      <c r="F1464" s="413" t="s">
        <v>703</v>
      </c>
      <c r="G1464" s="413" t="s">
        <v>747</v>
      </c>
      <c r="H1464" s="415">
        <v>1000.0</v>
      </c>
      <c r="I1464" s="416" t="b">
        <v>0</v>
      </c>
      <c r="J1464" s="413" t="s">
        <v>2234</v>
      </c>
      <c r="K1464" s="415">
        <v>0.0</v>
      </c>
      <c r="L1464" s="415">
        <v>1000.0</v>
      </c>
      <c r="M1464" s="413" t="s">
        <v>1120</v>
      </c>
      <c r="N1464" s="413" t="s">
        <v>2235</v>
      </c>
    </row>
    <row r="1465">
      <c r="A1465" s="409">
        <v>46007.0</v>
      </c>
      <c r="B1465" s="102">
        <v>2025.0</v>
      </c>
      <c r="C1465" s="410" t="s">
        <v>2150</v>
      </c>
      <c r="D1465" s="102" t="s">
        <v>710</v>
      </c>
      <c r="E1465" s="102" t="s">
        <v>137</v>
      </c>
      <c r="F1465" s="102" t="s">
        <v>711</v>
      </c>
      <c r="G1465" s="102" t="s">
        <v>724</v>
      </c>
      <c r="H1465" s="360">
        <v>275.0</v>
      </c>
      <c r="I1465" s="411" t="b">
        <v>1</v>
      </c>
      <c r="J1465" s="102" t="s">
        <v>472</v>
      </c>
      <c r="K1465" s="360">
        <v>0.0</v>
      </c>
      <c r="L1465" s="360">
        <v>0.0</v>
      </c>
      <c r="M1465" s="102" t="s">
        <v>1120</v>
      </c>
      <c r="N1465" s="102" t="s">
        <v>2236</v>
      </c>
    </row>
    <row r="1466">
      <c r="A1466" s="412">
        <v>46007.0</v>
      </c>
      <c r="B1466" s="413">
        <v>2025.0</v>
      </c>
      <c r="C1466" s="414" t="s">
        <v>2150</v>
      </c>
      <c r="D1466" s="413" t="s">
        <v>702</v>
      </c>
      <c r="E1466" s="413" t="s">
        <v>465</v>
      </c>
      <c r="F1466" s="413" t="s">
        <v>703</v>
      </c>
      <c r="G1466" s="413" t="s">
        <v>724</v>
      </c>
      <c r="H1466" s="415">
        <v>275.0</v>
      </c>
      <c r="I1466" s="416" t="b">
        <v>1</v>
      </c>
      <c r="J1466" s="413" t="s">
        <v>472</v>
      </c>
      <c r="K1466" s="415">
        <v>0.0</v>
      </c>
      <c r="L1466" s="415">
        <v>0.0</v>
      </c>
      <c r="M1466" s="413" t="s">
        <v>1120</v>
      </c>
      <c r="N1466" s="413" t="s">
        <v>2236</v>
      </c>
    </row>
    <row r="1467">
      <c r="A1467" s="409">
        <v>46007.0</v>
      </c>
      <c r="B1467" s="102">
        <v>2025.0</v>
      </c>
      <c r="C1467" s="410" t="s">
        <v>2150</v>
      </c>
      <c r="D1467" s="102" t="s">
        <v>702</v>
      </c>
      <c r="E1467" s="102" t="s">
        <v>465</v>
      </c>
      <c r="F1467" s="102" t="s">
        <v>703</v>
      </c>
      <c r="G1467" s="102" t="s">
        <v>715</v>
      </c>
      <c r="H1467" s="360">
        <v>415.0</v>
      </c>
      <c r="I1467" s="411" t="b">
        <v>0</v>
      </c>
      <c r="J1467" s="102" t="s">
        <v>2237</v>
      </c>
      <c r="K1467" s="360">
        <v>0.0</v>
      </c>
      <c r="L1467" s="360">
        <v>415.0</v>
      </c>
      <c r="M1467" s="102" t="s">
        <v>1120</v>
      </c>
      <c r="N1467" s="102" t="s">
        <v>2238</v>
      </c>
    </row>
    <row r="1468">
      <c r="A1468" s="412">
        <v>46007.0</v>
      </c>
      <c r="B1468" s="413">
        <v>2025.0</v>
      </c>
      <c r="C1468" s="414" t="s">
        <v>2150</v>
      </c>
      <c r="D1468" s="413" t="s">
        <v>710</v>
      </c>
      <c r="E1468" s="413" t="s">
        <v>137</v>
      </c>
      <c r="F1468" s="413" t="s">
        <v>711</v>
      </c>
      <c r="G1468" s="413" t="s">
        <v>724</v>
      </c>
      <c r="H1468" s="415">
        <v>280.0</v>
      </c>
      <c r="I1468" s="416" t="b">
        <v>1</v>
      </c>
      <c r="J1468" s="413" t="s">
        <v>472</v>
      </c>
      <c r="K1468" s="415">
        <v>0.0</v>
      </c>
      <c r="L1468" s="415">
        <v>0.0</v>
      </c>
      <c r="M1468" s="413" t="s">
        <v>1120</v>
      </c>
      <c r="N1468" s="413" t="s">
        <v>2239</v>
      </c>
    </row>
    <row r="1469">
      <c r="A1469" s="409">
        <v>46007.0</v>
      </c>
      <c r="B1469" s="102">
        <v>2025.0</v>
      </c>
      <c r="C1469" s="410" t="s">
        <v>2150</v>
      </c>
      <c r="D1469" s="102" t="s">
        <v>702</v>
      </c>
      <c r="E1469" s="102" t="s">
        <v>465</v>
      </c>
      <c r="F1469" s="102" t="s">
        <v>703</v>
      </c>
      <c r="G1469" s="102" t="s">
        <v>724</v>
      </c>
      <c r="H1469" s="360">
        <v>280.0</v>
      </c>
      <c r="I1469" s="411" t="b">
        <v>1</v>
      </c>
      <c r="J1469" s="102" t="s">
        <v>472</v>
      </c>
      <c r="K1469" s="360">
        <v>0.0</v>
      </c>
      <c r="L1469" s="360">
        <v>0.0</v>
      </c>
      <c r="M1469" s="102" t="s">
        <v>1120</v>
      </c>
      <c r="N1469" s="102" t="s">
        <v>2239</v>
      </c>
    </row>
    <row r="1470">
      <c r="A1470" s="412">
        <v>46008.0</v>
      </c>
      <c r="B1470" s="413">
        <v>2025.0</v>
      </c>
      <c r="C1470" s="414" t="s">
        <v>2150</v>
      </c>
      <c r="D1470" s="413" t="s">
        <v>710</v>
      </c>
      <c r="E1470" s="413" t="s">
        <v>137</v>
      </c>
      <c r="F1470" s="413" t="s">
        <v>703</v>
      </c>
      <c r="G1470" s="413" t="s">
        <v>715</v>
      </c>
      <c r="H1470" s="415">
        <v>180.0</v>
      </c>
      <c r="I1470" s="416" t="b">
        <v>0</v>
      </c>
      <c r="J1470" s="413" t="s">
        <v>2240</v>
      </c>
      <c r="K1470" s="415">
        <v>0.0</v>
      </c>
      <c r="L1470" s="415">
        <v>180.0</v>
      </c>
      <c r="M1470" s="413" t="s">
        <v>1120</v>
      </c>
      <c r="N1470" s="413" t="s">
        <v>2241</v>
      </c>
    </row>
    <row r="1471">
      <c r="A1471" s="409">
        <v>46008.0</v>
      </c>
      <c r="B1471" s="102">
        <v>2025.0</v>
      </c>
      <c r="C1471" s="410" t="s">
        <v>2150</v>
      </c>
      <c r="D1471" s="102" t="s">
        <v>702</v>
      </c>
      <c r="E1471" s="102" t="s">
        <v>465</v>
      </c>
      <c r="F1471" s="102" t="s">
        <v>711</v>
      </c>
      <c r="G1471" s="102" t="s">
        <v>715</v>
      </c>
      <c r="H1471" s="360">
        <v>430.0</v>
      </c>
      <c r="I1471" s="411" t="b">
        <v>0</v>
      </c>
      <c r="J1471" s="102" t="s">
        <v>472</v>
      </c>
      <c r="K1471" s="360">
        <v>59.310344827586164</v>
      </c>
      <c r="L1471" s="360">
        <v>370.68965517241384</v>
      </c>
      <c r="M1471" s="102" t="s">
        <v>1120</v>
      </c>
      <c r="N1471" s="102" t="s">
        <v>2242</v>
      </c>
    </row>
    <row r="1472">
      <c r="A1472" s="412">
        <v>46008.0</v>
      </c>
      <c r="B1472" s="413">
        <v>2025.0</v>
      </c>
      <c r="C1472" s="414" t="s">
        <v>2150</v>
      </c>
      <c r="D1472" s="413" t="s">
        <v>702</v>
      </c>
      <c r="E1472" s="413" t="s">
        <v>465</v>
      </c>
      <c r="F1472" s="413" t="s">
        <v>711</v>
      </c>
      <c r="G1472" s="413" t="s">
        <v>724</v>
      </c>
      <c r="H1472" s="415">
        <v>100.0</v>
      </c>
      <c r="I1472" s="416" t="b">
        <v>1</v>
      </c>
      <c r="J1472" s="413" t="s">
        <v>472</v>
      </c>
      <c r="K1472" s="415">
        <v>0.0</v>
      </c>
      <c r="L1472" s="415">
        <v>0.0</v>
      </c>
      <c r="M1472" s="413" t="s">
        <v>1120</v>
      </c>
      <c r="N1472" s="413" t="s">
        <v>2243</v>
      </c>
    </row>
    <row r="1473">
      <c r="A1473" s="409">
        <v>46008.0</v>
      </c>
      <c r="B1473" s="102">
        <v>2025.0</v>
      </c>
      <c r="C1473" s="410" t="s">
        <v>2150</v>
      </c>
      <c r="D1473" s="102" t="s">
        <v>710</v>
      </c>
      <c r="E1473" s="102" t="s">
        <v>137</v>
      </c>
      <c r="F1473" s="102" t="s">
        <v>703</v>
      </c>
      <c r="G1473" s="102" t="s">
        <v>724</v>
      </c>
      <c r="H1473" s="360">
        <v>100.0</v>
      </c>
      <c r="I1473" s="411" t="b">
        <v>1</v>
      </c>
      <c r="J1473" s="102" t="s">
        <v>472</v>
      </c>
      <c r="K1473" s="360">
        <v>0.0</v>
      </c>
      <c r="L1473" s="360">
        <v>0.0</v>
      </c>
      <c r="M1473" s="102" t="s">
        <v>1120</v>
      </c>
      <c r="N1473" s="102" t="s">
        <v>2243</v>
      </c>
    </row>
    <row r="1474">
      <c r="A1474" s="412">
        <v>46008.0</v>
      </c>
      <c r="B1474" s="413">
        <v>2025.0</v>
      </c>
      <c r="C1474" s="414" t="s">
        <v>2150</v>
      </c>
      <c r="D1474" s="413" t="s">
        <v>710</v>
      </c>
      <c r="E1474" s="413" t="s">
        <v>137</v>
      </c>
      <c r="F1474" s="413" t="s">
        <v>703</v>
      </c>
      <c r="G1474" s="413" t="s">
        <v>724</v>
      </c>
      <c r="H1474" s="415">
        <v>1000.0</v>
      </c>
      <c r="I1474" s="416" t="b">
        <v>1</v>
      </c>
      <c r="J1474" s="413" t="s">
        <v>472</v>
      </c>
      <c r="K1474" s="415">
        <v>0.0</v>
      </c>
      <c r="L1474" s="415">
        <v>0.0</v>
      </c>
      <c r="M1474" s="413" t="s">
        <v>1120</v>
      </c>
      <c r="N1474" s="413" t="s">
        <v>2244</v>
      </c>
    </row>
    <row r="1475">
      <c r="A1475" s="409">
        <v>46008.0</v>
      </c>
      <c r="B1475" s="102">
        <v>2025.0</v>
      </c>
      <c r="C1475" s="410" t="s">
        <v>2150</v>
      </c>
      <c r="D1475" s="102" t="s">
        <v>702</v>
      </c>
      <c r="E1475" s="102" t="s">
        <v>465</v>
      </c>
      <c r="F1475" s="102" t="s">
        <v>711</v>
      </c>
      <c r="G1475" s="102" t="s">
        <v>724</v>
      </c>
      <c r="H1475" s="360">
        <v>1000.0</v>
      </c>
      <c r="I1475" s="411" t="b">
        <v>1</v>
      </c>
      <c r="J1475" s="102" t="s">
        <v>472</v>
      </c>
      <c r="K1475" s="360">
        <v>0.0</v>
      </c>
      <c r="L1475" s="360">
        <v>0.0</v>
      </c>
      <c r="M1475" s="102" t="s">
        <v>1120</v>
      </c>
      <c r="N1475" s="102" t="s">
        <v>2244</v>
      </c>
    </row>
    <row r="1476">
      <c r="A1476" s="412">
        <v>46008.0</v>
      </c>
      <c r="B1476" s="413">
        <v>2025.0</v>
      </c>
      <c r="C1476" s="414" t="s">
        <v>2150</v>
      </c>
      <c r="D1476" s="413" t="s">
        <v>702</v>
      </c>
      <c r="E1476" s="413" t="s">
        <v>465</v>
      </c>
      <c r="F1476" s="413" t="s">
        <v>711</v>
      </c>
      <c r="G1476" s="413" t="s">
        <v>730</v>
      </c>
      <c r="H1476" s="415">
        <v>26.0</v>
      </c>
      <c r="I1476" s="416" t="b">
        <v>0</v>
      </c>
      <c r="J1476" s="413" t="s">
        <v>472</v>
      </c>
      <c r="K1476" s="415">
        <v>3.5862068965517224</v>
      </c>
      <c r="L1476" s="415">
        <v>22.413793103448278</v>
      </c>
      <c r="M1476" s="413" t="s">
        <v>1120</v>
      </c>
      <c r="N1476" s="413" t="s">
        <v>2245</v>
      </c>
    </row>
    <row r="1477">
      <c r="A1477" s="409">
        <v>46008.0</v>
      </c>
      <c r="B1477" s="102">
        <v>2025.0</v>
      </c>
      <c r="C1477" s="410" t="s">
        <v>2150</v>
      </c>
      <c r="D1477" s="102" t="s">
        <v>702</v>
      </c>
      <c r="E1477" s="102" t="s">
        <v>465</v>
      </c>
      <c r="F1477" s="102" t="s">
        <v>711</v>
      </c>
      <c r="G1477" s="102" t="s">
        <v>724</v>
      </c>
      <c r="H1477" s="360">
        <v>760.0</v>
      </c>
      <c r="I1477" s="411" t="b">
        <v>1</v>
      </c>
      <c r="J1477" s="102" t="s">
        <v>472</v>
      </c>
      <c r="K1477" s="360">
        <v>0.0</v>
      </c>
      <c r="L1477" s="360">
        <v>0.0</v>
      </c>
      <c r="M1477" s="102" t="s">
        <v>1120</v>
      </c>
      <c r="N1477" s="102" t="s">
        <v>2246</v>
      </c>
    </row>
    <row r="1478">
      <c r="A1478" s="412">
        <v>46008.0</v>
      </c>
      <c r="B1478" s="413">
        <v>2025.0</v>
      </c>
      <c r="C1478" s="414" t="s">
        <v>2150</v>
      </c>
      <c r="D1478" s="413" t="s">
        <v>710</v>
      </c>
      <c r="E1478" s="413" t="s">
        <v>137</v>
      </c>
      <c r="F1478" s="413" t="s">
        <v>703</v>
      </c>
      <c r="G1478" s="413" t="s">
        <v>724</v>
      </c>
      <c r="H1478" s="415">
        <v>760.0</v>
      </c>
      <c r="I1478" s="416" t="b">
        <v>1</v>
      </c>
      <c r="J1478" s="413" t="s">
        <v>472</v>
      </c>
      <c r="K1478" s="415">
        <v>0.0</v>
      </c>
      <c r="L1478" s="415">
        <v>0.0</v>
      </c>
      <c r="M1478" s="413" t="s">
        <v>1120</v>
      </c>
      <c r="N1478" s="413" t="s">
        <v>2246</v>
      </c>
    </row>
    <row r="1479">
      <c r="A1479" s="409">
        <v>46008.0</v>
      </c>
      <c r="B1479" s="102">
        <v>2025.0</v>
      </c>
      <c r="C1479" s="410" t="s">
        <v>2150</v>
      </c>
      <c r="D1479" s="102" t="s">
        <v>710</v>
      </c>
      <c r="E1479" s="102" t="s">
        <v>137</v>
      </c>
      <c r="F1479" s="102" t="s">
        <v>703</v>
      </c>
      <c r="G1479" s="102" t="s">
        <v>732</v>
      </c>
      <c r="H1479" s="360">
        <v>250.0</v>
      </c>
      <c r="I1479" s="411" t="b">
        <v>0</v>
      </c>
      <c r="J1479" s="102" t="s">
        <v>2247</v>
      </c>
      <c r="K1479" s="360">
        <v>0.0</v>
      </c>
      <c r="L1479" s="360">
        <v>250.0</v>
      </c>
      <c r="M1479" s="102" t="s">
        <v>1120</v>
      </c>
      <c r="N1479" s="102" t="s">
        <v>2248</v>
      </c>
    </row>
    <row r="1480">
      <c r="A1480" s="412">
        <v>46008.0</v>
      </c>
      <c r="B1480" s="413">
        <v>2025.0</v>
      </c>
      <c r="C1480" s="414" t="s">
        <v>2150</v>
      </c>
      <c r="D1480" s="413" t="s">
        <v>710</v>
      </c>
      <c r="E1480" s="413" t="s">
        <v>137</v>
      </c>
      <c r="F1480" s="413" t="s">
        <v>703</v>
      </c>
      <c r="G1480" s="413" t="s">
        <v>715</v>
      </c>
      <c r="H1480" s="415">
        <v>68.0</v>
      </c>
      <c r="I1480" s="416" t="b">
        <v>0</v>
      </c>
      <c r="J1480" s="413" t="s">
        <v>472</v>
      </c>
      <c r="K1480" s="415">
        <v>0.0</v>
      </c>
      <c r="L1480" s="415">
        <v>68.0</v>
      </c>
      <c r="M1480" s="413" t="s">
        <v>1120</v>
      </c>
      <c r="N1480" s="413" t="s">
        <v>2249</v>
      </c>
    </row>
    <row r="1481">
      <c r="A1481" s="409">
        <v>46008.0</v>
      </c>
      <c r="B1481" s="102">
        <v>2025.0</v>
      </c>
      <c r="C1481" s="410" t="s">
        <v>2150</v>
      </c>
      <c r="D1481" s="102" t="s">
        <v>710</v>
      </c>
      <c r="E1481" s="102" t="s">
        <v>137</v>
      </c>
      <c r="F1481" s="102" t="s">
        <v>711</v>
      </c>
      <c r="G1481" s="102" t="s">
        <v>740</v>
      </c>
      <c r="H1481" s="360">
        <v>15.0</v>
      </c>
      <c r="I1481" s="411" t="b">
        <v>0</v>
      </c>
      <c r="J1481" s="102" t="s">
        <v>472</v>
      </c>
      <c r="K1481" s="360">
        <v>0.0</v>
      </c>
      <c r="L1481" s="360">
        <v>15.0</v>
      </c>
      <c r="M1481" s="102" t="s">
        <v>1120</v>
      </c>
      <c r="N1481" s="102" t="s">
        <v>2250</v>
      </c>
    </row>
    <row r="1482">
      <c r="A1482" s="412">
        <v>46009.0</v>
      </c>
      <c r="B1482" s="413">
        <v>2025.0</v>
      </c>
      <c r="C1482" s="414" t="s">
        <v>2150</v>
      </c>
      <c r="D1482" s="413" t="s">
        <v>702</v>
      </c>
      <c r="E1482" s="413" t="s">
        <v>465</v>
      </c>
      <c r="F1482" s="413" t="s">
        <v>703</v>
      </c>
      <c r="G1482" s="413" t="s">
        <v>724</v>
      </c>
      <c r="H1482" s="415">
        <v>3000.0</v>
      </c>
      <c r="I1482" s="416" t="b">
        <v>1</v>
      </c>
      <c r="J1482" s="413" t="s">
        <v>472</v>
      </c>
      <c r="K1482" s="415">
        <v>0.0</v>
      </c>
      <c r="L1482" s="415">
        <v>0.0</v>
      </c>
      <c r="M1482" s="413" t="s">
        <v>1120</v>
      </c>
      <c r="N1482" s="413" t="s">
        <v>2251</v>
      </c>
    </row>
    <row r="1483">
      <c r="A1483" s="409">
        <v>46009.0</v>
      </c>
      <c r="B1483" s="102">
        <v>2025.0</v>
      </c>
      <c r="C1483" s="410" t="s">
        <v>2150</v>
      </c>
      <c r="D1483" s="102" t="s">
        <v>710</v>
      </c>
      <c r="E1483" s="102" t="s">
        <v>137</v>
      </c>
      <c r="F1483" s="102" t="s">
        <v>711</v>
      </c>
      <c r="G1483" s="102" t="s">
        <v>724</v>
      </c>
      <c r="H1483" s="360">
        <v>3000.0</v>
      </c>
      <c r="I1483" s="411" t="b">
        <v>1</v>
      </c>
      <c r="J1483" s="102" t="s">
        <v>472</v>
      </c>
      <c r="K1483" s="360">
        <v>0.0</v>
      </c>
      <c r="L1483" s="360">
        <v>0.0</v>
      </c>
      <c r="M1483" s="102" t="s">
        <v>1120</v>
      </c>
      <c r="N1483" s="102" t="s">
        <v>2251</v>
      </c>
    </row>
    <row r="1484">
      <c r="A1484" s="412">
        <v>46009.0</v>
      </c>
      <c r="B1484" s="413">
        <v>2025.0</v>
      </c>
      <c r="C1484" s="414" t="s">
        <v>2150</v>
      </c>
      <c r="D1484" s="413" t="s">
        <v>710</v>
      </c>
      <c r="E1484" s="413" t="s">
        <v>137</v>
      </c>
      <c r="F1484" s="413" t="s">
        <v>703</v>
      </c>
      <c r="G1484" s="413" t="s">
        <v>715</v>
      </c>
      <c r="H1484" s="415">
        <v>557.0</v>
      </c>
      <c r="I1484" s="416" t="b">
        <v>0</v>
      </c>
      <c r="J1484" s="413" t="s">
        <v>2252</v>
      </c>
      <c r="K1484" s="415">
        <v>0.0</v>
      </c>
      <c r="L1484" s="415">
        <v>557.0</v>
      </c>
      <c r="M1484" s="413" t="s">
        <v>1120</v>
      </c>
      <c r="N1484" s="413" t="s">
        <v>2253</v>
      </c>
    </row>
    <row r="1485">
      <c r="A1485" s="409">
        <v>46009.0</v>
      </c>
      <c r="B1485" s="102">
        <v>2025.0</v>
      </c>
      <c r="C1485" s="410" t="s">
        <v>2150</v>
      </c>
      <c r="D1485" s="102" t="s">
        <v>710</v>
      </c>
      <c r="E1485" s="102" t="s">
        <v>137</v>
      </c>
      <c r="F1485" s="102" t="s">
        <v>711</v>
      </c>
      <c r="G1485" s="102" t="s">
        <v>2254</v>
      </c>
      <c r="H1485" s="360">
        <v>8461.0</v>
      </c>
      <c r="I1485" s="411" t="b">
        <v>0</v>
      </c>
      <c r="J1485" s="102" t="s">
        <v>472</v>
      </c>
      <c r="K1485" s="360">
        <v>0.0</v>
      </c>
      <c r="L1485" s="360">
        <v>8461.0</v>
      </c>
      <c r="M1485" s="102" t="s">
        <v>1120</v>
      </c>
      <c r="N1485" s="102" t="s">
        <v>2255</v>
      </c>
    </row>
    <row r="1486">
      <c r="A1486" s="412">
        <v>46009.0</v>
      </c>
      <c r="B1486" s="413">
        <v>2025.0</v>
      </c>
      <c r="C1486" s="414" t="s">
        <v>2150</v>
      </c>
      <c r="D1486" s="413" t="s">
        <v>710</v>
      </c>
      <c r="E1486" s="413" t="s">
        <v>137</v>
      </c>
      <c r="F1486" s="413" t="s">
        <v>703</v>
      </c>
      <c r="G1486" s="413" t="s">
        <v>906</v>
      </c>
      <c r="H1486" s="415">
        <v>5500.0</v>
      </c>
      <c r="I1486" s="416" t="b">
        <v>0</v>
      </c>
      <c r="J1486" s="413" t="s">
        <v>472</v>
      </c>
      <c r="K1486" s="415">
        <v>0.0</v>
      </c>
      <c r="L1486" s="415">
        <v>5500.0</v>
      </c>
      <c r="M1486" s="413" t="s">
        <v>1120</v>
      </c>
      <c r="N1486" s="413" t="s">
        <v>2256</v>
      </c>
    </row>
    <row r="1487">
      <c r="A1487" s="409">
        <v>46009.0</v>
      </c>
      <c r="B1487" s="102">
        <v>2025.0</v>
      </c>
      <c r="C1487" s="410" t="s">
        <v>2150</v>
      </c>
      <c r="D1487" s="102" t="s">
        <v>702</v>
      </c>
      <c r="E1487" s="102" t="s">
        <v>465</v>
      </c>
      <c r="F1487" s="102" t="s">
        <v>711</v>
      </c>
      <c r="G1487" s="102" t="s">
        <v>732</v>
      </c>
      <c r="H1487" s="360">
        <v>249.0</v>
      </c>
      <c r="I1487" s="411" t="b">
        <v>0</v>
      </c>
      <c r="J1487" s="102" t="s">
        <v>472</v>
      </c>
      <c r="K1487" s="360">
        <v>34.34482758620689</v>
      </c>
      <c r="L1487" s="360">
        <v>214.6551724137931</v>
      </c>
      <c r="M1487" s="102" t="s">
        <v>1120</v>
      </c>
      <c r="N1487" s="102" t="s">
        <v>2257</v>
      </c>
    </row>
    <row r="1488">
      <c r="A1488" s="412">
        <v>46011.0</v>
      </c>
      <c r="B1488" s="413">
        <v>2025.0</v>
      </c>
      <c r="C1488" s="414" t="s">
        <v>2150</v>
      </c>
      <c r="D1488" s="413" t="s">
        <v>702</v>
      </c>
      <c r="E1488" s="413" t="s">
        <v>465</v>
      </c>
      <c r="F1488" s="413" t="s">
        <v>711</v>
      </c>
      <c r="G1488" s="413" t="s">
        <v>767</v>
      </c>
      <c r="H1488" s="415">
        <v>1199.0</v>
      </c>
      <c r="I1488" s="416" t="b">
        <v>0</v>
      </c>
      <c r="J1488" s="413" t="s">
        <v>1705</v>
      </c>
      <c r="K1488" s="415">
        <v>165.37931034482745</v>
      </c>
      <c r="L1488" s="415">
        <v>1033.6206896551726</v>
      </c>
      <c r="M1488" s="413" t="s">
        <v>1120</v>
      </c>
      <c r="N1488" s="413" t="s">
        <v>2258</v>
      </c>
    </row>
    <row r="1489">
      <c r="A1489" s="409">
        <v>46011.0</v>
      </c>
      <c r="B1489" s="102">
        <v>2025.0</v>
      </c>
      <c r="C1489" s="410" t="s">
        <v>2150</v>
      </c>
      <c r="D1489" s="102" t="s">
        <v>702</v>
      </c>
      <c r="E1489" s="102" t="s">
        <v>465</v>
      </c>
      <c r="F1489" s="102" t="s">
        <v>711</v>
      </c>
      <c r="G1489" s="102" t="s">
        <v>734</v>
      </c>
      <c r="H1489" s="360">
        <v>180.0</v>
      </c>
      <c r="I1489" s="411" t="b">
        <v>0</v>
      </c>
      <c r="J1489" s="102" t="s">
        <v>1483</v>
      </c>
      <c r="K1489" s="360">
        <v>24.82758620689654</v>
      </c>
      <c r="L1489" s="360">
        <v>155.17241379310346</v>
      </c>
      <c r="M1489" s="102" t="s">
        <v>1120</v>
      </c>
      <c r="N1489" s="102" t="s">
        <v>2259</v>
      </c>
    </row>
    <row r="1490">
      <c r="A1490" s="412">
        <v>46011.0</v>
      </c>
      <c r="B1490" s="413">
        <v>2025.0</v>
      </c>
      <c r="C1490" s="414" t="s">
        <v>2150</v>
      </c>
      <c r="D1490" s="413" t="s">
        <v>710</v>
      </c>
      <c r="E1490" s="413" t="s">
        <v>137</v>
      </c>
      <c r="F1490" s="413" t="s">
        <v>711</v>
      </c>
      <c r="G1490" s="413" t="s">
        <v>724</v>
      </c>
      <c r="H1490" s="415">
        <v>140.0</v>
      </c>
      <c r="I1490" s="416" t="b">
        <v>1</v>
      </c>
      <c r="J1490" s="413" t="s">
        <v>472</v>
      </c>
      <c r="K1490" s="415">
        <v>0.0</v>
      </c>
      <c r="L1490" s="415">
        <v>0.0</v>
      </c>
      <c r="M1490" s="413" t="s">
        <v>1120</v>
      </c>
      <c r="N1490" s="413" t="s">
        <v>2260</v>
      </c>
    </row>
    <row r="1491">
      <c r="A1491" s="409">
        <v>46011.0</v>
      </c>
      <c r="B1491" s="102">
        <v>2025.0</v>
      </c>
      <c r="C1491" s="410" t="s">
        <v>2150</v>
      </c>
      <c r="D1491" s="102" t="s">
        <v>702</v>
      </c>
      <c r="E1491" s="102" t="s">
        <v>465</v>
      </c>
      <c r="F1491" s="102" t="s">
        <v>703</v>
      </c>
      <c r="G1491" s="102" t="s">
        <v>724</v>
      </c>
      <c r="H1491" s="360">
        <v>140.0</v>
      </c>
      <c r="I1491" s="411" t="b">
        <v>1</v>
      </c>
      <c r="J1491" s="102" t="s">
        <v>472</v>
      </c>
      <c r="K1491" s="360">
        <v>0.0</v>
      </c>
      <c r="L1491" s="360">
        <v>0.0</v>
      </c>
      <c r="M1491" s="102" t="s">
        <v>1120</v>
      </c>
      <c r="N1491" s="102" t="s">
        <v>2260</v>
      </c>
    </row>
    <row r="1492">
      <c r="A1492" s="412">
        <v>46013.0</v>
      </c>
      <c r="B1492" s="413">
        <v>2025.0</v>
      </c>
      <c r="C1492" s="414" t="s">
        <v>2150</v>
      </c>
      <c r="D1492" s="413" t="s">
        <v>710</v>
      </c>
      <c r="E1492" s="413" t="s">
        <v>137</v>
      </c>
      <c r="F1492" s="413" t="s">
        <v>703</v>
      </c>
      <c r="G1492" s="413" t="s">
        <v>732</v>
      </c>
      <c r="H1492" s="415">
        <v>600.0</v>
      </c>
      <c r="I1492" s="416" t="b">
        <v>0</v>
      </c>
      <c r="J1492" s="413" t="s">
        <v>2261</v>
      </c>
      <c r="K1492" s="415">
        <v>0.0</v>
      </c>
      <c r="L1492" s="415">
        <v>600.0</v>
      </c>
      <c r="M1492" s="413" t="s">
        <v>1120</v>
      </c>
      <c r="N1492" s="413" t="s">
        <v>2262</v>
      </c>
    </row>
    <row r="1493">
      <c r="A1493" s="409">
        <v>46013.0</v>
      </c>
      <c r="B1493" s="102">
        <v>2025.0</v>
      </c>
      <c r="C1493" s="410" t="s">
        <v>2150</v>
      </c>
      <c r="D1493" s="102" t="s">
        <v>710</v>
      </c>
      <c r="E1493" s="102" t="s">
        <v>137</v>
      </c>
      <c r="F1493" s="102" t="s">
        <v>703</v>
      </c>
      <c r="G1493" s="102" t="s">
        <v>732</v>
      </c>
      <c r="H1493" s="360">
        <v>306.0</v>
      </c>
      <c r="I1493" s="411" t="b">
        <v>0</v>
      </c>
      <c r="J1493" s="102" t="s">
        <v>2263</v>
      </c>
      <c r="K1493" s="360">
        <v>0.0</v>
      </c>
      <c r="L1493" s="360">
        <v>306.0</v>
      </c>
      <c r="M1493" s="102" t="s">
        <v>1120</v>
      </c>
      <c r="N1493" s="102" t="s">
        <v>2264</v>
      </c>
    </row>
    <row r="1494">
      <c r="A1494" s="412">
        <v>46013.0</v>
      </c>
      <c r="B1494" s="413">
        <v>2025.0</v>
      </c>
      <c r="C1494" s="414" t="s">
        <v>2150</v>
      </c>
      <c r="D1494" s="413" t="s">
        <v>702</v>
      </c>
      <c r="E1494" s="413" t="s">
        <v>465</v>
      </c>
      <c r="F1494" s="413" t="s">
        <v>711</v>
      </c>
      <c r="G1494" s="413" t="s">
        <v>767</v>
      </c>
      <c r="H1494" s="415">
        <v>950.0</v>
      </c>
      <c r="I1494" s="416" t="b">
        <v>0</v>
      </c>
      <c r="J1494" s="413" t="s">
        <v>1246</v>
      </c>
      <c r="K1494" s="415">
        <v>131.03448275862058</v>
      </c>
      <c r="L1494" s="415">
        <v>818.9655172413794</v>
      </c>
      <c r="M1494" s="413" t="s">
        <v>1120</v>
      </c>
      <c r="N1494" s="413" t="s">
        <v>2265</v>
      </c>
    </row>
    <row r="1495">
      <c r="A1495" s="409">
        <v>46018.0</v>
      </c>
      <c r="B1495" s="102">
        <v>2025.0</v>
      </c>
      <c r="C1495" s="410" t="s">
        <v>2150</v>
      </c>
      <c r="D1495" s="102" t="s">
        <v>702</v>
      </c>
      <c r="E1495" s="102" t="s">
        <v>465</v>
      </c>
      <c r="F1495" s="102" t="s">
        <v>711</v>
      </c>
      <c r="G1495" s="102" t="s">
        <v>767</v>
      </c>
      <c r="H1495" s="360">
        <v>900.0</v>
      </c>
      <c r="I1495" s="411" t="b">
        <v>0</v>
      </c>
      <c r="J1495" s="102" t="s">
        <v>2266</v>
      </c>
      <c r="K1495" s="360">
        <v>124.13793103448268</v>
      </c>
      <c r="L1495" s="360">
        <v>775.8620689655173</v>
      </c>
      <c r="M1495" s="102" t="s">
        <v>1120</v>
      </c>
      <c r="N1495" s="102" t="s">
        <v>2267</v>
      </c>
    </row>
    <row r="1496">
      <c r="A1496" s="412">
        <v>46022.0</v>
      </c>
      <c r="B1496" s="413">
        <v>2025.0</v>
      </c>
      <c r="C1496" s="414" t="s">
        <v>2150</v>
      </c>
      <c r="D1496" s="413" t="s">
        <v>702</v>
      </c>
      <c r="E1496" s="413" t="s">
        <v>465</v>
      </c>
      <c r="F1496" s="413" t="s">
        <v>703</v>
      </c>
      <c r="G1496" s="413" t="s">
        <v>715</v>
      </c>
      <c r="H1496" s="415">
        <v>2000.0</v>
      </c>
      <c r="I1496" s="416" t="b">
        <v>0</v>
      </c>
      <c r="J1496" s="413" t="s">
        <v>472</v>
      </c>
      <c r="K1496" s="415">
        <v>0.0</v>
      </c>
      <c r="L1496" s="415">
        <v>2000.0</v>
      </c>
      <c r="M1496" s="413" t="s">
        <v>1120</v>
      </c>
      <c r="N1496" s="413" t="s">
        <v>2268</v>
      </c>
    </row>
    <row r="1497">
      <c r="A1497" s="409">
        <v>46022.0</v>
      </c>
      <c r="B1497" s="102">
        <v>2025.0</v>
      </c>
      <c r="C1497" s="410" t="s">
        <v>2150</v>
      </c>
      <c r="D1497" s="102" t="s">
        <v>710</v>
      </c>
      <c r="E1497" s="102" t="s">
        <v>137</v>
      </c>
      <c r="F1497" s="102" t="s">
        <v>703</v>
      </c>
      <c r="G1497" s="102" t="s">
        <v>715</v>
      </c>
      <c r="H1497" s="360">
        <v>2000.0</v>
      </c>
      <c r="I1497" s="411" t="b">
        <v>0</v>
      </c>
      <c r="J1497" s="102" t="s">
        <v>472</v>
      </c>
      <c r="K1497" s="360">
        <v>0.0</v>
      </c>
      <c r="L1497" s="360">
        <v>2000.0</v>
      </c>
      <c r="M1497" s="102" t="s">
        <v>1120</v>
      </c>
      <c r="N1497" s="102" t="s">
        <v>2269</v>
      </c>
    </row>
    <row r="1498">
      <c r="A1498" s="412">
        <v>46022.0</v>
      </c>
      <c r="B1498" s="413">
        <v>2025.0</v>
      </c>
      <c r="C1498" s="414" t="s">
        <v>2150</v>
      </c>
      <c r="D1498" s="413" t="s">
        <v>702</v>
      </c>
      <c r="E1498" s="413" t="s">
        <v>465</v>
      </c>
      <c r="F1498" s="413" t="s">
        <v>703</v>
      </c>
      <c r="G1498" s="413" t="s">
        <v>2270</v>
      </c>
      <c r="H1498" s="415">
        <v>9817.0</v>
      </c>
      <c r="I1498" s="416" t="b">
        <v>0</v>
      </c>
      <c r="J1498" s="413" t="s">
        <v>2271</v>
      </c>
      <c r="K1498" s="415">
        <v>0.0</v>
      </c>
      <c r="L1498" s="415">
        <v>9817.0</v>
      </c>
      <c r="M1498" s="413" t="s">
        <v>1120</v>
      </c>
      <c r="N1498" s="413" t="s">
        <v>2272</v>
      </c>
    </row>
    <row r="1499">
      <c r="A1499" s="409">
        <v>46022.0</v>
      </c>
      <c r="B1499" s="102">
        <v>2025.0</v>
      </c>
      <c r="C1499" s="410" t="s">
        <v>2150</v>
      </c>
      <c r="D1499" s="102" t="s">
        <v>710</v>
      </c>
      <c r="E1499" s="102" t="s">
        <v>137</v>
      </c>
      <c r="F1499" s="102" t="s">
        <v>703</v>
      </c>
      <c r="G1499" s="102" t="s">
        <v>715</v>
      </c>
      <c r="H1499" s="360">
        <v>5533.0</v>
      </c>
      <c r="I1499" s="411" t="b">
        <v>0</v>
      </c>
      <c r="J1499" s="102" t="s">
        <v>472</v>
      </c>
      <c r="K1499" s="360">
        <v>0.0</v>
      </c>
      <c r="L1499" s="360">
        <v>5533.0</v>
      </c>
      <c r="M1499" s="102" t="s">
        <v>1120</v>
      </c>
      <c r="N1499" s="102" t="s">
        <v>2273</v>
      </c>
    </row>
    <row r="1500">
      <c r="A1500" s="412">
        <v>46022.0</v>
      </c>
      <c r="B1500" s="413">
        <v>2025.0</v>
      </c>
      <c r="C1500" s="414" t="s">
        <v>2150</v>
      </c>
      <c r="D1500" s="413" t="s">
        <v>710</v>
      </c>
      <c r="E1500" s="413" t="s">
        <v>137</v>
      </c>
      <c r="F1500" s="413" t="s">
        <v>703</v>
      </c>
      <c r="G1500" s="413" t="s">
        <v>906</v>
      </c>
      <c r="H1500" s="415">
        <v>1500.0</v>
      </c>
      <c r="I1500" s="416" t="b">
        <v>0</v>
      </c>
      <c r="J1500" s="413" t="s">
        <v>2274</v>
      </c>
      <c r="K1500" s="415">
        <v>0.0</v>
      </c>
      <c r="L1500" s="415">
        <v>1500.0</v>
      </c>
      <c r="M1500" s="413" t="s">
        <v>1120</v>
      </c>
      <c r="N1500" s="413" t="s">
        <v>2273</v>
      </c>
    </row>
    <row r="1501">
      <c r="A1501" s="409">
        <v>46022.0</v>
      </c>
      <c r="B1501" s="102">
        <v>2025.0</v>
      </c>
      <c r="C1501" s="410" t="s">
        <v>2150</v>
      </c>
      <c r="D1501" s="102" t="s">
        <v>702</v>
      </c>
      <c r="E1501" s="102" t="s">
        <v>465</v>
      </c>
      <c r="F1501" s="102" t="s">
        <v>703</v>
      </c>
      <c r="G1501" s="102" t="s">
        <v>715</v>
      </c>
      <c r="H1501" s="360">
        <v>4671.0</v>
      </c>
      <c r="I1501" s="411" t="b">
        <v>0</v>
      </c>
      <c r="J1501" s="102" t="s">
        <v>472</v>
      </c>
      <c r="K1501" s="360">
        <v>0.0</v>
      </c>
      <c r="L1501" s="360">
        <v>4671.0</v>
      </c>
      <c r="M1501" s="102" t="s">
        <v>1120</v>
      </c>
      <c r="N1501" s="102" t="s">
        <v>2273</v>
      </c>
    </row>
    <row r="1502">
      <c r="A1502" s="412">
        <v>46025.0</v>
      </c>
      <c r="B1502" s="413">
        <v>2026.0</v>
      </c>
      <c r="C1502" s="414" t="s">
        <v>2275</v>
      </c>
      <c r="D1502" s="413" t="s">
        <v>702</v>
      </c>
      <c r="E1502" s="413" t="s">
        <v>465</v>
      </c>
      <c r="F1502" s="413" t="s">
        <v>703</v>
      </c>
      <c r="G1502" s="413" t="s">
        <v>715</v>
      </c>
      <c r="H1502" s="415">
        <v>200.0</v>
      </c>
      <c r="I1502" s="416" t="b">
        <v>0</v>
      </c>
      <c r="J1502" s="413" t="s">
        <v>472</v>
      </c>
      <c r="K1502" s="415">
        <v>0.0</v>
      </c>
      <c r="L1502" s="415">
        <v>200.0</v>
      </c>
      <c r="M1502" s="413" t="s">
        <v>2276</v>
      </c>
      <c r="N1502" s="413" t="s">
        <v>2277</v>
      </c>
    </row>
    <row r="1503">
      <c r="A1503" s="409">
        <v>46026.0</v>
      </c>
      <c r="B1503" s="102">
        <v>2026.0</v>
      </c>
      <c r="C1503" s="410" t="s">
        <v>2275</v>
      </c>
      <c r="D1503" s="102" t="s">
        <v>702</v>
      </c>
      <c r="E1503" s="102" t="s">
        <v>465</v>
      </c>
      <c r="F1503" s="102" t="s">
        <v>711</v>
      </c>
      <c r="G1503" s="102" t="s">
        <v>767</v>
      </c>
      <c r="H1503" s="360">
        <v>550.0</v>
      </c>
      <c r="I1503" s="411" t="b">
        <v>0</v>
      </c>
      <c r="J1503" s="102" t="s">
        <v>2278</v>
      </c>
      <c r="K1503" s="360">
        <v>75.86206896551721</v>
      </c>
      <c r="L1503" s="360">
        <v>474.1379310344828</v>
      </c>
      <c r="M1503" s="102" t="s">
        <v>2276</v>
      </c>
      <c r="N1503" s="102" t="s">
        <v>2279</v>
      </c>
    </row>
    <row r="1504">
      <c r="A1504" s="412">
        <v>46027.0</v>
      </c>
      <c r="B1504" s="413">
        <v>2026.0</v>
      </c>
      <c r="C1504" s="414" t="s">
        <v>2275</v>
      </c>
      <c r="D1504" s="413" t="s">
        <v>702</v>
      </c>
      <c r="E1504" s="413" t="s">
        <v>465</v>
      </c>
      <c r="F1504" s="413" t="s">
        <v>703</v>
      </c>
      <c r="G1504" s="413" t="s">
        <v>601</v>
      </c>
      <c r="H1504" s="415">
        <v>550.0</v>
      </c>
      <c r="I1504" s="416" t="b">
        <v>0</v>
      </c>
      <c r="J1504" s="413" t="s">
        <v>2280</v>
      </c>
      <c r="K1504" s="415">
        <v>0.0</v>
      </c>
      <c r="L1504" s="415">
        <v>550.0</v>
      </c>
      <c r="M1504" s="413" t="s">
        <v>2276</v>
      </c>
      <c r="N1504" s="413" t="s">
        <v>2281</v>
      </c>
    </row>
    <row r="1505">
      <c r="A1505" s="409">
        <v>46027.0</v>
      </c>
      <c r="B1505" s="102">
        <v>2026.0</v>
      </c>
      <c r="C1505" s="410" t="s">
        <v>2275</v>
      </c>
      <c r="D1505" s="102" t="s">
        <v>723</v>
      </c>
      <c r="E1505" s="102" t="s">
        <v>137</v>
      </c>
      <c r="F1505" s="102" t="s">
        <v>711</v>
      </c>
      <c r="G1505" s="102" t="s">
        <v>767</v>
      </c>
      <c r="H1505" s="360">
        <v>1300.0</v>
      </c>
      <c r="I1505" s="411" t="b">
        <v>0</v>
      </c>
      <c r="J1505" s="102" t="s">
        <v>1248</v>
      </c>
      <c r="K1505" s="360">
        <v>0.0</v>
      </c>
      <c r="L1505" s="360">
        <v>1300.0</v>
      </c>
      <c r="M1505" s="102" t="s">
        <v>2276</v>
      </c>
      <c r="N1505" s="102" t="s">
        <v>2282</v>
      </c>
    </row>
    <row r="1506">
      <c r="A1506" s="412">
        <v>46027.0</v>
      </c>
      <c r="B1506" s="413">
        <v>2026.0</v>
      </c>
      <c r="C1506" s="414" t="s">
        <v>2275</v>
      </c>
      <c r="D1506" s="413" t="s">
        <v>723</v>
      </c>
      <c r="E1506" s="413" t="s">
        <v>137</v>
      </c>
      <c r="F1506" s="413" t="s">
        <v>711</v>
      </c>
      <c r="G1506" s="413" t="s">
        <v>767</v>
      </c>
      <c r="H1506" s="415">
        <v>950.0</v>
      </c>
      <c r="I1506" s="416" t="b">
        <v>0</v>
      </c>
      <c r="J1506" s="413" t="s">
        <v>1561</v>
      </c>
      <c r="K1506" s="415">
        <v>0.0</v>
      </c>
      <c r="L1506" s="415">
        <v>950.0</v>
      </c>
      <c r="M1506" s="413" t="s">
        <v>2276</v>
      </c>
      <c r="N1506" s="413" t="s">
        <v>2283</v>
      </c>
    </row>
    <row r="1507">
      <c r="A1507" s="409">
        <v>46027.0</v>
      </c>
      <c r="B1507" s="102">
        <v>2026.0</v>
      </c>
      <c r="C1507" s="410" t="s">
        <v>2275</v>
      </c>
      <c r="D1507" s="102" t="s">
        <v>723</v>
      </c>
      <c r="E1507" s="102" t="s">
        <v>137</v>
      </c>
      <c r="F1507" s="102" t="s">
        <v>711</v>
      </c>
      <c r="G1507" s="102" t="s">
        <v>740</v>
      </c>
      <c r="H1507" s="360">
        <v>10.0</v>
      </c>
      <c r="I1507" s="411" t="b">
        <v>0</v>
      </c>
      <c r="J1507" s="102" t="s">
        <v>472</v>
      </c>
      <c r="K1507" s="360">
        <v>0.0</v>
      </c>
      <c r="L1507" s="360">
        <v>10.0</v>
      </c>
      <c r="M1507" s="102" t="s">
        <v>2276</v>
      </c>
      <c r="N1507" s="102" t="s">
        <v>2284</v>
      </c>
    </row>
    <row r="1508">
      <c r="A1508" s="412">
        <v>46028.0</v>
      </c>
      <c r="B1508" s="413">
        <v>2026.0</v>
      </c>
      <c r="C1508" s="414" t="s">
        <v>2275</v>
      </c>
      <c r="D1508" s="413" t="s">
        <v>710</v>
      </c>
      <c r="E1508" s="413" t="s">
        <v>137</v>
      </c>
      <c r="F1508" s="413" t="s">
        <v>703</v>
      </c>
      <c r="G1508" s="413" t="s">
        <v>732</v>
      </c>
      <c r="H1508" s="415">
        <v>238.0</v>
      </c>
      <c r="I1508" s="416" t="b">
        <v>0</v>
      </c>
      <c r="J1508" s="413" t="s">
        <v>2285</v>
      </c>
      <c r="K1508" s="415">
        <v>0.0</v>
      </c>
      <c r="L1508" s="415">
        <v>238.0</v>
      </c>
      <c r="M1508" s="413" t="s">
        <v>2276</v>
      </c>
      <c r="N1508" s="413" t="s">
        <v>2286</v>
      </c>
    </row>
    <row r="1509">
      <c r="A1509" s="409">
        <v>46028.0</v>
      </c>
      <c r="B1509" s="102">
        <v>2026.0</v>
      </c>
      <c r="C1509" s="410" t="s">
        <v>2275</v>
      </c>
      <c r="D1509" s="102" t="s">
        <v>710</v>
      </c>
      <c r="E1509" s="102" t="s">
        <v>137</v>
      </c>
      <c r="F1509" s="102" t="s">
        <v>703</v>
      </c>
      <c r="G1509" s="102" t="s">
        <v>732</v>
      </c>
      <c r="H1509" s="360">
        <v>572.0</v>
      </c>
      <c r="I1509" s="411" t="b">
        <v>0</v>
      </c>
      <c r="J1509" s="102" t="s">
        <v>2287</v>
      </c>
      <c r="K1509" s="360">
        <v>0.0</v>
      </c>
      <c r="L1509" s="360">
        <v>572.0</v>
      </c>
      <c r="M1509" s="102" t="s">
        <v>2276</v>
      </c>
      <c r="N1509" s="102" t="s">
        <v>2288</v>
      </c>
    </row>
    <row r="1510">
      <c r="A1510" s="412">
        <v>46028.0</v>
      </c>
      <c r="B1510" s="413">
        <v>2026.0</v>
      </c>
      <c r="C1510" s="414" t="s">
        <v>2275</v>
      </c>
      <c r="D1510" s="413" t="s">
        <v>702</v>
      </c>
      <c r="E1510" s="413" t="s">
        <v>465</v>
      </c>
      <c r="F1510" s="413" t="s">
        <v>703</v>
      </c>
      <c r="G1510" s="413" t="s">
        <v>769</v>
      </c>
      <c r="H1510" s="415">
        <v>9280.0</v>
      </c>
      <c r="I1510" s="416" t="b">
        <v>0</v>
      </c>
      <c r="J1510" s="413" t="s">
        <v>472</v>
      </c>
      <c r="K1510" s="415">
        <v>0.0</v>
      </c>
      <c r="L1510" s="415">
        <v>9280.0</v>
      </c>
      <c r="M1510" s="413" t="s">
        <v>2276</v>
      </c>
      <c r="N1510" s="413" t="s">
        <v>2289</v>
      </c>
    </row>
    <row r="1511">
      <c r="A1511" s="409">
        <v>46028.0</v>
      </c>
      <c r="B1511" s="102">
        <v>2026.0</v>
      </c>
      <c r="C1511" s="410" t="s">
        <v>2275</v>
      </c>
      <c r="D1511" s="102" t="s">
        <v>702</v>
      </c>
      <c r="E1511" s="102" t="s">
        <v>465</v>
      </c>
      <c r="F1511" s="102" t="s">
        <v>711</v>
      </c>
      <c r="G1511" s="102" t="s">
        <v>767</v>
      </c>
      <c r="H1511" s="360">
        <v>950.0</v>
      </c>
      <c r="I1511" s="411" t="b">
        <v>0</v>
      </c>
      <c r="J1511" s="102" t="s">
        <v>1967</v>
      </c>
      <c r="K1511" s="360">
        <v>131.03448275862058</v>
      </c>
      <c r="L1511" s="360">
        <v>818.9655172413794</v>
      </c>
      <c r="M1511" s="102" t="s">
        <v>2276</v>
      </c>
      <c r="N1511" s="102" t="s">
        <v>2290</v>
      </c>
    </row>
    <row r="1512">
      <c r="A1512" s="412">
        <v>46028.0</v>
      </c>
      <c r="B1512" s="413">
        <v>2026.0</v>
      </c>
      <c r="C1512" s="414" t="s">
        <v>2275</v>
      </c>
      <c r="D1512" s="413" t="s">
        <v>702</v>
      </c>
      <c r="E1512" s="413" t="s">
        <v>465</v>
      </c>
      <c r="F1512" s="413" t="s">
        <v>711</v>
      </c>
      <c r="G1512" s="413" t="s">
        <v>730</v>
      </c>
      <c r="H1512" s="415">
        <v>441.0</v>
      </c>
      <c r="I1512" s="416" t="b">
        <v>0</v>
      </c>
      <c r="J1512" s="413" t="s">
        <v>472</v>
      </c>
      <c r="K1512" s="415">
        <v>60.82758620689651</v>
      </c>
      <c r="L1512" s="415">
        <v>380.1724137931035</v>
      </c>
      <c r="M1512" s="413" t="s">
        <v>2276</v>
      </c>
      <c r="N1512" s="413" t="s">
        <v>2291</v>
      </c>
    </row>
    <row r="1513">
      <c r="A1513" s="409">
        <v>46028.0</v>
      </c>
      <c r="B1513" s="102">
        <v>2026.0</v>
      </c>
      <c r="C1513" s="410" t="s">
        <v>2275</v>
      </c>
      <c r="D1513" s="102" t="s">
        <v>710</v>
      </c>
      <c r="E1513" s="102" t="s">
        <v>137</v>
      </c>
      <c r="F1513" s="102" t="s">
        <v>711</v>
      </c>
      <c r="G1513" s="102" t="s">
        <v>732</v>
      </c>
      <c r="H1513" s="360">
        <v>6.0</v>
      </c>
      <c r="I1513" s="411" t="b">
        <v>0</v>
      </c>
      <c r="J1513" s="102" t="s">
        <v>472</v>
      </c>
      <c r="K1513" s="360">
        <v>0.0</v>
      </c>
      <c r="L1513" s="360">
        <v>6.0</v>
      </c>
      <c r="M1513" s="102" t="s">
        <v>2276</v>
      </c>
      <c r="N1513" s="102" t="s">
        <v>2292</v>
      </c>
    </row>
    <row r="1514">
      <c r="A1514" s="412">
        <v>46028.0</v>
      </c>
      <c r="B1514" s="413">
        <v>2026.0</v>
      </c>
      <c r="C1514" s="414" t="s">
        <v>2275</v>
      </c>
      <c r="D1514" s="413" t="s">
        <v>723</v>
      </c>
      <c r="E1514" s="413" t="s">
        <v>137</v>
      </c>
      <c r="F1514" s="413" t="s">
        <v>711</v>
      </c>
      <c r="G1514" s="413" t="s">
        <v>740</v>
      </c>
      <c r="H1514" s="415">
        <v>10.0</v>
      </c>
      <c r="I1514" s="416" t="b">
        <v>0</v>
      </c>
      <c r="J1514" s="413" t="s">
        <v>472</v>
      </c>
      <c r="K1514" s="415">
        <v>0.0</v>
      </c>
      <c r="L1514" s="415">
        <v>10.0</v>
      </c>
      <c r="M1514" s="413" t="s">
        <v>2276</v>
      </c>
      <c r="N1514" s="413" t="s">
        <v>2293</v>
      </c>
    </row>
    <row r="1515">
      <c r="A1515" s="409">
        <v>46028.0</v>
      </c>
      <c r="B1515" s="102">
        <v>2026.0</v>
      </c>
      <c r="C1515" s="410" t="s">
        <v>2275</v>
      </c>
      <c r="D1515" s="102" t="s">
        <v>723</v>
      </c>
      <c r="E1515" s="102" t="s">
        <v>137</v>
      </c>
      <c r="F1515" s="102" t="s">
        <v>711</v>
      </c>
      <c r="G1515" s="102" t="s">
        <v>767</v>
      </c>
      <c r="H1515" s="360">
        <v>800.0</v>
      </c>
      <c r="I1515" s="411" t="b">
        <v>0</v>
      </c>
      <c r="J1515" s="102" t="s">
        <v>1524</v>
      </c>
      <c r="K1515" s="360">
        <v>0.0</v>
      </c>
      <c r="L1515" s="360">
        <v>800.0</v>
      </c>
      <c r="M1515" s="102" t="s">
        <v>2276</v>
      </c>
      <c r="N1515" s="102" t="s">
        <v>2294</v>
      </c>
    </row>
    <row r="1516">
      <c r="A1516" s="412">
        <v>46028.0</v>
      </c>
      <c r="B1516" s="413">
        <v>2026.0</v>
      </c>
      <c r="C1516" s="414" t="s">
        <v>2275</v>
      </c>
      <c r="D1516" s="413" t="s">
        <v>723</v>
      </c>
      <c r="E1516" s="413" t="s">
        <v>137</v>
      </c>
      <c r="F1516" s="413" t="s">
        <v>711</v>
      </c>
      <c r="G1516" s="413" t="s">
        <v>767</v>
      </c>
      <c r="H1516" s="415">
        <v>800.0</v>
      </c>
      <c r="I1516" s="416" t="b">
        <v>0</v>
      </c>
      <c r="J1516" s="413" t="s">
        <v>1297</v>
      </c>
      <c r="K1516" s="415">
        <v>0.0</v>
      </c>
      <c r="L1516" s="415">
        <v>800.0</v>
      </c>
      <c r="M1516" s="413" t="s">
        <v>2276</v>
      </c>
      <c r="N1516" s="413" t="s">
        <v>2295</v>
      </c>
    </row>
    <row r="1517">
      <c r="A1517" s="409">
        <v>46028.0</v>
      </c>
      <c r="B1517" s="102">
        <v>2026.0</v>
      </c>
      <c r="C1517" s="410" t="s">
        <v>2275</v>
      </c>
      <c r="D1517" s="102" t="s">
        <v>723</v>
      </c>
      <c r="E1517" s="102" t="s">
        <v>137</v>
      </c>
      <c r="F1517" s="102" t="s">
        <v>711</v>
      </c>
      <c r="G1517" s="102" t="s">
        <v>740</v>
      </c>
      <c r="H1517" s="360">
        <v>6.0</v>
      </c>
      <c r="I1517" s="411" t="b">
        <v>0</v>
      </c>
      <c r="J1517" s="102" t="s">
        <v>472</v>
      </c>
      <c r="K1517" s="360">
        <v>0.0</v>
      </c>
      <c r="L1517" s="360">
        <v>6.0</v>
      </c>
      <c r="M1517" s="102" t="s">
        <v>2276</v>
      </c>
      <c r="N1517" s="102" t="s">
        <v>2296</v>
      </c>
    </row>
    <row r="1518">
      <c r="A1518" s="412">
        <v>46028.0</v>
      </c>
      <c r="B1518" s="413">
        <v>2026.0</v>
      </c>
      <c r="C1518" s="414" t="s">
        <v>2275</v>
      </c>
      <c r="D1518" s="413" t="s">
        <v>723</v>
      </c>
      <c r="E1518" s="413" t="s">
        <v>137</v>
      </c>
      <c r="F1518" s="413" t="s">
        <v>711</v>
      </c>
      <c r="G1518" s="413" t="s">
        <v>767</v>
      </c>
      <c r="H1518" s="415">
        <v>800.0</v>
      </c>
      <c r="I1518" s="416" t="b">
        <v>0</v>
      </c>
      <c r="J1518" s="413" t="s">
        <v>2297</v>
      </c>
      <c r="K1518" s="415">
        <v>0.0</v>
      </c>
      <c r="L1518" s="415">
        <v>800.0</v>
      </c>
      <c r="M1518" s="413" t="s">
        <v>2276</v>
      </c>
      <c r="N1518" s="413" t="s">
        <v>2298</v>
      </c>
    </row>
    <row r="1519">
      <c r="A1519" s="409">
        <v>46029.0</v>
      </c>
      <c r="B1519" s="102">
        <v>2026.0</v>
      </c>
      <c r="C1519" s="410" t="s">
        <v>2275</v>
      </c>
      <c r="D1519" s="102" t="s">
        <v>702</v>
      </c>
      <c r="E1519" s="102" t="s">
        <v>465</v>
      </c>
      <c r="F1519" s="102" t="s">
        <v>703</v>
      </c>
      <c r="G1519" s="102" t="s">
        <v>797</v>
      </c>
      <c r="H1519" s="360">
        <v>819.0</v>
      </c>
      <c r="I1519" s="411" t="b">
        <v>0</v>
      </c>
      <c r="J1519" s="102" t="s">
        <v>472</v>
      </c>
      <c r="K1519" s="360">
        <v>0.0</v>
      </c>
      <c r="L1519" s="360">
        <v>819.0</v>
      </c>
      <c r="M1519" s="102" t="s">
        <v>2276</v>
      </c>
      <c r="N1519" s="102" t="s">
        <v>2299</v>
      </c>
    </row>
    <row r="1520">
      <c r="A1520" s="412">
        <v>46029.0</v>
      </c>
      <c r="B1520" s="413">
        <v>2026.0</v>
      </c>
      <c r="C1520" s="414" t="s">
        <v>2275</v>
      </c>
      <c r="D1520" s="413" t="s">
        <v>723</v>
      </c>
      <c r="E1520" s="413" t="s">
        <v>137</v>
      </c>
      <c r="F1520" s="413" t="s">
        <v>711</v>
      </c>
      <c r="G1520" s="413" t="s">
        <v>734</v>
      </c>
      <c r="H1520" s="415">
        <v>180.0</v>
      </c>
      <c r="I1520" s="416" t="b">
        <v>0</v>
      </c>
      <c r="J1520" s="413" t="s">
        <v>472</v>
      </c>
      <c r="K1520" s="415">
        <v>0.0</v>
      </c>
      <c r="L1520" s="415">
        <v>180.0</v>
      </c>
      <c r="M1520" s="413" t="s">
        <v>2276</v>
      </c>
      <c r="N1520" s="413" t="s">
        <v>2300</v>
      </c>
    </row>
    <row r="1521">
      <c r="A1521" s="409">
        <v>46029.0</v>
      </c>
      <c r="B1521" s="102">
        <v>2026.0</v>
      </c>
      <c r="C1521" s="410" t="s">
        <v>2275</v>
      </c>
      <c r="D1521" s="102" t="s">
        <v>723</v>
      </c>
      <c r="E1521" s="102" t="s">
        <v>137</v>
      </c>
      <c r="F1521" s="102" t="s">
        <v>711</v>
      </c>
      <c r="G1521" s="102" t="s">
        <v>737</v>
      </c>
      <c r="H1521" s="360">
        <v>550.0</v>
      </c>
      <c r="I1521" s="411" t="b">
        <v>0</v>
      </c>
      <c r="J1521" s="102" t="s">
        <v>1480</v>
      </c>
      <c r="K1521" s="360">
        <v>0.0</v>
      </c>
      <c r="L1521" s="360">
        <v>550.0</v>
      </c>
      <c r="M1521" s="102" t="s">
        <v>2276</v>
      </c>
      <c r="N1521" s="102" t="s">
        <v>2301</v>
      </c>
    </row>
    <row r="1522">
      <c r="A1522" s="412">
        <v>46029.0</v>
      </c>
      <c r="B1522" s="413">
        <v>2026.0</v>
      </c>
      <c r="C1522" s="414" t="s">
        <v>2275</v>
      </c>
      <c r="D1522" s="413" t="s">
        <v>723</v>
      </c>
      <c r="E1522" s="413" t="s">
        <v>137</v>
      </c>
      <c r="F1522" s="413" t="s">
        <v>711</v>
      </c>
      <c r="G1522" s="413" t="s">
        <v>740</v>
      </c>
      <c r="H1522" s="415">
        <v>10.0</v>
      </c>
      <c r="I1522" s="416" t="b">
        <v>0</v>
      </c>
      <c r="J1522" s="413" t="s">
        <v>472</v>
      </c>
      <c r="K1522" s="415">
        <v>0.0</v>
      </c>
      <c r="L1522" s="415">
        <v>10.0</v>
      </c>
      <c r="M1522" s="413" t="s">
        <v>2276</v>
      </c>
      <c r="N1522" s="413" t="s">
        <v>2302</v>
      </c>
    </row>
    <row r="1523">
      <c r="A1523" s="409">
        <v>46030.0</v>
      </c>
      <c r="B1523" s="102">
        <v>2026.0</v>
      </c>
      <c r="C1523" s="410" t="s">
        <v>2275</v>
      </c>
      <c r="D1523" s="102" t="s">
        <v>723</v>
      </c>
      <c r="E1523" s="102" t="s">
        <v>137</v>
      </c>
      <c r="F1523" s="102" t="s">
        <v>711</v>
      </c>
      <c r="G1523" s="102" t="s">
        <v>737</v>
      </c>
      <c r="H1523" s="360">
        <v>550.0</v>
      </c>
      <c r="I1523" s="411" t="b">
        <v>0</v>
      </c>
      <c r="J1523" s="102" t="s">
        <v>2073</v>
      </c>
      <c r="K1523" s="360">
        <v>0.0</v>
      </c>
      <c r="L1523" s="360">
        <v>550.0</v>
      </c>
      <c r="M1523" s="102" t="s">
        <v>2276</v>
      </c>
      <c r="N1523" s="102" t="s">
        <v>2303</v>
      </c>
    </row>
    <row r="1524">
      <c r="A1524" s="412">
        <v>46030.0</v>
      </c>
      <c r="B1524" s="413">
        <v>2026.0</v>
      </c>
      <c r="C1524" s="414" t="s">
        <v>2275</v>
      </c>
      <c r="D1524" s="413" t="s">
        <v>723</v>
      </c>
      <c r="E1524" s="413" t="s">
        <v>137</v>
      </c>
      <c r="F1524" s="413" t="s">
        <v>711</v>
      </c>
      <c r="G1524" s="413" t="s">
        <v>767</v>
      </c>
      <c r="H1524" s="415">
        <v>1200.0</v>
      </c>
      <c r="I1524" s="416" t="b">
        <v>0</v>
      </c>
      <c r="J1524" s="413" t="s">
        <v>1216</v>
      </c>
      <c r="K1524" s="415">
        <v>0.0</v>
      </c>
      <c r="L1524" s="415">
        <v>1200.0</v>
      </c>
      <c r="M1524" s="413" t="s">
        <v>2276</v>
      </c>
      <c r="N1524" s="413" t="s">
        <v>2304</v>
      </c>
    </row>
    <row r="1525">
      <c r="A1525" s="409">
        <v>46030.0</v>
      </c>
      <c r="B1525" s="102">
        <v>2026.0</v>
      </c>
      <c r="C1525" s="410" t="s">
        <v>2275</v>
      </c>
      <c r="D1525" s="102" t="s">
        <v>723</v>
      </c>
      <c r="E1525" s="102" t="s">
        <v>137</v>
      </c>
      <c r="F1525" s="102" t="s">
        <v>711</v>
      </c>
      <c r="G1525" s="102" t="s">
        <v>767</v>
      </c>
      <c r="H1525" s="360">
        <v>800.0</v>
      </c>
      <c r="I1525" s="411" t="b">
        <v>0</v>
      </c>
      <c r="J1525" s="102" t="s">
        <v>2088</v>
      </c>
      <c r="K1525" s="360">
        <v>0.0</v>
      </c>
      <c r="L1525" s="360">
        <v>800.0</v>
      </c>
      <c r="M1525" s="102" t="s">
        <v>2276</v>
      </c>
      <c r="N1525" s="102" t="s">
        <v>2305</v>
      </c>
    </row>
    <row r="1526">
      <c r="A1526" s="412">
        <v>46030.0</v>
      </c>
      <c r="B1526" s="413">
        <v>2026.0</v>
      </c>
      <c r="C1526" s="414" t="s">
        <v>2275</v>
      </c>
      <c r="D1526" s="413" t="s">
        <v>702</v>
      </c>
      <c r="E1526" s="413" t="s">
        <v>465</v>
      </c>
      <c r="F1526" s="413" t="s">
        <v>711</v>
      </c>
      <c r="G1526" s="413" t="s">
        <v>767</v>
      </c>
      <c r="H1526" s="415">
        <v>950.0</v>
      </c>
      <c r="I1526" s="416" t="b">
        <v>0</v>
      </c>
      <c r="J1526" s="413" t="s">
        <v>1224</v>
      </c>
      <c r="K1526" s="415">
        <v>131.03448275862058</v>
      </c>
      <c r="L1526" s="415">
        <v>818.9655172413794</v>
      </c>
      <c r="M1526" s="413" t="s">
        <v>2276</v>
      </c>
      <c r="N1526" s="413" t="s">
        <v>2306</v>
      </c>
    </row>
    <row r="1527">
      <c r="A1527" s="409">
        <v>46030.0</v>
      </c>
      <c r="B1527" s="102">
        <v>2026.0</v>
      </c>
      <c r="C1527" s="410" t="s">
        <v>2275</v>
      </c>
      <c r="D1527" s="102" t="s">
        <v>723</v>
      </c>
      <c r="E1527" s="102" t="s">
        <v>137</v>
      </c>
      <c r="F1527" s="102" t="s">
        <v>703</v>
      </c>
      <c r="G1527" s="102" t="s">
        <v>732</v>
      </c>
      <c r="H1527" s="360">
        <v>370.0</v>
      </c>
      <c r="I1527" s="411" t="b">
        <v>0</v>
      </c>
      <c r="J1527" s="102" t="s">
        <v>2307</v>
      </c>
      <c r="K1527" s="360">
        <v>0.0</v>
      </c>
      <c r="L1527" s="360">
        <v>370.0</v>
      </c>
      <c r="M1527" s="102" t="s">
        <v>2276</v>
      </c>
      <c r="N1527" s="102" t="s">
        <v>2308</v>
      </c>
    </row>
    <row r="1528">
      <c r="A1528" s="412">
        <v>46030.0</v>
      </c>
      <c r="B1528" s="413">
        <v>2026.0</v>
      </c>
      <c r="C1528" s="414" t="s">
        <v>2275</v>
      </c>
      <c r="D1528" s="413" t="s">
        <v>702</v>
      </c>
      <c r="E1528" s="413" t="s">
        <v>465</v>
      </c>
      <c r="F1528" s="413" t="s">
        <v>711</v>
      </c>
      <c r="G1528" s="413" t="s">
        <v>767</v>
      </c>
      <c r="H1528" s="415">
        <v>1103.0</v>
      </c>
      <c r="I1528" s="416" t="b">
        <v>0</v>
      </c>
      <c r="J1528" s="413" t="s">
        <v>1820</v>
      </c>
      <c r="K1528" s="415">
        <v>152.13793103448268</v>
      </c>
      <c r="L1528" s="415">
        <v>950.8620689655173</v>
      </c>
      <c r="M1528" s="413" t="s">
        <v>2276</v>
      </c>
      <c r="N1528" s="413" t="s">
        <v>2309</v>
      </c>
    </row>
    <row r="1529">
      <c r="A1529" s="409">
        <v>46031.0</v>
      </c>
      <c r="B1529" s="102">
        <v>2026.0</v>
      </c>
      <c r="C1529" s="410" t="s">
        <v>2275</v>
      </c>
      <c r="D1529" s="102" t="s">
        <v>702</v>
      </c>
      <c r="E1529" s="102" t="s">
        <v>465</v>
      </c>
      <c r="F1529" s="102" t="s">
        <v>711</v>
      </c>
      <c r="G1529" s="102" t="s">
        <v>767</v>
      </c>
      <c r="H1529" s="360">
        <v>1050.0</v>
      </c>
      <c r="I1529" s="411" t="b">
        <v>0</v>
      </c>
      <c r="J1529" s="102" t="s">
        <v>2310</v>
      </c>
      <c r="K1529" s="360">
        <v>144.8275862068965</v>
      </c>
      <c r="L1529" s="360">
        <v>905.1724137931035</v>
      </c>
      <c r="M1529" s="102" t="s">
        <v>2276</v>
      </c>
      <c r="N1529" s="102" t="s">
        <v>2311</v>
      </c>
    </row>
    <row r="1530">
      <c r="A1530" s="412">
        <v>46032.0</v>
      </c>
      <c r="B1530" s="413">
        <v>2026.0</v>
      </c>
      <c r="C1530" s="414" t="s">
        <v>2275</v>
      </c>
      <c r="D1530" s="413" t="s">
        <v>723</v>
      </c>
      <c r="E1530" s="413" t="s">
        <v>137</v>
      </c>
      <c r="F1530" s="413" t="s">
        <v>711</v>
      </c>
      <c r="G1530" s="413" t="s">
        <v>767</v>
      </c>
      <c r="H1530" s="415">
        <v>500.0</v>
      </c>
      <c r="I1530" s="416" t="b">
        <v>0</v>
      </c>
      <c r="J1530" s="413" t="s">
        <v>1415</v>
      </c>
      <c r="K1530" s="415">
        <v>0.0</v>
      </c>
      <c r="L1530" s="415">
        <v>500.0</v>
      </c>
      <c r="M1530" s="413" t="s">
        <v>2276</v>
      </c>
      <c r="N1530" s="413" t="s">
        <v>2312</v>
      </c>
    </row>
    <row r="1531">
      <c r="A1531" s="409">
        <v>46032.0</v>
      </c>
      <c r="B1531" s="102">
        <v>2026.0</v>
      </c>
      <c r="C1531" s="410" t="s">
        <v>2275</v>
      </c>
      <c r="D1531" s="102" t="s">
        <v>702</v>
      </c>
      <c r="E1531" s="102" t="s">
        <v>465</v>
      </c>
      <c r="F1531" s="102" t="s">
        <v>711</v>
      </c>
      <c r="G1531" s="102" t="s">
        <v>767</v>
      </c>
      <c r="H1531" s="360">
        <v>450.0</v>
      </c>
      <c r="I1531" s="411" t="b">
        <v>0</v>
      </c>
      <c r="J1531" s="102" t="s">
        <v>1415</v>
      </c>
      <c r="K1531" s="360">
        <v>62.06896551724134</v>
      </c>
      <c r="L1531" s="360">
        <v>387.93103448275866</v>
      </c>
      <c r="M1531" s="102" t="s">
        <v>2276</v>
      </c>
      <c r="N1531" s="102" t="s">
        <v>2313</v>
      </c>
    </row>
    <row r="1532">
      <c r="A1532" s="412">
        <v>46032.0</v>
      </c>
      <c r="B1532" s="413">
        <v>2026.0</v>
      </c>
      <c r="C1532" s="414" t="s">
        <v>2275</v>
      </c>
      <c r="D1532" s="413" t="s">
        <v>702</v>
      </c>
      <c r="E1532" s="413" t="s">
        <v>465</v>
      </c>
      <c r="F1532" s="413" t="s">
        <v>711</v>
      </c>
      <c r="G1532" s="413" t="s">
        <v>767</v>
      </c>
      <c r="H1532" s="415">
        <v>1150.0</v>
      </c>
      <c r="I1532" s="416" t="b">
        <v>0</v>
      </c>
      <c r="J1532" s="413" t="s">
        <v>1197</v>
      </c>
      <c r="K1532" s="415">
        <v>158.62068965517233</v>
      </c>
      <c r="L1532" s="415">
        <v>991.3793103448277</v>
      </c>
      <c r="M1532" s="413" t="s">
        <v>2276</v>
      </c>
      <c r="N1532" s="413" t="s">
        <v>2314</v>
      </c>
    </row>
    <row r="1533">
      <c r="A1533" s="409">
        <v>46032.0</v>
      </c>
      <c r="B1533" s="102">
        <v>2026.0</v>
      </c>
      <c r="C1533" s="410" t="s">
        <v>2275</v>
      </c>
      <c r="D1533" s="102" t="s">
        <v>702</v>
      </c>
      <c r="E1533" s="102" t="s">
        <v>465</v>
      </c>
      <c r="F1533" s="102" t="s">
        <v>711</v>
      </c>
      <c r="G1533" s="102" t="s">
        <v>737</v>
      </c>
      <c r="H1533" s="360">
        <v>500.0</v>
      </c>
      <c r="I1533" s="411" t="b">
        <v>0</v>
      </c>
      <c r="J1533" s="102" t="s">
        <v>2315</v>
      </c>
      <c r="K1533" s="360">
        <v>68.9655172413793</v>
      </c>
      <c r="L1533" s="360">
        <v>431.0344827586207</v>
      </c>
      <c r="M1533" s="102" t="s">
        <v>2276</v>
      </c>
      <c r="N1533" s="102" t="s">
        <v>2316</v>
      </c>
    </row>
    <row r="1534">
      <c r="A1534" s="412">
        <v>46032.0</v>
      </c>
      <c r="B1534" s="413">
        <v>2026.0</v>
      </c>
      <c r="C1534" s="414" t="s">
        <v>2275</v>
      </c>
      <c r="D1534" s="413" t="s">
        <v>702</v>
      </c>
      <c r="E1534" s="413" t="s">
        <v>465</v>
      </c>
      <c r="F1534" s="413" t="s">
        <v>711</v>
      </c>
      <c r="G1534" s="413" t="s">
        <v>767</v>
      </c>
      <c r="H1534" s="415">
        <v>767.0</v>
      </c>
      <c r="I1534" s="416" t="b">
        <v>0</v>
      </c>
      <c r="J1534" s="413" t="s">
        <v>1274</v>
      </c>
      <c r="K1534" s="415">
        <v>105.79310344827582</v>
      </c>
      <c r="L1534" s="415">
        <v>661.2068965517242</v>
      </c>
      <c r="M1534" s="413" t="s">
        <v>2276</v>
      </c>
      <c r="N1534" s="413" t="s">
        <v>2317</v>
      </c>
    </row>
    <row r="1535">
      <c r="A1535" s="409">
        <v>46032.0</v>
      </c>
      <c r="B1535" s="102">
        <v>2026.0</v>
      </c>
      <c r="C1535" s="410" t="s">
        <v>2275</v>
      </c>
      <c r="D1535" s="102" t="s">
        <v>723</v>
      </c>
      <c r="E1535" s="102" t="s">
        <v>137</v>
      </c>
      <c r="F1535" s="102" t="s">
        <v>711</v>
      </c>
      <c r="G1535" s="102" t="s">
        <v>767</v>
      </c>
      <c r="H1535" s="360">
        <v>550.0</v>
      </c>
      <c r="I1535" s="411" t="b">
        <v>0</v>
      </c>
      <c r="J1535" s="102" t="s">
        <v>1213</v>
      </c>
      <c r="K1535" s="360">
        <v>0.0</v>
      </c>
      <c r="L1535" s="360">
        <v>550.0</v>
      </c>
      <c r="M1535" s="102" t="s">
        <v>2276</v>
      </c>
      <c r="N1535" s="102" t="s">
        <v>2318</v>
      </c>
    </row>
    <row r="1536">
      <c r="A1536" s="412">
        <v>46032.0</v>
      </c>
      <c r="B1536" s="413">
        <v>2026.0</v>
      </c>
      <c r="C1536" s="414" t="s">
        <v>2275</v>
      </c>
      <c r="D1536" s="413" t="s">
        <v>723</v>
      </c>
      <c r="E1536" s="413" t="s">
        <v>137</v>
      </c>
      <c r="F1536" s="413" t="s">
        <v>711</v>
      </c>
      <c r="G1536" s="413" t="s">
        <v>767</v>
      </c>
      <c r="H1536" s="415">
        <v>950.0</v>
      </c>
      <c r="I1536" s="416" t="b">
        <v>0</v>
      </c>
      <c r="J1536" s="413" t="s">
        <v>2319</v>
      </c>
      <c r="K1536" s="415">
        <v>0.0</v>
      </c>
      <c r="L1536" s="415">
        <v>950.0</v>
      </c>
      <c r="M1536" s="413" t="s">
        <v>2276</v>
      </c>
      <c r="N1536" s="413" t="s">
        <v>2320</v>
      </c>
    </row>
    <row r="1537">
      <c r="A1537" s="409">
        <v>46032.0</v>
      </c>
      <c r="B1537" s="102">
        <v>2026.0</v>
      </c>
      <c r="C1537" s="410" t="s">
        <v>2275</v>
      </c>
      <c r="D1537" s="102" t="s">
        <v>723</v>
      </c>
      <c r="E1537" s="102" t="s">
        <v>137</v>
      </c>
      <c r="F1537" s="102" t="s">
        <v>711</v>
      </c>
      <c r="G1537" s="102" t="s">
        <v>767</v>
      </c>
      <c r="H1537" s="360">
        <v>550.0</v>
      </c>
      <c r="I1537" s="411" t="b">
        <v>0</v>
      </c>
      <c r="J1537" s="102" t="s">
        <v>1507</v>
      </c>
      <c r="K1537" s="360">
        <v>0.0</v>
      </c>
      <c r="L1537" s="360">
        <v>550.0</v>
      </c>
      <c r="M1537" s="102" t="s">
        <v>2276</v>
      </c>
      <c r="N1537" s="102" t="s">
        <v>2321</v>
      </c>
    </row>
    <row r="1538">
      <c r="A1538" s="412">
        <v>46032.0</v>
      </c>
      <c r="B1538" s="413">
        <v>2026.0</v>
      </c>
      <c r="C1538" s="414" t="s">
        <v>2275</v>
      </c>
      <c r="D1538" s="413" t="s">
        <v>723</v>
      </c>
      <c r="E1538" s="413" t="s">
        <v>137</v>
      </c>
      <c r="F1538" s="413" t="s">
        <v>711</v>
      </c>
      <c r="G1538" s="413" t="s">
        <v>740</v>
      </c>
      <c r="H1538" s="415">
        <v>9.0</v>
      </c>
      <c r="I1538" s="416" t="b">
        <v>0</v>
      </c>
      <c r="J1538" s="413" t="s">
        <v>472</v>
      </c>
      <c r="K1538" s="415">
        <v>0.0</v>
      </c>
      <c r="L1538" s="415">
        <v>9.0</v>
      </c>
      <c r="M1538" s="413" t="s">
        <v>2276</v>
      </c>
      <c r="N1538" s="413" t="s">
        <v>2322</v>
      </c>
    </row>
    <row r="1539">
      <c r="A1539" s="409">
        <v>46032.0</v>
      </c>
      <c r="B1539" s="102">
        <v>2026.0</v>
      </c>
      <c r="C1539" s="410" t="s">
        <v>2275</v>
      </c>
      <c r="D1539" s="102" t="s">
        <v>710</v>
      </c>
      <c r="E1539" s="102" t="s">
        <v>137</v>
      </c>
      <c r="F1539" s="102" t="s">
        <v>711</v>
      </c>
      <c r="G1539" s="102" t="s">
        <v>724</v>
      </c>
      <c r="H1539" s="360">
        <v>9155.0</v>
      </c>
      <c r="I1539" s="411" t="b">
        <v>1</v>
      </c>
      <c r="J1539" s="102" t="s">
        <v>472</v>
      </c>
      <c r="K1539" s="360">
        <v>0.0</v>
      </c>
      <c r="L1539" s="360">
        <v>0.0</v>
      </c>
      <c r="M1539" s="102" t="s">
        <v>2276</v>
      </c>
      <c r="N1539" s="102" t="s">
        <v>2323</v>
      </c>
    </row>
    <row r="1540">
      <c r="A1540" s="412">
        <v>46032.0</v>
      </c>
      <c r="B1540" s="413">
        <v>2026.0</v>
      </c>
      <c r="C1540" s="414" t="s">
        <v>2275</v>
      </c>
      <c r="D1540" s="413" t="s">
        <v>723</v>
      </c>
      <c r="E1540" s="413" t="s">
        <v>137</v>
      </c>
      <c r="F1540" s="413" t="s">
        <v>703</v>
      </c>
      <c r="G1540" s="413" t="s">
        <v>724</v>
      </c>
      <c r="H1540" s="415">
        <v>9155.0</v>
      </c>
      <c r="I1540" s="416" t="b">
        <v>1</v>
      </c>
      <c r="J1540" s="413" t="s">
        <v>472</v>
      </c>
      <c r="K1540" s="415">
        <v>0.0</v>
      </c>
      <c r="L1540" s="415">
        <v>0.0</v>
      </c>
      <c r="M1540" s="413" t="s">
        <v>2276</v>
      </c>
      <c r="N1540" s="413" t="s">
        <v>2323</v>
      </c>
    </row>
    <row r="1541">
      <c r="A1541" s="409">
        <v>46034.0</v>
      </c>
      <c r="B1541" s="102">
        <v>2026.0</v>
      </c>
      <c r="C1541" s="410" t="s">
        <v>2275</v>
      </c>
      <c r="D1541" s="102" t="s">
        <v>702</v>
      </c>
      <c r="E1541" s="102" t="s">
        <v>465</v>
      </c>
      <c r="F1541" s="102" t="s">
        <v>711</v>
      </c>
      <c r="G1541" s="102" t="s">
        <v>767</v>
      </c>
      <c r="H1541" s="360">
        <v>950.0</v>
      </c>
      <c r="I1541" s="411" t="b">
        <v>0</v>
      </c>
      <c r="J1541" s="102" t="s">
        <v>2051</v>
      </c>
      <c r="K1541" s="360">
        <v>131.03448275862058</v>
      </c>
      <c r="L1541" s="360">
        <v>818.9655172413794</v>
      </c>
      <c r="M1541" s="102" t="s">
        <v>2276</v>
      </c>
      <c r="N1541" s="102" t="s">
        <v>2324</v>
      </c>
    </row>
    <row r="1542">
      <c r="A1542" s="412">
        <v>46034.0</v>
      </c>
      <c r="B1542" s="413">
        <v>2026.0</v>
      </c>
      <c r="C1542" s="414" t="s">
        <v>2275</v>
      </c>
      <c r="D1542" s="413" t="s">
        <v>702</v>
      </c>
      <c r="E1542" s="413" t="s">
        <v>465</v>
      </c>
      <c r="F1542" s="413" t="s">
        <v>711</v>
      </c>
      <c r="G1542" s="413" t="s">
        <v>767</v>
      </c>
      <c r="H1542" s="415">
        <v>950.0</v>
      </c>
      <c r="I1542" s="416" t="b">
        <v>0</v>
      </c>
      <c r="J1542" s="413" t="s">
        <v>2038</v>
      </c>
      <c r="K1542" s="415">
        <v>131.03448275862058</v>
      </c>
      <c r="L1542" s="415">
        <v>818.9655172413794</v>
      </c>
      <c r="M1542" s="413" t="s">
        <v>2276</v>
      </c>
      <c r="N1542" s="413" t="s">
        <v>2325</v>
      </c>
    </row>
    <row r="1543">
      <c r="A1543" s="409">
        <v>46034.0</v>
      </c>
      <c r="B1543" s="102">
        <v>2026.0</v>
      </c>
      <c r="C1543" s="410" t="s">
        <v>2275</v>
      </c>
      <c r="D1543" s="102" t="s">
        <v>702</v>
      </c>
      <c r="E1543" s="102" t="s">
        <v>465</v>
      </c>
      <c r="F1543" s="102" t="s">
        <v>711</v>
      </c>
      <c r="G1543" s="102" t="s">
        <v>737</v>
      </c>
      <c r="H1543" s="360">
        <v>550.0</v>
      </c>
      <c r="I1543" s="411" t="b">
        <v>0</v>
      </c>
      <c r="J1543" s="102" t="s">
        <v>2326</v>
      </c>
      <c r="K1543" s="360">
        <v>75.86206896551721</v>
      </c>
      <c r="L1543" s="360">
        <v>474.1379310344828</v>
      </c>
      <c r="M1543" s="102" t="s">
        <v>2276</v>
      </c>
      <c r="N1543" s="102" t="s">
        <v>2327</v>
      </c>
    </row>
    <row r="1544">
      <c r="A1544" s="412">
        <v>46035.0</v>
      </c>
      <c r="B1544" s="413">
        <v>2026.0</v>
      </c>
      <c r="C1544" s="414" t="s">
        <v>2275</v>
      </c>
      <c r="D1544" s="413" t="s">
        <v>702</v>
      </c>
      <c r="E1544" s="413" t="s">
        <v>465</v>
      </c>
      <c r="F1544" s="413" t="s">
        <v>711</v>
      </c>
      <c r="G1544" s="413" t="s">
        <v>767</v>
      </c>
      <c r="H1544" s="415">
        <v>800.0</v>
      </c>
      <c r="I1544" s="416" t="b">
        <v>0</v>
      </c>
      <c r="J1544" s="413" t="s">
        <v>1950</v>
      </c>
      <c r="K1544" s="415">
        <v>110.34482758620686</v>
      </c>
      <c r="L1544" s="415">
        <v>689.6551724137931</v>
      </c>
      <c r="M1544" s="413" t="s">
        <v>2276</v>
      </c>
      <c r="N1544" s="413" t="s">
        <v>2328</v>
      </c>
    </row>
    <row r="1545">
      <c r="A1545" s="409">
        <v>46035.0</v>
      </c>
      <c r="B1545" s="102">
        <v>2026.0</v>
      </c>
      <c r="C1545" s="410" t="s">
        <v>2275</v>
      </c>
      <c r="D1545" s="102" t="s">
        <v>723</v>
      </c>
      <c r="E1545" s="102" t="s">
        <v>137</v>
      </c>
      <c r="F1545" s="102" t="s">
        <v>711</v>
      </c>
      <c r="G1545" s="102" t="s">
        <v>767</v>
      </c>
      <c r="H1545" s="360">
        <v>800.0</v>
      </c>
      <c r="I1545" s="411" t="b">
        <v>0</v>
      </c>
      <c r="J1545" s="102" t="s">
        <v>2329</v>
      </c>
      <c r="K1545" s="360">
        <v>0.0</v>
      </c>
      <c r="L1545" s="360">
        <v>800.0</v>
      </c>
      <c r="M1545" s="102" t="s">
        <v>2276</v>
      </c>
      <c r="N1545" s="102" t="s">
        <v>2330</v>
      </c>
    </row>
    <row r="1546">
      <c r="A1546" s="412">
        <v>46036.0</v>
      </c>
      <c r="B1546" s="413">
        <v>2026.0</v>
      </c>
      <c r="C1546" s="414" t="s">
        <v>2275</v>
      </c>
      <c r="D1546" s="413" t="s">
        <v>723</v>
      </c>
      <c r="E1546" s="413" t="s">
        <v>137</v>
      </c>
      <c r="F1546" s="413" t="s">
        <v>711</v>
      </c>
      <c r="G1546" s="413" t="s">
        <v>767</v>
      </c>
      <c r="H1546" s="415">
        <v>950.0</v>
      </c>
      <c r="I1546" s="416" t="b">
        <v>0</v>
      </c>
      <c r="J1546" s="413" t="s">
        <v>2331</v>
      </c>
      <c r="K1546" s="415">
        <v>0.0</v>
      </c>
      <c r="L1546" s="415">
        <v>950.0</v>
      </c>
      <c r="M1546" s="413" t="s">
        <v>2276</v>
      </c>
      <c r="N1546" s="413" t="s">
        <v>2332</v>
      </c>
    </row>
    <row r="1547">
      <c r="A1547" s="409">
        <v>46036.0</v>
      </c>
      <c r="B1547" s="102">
        <v>2026.0</v>
      </c>
      <c r="C1547" s="410" t="s">
        <v>2275</v>
      </c>
      <c r="D1547" s="102" t="s">
        <v>723</v>
      </c>
      <c r="E1547" s="102" t="s">
        <v>137</v>
      </c>
      <c r="F1547" s="102" t="s">
        <v>711</v>
      </c>
      <c r="G1547" s="102" t="s">
        <v>767</v>
      </c>
      <c r="H1547" s="360">
        <v>950.0</v>
      </c>
      <c r="I1547" s="411" t="b">
        <v>0</v>
      </c>
      <c r="J1547" s="102" t="s">
        <v>1881</v>
      </c>
      <c r="K1547" s="360">
        <v>0.0</v>
      </c>
      <c r="L1547" s="360">
        <v>950.0</v>
      </c>
      <c r="M1547" s="102" t="s">
        <v>2276</v>
      </c>
      <c r="N1547" s="102" t="s">
        <v>2333</v>
      </c>
    </row>
    <row r="1548">
      <c r="A1548" s="412">
        <v>46037.0</v>
      </c>
      <c r="B1548" s="413">
        <v>2026.0</v>
      </c>
      <c r="C1548" s="414" t="s">
        <v>2275</v>
      </c>
      <c r="D1548" s="413" t="s">
        <v>723</v>
      </c>
      <c r="E1548" s="413" t="s">
        <v>137</v>
      </c>
      <c r="F1548" s="413" t="s">
        <v>711</v>
      </c>
      <c r="G1548" s="413" t="s">
        <v>767</v>
      </c>
      <c r="H1548" s="415">
        <v>950.0</v>
      </c>
      <c r="I1548" s="416" t="b">
        <v>0</v>
      </c>
      <c r="J1548" s="413" t="s">
        <v>1863</v>
      </c>
      <c r="K1548" s="415">
        <v>0.0</v>
      </c>
      <c r="L1548" s="415">
        <v>950.0</v>
      </c>
      <c r="M1548" s="413" t="s">
        <v>2276</v>
      </c>
      <c r="N1548" s="413" t="s">
        <v>2334</v>
      </c>
    </row>
    <row r="1549">
      <c r="A1549" s="409">
        <v>46037.0</v>
      </c>
      <c r="B1549" s="102">
        <v>2026.0</v>
      </c>
      <c r="C1549" s="410" t="s">
        <v>2275</v>
      </c>
      <c r="D1549" s="102" t="s">
        <v>723</v>
      </c>
      <c r="E1549" s="102" t="s">
        <v>137</v>
      </c>
      <c r="F1549" s="102" t="s">
        <v>711</v>
      </c>
      <c r="G1549" s="102" t="s">
        <v>767</v>
      </c>
      <c r="H1549" s="360">
        <v>950.0</v>
      </c>
      <c r="I1549" s="411" t="b">
        <v>0</v>
      </c>
      <c r="J1549" s="102" t="s">
        <v>1232</v>
      </c>
      <c r="K1549" s="360">
        <v>0.0</v>
      </c>
      <c r="L1549" s="360">
        <v>950.0</v>
      </c>
      <c r="M1549" s="102" t="s">
        <v>2276</v>
      </c>
      <c r="N1549" s="102" t="s">
        <v>2335</v>
      </c>
    </row>
    <row r="1550">
      <c r="A1550" s="412">
        <v>46037.0</v>
      </c>
      <c r="B1550" s="413">
        <v>2026.0</v>
      </c>
      <c r="C1550" s="414" t="s">
        <v>2275</v>
      </c>
      <c r="D1550" s="413" t="s">
        <v>702</v>
      </c>
      <c r="E1550" s="413" t="s">
        <v>465</v>
      </c>
      <c r="F1550" s="413" t="s">
        <v>711</v>
      </c>
      <c r="G1550" s="413" t="s">
        <v>767</v>
      </c>
      <c r="H1550" s="415">
        <v>800.0</v>
      </c>
      <c r="I1550" s="416" t="b">
        <v>0</v>
      </c>
      <c r="J1550" s="413" t="s">
        <v>1655</v>
      </c>
      <c r="K1550" s="415">
        <v>110.34482758620686</v>
      </c>
      <c r="L1550" s="415">
        <v>689.6551724137931</v>
      </c>
      <c r="M1550" s="413" t="s">
        <v>2276</v>
      </c>
      <c r="N1550" s="413" t="s">
        <v>2336</v>
      </c>
    </row>
    <row r="1551">
      <c r="A1551" s="409">
        <v>46037.0</v>
      </c>
      <c r="B1551" s="102">
        <v>2026.0</v>
      </c>
      <c r="C1551" s="410" t="s">
        <v>2275</v>
      </c>
      <c r="D1551" s="102" t="s">
        <v>723</v>
      </c>
      <c r="E1551" s="102" t="s">
        <v>137</v>
      </c>
      <c r="F1551" s="102" t="s">
        <v>711</v>
      </c>
      <c r="G1551" s="102" t="s">
        <v>767</v>
      </c>
      <c r="H1551" s="360">
        <v>400.0</v>
      </c>
      <c r="I1551" s="411" t="b">
        <v>0</v>
      </c>
      <c r="J1551" s="102" t="s">
        <v>1237</v>
      </c>
      <c r="K1551" s="360">
        <v>0.0</v>
      </c>
      <c r="L1551" s="360">
        <v>400.0</v>
      </c>
      <c r="M1551" s="102" t="s">
        <v>2276</v>
      </c>
      <c r="N1551" s="102" t="s">
        <v>2337</v>
      </c>
    </row>
    <row r="1552">
      <c r="A1552" s="412">
        <v>46037.0</v>
      </c>
      <c r="B1552" s="413">
        <v>2026.0</v>
      </c>
      <c r="C1552" s="414" t="s">
        <v>2275</v>
      </c>
      <c r="D1552" s="413" t="s">
        <v>723</v>
      </c>
      <c r="E1552" s="413" t="s">
        <v>137</v>
      </c>
      <c r="F1552" s="413" t="s">
        <v>711</v>
      </c>
      <c r="G1552" s="413" t="s">
        <v>740</v>
      </c>
      <c r="H1552" s="415">
        <v>25.0</v>
      </c>
      <c r="I1552" s="416" t="b">
        <v>0</v>
      </c>
      <c r="J1552" s="413" t="s">
        <v>472</v>
      </c>
      <c r="K1552" s="415">
        <v>0.0</v>
      </c>
      <c r="L1552" s="415">
        <v>25.0</v>
      </c>
      <c r="M1552" s="413" t="s">
        <v>2276</v>
      </c>
      <c r="N1552" s="413" t="s">
        <v>2338</v>
      </c>
    </row>
    <row r="1553">
      <c r="A1553" s="409">
        <v>46037.0</v>
      </c>
      <c r="B1553" s="102">
        <v>2026.0</v>
      </c>
      <c r="C1553" s="410" t="s">
        <v>2275</v>
      </c>
      <c r="D1553" s="102" t="s">
        <v>702</v>
      </c>
      <c r="E1553" s="102" t="s">
        <v>465</v>
      </c>
      <c r="F1553" s="102" t="s">
        <v>711</v>
      </c>
      <c r="G1553" s="102" t="s">
        <v>767</v>
      </c>
      <c r="H1553" s="360">
        <v>800.0</v>
      </c>
      <c r="I1553" s="411" t="b">
        <v>0</v>
      </c>
      <c r="J1553" s="102" t="s">
        <v>1466</v>
      </c>
      <c r="K1553" s="360">
        <v>110.34482758620686</v>
      </c>
      <c r="L1553" s="360">
        <v>689.6551724137931</v>
      </c>
      <c r="M1553" s="102" t="s">
        <v>2276</v>
      </c>
      <c r="N1553" s="102" t="s">
        <v>2339</v>
      </c>
    </row>
    <row r="1554">
      <c r="A1554" s="412">
        <v>46037.0</v>
      </c>
      <c r="B1554" s="413">
        <v>2026.0</v>
      </c>
      <c r="C1554" s="414" t="s">
        <v>2275</v>
      </c>
      <c r="D1554" s="413" t="s">
        <v>702</v>
      </c>
      <c r="E1554" s="413" t="s">
        <v>465</v>
      </c>
      <c r="F1554" s="413" t="s">
        <v>711</v>
      </c>
      <c r="G1554" s="413" t="s">
        <v>767</v>
      </c>
      <c r="H1554" s="415">
        <v>1103.31</v>
      </c>
      <c r="I1554" s="416" t="b">
        <v>0</v>
      </c>
      <c r="J1554" s="413" t="s">
        <v>1148</v>
      </c>
      <c r="K1554" s="415">
        <v>152.1806896551724</v>
      </c>
      <c r="L1554" s="415">
        <v>951.1293103448276</v>
      </c>
      <c r="M1554" s="413" t="s">
        <v>2276</v>
      </c>
      <c r="N1554" s="413" t="s">
        <v>2340</v>
      </c>
    </row>
    <row r="1555">
      <c r="A1555" s="409">
        <v>46037.0</v>
      </c>
      <c r="B1555" s="102">
        <v>2026.0</v>
      </c>
      <c r="C1555" s="410" t="s">
        <v>2275</v>
      </c>
      <c r="D1555" s="102" t="s">
        <v>702</v>
      </c>
      <c r="E1555" s="102" t="s">
        <v>465</v>
      </c>
      <c r="F1555" s="102" t="s">
        <v>711</v>
      </c>
      <c r="G1555" s="102" t="s">
        <v>730</v>
      </c>
      <c r="H1555" s="360">
        <v>309.0</v>
      </c>
      <c r="I1555" s="411" t="b">
        <v>0</v>
      </c>
      <c r="J1555" s="102" t="s">
        <v>472</v>
      </c>
      <c r="K1555" s="360">
        <v>42.620689655172384</v>
      </c>
      <c r="L1555" s="360">
        <v>266.3793103448276</v>
      </c>
      <c r="M1555" s="102" t="s">
        <v>2276</v>
      </c>
      <c r="N1555" s="102" t="s">
        <v>2341</v>
      </c>
    </row>
    <row r="1556">
      <c r="A1556" s="412">
        <v>46037.0</v>
      </c>
      <c r="B1556" s="413">
        <v>2026.0</v>
      </c>
      <c r="C1556" s="414" t="s">
        <v>2275</v>
      </c>
      <c r="D1556" s="413" t="s">
        <v>710</v>
      </c>
      <c r="E1556" s="413" t="s">
        <v>137</v>
      </c>
      <c r="F1556" s="413" t="s">
        <v>703</v>
      </c>
      <c r="G1556" s="413" t="s">
        <v>715</v>
      </c>
      <c r="H1556" s="415">
        <v>1476.0</v>
      </c>
      <c r="I1556" s="416" t="b">
        <v>0</v>
      </c>
      <c r="J1556" s="413" t="s">
        <v>2342</v>
      </c>
      <c r="K1556" s="415">
        <v>0.0</v>
      </c>
      <c r="L1556" s="415">
        <v>1476.0</v>
      </c>
      <c r="M1556" s="413" t="s">
        <v>2276</v>
      </c>
      <c r="N1556" s="413" t="s">
        <v>2343</v>
      </c>
    </row>
    <row r="1557">
      <c r="A1557" s="409">
        <v>46037.0</v>
      </c>
      <c r="B1557" s="102">
        <v>2026.0</v>
      </c>
      <c r="C1557" s="410" t="s">
        <v>2275</v>
      </c>
      <c r="D1557" s="102" t="s">
        <v>702</v>
      </c>
      <c r="E1557" s="102" t="s">
        <v>465</v>
      </c>
      <c r="F1557" s="102" t="s">
        <v>703</v>
      </c>
      <c r="G1557" s="102" t="s">
        <v>715</v>
      </c>
      <c r="H1557" s="360">
        <v>2524.0</v>
      </c>
      <c r="I1557" s="411" t="b">
        <v>0</v>
      </c>
      <c r="J1557" s="102" t="s">
        <v>2342</v>
      </c>
      <c r="K1557" s="360">
        <v>0.0</v>
      </c>
      <c r="L1557" s="360">
        <v>2524.0</v>
      </c>
      <c r="M1557" s="102" t="s">
        <v>2276</v>
      </c>
      <c r="N1557" s="102" t="s">
        <v>2344</v>
      </c>
    </row>
    <row r="1558">
      <c r="A1558" s="412">
        <v>46037.0</v>
      </c>
      <c r="B1558" s="413">
        <v>2026.0</v>
      </c>
      <c r="C1558" s="414" t="s">
        <v>2275</v>
      </c>
      <c r="D1558" s="413" t="s">
        <v>710</v>
      </c>
      <c r="E1558" s="413" t="s">
        <v>137</v>
      </c>
      <c r="F1558" s="413" t="s">
        <v>703</v>
      </c>
      <c r="G1558" s="413" t="s">
        <v>724</v>
      </c>
      <c r="H1558" s="415">
        <v>3721.0</v>
      </c>
      <c r="I1558" s="416" t="b">
        <v>1</v>
      </c>
      <c r="J1558" s="413" t="s">
        <v>472</v>
      </c>
      <c r="K1558" s="415">
        <v>0.0</v>
      </c>
      <c r="L1558" s="415">
        <v>0.0</v>
      </c>
      <c r="M1558" s="413" t="s">
        <v>2276</v>
      </c>
      <c r="N1558" s="413" t="s">
        <v>2345</v>
      </c>
    </row>
    <row r="1559">
      <c r="A1559" s="409">
        <v>46037.0</v>
      </c>
      <c r="B1559" s="102">
        <v>2026.0</v>
      </c>
      <c r="C1559" s="410" t="s">
        <v>2275</v>
      </c>
      <c r="D1559" s="102" t="s">
        <v>702</v>
      </c>
      <c r="E1559" s="102" t="s">
        <v>465</v>
      </c>
      <c r="F1559" s="102" t="s">
        <v>711</v>
      </c>
      <c r="G1559" s="102" t="s">
        <v>724</v>
      </c>
      <c r="H1559" s="360">
        <v>3721.0</v>
      </c>
      <c r="I1559" s="411" t="b">
        <v>1</v>
      </c>
      <c r="J1559" s="102" t="s">
        <v>472</v>
      </c>
      <c r="K1559" s="360">
        <v>0.0</v>
      </c>
      <c r="L1559" s="360">
        <v>0.0</v>
      </c>
      <c r="M1559" s="102" t="s">
        <v>2276</v>
      </c>
      <c r="N1559" s="102" t="s">
        <v>2345</v>
      </c>
    </row>
    <row r="1560">
      <c r="A1560" s="412">
        <v>46037.0</v>
      </c>
      <c r="B1560" s="413">
        <v>2026.0</v>
      </c>
      <c r="C1560" s="414" t="s">
        <v>2275</v>
      </c>
      <c r="D1560" s="413" t="s">
        <v>710</v>
      </c>
      <c r="E1560" s="413" t="s">
        <v>137</v>
      </c>
      <c r="F1560" s="413" t="s">
        <v>703</v>
      </c>
      <c r="G1560" s="413" t="s">
        <v>906</v>
      </c>
      <c r="H1560" s="415">
        <v>4000.0</v>
      </c>
      <c r="I1560" s="416" t="b">
        <v>0</v>
      </c>
      <c r="J1560" s="413" t="s">
        <v>472</v>
      </c>
      <c r="K1560" s="415">
        <v>0.0</v>
      </c>
      <c r="L1560" s="415">
        <v>4000.0</v>
      </c>
      <c r="M1560" s="413" t="s">
        <v>2276</v>
      </c>
      <c r="N1560" s="413" t="s">
        <v>2346</v>
      </c>
    </row>
    <row r="1561">
      <c r="A1561" s="409">
        <v>46038.0</v>
      </c>
      <c r="B1561" s="102">
        <v>2026.0</v>
      </c>
      <c r="C1561" s="410" t="s">
        <v>2275</v>
      </c>
      <c r="D1561" s="102" t="s">
        <v>702</v>
      </c>
      <c r="E1561" s="102" t="s">
        <v>465</v>
      </c>
      <c r="F1561" s="102" t="s">
        <v>711</v>
      </c>
      <c r="G1561" s="102" t="s">
        <v>767</v>
      </c>
      <c r="H1561" s="360">
        <v>800.0</v>
      </c>
      <c r="I1561" s="411" t="b">
        <v>0</v>
      </c>
      <c r="J1561" s="102" t="s">
        <v>1788</v>
      </c>
      <c r="K1561" s="360">
        <v>110.34482758620686</v>
      </c>
      <c r="L1561" s="360">
        <v>689.6551724137931</v>
      </c>
      <c r="M1561" s="102" t="s">
        <v>2276</v>
      </c>
      <c r="N1561" s="102" t="s">
        <v>2347</v>
      </c>
    </row>
    <row r="1562">
      <c r="A1562" s="412">
        <v>46039.0</v>
      </c>
      <c r="B1562" s="413">
        <v>2026.0</v>
      </c>
      <c r="C1562" s="414" t="s">
        <v>2275</v>
      </c>
      <c r="D1562" s="413" t="s">
        <v>723</v>
      </c>
      <c r="E1562" s="413" t="s">
        <v>137</v>
      </c>
      <c r="F1562" s="413" t="s">
        <v>711</v>
      </c>
      <c r="G1562" s="413" t="s">
        <v>767</v>
      </c>
      <c r="H1562" s="415">
        <v>1500.0</v>
      </c>
      <c r="I1562" s="416" t="b">
        <v>0</v>
      </c>
      <c r="J1562" s="413" t="s">
        <v>2348</v>
      </c>
      <c r="K1562" s="415">
        <v>0.0</v>
      </c>
      <c r="L1562" s="415">
        <v>1500.0</v>
      </c>
      <c r="M1562" s="413" t="s">
        <v>2276</v>
      </c>
      <c r="N1562" s="413" t="s">
        <v>2349</v>
      </c>
    </row>
    <row r="1563">
      <c r="A1563" s="409">
        <v>46039.0</v>
      </c>
      <c r="B1563" s="102">
        <v>2026.0</v>
      </c>
      <c r="C1563" s="410" t="s">
        <v>2275</v>
      </c>
      <c r="D1563" s="102" t="s">
        <v>723</v>
      </c>
      <c r="E1563" s="102" t="s">
        <v>137</v>
      </c>
      <c r="F1563" s="102" t="s">
        <v>711</v>
      </c>
      <c r="G1563" s="102" t="s">
        <v>740</v>
      </c>
      <c r="H1563" s="360">
        <v>10.0</v>
      </c>
      <c r="I1563" s="411" t="b">
        <v>0</v>
      </c>
      <c r="J1563" s="102" t="s">
        <v>472</v>
      </c>
      <c r="K1563" s="360">
        <v>0.0</v>
      </c>
      <c r="L1563" s="360">
        <v>10.0</v>
      </c>
      <c r="M1563" s="102" t="s">
        <v>2276</v>
      </c>
      <c r="N1563" s="102" t="s">
        <v>2350</v>
      </c>
    </row>
    <row r="1564">
      <c r="A1564" s="412">
        <v>46041.0</v>
      </c>
      <c r="B1564" s="413">
        <v>2026.0</v>
      </c>
      <c r="C1564" s="414" t="s">
        <v>2275</v>
      </c>
      <c r="D1564" s="413" t="s">
        <v>702</v>
      </c>
      <c r="E1564" s="413" t="s">
        <v>465</v>
      </c>
      <c r="F1564" s="413" t="s">
        <v>711</v>
      </c>
      <c r="G1564" s="413" t="s">
        <v>767</v>
      </c>
      <c r="H1564" s="415">
        <v>950.0</v>
      </c>
      <c r="I1564" s="416" t="b">
        <v>0</v>
      </c>
      <c r="J1564" s="413" t="s">
        <v>1246</v>
      </c>
      <c r="K1564" s="415">
        <v>131.03448275862058</v>
      </c>
      <c r="L1564" s="415">
        <v>818.9655172413794</v>
      </c>
      <c r="M1564" s="413" t="s">
        <v>2276</v>
      </c>
      <c r="N1564" s="413" t="s">
        <v>2351</v>
      </c>
    </row>
    <row r="1565">
      <c r="A1565" s="409">
        <v>46041.0</v>
      </c>
      <c r="B1565" s="102">
        <v>2026.0</v>
      </c>
      <c r="C1565" s="410" t="s">
        <v>2275</v>
      </c>
      <c r="D1565" s="102" t="s">
        <v>702</v>
      </c>
      <c r="E1565" s="102" t="s">
        <v>465</v>
      </c>
      <c r="F1565" s="102" t="s">
        <v>703</v>
      </c>
      <c r="G1565" s="102" t="s">
        <v>2352</v>
      </c>
      <c r="H1565" s="360">
        <v>860.0</v>
      </c>
      <c r="I1565" s="411" t="b">
        <v>0</v>
      </c>
      <c r="J1565" s="102" t="s">
        <v>472</v>
      </c>
      <c r="K1565" s="360">
        <v>0.0</v>
      </c>
      <c r="L1565" s="360">
        <v>860.0</v>
      </c>
      <c r="M1565" s="102" t="s">
        <v>2276</v>
      </c>
      <c r="N1565" s="102" t="s">
        <v>2353</v>
      </c>
    </row>
    <row r="1566">
      <c r="A1566" s="412">
        <v>46042.0</v>
      </c>
      <c r="B1566" s="413">
        <v>2026.0</v>
      </c>
      <c r="C1566" s="414" t="s">
        <v>2275</v>
      </c>
      <c r="D1566" s="413" t="s">
        <v>710</v>
      </c>
      <c r="E1566" s="413" t="s">
        <v>137</v>
      </c>
      <c r="F1566" s="413" t="s">
        <v>703</v>
      </c>
      <c r="G1566" s="413" t="s">
        <v>732</v>
      </c>
      <c r="H1566" s="415">
        <v>50.0</v>
      </c>
      <c r="I1566" s="416" t="b">
        <v>0</v>
      </c>
      <c r="J1566" s="413" t="s">
        <v>2354</v>
      </c>
      <c r="K1566" s="415">
        <v>0.0</v>
      </c>
      <c r="L1566" s="415">
        <v>50.0</v>
      </c>
      <c r="M1566" s="413" t="s">
        <v>2276</v>
      </c>
      <c r="N1566" s="413" t="s">
        <v>2355</v>
      </c>
    </row>
    <row r="1567">
      <c r="A1567" s="409">
        <v>46042.0</v>
      </c>
      <c r="B1567" s="102">
        <v>2026.0</v>
      </c>
      <c r="C1567" s="410" t="s">
        <v>2275</v>
      </c>
      <c r="D1567" s="102" t="s">
        <v>710</v>
      </c>
      <c r="E1567" s="102" t="s">
        <v>137</v>
      </c>
      <c r="F1567" s="102" t="s">
        <v>703</v>
      </c>
      <c r="G1567" s="102" t="s">
        <v>715</v>
      </c>
      <c r="H1567" s="360">
        <v>2000.0</v>
      </c>
      <c r="I1567" s="411" t="b">
        <v>0</v>
      </c>
      <c r="J1567" s="102" t="s">
        <v>472</v>
      </c>
      <c r="K1567" s="360">
        <v>0.0</v>
      </c>
      <c r="L1567" s="360">
        <v>2000.0</v>
      </c>
      <c r="M1567" s="102" t="s">
        <v>2276</v>
      </c>
      <c r="N1567" s="102" t="s">
        <v>2356</v>
      </c>
    </row>
    <row r="1568">
      <c r="A1568" s="412">
        <v>46046.0</v>
      </c>
      <c r="B1568" s="413">
        <v>2026.0</v>
      </c>
      <c r="C1568" s="414" t="s">
        <v>2275</v>
      </c>
      <c r="D1568" s="413" t="s">
        <v>723</v>
      </c>
      <c r="E1568" s="413" t="s">
        <v>137</v>
      </c>
      <c r="F1568" s="413" t="s">
        <v>711</v>
      </c>
      <c r="G1568" s="413" t="s">
        <v>767</v>
      </c>
      <c r="H1568" s="415">
        <v>550.0</v>
      </c>
      <c r="I1568" s="416" t="b">
        <v>0</v>
      </c>
      <c r="J1568" s="413" t="s">
        <v>1237</v>
      </c>
      <c r="K1568" s="415">
        <v>0.0</v>
      </c>
      <c r="L1568" s="415">
        <v>550.0</v>
      </c>
      <c r="M1568" s="413" t="s">
        <v>2276</v>
      </c>
      <c r="N1568" s="413" t="s">
        <v>2357</v>
      </c>
    </row>
    <row r="1569">
      <c r="A1569" s="409">
        <v>46048.0</v>
      </c>
      <c r="B1569" s="102">
        <v>2026.0</v>
      </c>
      <c r="C1569" s="410" t="s">
        <v>2275</v>
      </c>
      <c r="D1569" s="102" t="s">
        <v>710</v>
      </c>
      <c r="E1569" s="102" t="s">
        <v>137</v>
      </c>
      <c r="F1569" s="102" t="s">
        <v>711</v>
      </c>
      <c r="G1569" s="102" t="s">
        <v>724</v>
      </c>
      <c r="H1569" s="360">
        <v>8085.0</v>
      </c>
      <c r="I1569" s="411" t="b">
        <v>1</v>
      </c>
      <c r="J1569" s="102" t="s">
        <v>472</v>
      </c>
      <c r="K1569" s="360">
        <v>0.0</v>
      </c>
      <c r="L1569" s="360">
        <v>0.0</v>
      </c>
      <c r="M1569" s="102" t="s">
        <v>2276</v>
      </c>
      <c r="N1569" s="102" t="s">
        <v>2358</v>
      </c>
    </row>
    <row r="1570">
      <c r="A1570" s="412">
        <v>46048.0</v>
      </c>
      <c r="B1570" s="413">
        <v>2026.0</v>
      </c>
      <c r="C1570" s="414" t="s">
        <v>2275</v>
      </c>
      <c r="D1570" s="413" t="s">
        <v>723</v>
      </c>
      <c r="E1570" s="413" t="s">
        <v>137</v>
      </c>
      <c r="F1570" s="413" t="s">
        <v>703</v>
      </c>
      <c r="G1570" s="413" t="s">
        <v>724</v>
      </c>
      <c r="H1570" s="415">
        <v>8085.0</v>
      </c>
      <c r="I1570" s="416" t="b">
        <v>1</v>
      </c>
      <c r="J1570" s="413" t="s">
        <v>472</v>
      </c>
      <c r="K1570" s="415">
        <v>0.0</v>
      </c>
      <c r="L1570" s="415">
        <v>0.0</v>
      </c>
      <c r="M1570" s="413" t="s">
        <v>2276</v>
      </c>
      <c r="N1570" s="413" t="s">
        <v>2358</v>
      </c>
    </row>
    <row r="1571">
      <c r="A1571" s="409">
        <v>46048.0</v>
      </c>
      <c r="B1571" s="102">
        <v>2026.0</v>
      </c>
      <c r="C1571" s="410" t="s">
        <v>2275</v>
      </c>
      <c r="D1571" s="102" t="s">
        <v>710</v>
      </c>
      <c r="E1571" s="102" t="s">
        <v>137</v>
      </c>
      <c r="F1571" s="102" t="s">
        <v>711</v>
      </c>
      <c r="G1571" s="102" t="s">
        <v>732</v>
      </c>
      <c r="H1571" s="360">
        <v>154.0</v>
      </c>
      <c r="I1571" s="411" t="b">
        <v>0</v>
      </c>
      <c r="J1571" s="102" t="s">
        <v>472</v>
      </c>
      <c r="K1571" s="360">
        <v>0.0</v>
      </c>
      <c r="L1571" s="360">
        <v>154.0</v>
      </c>
      <c r="M1571" s="102" t="s">
        <v>2276</v>
      </c>
      <c r="N1571" s="102" t="s">
        <v>2359</v>
      </c>
    </row>
    <row r="1572">
      <c r="A1572" s="412">
        <v>46048.0</v>
      </c>
      <c r="B1572" s="413">
        <v>2026.0</v>
      </c>
      <c r="C1572" s="414" t="s">
        <v>2275</v>
      </c>
      <c r="D1572" s="413" t="s">
        <v>702</v>
      </c>
      <c r="E1572" s="413" t="s">
        <v>465</v>
      </c>
      <c r="F1572" s="413" t="s">
        <v>703</v>
      </c>
      <c r="G1572" s="413" t="s">
        <v>732</v>
      </c>
      <c r="H1572" s="415">
        <v>100.0</v>
      </c>
      <c r="I1572" s="416" t="b">
        <v>0</v>
      </c>
      <c r="J1572" s="413" t="s">
        <v>2360</v>
      </c>
      <c r="K1572" s="415">
        <v>0.0</v>
      </c>
      <c r="L1572" s="415">
        <v>100.0</v>
      </c>
      <c r="M1572" s="413" t="s">
        <v>2276</v>
      </c>
      <c r="N1572" s="413" t="s">
        <v>2361</v>
      </c>
    </row>
    <row r="1573">
      <c r="A1573" s="409">
        <v>46048.0</v>
      </c>
      <c r="B1573" s="102">
        <v>2026.0</v>
      </c>
      <c r="C1573" s="410" t="s">
        <v>2275</v>
      </c>
      <c r="D1573" s="102" t="s">
        <v>702</v>
      </c>
      <c r="E1573" s="102" t="s">
        <v>465</v>
      </c>
      <c r="F1573" s="102" t="s">
        <v>711</v>
      </c>
      <c r="G1573" s="102" t="s">
        <v>730</v>
      </c>
      <c r="H1573" s="360">
        <v>109.0</v>
      </c>
      <c r="I1573" s="411" t="b">
        <v>0</v>
      </c>
      <c r="J1573" s="102" t="s">
        <v>472</v>
      </c>
      <c r="K1573" s="360">
        <v>15.034482758620683</v>
      </c>
      <c r="L1573" s="360">
        <v>93.96551724137932</v>
      </c>
      <c r="M1573" s="102" t="s">
        <v>2276</v>
      </c>
      <c r="N1573" s="102" t="s">
        <v>2362</v>
      </c>
    </row>
    <row r="1574">
      <c r="A1574" s="412">
        <v>46048.0</v>
      </c>
      <c r="B1574" s="413">
        <v>2026.0</v>
      </c>
      <c r="C1574" s="414" t="s">
        <v>2275</v>
      </c>
      <c r="D1574" s="413" t="s">
        <v>710</v>
      </c>
      <c r="E1574" s="413" t="s">
        <v>137</v>
      </c>
      <c r="F1574" s="413" t="s">
        <v>703</v>
      </c>
      <c r="G1574" s="413" t="s">
        <v>724</v>
      </c>
      <c r="H1574" s="415">
        <v>1000.0</v>
      </c>
      <c r="I1574" s="416" t="b">
        <v>1</v>
      </c>
      <c r="J1574" s="413" t="s">
        <v>472</v>
      </c>
      <c r="K1574" s="415">
        <v>0.0</v>
      </c>
      <c r="L1574" s="415">
        <v>0.0</v>
      </c>
      <c r="M1574" s="413" t="s">
        <v>2276</v>
      </c>
      <c r="N1574" s="413" t="s">
        <v>2363</v>
      </c>
    </row>
    <row r="1575">
      <c r="A1575" s="409">
        <v>46048.0</v>
      </c>
      <c r="B1575" s="102">
        <v>2026.0</v>
      </c>
      <c r="C1575" s="410" t="s">
        <v>2275</v>
      </c>
      <c r="D1575" s="102" t="s">
        <v>723</v>
      </c>
      <c r="E1575" s="102" t="s">
        <v>137</v>
      </c>
      <c r="F1575" s="102" t="s">
        <v>711</v>
      </c>
      <c r="G1575" s="102" t="s">
        <v>724</v>
      </c>
      <c r="H1575" s="360">
        <v>1000.0</v>
      </c>
      <c r="I1575" s="411" t="b">
        <v>1</v>
      </c>
      <c r="J1575" s="102" t="s">
        <v>472</v>
      </c>
      <c r="K1575" s="360">
        <v>0.0</v>
      </c>
      <c r="L1575" s="360">
        <v>0.0</v>
      </c>
      <c r="M1575" s="102" t="s">
        <v>2276</v>
      </c>
      <c r="N1575" s="102" t="s">
        <v>2363</v>
      </c>
    </row>
    <row r="1576">
      <c r="A1576" s="412">
        <v>46048.0</v>
      </c>
      <c r="B1576" s="413">
        <v>2026.0</v>
      </c>
      <c r="C1576" s="414" t="s">
        <v>2275</v>
      </c>
      <c r="D1576" s="413" t="s">
        <v>702</v>
      </c>
      <c r="E1576" s="413" t="s">
        <v>465</v>
      </c>
      <c r="F1576" s="413" t="s">
        <v>711</v>
      </c>
      <c r="G1576" s="413" t="s">
        <v>767</v>
      </c>
      <c r="H1576" s="415">
        <v>150.0</v>
      </c>
      <c r="I1576" s="416" t="b">
        <v>0</v>
      </c>
      <c r="J1576" s="413" t="s">
        <v>1788</v>
      </c>
      <c r="K1576" s="415">
        <v>20.68965517241378</v>
      </c>
      <c r="L1576" s="415">
        <v>129.31034482758622</v>
      </c>
      <c r="M1576" s="413" t="s">
        <v>2276</v>
      </c>
      <c r="N1576" s="413" t="s">
        <v>2364</v>
      </c>
    </row>
    <row r="1577">
      <c r="A1577" s="409">
        <v>46049.0</v>
      </c>
      <c r="B1577" s="102">
        <v>2026.0</v>
      </c>
      <c r="C1577" s="410" t="s">
        <v>2275</v>
      </c>
      <c r="D1577" s="102" t="s">
        <v>723</v>
      </c>
      <c r="E1577" s="102" t="s">
        <v>137</v>
      </c>
      <c r="F1577" s="102" t="s">
        <v>703</v>
      </c>
      <c r="G1577" s="102" t="s">
        <v>1673</v>
      </c>
      <c r="H1577" s="360">
        <v>695.0</v>
      </c>
      <c r="I1577" s="411" t="b">
        <v>0</v>
      </c>
      <c r="J1577" s="102" t="s">
        <v>472</v>
      </c>
      <c r="K1577" s="360">
        <v>0.0</v>
      </c>
      <c r="L1577" s="360">
        <v>695.0</v>
      </c>
      <c r="M1577" s="102" t="s">
        <v>2276</v>
      </c>
      <c r="N1577" s="102" t="s">
        <v>2365</v>
      </c>
    </row>
    <row r="1578">
      <c r="A1578" s="412">
        <v>46049.0</v>
      </c>
      <c r="B1578" s="413">
        <v>2026.0</v>
      </c>
      <c r="C1578" s="414" t="s">
        <v>2275</v>
      </c>
      <c r="D1578" s="413" t="s">
        <v>723</v>
      </c>
      <c r="E1578" s="413" t="s">
        <v>137</v>
      </c>
      <c r="F1578" s="413" t="s">
        <v>711</v>
      </c>
      <c r="G1578" s="413" t="s">
        <v>724</v>
      </c>
      <c r="H1578" s="415">
        <v>595.0</v>
      </c>
      <c r="I1578" s="416" t="b">
        <v>1</v>
      </c>
      <c r="J1578" s="413" t="s">
        <v>472</v>
      </c>
      <c r="K1578" s="415">
        <v>0.0</v>
      </c>
      <c r="L1578" s="415">
        <v>0.0</v>
      </c>
      <c r="M1578" s="413" t="s">
        <v>2276</v>
      </c>
      <c r="N1578" s="413" t="s">
        <v>2366</v>
      </c>
    </row>
    <row r="1579">
      <c r="A1579" s="409">
        <v>46049.0</v>
      </c>
      <c r="B1579" s="102">
        <v>2026.0</v>
      </c>
      <c r="C1579" s="410" t="s">
        <v>2275</v>
      </c>
      <c r="D1579" s="102" t="s">
        <v>710</v>
      </c>
      <c r="E1579" s="102" t="s">
        <v>137</v>
      </c>
      <c r="F1579" s="102" t="s">
        <v>703</v>
      </c>
      <c r="G1579" s="102" t="s">
        <v>724</v>
      </c>
      <c r="H1579" s="360">
        <v>595.0</v>
      </c>
      <c r="I1579" s="411" t="b">
        <v>1</v>
      </c>
      <c r="J1579" s="102" t="s">
        <v>472</v>
      </c>
      <c r="K1579" s="360">
        <v>0.0</v>
      </c>
      <c r="L1579" s="360">
        <v>0.0</v>
      </c>
      <c r="M1579" s="102" t="s">
        <v>2276</v>
      </c>
      <c r="N1579" s="102" t="s">
        <v>2366</v>
      </c>
    </row>
    <row r="1580">
      <c r="A1580" s="412">
        <v>46049.0</v>
      </c>
      <c r="B1580" s="413">
        <v>2026.0</v>
      </c>
      <c r="C1580" s="414" t="s">
        <v>2275</v>
      </c>
      <c r="D1580" s="413" t="s">
        <v>702</v>
      </c>
      <c r="E1580" s="413" t="s">
        <v>465</v>
      </c>
      <c r="F1580" s="413" t="s">
        <v>711</v>
      </c>
      <c r="G1580" s="413" t="s">
        <v>767</v>
      </c>
      <c r="H1580" s="415">
        <v>767.0</v>
      </c>
      <c r="I1580" s="416" t="b">
        <v>0</v>
      </c>
      <c r="J1580" s="413" t="s">
        <v>432</v>
      </c>
      <c r="K1580" s="415">
        <v>105.79310344827582</v>
      </c>
      <c r="L1580" s="415">
        <v>661.2068965517242</v>
      </c>
      <c r="M1580" s="413" t="s">
        <v>2276</v>
      </c>
      <c r="N1580" s="413" t="s">
        <v>2367</v>
      </c>
    </row>
    <row r="1581">
      <c r="A1581" s="409">
        <v>46049.0</v>
      </c>
      <c r="B1581" s="102">
        <v>2026.0</v>
      </c>
      <c r="C1581" s="410" t="s">
        <v>2275</v>
      </c>
      <c r="D1581" s="102" t="s">
        <v>723</v>
      </c>
      <c r="E1581" s="102" t="s">
        <v>137</v>
      </c>
      <c r="F1581" s="102" t="s">
        <v>711</v>
      </c>
      <c r="G1581" s="102" t="s">
        <v>740</v>
      </c>
      <c r="H1581" s="360">
        <v>20.0</v>
      </c>
      <c r="I1581" s="411" t="b">
        <v>0</v>
      </c>
      <c r="J1581" s="102" t="s">
        <v>472</v>
      </c>
      <c r="K1581" s="360">
        <v>0.0</v>
      </c>
      <c r="L1581" s="360">
        <v>20.0</v>
      </c>
      <c r="M1581" s="102" t="s">
        <v>2276</v>
      </c>
      <c r="N1581" s="102" t="s">
        <v>2368</v>
      </c>
    </row>
    <row r="1582">
      <c r="A1582" s="412">
        <v>46050.0</v>
      </c>
      <c r="B1582" s="413">
        <v>2026.0</v>
      </c>
      <c r="C1582" s="414" t="s">
        <v>2275</v>
      </c>
      <c r="D1582" s="413" t="s">
        <v>723</v>
      </c>
      <c r="E1582" s="413" t="s">
        <v>137</v>
      </c>
      <c r="F1582" s="413" t="s">
        <v>711</v>
      </c>
      <c r="G1582" s="413" t="s">
        <v>767</v>
      </c>
      <c r="H1582" s="415">
        <v>1100.0</v>
      </c>
      <c r="I1582" s="416" t="b">
        <v>0</v>
      </c>
      <c r="J1582" s="413" t="s">
        <v>1899</v>
      </c>
      <c r="K1582" s="415">
        <v>0.0</v>
      </c>
      <c r="L1582" s="415">
        <v>1100.0</v>
      </c>
      <c r="M1582" s="413" t="s">
        <v>2276</v>
      </c>
      <c r="N1582" s="413" t="s">
        <v>2369</v>
      </c>
    </row>
    <row r="1583">
      <c r="A1583" s="409">
        <v>46050.0</v>
      </c>
      <c r="B1583" s="102">
        <v>2026.0</v>
      </c>
      <c r="C1583" s="410" t="s">
        <v>2275</v>
      </c>
      <c r="D1583" s="102" t="s">
        <v>723</v>
      </c>
      <c r="E1583" s="102" t="s">
        <v>137</v>
      </c>
      <c r="F1583" s="102" t="s">
        <v>711</v>
      </c>
      <c r="G1583" s="102" t="s">
        <v>740</v>
      </c>
      <c r="H1583" s="360">
        <v>10.0</v>
      </c>
      <c r="I1583" s="411" t="b">
        <v>0</v>
      </c>
      <c r="J1583" s="102" t="s">
        <v>472</v>
      </c>
      <c r="K1583" s="360">
        <v>0.0</v>
      </c>
      <c r="L1583" s="360">
        <v>10.0</v>
      </c>
      <c r="M1583" s="102" t="s">
        <v>2276</v>
      </c>
      <c r="N1583" s="102" t="s">
        <v>2370</v>
      </c>
    </row>
    <row r="1584">
      <c r="A1584" s="412">
        <v>46051.0</v>
      </c>
      <c r="B1584" s="413">
        <v>2026.0</v>
      </c>
      <c r="C1584" s="414" t="s">
        <v>2275</v>
      </c>
      <c r="D1584" s="413" t="s">
        <v>702</v>
      </c>
      <c r="E1584" s="413" t="s">
        <v>465</v>
      </c>
      <c r="F1584" s="413" t="s">
        <v>711</v>
      </c>
      <c r="G1584" s="413" t="s">
        <v>730</v>
      </c>
      <c r="H1584" s="415">
        <v>50.0</v>
      </c>
      <c r="I1584" s="416" t="b">
        <v>0</v>
      </c>
      <c r="J1584" s="413" t="s">
        <v>472</v>
      </c>
      <c r="K1584" s="415">
        <v>6.896551724137929</v>
      </c>
      <c r="L1584" s="415">
        <v>43.10344827586207</v>
      </c>
      <c r="M1584" s="413" t="s">
        <v>2276</v>
      </c>
      <c r="N1584" s="413" t="s">
        <v>2371</v>
      </c>
    </row>
    <row r="1585">
      <c r="A1585" s="409">
        <v>46051.0</v>
      </c>
      <c r="B1585" s="102">
        <v>2026.0</v>
      </c>
      <c r="C1585" s="410" t="s">
        <v>2275</v>
      </c>
      <c r="D1585" s="102" t="s">
        <v>702</v>
      </c>
      <c r="E1585" s="102" t="s">
        <v>465</v>
      </c>
      <c r="F1585" s="102" t="s">
        <v>711</v>
      </c>
      <c r="G1585" s="102" t="s">
        <v>767</v>
      </c>
      <c r="H1585" s="360">
        <v>800.0</v>
      </c>
      <c r="I1585" s="411" t="b">
        <v>0</v>
      </c>
      <c r="J1585" s="102" t="s">
        <v>2088</v>
      </c>
      <c r="K1585" s="360">
        <v>110.34482758620686</v>
      </c>
      <c r="L1585" s="360">
        <v>689.6551724137931</v>
      </c>
      <c r="M1585" s="102" t="s">
        <v>2276</v>
      </c>
      <c r="N1585" s="102" t="s">
        <v>2372</v>
      </c>
    </row>
    <row r="1586">
      <c r="A1586" s="412">
        <v>46053.0</v>
      </c>
      <c r="B1586" s="413">
        <v>2026.0</v>
      </c>
      <c r="C1586" s="414" t="s">
        <v>2275</v>
      </c>
      <c r="D1586" s="413" t="s">
        <v>702</v>
      </c>
      <c r="E1586" s="413" t="s">
        <v>465</v>
      </c>
      <c r="F1586" s="413" t="s">
        <v>711</v>
      </c>
      <c r="G1586" s="413" t="s">
        <v>767</v>
      </c>
      <c r="H1586" s="415">
        <v>1247.0</v>
      </c>
      <c r="I1586" s="416" t="b">
        <v>0</v>
      </c>
      <c r="J1586" s="413" t="s">
        <v>1164</v>
      </c>
      <c r="K1586" s="415">
        <v>172.0</v>
      </c>
      <c r="L1586" s="415">
        <v>1075.0</v>
      </c>
      <c r="M1586" s="413" t="s">
        <v>2276</v>
      </c>
      <c r="N1586" s="413" t="s">
        <v>2373</v>
      </c>
    </row>
    <row r="1587">
      <c r="A1587" s="409">
        <v>46053.0</v>
      </c>
      <c r="B1587" s="102">
        <v>2026.0</v>
      </c>
      <c r="C1587" s="410" t="s">
        <v>2275</v>
      </c>
      <c r="D1587" s="102" t="s">
        <v>702</v>
      </c>
      <c r="E1587" s="102" t="s">
        <v>465</v>
      </c>
      <c r="F1587" s="102" t="s">
        <v>711</v>
      </c>
      <c r="G1587" s="102" t="s">
        <v>767</v>
      </c>
      <c r="H1587" s="360">
        <v>1600.0</v>
      </c>
      <c r="I1587" s="411" t="b">
        <v>0</v>
      </c>
      <c r="J1587" s="102" t="s">
        <v>2374</v>
      </c>
      <c r="K1587" s="360">
        <v>220.68965517241372</v>
      </c>
      <c r="L1587" s="360">
        <v>1379.3103448275863</v>
      </c>
      <c r="M1587" s="102" t="s">
        <v>2276</v>
      </c>
      <c r="N1587" s="102" t="s">
        <v>2375</v>
      </c>
    </row>
    <row r="1588">
      <c r="A1588" s="412">
        <v>46053.0</v>
      </c>
      <c r="B1588" s="413">
        <v>2026.0</v>
      </c>
      <c r="C1588" s="414" t="s">
        <v>2275</v>
      </c>
      <c r="D1588" s="413" t="s">
        <v>723</v>
      </c>
      <c r="E1588" s="413" t="s">
        <v>137</v>
      </c>
      <c r="F1588" s="413" t="s">
        <v>711</v>
      </c>
      <c r="G1588" s="413" t="s">
        <v>767</v>
      </c>
      <c r="H1588" s="415">
        <v>950.0</v>
      </c>
      <c r="I1588" s="416" t="b">
        <v>0</v>
      </c>
      <c r="J1588" s="413" t="s">
        <v>2376</v>
      </c>
      <c r="K1588" s="415">
        <v>0.0</v>
      </c>
      <c r="L1588" s="415">
        <v>950.0</v>
      </c>
      <c r="M1588" s="413" t="s">
        <v>2276</v>
      </c>
      <c r="N1588" s="413" t="s">
        <v>2377</v>
      </c>
    </row>
    <row r="1589">
      <c r="A1589" s="409">
        <v>46053.0</v>
      </c>
      <c r="B1589" s="102">
        <v>2026.0</v>
      </c>
      <c r="C1589" s="410" t="s">
        <v>2275</v>
      </c>
      <c r="D1589" s="102" t="s">
        <v>710</v>
      </c>
      <c r="E1589" s="102" t="s">
        <v>137</v>
      </c>
      <c r="F1589" s="102" t="s">
        <v>703</v>
      </c>
      <c r="G1589" s="102" t="s">
        <v>1657</v>
      </c>
      <c r="H1589" s="360">
        <v>1200.0</v>
      </c>
      <c r="I1589" s="411" t="b">
        <v>0</v>
      </c>
      <c r="J1589" s="102" t="s">
        <v>472</v>
      </c>
      <c r="K1589" s="360">
        <v>0.0</v>
      </c>
      <c r="L1589" s="360">
        <v>1200.0</v>
      </c>
      <c r="M1589" s="102" t="s">
        <v>2276</v>
      </c>
      <c r="N1589" s="102" t="s">
        <v>2378</v>
      </c>
    </row>
    <row r="1590">
      <c r="A1590" s="412">
        <v>46053.0</v>
      </c>
      <c r="B1590" s="413">
        <v>2026.0</v>
      </c>
      <c r="C1590" s="414" t="s">
        <v>2275</v>
      </c>
      <c r="D1590" s="413" t="s">
        <v>723</v>
      </c>
      <c r="E1590" s="413" t="s">
        <v>137</v>
      </c>
      <c r="F1590" s="413" t="s">
        <v>711</v>
      </c>
      <c r="G1590" s="413" t="s">
        <v>767</v>
      </c>
      <c r="H1590" s="415">
        <v>50.0</v>
      </c>
      <c r="I1590" s="416" t="b">
        <v>0</v>
      </c>
      <c r="J1590" s="413" t="s">
        <v>2348</v>
      </c>
      <c r="K1590" s="415">
        <v>0.0</v>
      </c>
      <c r="L1590" s="415">
        <v>50.0</v>
      </c>
      <c r="M1590" s="413" t="s">
        <v>2276</v>
      </c>
      <c r="N1590" s="413" t="s">
        <v>2379</v>
      </c>
    </row>
    <row r="1591">
      <c r="A1591" s="409">
        <v>46053.0</v>
      </c>
      <c r="B1591" s="102">
        <v>2026.0</v>
      </c>
      <c r="C1591" s="410" t="s">
        <v>2275</v>
      </c>
      <c r="D1591" s="102" t="s">
        <v>723</v>
      </c>
      <c r="E1591" s="102" t="s">
        <v>137</v>
      </c>
      <c r="F1591" s="102" t="s">
        <v>711</v>
      </c>
      <c r="G1591" s="102" t="s">
        <v>740</v>
      </c>
      <c r="H1591" s="360">
        <v>49.0</v>
      </c>
      <c r="I1591" s="411" t="b">
        <v>0</v>
      </c>
      <c r="J1591" s="102" t="s">
        <v>472</v>
      </c>
      <c r="K1591" s="360">
        <v>0.0</v>
      </c>
      <c r="L1591" s="360">
        <v>49.0</v>
      </c>
      <c r="M1591" s="102" t="s">
        <v>2276</v>
      </c>
      <c r="N1591" s="102" t="s">
        <v>2380</v>
      </c>
    </row>
    <row r="1592">
      <c r="A1592" s="412">
        <v>46053.0</v>
      </c>
      <c r="B1592" s="413">
        <v>2026.0</v>
      </c>
      <c r="C1592" s="414" t="s">
        <v>2275</v>
      </c>
      <c r="D1592" s="413" t="s">
        <v>710</v>
      </c>
      <c r="E1592" s="413" t="s">
        <v>137</v>
      </c>
      <c r="F1592" s="413" t="s">
        <v>711</v>
      </c>
      <c r="G1592" s="413" t="s">
        <v>724</v>
      </c>
      <c r="H1592" s="415">
        <v>3079.0</v>
      </c>
      <c r="I1592" s="416" t="b">
        <v>1</v>
      </c>
      <c r="J1592" s="413" t="s">
        <v>472</v>
      </c>
      <c r="K1592" s="415">
        <v>0.0</v>
      </c>
      <c r="L1592" s="415">
        <v>0.0</v>
      </c>
      <c r="M1592" s="413" t="s">
        <v>2276</v>
      </c>
      <c r="N1592" s="413" t="s">
        <v>2381</v>
      </c>
    </row>
    <row r="1593">
      <c r="A1593" s="409">
        <v>46053.0</v>
      </c>
      <c r="B1593" s="102">
        <v>2026.0</v>
      </c>
      <c r="C1593" s="410" t="s">
        <v>2275</v>
      </c>
      <c r="D1593" s="102" t="s">
        <v>723</v>
      </c>
      <c r="E1593" s="102" t="s">
        <v>137</v>
      </c>
      <c r="F1593" s="102" t="s">
        <v>703</v>
      </c>
      <c r="G1593" s="102" t="s">
        <v>724</v>
      </c>
      <c r="H1593" s="360">
        <v>3079.0</v>
      </c>
      <c r="I1593" s="411" t="b">
        <v>1</v>
      </c>
      <c r="J1593" s="102" t="s">
        <v>472</v>
      </c>
      <c r="K1593" s="360">
        <v>0.0</v>
      </c>
      <c r="L1593" s="360">
        <v>0.0</v>
      </c>
      <c r="M1593" s="102" t="s">
        <v>2276</v>
      </c>
      <c r="N1593" s="102" t="s">
        <v>2381</v>
      </c>
    </row>
    <row r="1594">
      <c r="A1594" s="412">
        <v>46053.0</v>
      </c>
      <c r="B1594" s="413">
        <v>2026.0</v>
      </c>
      <c r="C1594" s="414" t="s">
        <v>2275</v>
      </c>
      <c r="D1594" s="413" t="s">
        <v>710</v>
      </c>
      <c r="E1594" s="413" t="s">
        <v>137</v>
      </c>
      <c r="F1594" s="413" t="s">
        <v>703</v>
      </c>
      <c r="G1594" s="413" t="s">
        <v>747</v>
      </c>
      <c r="H1594" s="415">
        <v>2500.0</v>
      </c>
      <c r="I1594" s="416" t="b">
        <v>0</v>
      </c>
      <c r="J1594" s="413" t="s">
        <v>2382</v>
      </c>
      <c r="K1594" s="415">
        <v>0.0</v>
      </c>
      <c r="L1594" s="415">
        <v>2500.0</v>
      </c>
      <c r="M1594" s="413" t="s">
        <v>2276</v>
      </c>
      <c r="N1594" s="413" t="s">
        <v>2383</v>
      </c>
    </row>
    <row r="1595">
      <c r="A1595" s="409">
        <v>46053.0</v>
      </c>
      <c r="B1595" s="102">
        <v>2026.0</v>
      </c>
      <c r="C1595" s="410" t="s">
        <v>2275</v>
      </c>
      <c r="D1595" s="102" t="s">
        <v>702</v>
      </c>
      <c r="E1595" s="102" t="s">
        <v>465</v>
      </c>
      <c r="F1595" s="102" t="s">
        <v>703</v>
      </c>
      <c r="G1595" s="102" t="s">
        <v>747</v>
      </c>
      <c r="H1595" s="360">
        <v>2500.0</v>
      </c>
      <c r="I1595" s="411" t="b">
        <v>0</v>
      </c>
      <c r="J1595" s="102" t="s">
        <v>2382</v>
      </c>
      <c r="K1595" s="360">
        <v>0.0</v>
      </c>
      <c r="L1595" s="360">
        <v>2500.0</v>
      </c>
      <c r="M1595" s="102" t="s">
        <v>2276</v>
      </c>
      <c r="N1595" s="102" t="s">
        <v>2384</v>
      </c>
    </row>
    <row r="1596">
      <c r="A1596" s="412">
        <v>46053.0</v>
      </c>
      <c r="B1596" s="413">
        <v>2026.0</v>
      </c>
      <c r="C1596" s="414" t="s">
        <v>2275</v>
      </c>
      <c r="D1596" s="413" t="s">
        <v>702</v>
      </c>
      <c r="E1596" s="413" t="s">
        <v>465</v>
      </c>
      <c r="F1596" s="413" t="s">
        <v>711</v>
      </c>
      <c r="G1596" s="413" t="s">
        <v>724</v>
      </c>
      <c r="H1596" s="415">
        <v>4850.0</v>
      </c>
      <c r="I1596" s="416" t="b">
        <v>1</v>
      </c>
      <c r="J1596" s="413" t="s">
        <v>472</v>
      </c>
      <c r="K1596" s="415">
        <v>0.0</v>
      </c>
      <c r="L1596" s="415">
        <v>0.0</v>
      </c>
      <c r="M1596" s="413" t="s">
        <v>2276</v>
      </c>
      <c r="N1596" s="413" t="s">
        <v>2385</v>
      </c>
    </row>
    <row r="1597">
      <c r="A1597" s="409">
        <v>46053.0</v>
      </c>
      <c r="B1597" s="102">
        <v>2026.0</v>
      </c>
      <c r="C1597" s="410" t="s">
        <v>2275</v>
      </c>
      <c r="D1597" s="102" t="s">
        <v>710</v>
      </c>
      <c r="E1597" s="102" t="s">
        <v>137</v>
      </c>
      <c r="F1597" s="102" t="s">
        <v>703</v>
      </c>
      <c r="G1597" s="102" t="s">
        <v>724</v>
      </c>
      <c r="H1597" s="360">
        <v>4850.0</v>
      </c>
      <c r="I1597" s="411" t="b">
        <v>1</v>
      </c>
      <c r="J1597" s="102" t="s">
        <v>472</v>
      </c>
      <c r="K1597" s="360">
        <v>0.0</v>
      </c>
      <c r="L1597" s="360">
        <v>0.0</v>
      </c>
      <c r="M1597" s="102" t="s">
        <v>2276</v>
      </c>
      <c r="N1597" s="102" t="s">
        <v>2385</v>
      </c>
    </row>
    <row r="1598">
      <c r="A1598" s="412">
        <v>46053.0</v>
      </c>
      <c r="B1598" s="413">
        <v>2026.0</v>
      </c>
      <c r="C1598" s="414" t="s">
        <v>2275</v>
      </c>
      <c r="D1598" s="413" t="s">
        <v>702</v>
      </c>
      <c r="E1598" s="413" t="s">
        <v>465</v>
      </c>
      <c r="F1598" s="413" t="s">
        <v>711</v>
      </c>
      <c r="G1598" s="413" t="s">
        <v>730</v>
      </c>
      <c r="H1598" s="415">
        <v>40.0</v>
      </c>
      <c r="I1598" s="416" t="b">
        <v>0</v>
      </c>
      <c r="J1598" s="413" t="s">
        <v>472</v>
      </c>
      <c r="K1598" s="415">
        <v>5.517241379310342</v>
      </c>
      <c r="L1598" s="415">
        <v>34.48275862068966</v>
      </c>
      <c r="M1598" s="413" t="s">
        <v>2276</v>
      </c>
      <c r="N1598" s="413" t="s">
        <v>2386</v>
      </c>
    </row>
    <row r="1599">
      <c r="A1599" s="409">
        <v>46054.0</v>
      </c>
      <c r="B1599" s="102">
        <v>2026.0</v>
      </c>
      <c r="C1599" s="410" t="s">
        <v>2387</v>
      </c>
      <c r="D1599" s="102" t="s">
        <v>702</v>
      </c>
      <c r="E1599" s="102" t="s">
        <v>465</v>
      </c>
      <c r="F1599" s="102" t="s">
        <v>711</v>
      </c>
      <c r="G1599" s="102" t="s">
        <v>767</v>
      </c>
      <c r="H1599" s="360">
        <v>550.0</v>
      </c>
      <c r="I1599" s="411" t="b">
        <v>0</v>
      </c>
      <c r="J1599" s="102" t="s">
        <v>1367</v>
      </c>
      <c r="K1599" s="360">
        <v>75.86206896551721</v>
      </c>
      <c r="L1599" s="360">
        <v>474.1379310344828</v>
      </c>
      <c r="M1599" s="102" t="s">
        <v>2276</v>
      </c>
      <c r="N1599" s="102" t="s">
        <v>2388</v>
      </c>
    </row>
    <row r="1600">
      <c r="A1600" s="412">
        <v>46056.0</v>
      </c>
      <c r="B1600" s="413">
        <v>2026.0</v>
      </c>
      <c r="C1600" s="414" t="s">
        <v>2387</v>
      </c>
      <c r="D1600" s="413" t="s">
        <v>702</v>
      </c>
      <c r="E1600" s="413" t="s">
        <v>465</v>
      </c>
      <c r="F1600" s="413" t="s">
        <v>711</v>
      </c>
      <c r="G1600" s="413" t="s">
        <v>783</v>
      </c>
      <c r="H1600" s="415">
        <v>500.0</v>
      </c>
      <c r="I1600" s="416" t="b">
        <v>0</v>
      </c>
      <c r="J1600" s="413" t="s">
        <v>2389</v>
      </c>
      <c r="K1600" s="415">
        <v>68.9655172413793</v>
      </c>
      <c r="L1600" s="415">
        <v>431.0344827586207</v>
      </c>
      <c r="M1600" s="413" t="s">
        <v>2276</v>
      </c>
      <c r="N1600" s="413" t="s">
        <v>2390</v>
      </c>
    </row>
    <row r="1601">
      <c r="A1601" s="409">
        <v>46056.0</v>
      </c>
      <c r="B1601" s="102">
        <v>2026.0</v>
      </c>
      <c r="C1601" s="410" t="s">
        <v>2387</v>
      </c>
      <c r="D1601" s="102" t="s">
        <v>702</v>
      </c>
      <c r="E1601" s="102" t="s">
        <v>465</v>
      </c>
      <c r="F1601" s="102" t="s">
        <v>711</v>
      </c>
      <c r="G1601" s="102" t="s">
        <v>767</v>
      </c>
      <c r="H1601" s="360">
        <v>800.0</v>
      </c>
      <c r="I1601" s="411" t="b">
        <v>0</v>
      </c>
      <c r="J1601" s="102" t="s">
        <v>1950</v>
      </c>
      <c r="K1601" s="360">
        <v>110.34482758620686</v>
      </c>
      <c r="L1601" s="360">
        <v>689.6551724137931</v>
      </c>
      <c r="M1601" s="102" t="s">
        <v>2276</v>
      </c>
      <c r="N1601" s="102" t="s">
        <v>2391</v>
      </c>
    </row>
    <row r="1602">
      <c r="A1602" s="412">
        <v>46056.0</v>
      </c>
      <c r="B1602" s="413">
        <v>2026.0</v>
      </c>
      <c r="C1602" s="414" t="s">
        <v>2387</v>
      </c>
      <c r="D1602" s="413" t="s">
        <v>723</v>
      </c>
      <c r="E1602" s="413" t="s">
        <v>137</v>
      </c>
      <c r="F1602" s="413" t="s">
        <v>711</v>
      </c>
      <c r="G1602" s="413" t="s">
        <v>737</v>
      </c>
      <c r="H1602" s="415">
        <v>500.0</v>
      </c>
      <c r="I1602" s="416" t="b">
        <v>0</v>
      </c>
      <c r="J1602" s="413" t="s">
        <v>1863</v>
      </c>
      <c r="K1602" s="415">
        <v>0.0</v>
      </c>
      <c r="L1602" s="415">
        <v>500.0</v>
      </c>
      <c r="M1602" s="413" t="s">
        <v>2276</v>
      </c>
      <c r="N1602" s="413" t="s">
        <v>2392</v>
      </c>
    </row>
    <row r="1603">
      <c r="A1603" s="409">
        <v>46056.0</v>
      </c>
      <c r="B1603" s="102">
        <v>2026.0</v>
      </c>
      <c r="C1603" s="410" t="s">
        <v>2387</v>
      </c>
      <c r="D1603" s="102" t="s">
        <v>702</v>
      </c>
      <c r="E1603" s="102" t="s">
        <v>465</v>
      </c>
      <c r="F1603" s="102" t="s">
        <v>711</v>
      </c>
      <c r="G1603" s="102" t="s">
        <v>767</v>
      </c>
      <c r="H1603" s="360">
        <v>800.0</v>
      </c>
      <c r="I1603" s="411" t="b">
        <v>0</v>
      </c>
      <c r="J1603" s="102" t="s">
        <v>1655</v>
      </c>
      <c r="K1603" s="360">
        <v>110.34482758620686</v>
      </c>
      <c r="L1603" s="360">
        <v>689.6551724137931</v>
      </c>
      <c r="M1603" s="102" t="s">
        <v>2276</v>
      </c>
      <c r="N1603" s="102" t="s">
        <v>2393</v>
      </c>
    </row>
    <row r="1604">
      <c r="A1604" s="412">
        <v>46056.0</v>
      </c>
      <c r="B1604" s="413">
        <v>2026.0</v>
      </c>
      <c r="C1604" s="414" t="s">
        <v>2387</v>
      </c>
      <c r="D1604" s="413" t="s">
        <v>723</v>
      </c>
      <c r="E1604" s="413" t="s">
        <v>137</v>
      </c>
      <c r="F1604" s="413" t="s">
        <v>711</v>
      </c>
      <c r="G1604" s="413" t="s">
        <v>767</v>
      </c>
      <c r="H1604" s="415">
        <v>800.0</v>
      </c>
      <c r="I1604" s="416" t="b">
        <v>0</v>
      </c>
      <c r="J1604" s="413" t="s">
        <v>2071</v>
      </c>
      <c r="K1604" s="415">
        <v>0.0</v>
      </c>
      <c r="L1604" s="415">
        <v>800.0</v>
      </c>
      <c r="M1604" s="413" t="s">
        <v>2276</v>
      </c>
      <c r="N1604" s="413" t="s">
        <v>2394</v>
      </c>
    </row>
    <row r="1605">
      <c r="A1605" s="409">
        <v>46056.0</v>
      </c>
      <c r="B1605" s="102">
        <v>2026.0</v>
      </c>
      <c r="C1605" s="410" t="s">
        <v>2387</v>
      </c>
      <c r="D1605" s="102" t="s">
        <v>702</v>
      </c>
      <c r="E1605" s="102" t="s">
        <v>465</v>
      </c>
      <c r="F1605" s="102" t="s">
        <v>703</v>
      </c>
      <c r="G1605" s="102" t="s">
        <v>769</v>
      </c>
      <c r="H1605" s="360">
        <v>9280.0</v>
      </c>
      <c r="I1605" s="411" t="b">
        <v>0</v>
      </c>
      <c r="J1605" s="102" t="s">
        <v>472</v>
      </c>
      <c r="K1605" s="360">
        <v>0.0</v>
      </c>
      <c r="L1605" s="360">
        <v>9280.0</v>
      </c>
      <c r="M1605" s="102" t="s">
        <v>2276</v>
      </c>
      <c r="N1605" s="102" t="s">
        <v>2395</v>
      </c>
    </row>
    <row r="1606">
      <c r="A1606" s="412">
        <v>46056.0</v>
      </c>
      <c r="B1606" s="413">
        <v>2026.0</v>
      </c>
      <c r="C1606" s="414" t="s">
        <v>2387</v>
      </c>
      <c r="D1606" s="413" t="s">
        <v>702</v>
      </c>
      <c r="E1606" s="413" t="s">
        <v>465</v>
      </c>
      <c r="F1606" s="413" t="s">
        <v>703</v>
      </c>
      <c r="G1606" s="413" t="s">
        <v>601</v>
      </c>
      <c r="H1606" s="415">
        <v>550.0</v>
      </c>
      <c r="I1606" s="416" t="b">
        <v>0</v>
      </c>
      <c r="J1606" s="413" t="s">
        <v>472</v>
      </c>
      <c r="K1606" s="415">
        <v>0.0</v>
      </c>
      <c r="L1606" s="415">
        <v>550.0</v>
      </c>
      <c r="M1606" s="413" t="s">
        <v>2276</v>
      </c>
      <c r="N1606" s="413" t="s">
        <v>2396</v>
      </c>
    </row>
    <row r="1607">
      <c r="A1607" s="409">
        <v>46056.0</v>
      </c>
      <c r="B1607" s="102">
        <v>2026.0</v>
      </c>
      <c r="C1607" s="410" t="s">
        <v>2387</v>
      </c>
      <c r="D1607" s="102" t="s">
        <v>702</v>
      </c>
      <c r="E1607" s="102" t="s">
        <v>465</v>
      </c>
      <c r="F1607" s="102" t="s">
        <v>711</v>
      </c>
      <c r="G1607" s="102" t="s">
        <v>767</v>
      </c>
      <c r="H1607" s="360">
        <v>950.0</v>
      </c>
      <c r="I1607" s="411" t="b">
        <v>0</v>
      </c>
      <c r="J1607" s="102" t="s">
        <v>1415</v>
      </c>
      <c r="K1607" s="360">
        <v>131.03448275862058</v>
      </c>
      <c r="L1607" s="360">
        <v>818.9655172413794</v>
      </c>
      <c r="M1607" s="102" t="s">
        <v>2276</v>
      </c>
      <c r="N1607" s="102" t="s">
        <v>2397</v>
      </c>
    </row>
    <row r="1608">
      <c r="A1608" s="412">
        <v>46057.0</v>
      </c>
      <c r="B1608" s="413">
        <v>2026.0</v>
      </c>
      <c r="C1608" s="414" t="s">
        <v>2387</v>
      </c>
      <c r="D1608" s="413" t="s">
        <v>702</v>
      </c>
      <c r="E1608" s="413" t="s">
        <v>465</v>
      </c>
      <c r="F1608" s="413" t="s">
        <v>711</v>
      </c>
      <c r="G1608" s="413" t="s">
        <v>767</v>
      </c>
      <c r="H1608" s="415">
        <v>550.0</v>
      </c>
      <c r="I1608" s="416" t="b">
        <v>0</v>
      </c>
      <c r="J1608" s="413" t="s">
        <v>1466</v>
      </c>
      <c r="K1608" s="415">
        <v>75.86206896551721</v>
      </c>
      <c r="L1608" s="415">
        <v>474.1379310344828</v>
      </c>
      <c r="M1608" s="413" t="s">
        <v>2276</v>
      </c>
      <c r="N1608" s="413" t="s">
        <v>2398</v>
      </c>
    </row>
    <row r="1609">
      <c r="A1609" s="409">
        <v>46057.0</v>
      </c>
      <c r="B1609" s="102">
        <v>2026.0</v>
      </c>
      <c r="C1609" s="410" t="s">
        <v>2387</v>
      </c>
      <c r="D1609" s="102" t="s">
        <v>723</v>
      </c>
      <c r="E1609" s="102" t="s">
        <v>137</v>
      </c>
      <c r="F1609" s="102" t="s">
        <v>711</v>
      </c>
      <c r="G1609" s="102" t="s">
        <v>767</v>
      </c>
      <c r="H1609" s="360">
        <v>1300.0</v>
      </c>
      <c r="I1609" s="411" t="b">
        <v>0</v>
      </c>
      <c r="J1609" s="102" t="s">
        <v>1248</v>
      </c>
      <c r="K1609" s="360">
        <v>0.0</v>
      </c>
      <c r="L1609" s="360">
        <v>1300.0</v>
      </c>
      <c r="M1609" s="102" t="s">
        <v>2276</v>
      </c>
      <c r="N1609" s="102" t="s">
        <v>2399</v>
      </c>
    </row>
    <row r="1610">
      <c r="A1610" s="412">
        <v>46057.0</v>
      </c>
      <c r="B1610" s="413">
        <v>2026.0</v>
      </c>
      <c r="C1610" s="414" t="s">
        <v>2387</v>
      </c>
      <c r="D1610" s="413" t="s">
        <v>702</v>
      </c>
      <c r="E1610" s="413" t="s">
        <v>465</v>
      </c>
      <c r="F1610" s="413" t="s">
        <v>711</v>
      </c>
      <c r="G1610" s="413" t="s">
        <v>767</v>
      </c>
      <c r="H1610" s="415">
        <v>950.0</v>
      </c>
      <c r="I1610" s="416" t="b">
        <v>0</v>
      </c>
      <c r="J1610" s="413" t="s">
        <v>1881</v>
      </c>
      <c r="K1610" s="415">
        <v>131.03448275862058</v>
      </c>
      <c r="L1610" s="415">
        <v>818.9655172413794</v>
      </c>
      <c r="M1610" s="413" t="s">
        <v>2276</v>
      </c>
      <c r="N1610" s="413" t="s">
        <v>2400</v>
      </c>
    </row>
    <row r="1611">
      <c r="A1611" s="409">
        <v>46057.0</v>
      </c>
      <c r="B1611" s="102">
        <v>2026.0</v>
      </c>
      <c r="C1611" s="410" t="s">
        <v>2387</v>
      </c>
      <c r="D1611" s="102" t="s">
        <v>702</v>
      </c>
      <c r="E1611" s="102" t="s">
        <v>465</v>
      </c>
      <c r="F1611" s="102" t="s">
        <v>711</v>
      </c>
      <c r="G1611" s="102" t="s">
        <v>767</v>
      </c>
      <c r="H1611" s="360">
        <v>1103.0</v>
      </c>
      <c r="I1611" s="411" t="b">
        <v>0</v>
      </c>
      <c r="J1611" s="102" t="s">
        <v>2098</v>
      </c>
      <c r="K1611" s="360">
        <v>152.13793103448268</v>
      </c>
      <c r="L1611" s="360">
        <v>950.8620689655173</v>
      </c>
      <c r="M1611" s="102" t="s">
        <v>2276</v>
      </c>
      <c r="N1611" s="102" t="s">
        <v>2401</v>
      </c>
    </row>
    <row r="1612">
      <c r="A1612" s="412">
        <v>46057.0</v>
      </c>
      <c r="B1612" s="413">
        <v>2026.0</v>
      </c>
      <c r="C1612" s="414" t="s">
        <v>2387</v>
      </c>
      <c r="D1612" s="413" t="s">
        <v>723</v>
      </c>
      <c r="E1612" s="413" t="s">
        <v>137</v>
      </c>
      <c r="F1612" s="413" t="s">
        <v>711</v>
      </c>
      <c r="G1612" s="413" t="s">
        <v>767</v>
      </c>
      <c r="H1612" s="415">
        <v>800.0</v>
      </c>
      <c r="I1612" s="416" t="b">
        <v>0</v>
      </c>
      <c r="J1612" s="413" t="s">
        <v>2402</v>
      </c>
      <c r="K1612" s="415">
        <v>0.0</v>
      </c>
      <c r="L1612" s="415">
        <v>800.0</v>
      </c>
      <c r="M1612" s="413" t="s">
        <v>2276</v>
      </c>
      <c r="N1612" s="413" t="s">
        <v>2403</v>
      </c>
    </row>
    <row r="1613">
      <c r="A1613" s="409">
        <v>46057.0</v>
      </c>
      <c r="B1613" s="102">
        <v>2026.0</v>
      </c>
      <c r="C1613" s="410" t="s">
        <v>2387</v>
      </c>
      <c r="D1613" s="102" t="s">
        <v>702</v>
      </c>
      <c r="E1613" s="102" t="s">
        <v>465</v>
      </c>
      <c r="F1613" s="102" t="s">
        <v>711</v>
      </c>
      <c r="G1613" s="102" t="s">
        <v>730</v>
      </c>
      <c r="H1613" s="360">
        <v>88.0</v>
      </c>
      <c r="I1613" s="411" t="b">
        <v>0</v>
      </c>
      <c r="J1613" s="102" t="s">
        <v>472</v>
      </c>
      <c r="K1613" s="360">
        <v>12.137931034482747</v>
      </c>
      <c r="L1613" s="360">
        <v>75.86206896551725</v>
      </c>
      <c r="M1613" s="102" t="s">
        <v>2276</v>
      </c>
      <c r="N1613" s="102" t="s">
        <v>2404</v>
      </c>
    </row>
    <row r="1614">
      <c r="A1614" s="412">
        <v>46057.0</v>
      </c>
      <c r="B1614" s="413">
        <v>2026.0</v>
      </c>
      <c r="C1614" s="414" t="s">
        <v>2387</v>
      </c>
      <c r="D1614" s="413" t="s">
        <v>710</v>
      </c>
      <c r="E1614" s="413" t="s">
        <v>137</v>
      </c>
      <c r="F1614" s="413" t="s">
        <v>703</v>
      </c>
      <c r="G1614" s="413" t="s">
        <v>732</v>
      </c>
      <c r="H1614" s="415">
        <v>773.0</v>
      </c>
      <c r="I1614" s="416" t="b">
        <v>0</v>
      </c>
      <c r="J1614" s="414" t="s">
        <v>2405</v>
      </c>
      <c r="K1614" s="415">
        <v>0.0</v>
      </c>
      <c r="L1614" s="415">
        <v>773.0</v>
      </c>
      <c r="M1614" s="413" t="s">
        <v>2276</v>
      </c>
      <c r="N1614" s="413" t="s">
        <v>2406</v>
      </c>
    </row>
    <row r="1615">
      <c r="A1615" s="409">
        <v>46058.0</v>
      </c>
      <c r="B1615" s="102">
        <v>2026.0</v>
      </c>
      <c r="C1615" s="410" t="s">
        <v>2387</v>
      </c>
      <c r="D1615" s="102" t="s">
        <v>702</v>
      </c>
      <c r="E1615" s="102" t="s">
        <v>465</v>
      </c>
      <c r="F1615" s="102" t="s">
        <v>711</v>
      </c>
      <c r="G1615" s="102" t="s">
        <v>767</v>
      </c>
      <c r="H1615" s="360">
        <v>950.0</v>
      </c>
      <c r="I1615" s="411" t="b">
        <v>0</v>
      </c>
      <c r="J1615" s="102" t="s">
        <v>1561</v>
      </c>
      <c r="K1615" s="360">
        <v>131.03448275862058</v>
      </c>
      <c r="L1615" s="360">
        <v>818.9655172413794</v>
      </c>
      <c r="M1615" s="102" t="s">
        <v>2276</v>
      </c>
      <c r="N1615" s="102" t="s">
        <v>2407</v>
      </c>
    </row>
    <row r="1616">
      <c r="A1616" s="412">
        <v>46058.0</v>
      </c>
      <c r="B1616" s="413">
        <v>2026.0</v>
      </c>
      <c r="C1616" s="414" t="s">
        <v>2387</v>
      </c>
      <c r="D1616" s="413" t="s">
        <v>702</v>
      </c>
      <c r="E1616" s="413" t="s">
        <v>465</v>
      </c>
      <c r="F1616" s="413" t="s">
        <v>711</v>
      </c>
      <c r="G1616" s="413" t="s">
        <v>767</v>
      </c>
      <c r="H1616" s="415">
        <v>800.0</v>
      </c>
      <c r="I1616" s="416" t="b">
        <v>0</v>
      </c>
      <c r="J1616" s="413" t="s">
        <v>1788</v>
      </c>
      <c r="K1616" s="415">
        <v>110.34482758620686</v>
      </c>
      <c r="L1616" s="415">
        <v>689.6551724137931</v>
      </c>
      <c r="M1616" s="413" t="s">
        <v>2276</v>
      </c>
      <c r="N1616" s="413" t="s">
        <v>2408</v>
      </c>
    </row>
    <row r="1617">
      <c r="A1617" s="409">
        <v>46058.0</v>
      </c>
      <c r="B1617" s="102">
        <v>2026.0</v>
      </c>
      <c r="C1617" s="410" t="s">
        <v>2387</v>
      </c>
      <c r="D1617" s="102" t="s">
        <v>723</v>
      </c>
      <c r="E1617" s="102" t="s">
        <v>137</v>
      </c>
      <c r="F1617" s="102" t="s">
        <v>711</v>
      </c>
      <c r="G1617" s="102" t="s">
        <v>767</v>
      </c>
      <c r="H1617" s="360">
        <v>950.0</v>
      </c>
      <c r="I1617" s="411" t="b">
        <v>0</v>
      </c>
      <c r="J1617" s="102" t="s">
        <v>2409</v>
      </c>
      <c r="K1617" s="360">
        <v>0.0</v>
      </c>
      <c r="L1617" s="360">
        <v>950.0</v>
      </c>
      <c r="M1617" s="102" t="s">
        <v>2276</v>
      </c>
      <c r="N1617" s="102" t="s">
        <v>2410</v>
      </c>
    </row>
    <row r="1618">
      <c r="A1618" s="412">
        <v>46058.0</v>
      </c>
      <c r="B1618" s="413">
        <v>2026.0</v>
      </c>
      <c r="C1618" s="414" t="s">
        <v>2387</v>
      </c>
      <c r="D1618" s="413" t="s">
        <v>723</v>
      </c>
      <c r="E1618" s="413" t="s">
        <v>137</v>
      </c>
      <c r="F1618" s="413" t="s">
        <v>711</v>
      </c>
      <c r="G1618" s="413" t="s">
        <v>767</v>
      </c>
      <c r="H1618" s="415">
        <v>950.0</v>
      </c>
      <c r="I1618" s="416" t="b">
        <v>0</v>
      </c>
      <c r="J1618" s="413" t="s">
        <v>2411</v>
      </c>
      <c r="K1618" s="415">
        <v>0.0</v>
      </c>
      <c r="L1618" s="415">
        <v>950.0</v>
      </c>
      <c r="M1618" s="413" t="s">
        <v>2276</v>
      </c>
      <c r="N1618" s="413" t="s">
        <v>2412</v>
      </c>
    </row>
    <row r="1619">
      <c r="A1619" s="409">
        <v>46058.0</v>
      </c>
      <c r="B1619" s="102">
        <v>2026.0</v>
      </c>
      <c r="C1619" s="410" t="s">
        <v>2387</v>
      </c>
      <c r="D1619" s="102" t="s">
        <v>723</v>
      </c>
      <c r="E1619" s="102" t="s">
        <v>137</v>
      </c>
      <c r="F1619" s="102" t="s">
        <v>711</v>
      </c>
      <c r="G1619" s="102" t="s">
        <v>767</v>
      </c>
      <c r="H1619" s="360">
        <v>800.0</v>
      </c>
      <c r="I1619" s="411" t="b">
        <v>0</v>
      </c>
      <c r="J1619" s="102" t="s">
        <v>1148</v>
      </c>
      <c r="K1619" s="360">
        <v>0.0</v>
      </c>
      <c r="L1619" s="360">
        <v>800.0</v>
      </c>
      <c r="M1619" s="102" t="s">
        <v>2276</v>
      </c>
      <c r="N1619" s="102" t="s">
        <v>2413</v>
      </c>
    </row>
    <row r="1620">
      <c r="A1620" s="412">
        <v>46058.0</v>
      </c>
      <c r="B1620" s="413">
        <v>2026.0</v>
      </c>
      <c r="C1620" s="414" t="s">
        <v>2387</v>
      </c>
      <c r="D1620" s="413" t="s">
        <v>702</v>
      </c>
      <c r="E1620" s="413" t="s">
        <v>465</v>
      </c>
      <c r="F1620" s="413" t="s">
        <v>711</v>
      </c>
      <c r="G1620" s="413" t="s">
        <v>767</v>
      </c>
      <c r="H1620" s="415">
        <v>950.0</v>
      </c>
      <c r="I1620" s="416" t="b">
        <v>0</v>
      </c>
      <c r="J1620" s="413" t="s">
        <v>1967</v>
      </c>
      <c r="K1620" s="415">
        <v>131.03448275862058</v>
      </c>
      <c r="L1620" s="415">
        <v>818.9655172413794</v>
      </c>
      <c r="M1620" s="413" t="s">
        <v>2276</v>
      </c>
      <c r="N1620" s="413" t="s">
        <v>2414</v>
      </c>
    </row>
    <row r="1621">
      <c r="A1621" s="409">
        <v>46058.0</v>
      </c>
      <c r="B1621" s="102">
        <v>2026.0</v>
      </c>
      <c r="C1621" s="410" t="s">
        <v>2387</v>
      </c>
      <c r="D1621" s="102" t="s">
        <v>702</v>
      </c>
      <c r="E1621" s="102" t="s">
        <v>465</v>
      </c>
      <c r="F1621" s="102" t="s">
        <v>711</v>
      </c>
      <c r="G1621" s="102" t="s">
        <v>767</v>
      </c>
      <c r="H1621" s="360">
        <v>911.0</v>
      </c>
      <c r="I1621" s="411" t="b">
        <v>0</v>
      </c>
      <c r="J1621" s="102" t="s">
        <v>1942</v>
      </c>
      <c r="K1621" s="360">
        <v>125.65517241379303</v>
      </c>
      <c r="L1621" s="360">
        <v>785.344827586207</v>
      </c>
      <c r="M1621" s="102" t="s">
        <v>2276</v>
      </c>
      <c r="N1621" s="102" t="s">
        <v>2415</v>
      </c>
    </row>
    <row r="1622">
      <c r="A1622" s="412">
        <v>46058.0</v>
      </c>
      <c r="B1622" s="413">
        <v>2026.0</v>
      </c>
      <c r="C1622" s="414" t="s">
        <v>2387</v>
      </c>
      <c r="D1622" s="413" t="s">
        <v>702</v>
      </c>
      <c r="E1622" s="413" t="s">
        <v>465</v>
      </c>
      <c r="F1622" s="413" t="s">
        <v>711</v>
      </c>
      <c r="G1622" s="413" t="s">
        <v>767</v>
      </c>
      <c r="H1622" s="415">
        <v>1150.0</v>
      </c>
      <c r="I1622" s="416" t="b">
        <v>0</v>
      </c>
      <c r="J1622" s="413" t="s">
        <v>1197</v>
      </c>
      <c r="K1622" s="415">
        <v>158.62068965517233</v>
      </c>
      <c r="L1622" s="415">
        <v>991.3793103448277</v>
      </c>
      <c r="M1622" s="413" t="s">
        <v>2276</v>
      </c>
      <c r="N1622" s="413" t="s">
        <v>2416</v>
      </c>
    </row>
    <row r="1623">
      <c r="A1623" s="409">
        <v>46058.0</v>
      </c>
      <c r="B1623" s="102">
        <v>2026.0</v>
      </c>
      <c r="C1623" s="410" t="s">
        <v>2387</v>
      </c>
      <c r="D1623" s="102" t="s">
        <v>702</v>
      </c>
      <c r="E1623" s="102" t="s">
        <v>465</v>
      </c>
      <c r="F1623" s="102" t="s">
        <v>711</v>
      </c>
      <c r="G1623" s="102" t="s">
        <v>767</v>
      </c>
      <c r="H1623" s="360">
        <v>550.0</v>
      </c>
      <c r="I1623" s="411" t="b">
        <v>0</v>
      </c>
      <c r="J1623" s="102" t="s">
        <v>1863</v>
      </c>
      <c r="K1623" s="360">
        <v>75.86206896551721</v>
      </c>
      <c r="L1623" s="360">
        <v>474.1379310344828</v>
      </c>
      <c r="M1623" s="102" t="s">
        <v>2276</v>
      </c>
      <c r="N1623" s="102" t="s">
        <v>2417</v>
      </c>
    </row>
    <row r="1624">
      <c r="A1624" s="412">
        <v>46058.0</v>
      </c>
      <c r="B1624" s="413">
        <v>2026.0</v>
      </c>
      <c r="C1624" s="414" t="s">
        <v>2387</v>
      </c>
      <c r="D1624" s="413" t="s">
        <v>723</v>
      </c>
      <c r="E1624" s="413" t="s">
        <v>137</v>
      </c>
      <c r="F1624" s="413" t="s">
        <v>711</v>
      </c>
      <c r="G1624" s="413" t="s">
        <v>737</v>
      </c>
      <c r="H1624" s="415">
        <v>550.0</v>
      </c>
      <c r="I1624" s="416" t="b">
        <v>0</v>
      </c>
      <c r="J1624" s="413" t="s">
        <v>2331</v>
      </c>
      <c r="K1624" s="415">
        <v>0.0</v>
      </c>
      <c r="L1624" s="415">
        <v>550.0</v>
      </c>
      <c r="M1624" s="413" t="s">
        <v>2276</v>
      </c>
      <c r="N1624" s="413" t="s">
        <v>2418</v>
      </c>
    </row>
    <row r="1625">
      <c r="A1625" s="409">
        <v>46058.0</v>
      </c>
      <c r="B1625" s="102">
        <v>2026.0</v>
      </c>
      <c r="C1625" s="410" t="s">
        <v>2387</v>
      </c>
      <c r="D1625" s="102" t="s">
        <v>702</v>
      </c>
      <c r="E1625" s="102" t="s">
        <v>465</v>
      </c>
      <c r="F1625" s="102" t="s">
        <v>711</v>
      </c>
      <c r="G1625" s="102" t="s">
        <v>767</v>
      </c>
      <c r="H1625" s="360">
        <v>800.0</v>
      </c>
      <c r="I1625" s="411" t="b">
        <v>0</v>
      </c>
      <c r="J1625" s="102" t="s">
        <v>1237</v>
      </c>
      <c r="K1625" s="360">
        <v>110.34482758620686</v>
      </c>
      <c r="L1625" s="360">
        <v>689.6551724137931</v>
      </c>
      <c r="M1625" s="102" t="s">
        <v>2276</v>
      </c>
      <c r="N1625" s="102" t="s">
        <v>2419</v>
      </c>
    </row>
    <row r="1626">
      <c r="A1626" s="412">
        <v>46058.0</v>
      </c>
      <c r="B1626" s="413">
        <v>2026.0</v>
      </c>
      <c r="C1626" s="414" t="s">
        <v>2387</v>
      </c>
      <c r="D1626" s="413" t="s">
        <v>702</v>
      </c>
      <c r="E1626" s="413" t="s">
        <v>465</v>
      </c>
      <c r="F1626" s="413" t="s">
        <v>711</v>
      </c>
      <c r="G1626" s="413" t="s">
        <v>767</v>
      </c>
      <c r="H1626" s="415">
        <v>950.0</v>
      </c>
      <c r="I1626" s="416" t="b">
        <v>0</v>
      </c>
      <c r="J1626" s="413" t="s">
        <v>2420</v>
      </c>
      <c r="K1626" s="415">
        <v>131.03448275862058</v>
      </c>
      <c r="L1626" s="415">
        <v>818.9655172413794</v>
      </c>
      <c r="M1626" s="413" t="s">
        <v>2276</v>
      </c>
      <c r="N1626" s="413" t="s">
        <v>2421</v>
      </c>
    </row>
    <row r="1627">
      <c r="A1627" s="409">
        <v>46060.0</v>
      </c>
      <c r="B1627" s="102">
        <v>2026.0</v>
      </c>
      <c r="C1627" s="410" t="s">
        <v>2387</v>
      </c>
      <c r="D1627" s="102" t="s">
        <v>723</v>
      </c>
      <c r="E1627" s="102" t="s">
        <v>137</v>
      </c>
      <c r="F1627" s="102" t="s">
        <v>711</v>
      </c>
      <c r="G1627" s="102" t="s">
        <v>767</v>
      </c>
      <c r="H1627" s="360">
        <v>1100.0</v>
      </c>
      <c r="I1627" s="411" t="b">
        <v>0</v>
      </c>
      <c r="J1627" s="102" t="s">
        <v>1232</v>
      </c>
      <c r="K1627" s="360">
        <v>0.0</v>
      </c>
      <c r="L1627" s="360">
        <v>1100.0</v>
      </c>
      <c r="M1627" s="102" t="s">
        <v>2276</v>
      </c>
      <c r="N1627" s="102" t="s">
        <v>2422</v>
      </c>
    </row>
    <row r="1628">
      <c r="A1628" s="412">
        <v>46060.0</v>
      </c>
      <c r="B1628" s="413">
        <v>2026.0</v>
      </c>
      <c r="C1628" s="414" t="s">
        <v>2387</v>
      </c>
      <c r="D1628" s="413" t="s">
        <v>723</v>
      </c>
      <c r="E1628" s="413" t="s">
        <v>137</v>
      </c>
      <c r="F1628" s="413" t="s">
        <v>711</v>
      </c>
      <c r="G1628" s="413" t="s">
        <v>737</v>
      </c>
      <c r="H1628" s="415">
        <v>500.0</v>
      </c>
      <c r="I1628" s="416" t="b">
        <v>0</v>
      </c>
      <c r="J1628" s="413" t="s">
        <v>1232</v>
      </c>
      <c r="K1628" s="415">
        <v>0.0</v>
      </c>
      <c r="L1628" s="415">
        <v>500.0</v>
      </c>
      <c r="M1628" s="413" t="s">
        <v>2276</v>
      </c>
      <c r="N1628" s="413" t="s">
        <v>2423</v>
      </c>
    </row>
    <row r="1629">
      <c r="A1629" s="409">
        <v>46060.0</v>
      </c>
      <c r="B1629" s="102">
        <v>2026.0</v>
      </c>
      <c r="C1629" s="410" t="s">
        <v>2387</v>
      </c>
      <c r="D1629" s="102" t="s">
        <v>723</v>
      </c>
      <c r="E1629" s="102" t="s">
        <v>137</v>
      </c>
      <c r="F1629" s="102" t="s">
        <v>711</v>
      </c>
      <c r="G1629" s="102" t="s">
        <v>767</v>
      </c>
      <c r="H1629" s="360">
        <v>700.0</v>
      </c>
      <c r="I1629" s="411" t="b">
        <v>0</v>
      </c>
      <c r="J1629" s="102" t="s">
        <v>1213</v>
      </c>
      <c r="K1629" s="360">
        <v>0.0</v>
      </c>
      <c r="L1629" s="360">
        <v>700.0</v>
      </c>
      <c r="M1629" s="102" t="s">
        <v>2276</v>
      </c>
      <c r="N1629" s="102" t="s">
        <v>2424</v>
      </c>
    </row>
    <row r="1630">
      <c r="A1630" s="412">
        <v>46060.0</v>
      </c>
      <c r="B1630" s="413">
        <v>2026.0</v>
      </c>
      <c r="C1630" s="414" t="s">
        <v>2387</v>
      </c>
      <c r="D1630" s="413" t="s">
        <v>723</v>
      </c>
      <c r="E1630" s="413" t="s">
        <v>137</v>
      </c>
      <c r="F1630" s="413" t="s">
        <v>711</v>
      </c>
      <c r="G1630" s="413" t="s">
        <v>740</v>
      </c>
      <c r="H1630" s="415">
        <v>25.0</v>
      </c>
      <c r="I1630" s="416" t="b">
        <v>0</v>
      </c>
      <c r="J1630" s="413" t="s">
        <v>472</v>
      </c>
      <c r="K1630" s="415">
        <v>0.0</v>
      </c>
      <c r="L1630" s="415">
        <v>25.0</v>
      </c>
      <c r="M1630" s="413" t="s">
        <v>2276</v>
      </c>
      <c r="N1630" s="413" t="s">
        <v>2425</v>
      </c>
    </row>
    <row r="1631">
      <c r="A1631" s="409">
        <v>46060.0</v>
      </c>
      <c r="B1631" s="102">
        <v>2026.0</v>
      </c>
      <c r="C1631" s="410" t="s">
        <v>2387</v>
      </c>
      <c r="D1631" s="102" t="s">
        <v>723</v>
      </c>
      <c r="E1631" s="102" t="s">
        <v>137</v>
      </c>
      <c r="F1631" s="102" t="s">
        <v>703</v>
      </c>
      <c r="G1631" s="102" t="s">
        <v>724</v>
      </c>
      <c r="H1631" s="360">
        <v>8000.0</v>
      </c>
      <c r="I1631" s="411" t="b">
        <v>1</v>
      </c>
      <c r="J1631" s="102" t="s">
        <v>472</v>
      </c>
      <c r="K1631" s="360">
        <v>0.0</v>
      </c>
      <c r="L1631" s="360">
        <v>0.0</v>
      </c>
      <c r="M1631" s="102" t="s">
        <v>2276</v>
      </c>
      <c r="N1631" s="102" t="s">
        <v>2426</v>
      </c>
    </row>
    <row r="1632">
      <c r="A1632" s="412">
        <v>46060.0</v>
      </c>
      <c r="B1632" s="413">
        <v>2026.0</v>
      </c>
      <c r="C1632" s="414" t="s">
        <v>2387</v>
      </c>
      <c r="D1632" s="413" t="s">
        <v>710</v>
      </c>
      <c r="E1632" s="413" t="s">
        <v>137</v>
      </c>
      <c r="F1632" s="413" t="s">
        <v>711</v>
      </c>
      <c r="G1632" s="413" t="s">
        <v>724</v>
      </c>
      <c r="H1632" s="415">
        <v>8000.0</v>
      </c>
      <c r="I1632" s="416" t="b">
        <v>1</v>
      </c>
      <c r="J1632" s="413" t="s">
        <v>472</v>
      </c>
      <c r="K1632" s="415">
        <v>0.0</v>
      </c>
      <c r="L1632" s="415">
        <v>0.0</v>
      </c>
      <c r="M1632" s="413" t="s">
        <v>2276</v>
      </c>
      <c r="N1632" s="413" t="s">
        <v>2426</v>
      </c>
    </row>
    <row r="1633">
      <c r="A1633" s="409">
        <v>46060.0</v>
      </c>
      <c r="B1633" s="102">
        <v>2026.0</v>
      </c>
      <c r="C1633" s="410" t="s">
        <v>2387</v>
      </c>
      <c r="D1633" s="102" t="s">
        <v>702</v>
      </c>
      <c r="E1633" s="102" t="s">
        <v>465</v>
      </c>
      <c r="F1633" s="102" t="s">
        <v>711</v>
      </c>
      <c r="G1633" s="102" t="s">
        <v>767</v>
      </c>
      <c r="H1633" s="360">
        <v>550.0</v>
      </c>
      <c r="I1633" s="411" t="b">
        <v>0</v>
      </c>
      <c r="J1633" s="102" t="s">
        <v>1224</v>
      </c>
      <c r="K1633" s="360">
        <v>75.86206896551721</v>
      </c>
      <c r="L1633" s="360">
        <v>474.1379310344828</v>
      </c>
      <c r="M1633" s="102" t="s">
        <v>2276</v>
      </c>
      <c r="N1633" s="102" t="s">
        <v>2427</v>
      </c>
    </row>
    <row r="1634">
      <c r="A1634" s="412">
        <v>46060.0</v>
      </c>
      <c r="B1634" s="413">
        <v>2026.0</v>
      </c>
      <c r="C1634" s="414" t="s">
        <v>2387</v>
      </c>
      <c r="D1634" s="413" t="s">
        <v>702</v>
      </c>
      <c r="E1634" s="413" t="s">
        <v>465</v>
      </c>
      <c r="F1634" s="413" t="s">
        <v>711</v>
      </c>
      <c r="G1634" s="413" t="s">
        <v>767</v>
      </c>
      <c r="H1634" s="415">
        <v>800.0</v>
      </c>
      <c r="I1634" s="416" t="b">
        <v>0</v>
      </c>
      <c r="J1634" s="413" t="s">
        <v>2428</v>
      </c>
      <c r="K1634" s="415">
        <v>110.34482758620686</v>
      </c>
      <c r="L1634" s="415">
        <v>689.6551724137931</v>
      </c>
      <c r="M1634" s="413" t="s">
        <v>2276</v>
      </c>
      <c r="N1634" s="413" t="s">
        <v>2429</v>
      </c>
    </row>
    <row r="1635">
      <c r="A1635" s="409">
        <v>46060.0</v>
      </c>
      <c r="B1635" s="102">
        <v>2026.0</v>
      </c>
      <c r="C1635" s="410" t="s">
        <v>2387</v>
      </c>
      <c r="D1635" s="102" t="s">
        <v>702</v>
      </c>
      <c r="E1635" s="102" t="s">
        <v>465</v>
      </c>
      <c r="F1635" s="102" t="s">
        <v>711</v>
      </c>
      <c r="G1635" s="102" t="s">
        <v>730</v>
      </c>
      <c r="H1635" s="360">
        <v>25.0</v>
      </c>
      <c r="I1635" s="411" t="b">
        <v>0</v>
      </c>
      <c r="J1635" s="102" t="s">
        <v>472</v>
      </c>
      <c r="K1635" s="360">
        <v>3.4482758620689644</v>
      </c>
      <c r="L1635" s="360">
        <v>21.551724137931036</v>
      </c>
      <c r="M1635" s="102" t="s">
        <v>2276</v>
      </c>
      <c r="N1635" s="102" t="s">
        <v>2430</v>
      </c>
    </row>
    <row r="1636">
      <c r="A1636" s="412">
        <v>46060.0</v>
      </c>
      <c r="B1636" s="413">
        <v>2026.0</v>
      </c>
      <c r="C1636" s="414" t="s">
        <v>2387</v>
      </c>
      <c r="D1636" s="413" t="s">
        <v>702</v>
      </c>
      <c r="E1636" s="413" t="s">
        <v>465</v>
      </c>
      <c r="F1636" s="413" t="s">
        <v>703</v>
      </c>
      <c r="G1636" s="413" t="s">
        <v>704</v>
      </c>
      <c r="H1636" s="415">
        <v>428.0</v>
      </c>
      <c r="I1636" s="416" t="b">
        <v>0</v>
      </c>
      <c r="J1636" s="413" t="s">
        <v>472</v>
      </c>
      <c r="K1636" s="415">
        <v>0.0</v>
      </c>
      <c r="L1636" s="415">
        <v>428.0</v>
      </c>
      <c r="M1636" s="413" t="s">
        <v>2276</v>
      </c>
      <c r="N1636" s="413" t="s">
        <v>2431</v>
      </c>
    </row>
    <row r="1637">
      <c r="A1637" s="409">
        <v>46060.0</v>
      </c>
      <c r="B1637" s="102">
        <v>2026.0</v>
      </c>
      <c r="C1637" s="410" t="s">
        <v>2387</v>
      </c>
      <c r="D1637" s="102" t="s">
        <v>702</v>
      </c>
      <c r="E1637" s="102" t="s">
        <v>465</v>
      </c>
      <c r="F1637" s="102" t="s">
        <v>703</v>
      </c>
      <c r="G1637" s="102" t="s">
        <v>747</v>
      </c>
      <c r="H1637" s="360">
        <v>3173.0</v>
      </c>
      <c r="I1637" s="411" t="b">
        <v>0</v>
      </c>
      <c r="J1637" s="102" t="s">
        <v>2382</v>
      </c>
      <c r="K1637" s="360">
        <v>0.0</v>
      </c>
      <c r="L1637" s="360">
        <v>3173.0</v>
      </c>
      <c r="M1637" s="102" t="s">
        <v>2276</v>
      </c>
      <c r="N1637" s="102" t="s">
        <v>2432</v>
      </c>
    </row>
    <row r="1638">
      <c r="A1638" s="412">
        <v>46060.0</v>
      </c>
      <c r="B1638" s="413">
        <v>2026.0</v>
      </c>
      <c r="C1638" s="414" t="s">
        <v>2387</v>
      </c>
      <c r="D1638" s="413" t="s">
        <v>710</v>
      </c>
      <c r="E1638" s="413" t="s">
        <v>137</v>
      </c>
      <c r="F1638" s="413" t="s">
        <v>703</v>
      </c>
      <c r="G1638" s="413" t="s">
        <v>747</v>
      </c>
      <c r="H1638" s="415">
        <v>1827.0</v>
      </c>
      <c r="I1638" s="416" t="b">
        <v>0</v>
      </c>
      <c r="J1638" s="413" t="s">
        <v>2382</v>
      </c>
      <c r="K1638" s="415">
        <v>0.0</v>
      </c>
      <c r="L1638" s="415">
        <v>1827.0</v>
      </c>
      <c r="M1638" s="413" t="s">
        <v>2276</v>
      </c>
      <c r="N1638" s="413" t="s">
        <v>2433</v>
      </c>
    </row>
    <row r="1639">
      <c r="A1639" s="409">
        <v>46063.0</v>
      </c>
      <c r="B1639" s="102">
        <v>2026.0</v>
      </c>
      <c r="C1639" s="410" t="s">
        <v>2387</v>
      </c>
      <c r="D1639" s="102" t="s">
        <v>723</v>
      </c>
      <c r="E1639" s="102" t="s">
        <v>137</v>
      </c>
      <c r="F1639" s="102" t="s">
        <v>711</v>
      </c>
      <c r="G1639" s="102" t="s">
        <v>734</v>
      </c>
      <c r="H1639" s="360">
        <v>360.0</v>
      </c>
      <c r="I1639" s="411" t="b">
        <v>0</v>
      </c>
      <c r="J1639" s="102" t="s">
        <v>1265</v>
      </c>
      <c r="K1639" s="360">
        <v>0.0</v>
      </c>
      <c r="L1639" s="360">
        <v>360.0</v>
      </c>
      <c r="M1639" s="102" t="s">
        <v>2276</v>
      </c>
      <c r="N1639" s="102" t="s">
        <v>2434</v>
      </c>
    </row>
    <row r="1640">
      <c r="A1640" s="412">
        <v>46063.0</v>
      </c>
      <c r="B1640" s="413">
        <v>2026.0</v>
      </c>
      <c r="C1640" s="414" t="s">
        <v>2387</v>
      </c>
      <c r="D1640" s="413" t="s">
        <v>723</v>
      </c>
      <c r="E1640" s="413" t="s">
        <v>137</v>
      </c>
      <c r="F1640" s="413" t="s">
        <v>703</v>
      </c>
      <c r="G1640" s="413" t="s">
        <v>715</v>
      </c>
      <c r="H1640" s="415">
        <v>35.0</v>
      </c>
      <c r="I1640" s="416" t="b">
        <v>0</v>
      </c>
      <c r="J1640" s="413" t="s">
        <v>472</v>
      </c>
      <c r="K1640" s="415">
        <v>0.0</v>
      </c>
      <c r="L1640" s="415">
        <v>35.0</v>
      </c>
      <c r="M1640" s="413" t="s">
        <v>2276</v>
      </c>
      <c r="N1640" s="413" t="s">
        <v>2435</v>
      </c>
    </row>
    <row r="1641">
      <c r="A1641" s="409">
        <v>46066.0</v>
      </c>
      <c r="B1641" s="102">
        <v>2026.0</v>
      </c>
      <c r="C1641" s="410" t="s">
        <v>2387</v>
      </c>
      <c r="D1641" s="102" t="s">
        <v>723</v>
      </c>
      <c r="E1641" s="102" t="s">
        <v>137</v>
      </c>
      <c r="F1641" s="102" t="s">
        <v>711</v>
      </c>
      <c r="G1641" s="102" t="s">
        <v>734</v>
      </c>
      <c r="H1641" s="360">
        <v>180.0</v>
      </c>
      <c r="I1641" s="411" t="b">
        <v>0</v>
      </c>
      <c r="J1641" s="102" t="s">
        <v>472</v>
      </c>
      <c r="K1641" s="360">
        <v>0.0</v>
      </c>
      <c r="L1641" s="360">
        <v>180.0</v>
      </c>
      <c r="M1641" s="102" t="s">
        <v>2276</v>
      </c>
      <c r="N1641" s="102" t="s">
        <v>2436</v>
      </c>
    </row>
    <row r="1642">
      <c r="A1642" s="412">
        <v>46066.0</v>
      </c>
      <c r="B1642" s="413">
        <v>2026.0</v>
      </c>
      <c r="C1642" s="414" t="s">
        <v>2387</v>
      </c>
      <c r="D1642" s="413" t="s">
        <v>723</v>
      </c>
      <c r="E1642" s="413" t="s">
        <v>137</v>
      </c>
      <c r="F1642" s="413" t="s">
        <v>711</v>
      </c>
      <c r="G1642" s="413" t="s">
        <v>767</v>
      </c>
      <c r="H1642" s="415">
        <v>550.0</v>
      </c>
      <c r="I1642" s="416" t="b">
        <v>0</v>
      </c>
      <c r="J1642" s="413" t="s">
        <v>2437</v>
      </c>
      <c r="K1642" s="415">
        <v>0.0</v>
      </c>
      <c r="L1642" s="415">
        <v>550.0</v>
      </c>
      <c r="M1642" s="413" t="s">
        <v>2276</v>
      </c>
      <c r="N1642" s="413" t="s">
        <v>2438</v>
      </c>
    </row>
    <row r="1643">
      <c r="A1643" s="409">
        <v>46067.0</v>
      </c>
      <c r="B1643" s="102">
        <v>2026.0</v>
      </c>
      <c r="C1643" s="410" t="s">
        <v>2387</v>
      </c>
      <c r="D1643" s="102" t="s">
        <v>702</v>
      </c>
      <c r="E1643" s="102" t="s">
        <v>465</v>
      </c>
      <c r="F1643" s="102" t="s">
        <v>711</v>
      </c>
      <c r="G1643" s="102" t="s">
        <v>767</v>
      </c>
      <c r="H1643" s="360">
        <v>500.0</v>
      </c>
      <c r="I1643" s="411" t="b">
        <v>0</v>
      </c>
      <c r="J1643" s="102" t="s">
        <v>1655</v>
      </c>
      <c r="K1643" s="360">
        <v>68.9655172413793</v>
      </c>
      <c r="L1643" s="360">
        <v>431.0344827586207</v>
      </c>
      <c r="M1643" s="102" t="s">
        <v>2276</v>
      </c>
      <c r="N1643" s="102" t="s">
        <v>2439</v>
      </c>
    </row>
    <row r="1644">
      <c r="A1644" s="412">
        <v>46067.0</v>
      </c>
      <c r="B1644" s="413">
        <v>2026.0</v>
      </c>
      <c r="C1644" s="414" t="s">
        <v>2387</v>
      </c>
      <c r="D1644" s="413" t="s">
        <v>723</v>
      </c>
      <c r="E1644" s="413" t="s">
        <v>137</v>
      </c>
      <c r="F1644" s="413" t="s">
        <v>711</v>
      </c>
      <c r="G1644" s="413" t="s">
        <v>767</v>
      </c>
      <c r="H1644" s="415">
        <v>360.0</v>
      </c>
      <c r="I1644" s="416" t="b">
        <v>0</v>
      </c>
      <c r="J1644" s="413" t="s">
        <v>2440</v>
      </c>
      <c r="K1644" s="415">
        <v>0.0</v>
      </c>
      <c r="L1644" s="415">
        <v>360.0</v>
      </c>
      <c r="M1644" s="413" t="s">
        <v>2276</v>
      </c>
      <c r="N1644" s="413" t="s">
        <v>2441</v>
      </c>
    </row>
    <row r="1645">
      <c r="A1645" s="409">
        <v>46067.0</v>
      </c>
      <c r="B1645" s="102">
        <v>2026.0</v>
      </c>
      <c r="C1645" s="410" t="s">
        <v>2387</v>
      </c>
      <c r="D1645" s="102" t="s">
        <v>723</v>
      </c>
      <c r="E1645" s="102" t="s">
        <v>137</v>
      </c>
      <c r="F1645" s="102" t="s">
        <v>711</v>
      </c>
      <c r="G1645" s="102" t="s">
        <v>740</v>
      </c>
      <c r="H1645" s="360">
        <v>15.0</v>
      </c>
      <c r="I1645" s="411" t="b">
        <v>0</v>
      </c>
      <c r="J1645" s="102" t="s">
        <v>472</v>
      </c>
      <c r="K1645" s="360">
        <v>0.0</v>
      </c>
      <c r="L1645" s="360">
        <v>15.0</v>
      </c>
      <c r="M1645" s="102" t="s">
        <v>2276</v>
      </c>
      <c r="N1645" s="102" t="s">
        <v>2442</v>
      </c>
    </row>
    <row r="1646">
      <c r="A1646" s="412">
        <v>46067.0</v>
      </c>
      <c r="B1646" s="413">
        <v>2026.0</v>
      </c>
      <c r="C1646" s="414" t="s">
        <v>2387</v>
      </c>
      <c r="D1646" s="413" t="s">
        <v>702</v>
      </c>
      <c r="E1646" s="413" t="s">
        <v>465</v>
      </c>
      <c r="F1646" s="413" t="s">
        <v>711</v>
      </c>
      <c r="G1646" s="413" t="s">
        <v>767</v>
      </c>
      <c r="H1646" s="415">
        <v>345.0</v>
      </c>
      <c r="I1646" s="416" t="b">
        <v>0</v>
      </c>
      <c r="J1646" s="413" t="s">
        <v>1146</v>
      </c>
      <c r="K1646" s="415">
        <v>47.58620689655169</v>
      </c>
      <c r="L1646" s="415">
        <v>297.4137931034483</v>
      </c>
      <c r="M1646" s="413" t="s">
        <v>2276</v>
      </c>
      <c r="N1646" s="413" t="s">
        <v>2443</v>
      </c>
    </row>
    <row r="1647">
      <c r="A1647" s="409">
        <v>46068.0</v>
      </c>
      <c r="B1647" s="102">
        <v>2026.0</v>
      </c>
      <c r="C1647" s="410" t="s">
        <v>2387</v>
      </c>
      <c r="D1647" s="102" t="s">
        <v>723</v>
      </c>
      <c r="E1647" s="102" t="s">
        <v>137</v>
      </c>
      <c r="F1647" s="102" t="s">
        <v>703</v>
      </c>
      <c r="G1647" s="102" t="s">
        <v>2444</v>
      </c>
      <c r="H1647" s="360">
        <v>150.0</v>
      </c>
      <c r="I1647" s="411" t="b">
        <v>0</v>
      </c>
      <c r="J1647" s="102" t="s">
        <v>2445</v>
      </c>
      <c r="K1647" s="360">
        <v>0.0</v>
      </c>
      <c r="L1647" s="360">
        <v>150.0</v>
      </c>
      <c r="M1647" s="102" t="s">
        <v>2276</v>
      </c>
      <c r="N1647" s="102" t="s">
        <v>2446</v>
      </c>
    </row>
    <row r="1648">
      <c r="A1648" s="412">
        <v>46068.0</v>
      </c>
      <c r="B1648" s="413">
        <v>2026.0</v>
      </c>
      <c r="C1648" s="414" t="s">
        <v>2387</v>
      </c>
      <c r="D1648" s="413" t="s">
        <v>702</v>
      </c>
      <c r="E1648" s="413" t="s">
        <v>465</v>
      </c>
      <c r="F1648" s="413" t="s">
        <v>711</v>
      </c>
      <c r="G1648" s="413" t="s">
        <v>724</v>
      </c>
      <c r="H1648" s="415">
        <v>100.0</v>
      </c>
      <c r="I1648" s="416" t="b">
        <v>1</v>
      </c>
      <c r="J1648" s="413" t="s">
        <v>472</v>
      </c>
      <c r="K1648" s="415">
        <v>0.0</v>
      </c>
      <c r="L1648" s="415">
        <v>0.0</v>
      </c>
      <c r="M1648" s="413" t="s">
        <v>2276</v>
      </c>
      <c r="N1648" s="413" t="s">
        <v>2447</v>
      </c>
    </row>
    <row r="1649">
      <c r="A1649" s="409">
        <v>46068.0</v>
      </c>
      <c r="B1649" s="102">
        <v>2026.0</v>
      </c>
      <c r="C1649" s="410" t="s">
        <v>2387</v>
      </c>
      <c r="D1649" s="102" t="s">
        <v>723</v>
      </c>
      <c r="E1649" s="102" t="s">
        <v>137</v>
      </c>
      <c r="F1649" s="102" t="s">
        <v>703</v>
      </c>
      <c r="G1649" s="102" t="s">
        <v>724</v>
      </c>
      <c r="H1649" s="360">
        <v>100.0</v>
      </c>
      <c r="I1649" s="411" t="b">
        <v>1</v>
      </c>
      <c r="J1649" s="102" t="s">
        <v>472</v>
      </c>
      <c r="K1649" s="360">
        <v>0.0</v>
      </c>
      <c r="L1649" s="360">
        <v>0.0</v>
      </c>
      <c r="M1649" s="102" t="s">
        <v>2276</v>
      </c>
      <c r="N1649" s="102" t="s">
        <v>2447</v>
      </c>
    </row>
    <row r="1650">
      <c r="A1650" s="412">
        <v>46068.0</v>
      </c>
      <c r="B1650" s="413">
        <v>2026.0</v>
      </c>
      <c r="C1650" s="414" t="s">
        <v>2387</v>
      </c>
      <c r="D1650" s="413" t="s">
        <v>723</v>
      </c>
      <c r="E1650" s="413" t="s">
        <v>137</v>
      </c>
      <c r="F1650" s="413" t="s">
        <v>703</v>
      </c>
      <c r="G1650" s="413" t="s">
        <v>732</v>
      </c>
      <c r="H1650" s="415">
        <v>88.0</v>
      </c>
      <c r="I1650" s="416" t="b">
        <v>0</v>
      </c>
      <c r="J1650" s="413" t="s">
        <v>2448</v>
      </c>
      <c r="K1650" s="415">
        <v>0.0</v>
      </c>
      <c r="L1650" s="415">
        <v>88.0</v>
      </c>
      <c r="M1650" s="413" t="s">
        <v>2276</v>
      </c>
      <c r="N1650" s="413" t="s">
        <v>2449</v>
      </c>
    </row>
    <row r="1651">
      <c r="A1651" s="409">
        <v>46068.0</v>
      </c>
      <c r="B1651" s="102">
        <v>2026.0</v>
      </c>
      <c r="C1651" s="410" t="s">
        <v>2387</v>
      </c>
      <c r="D1651" s="102" t="s">
        <v>723</v>
      </c>
      <c r="E1651" s="102" t="s">
        <v>137</v>
      </c>
      <c r="F1651" s="102" t="s">
        <v>711</v>
      </c>
      <c r="G1651" s="102" t="s">
        <v>740</v>
      </c>
      <c r="H1651" s="360">
        <v>154.0</v>
      </c>
      <c r="I1651" s="411" t="b">
        <v>0</v>
      </c>
      <c r="J1651" s="102" t="s">
        <v>472</v>
      </c>
      <c r="K1651" s="360">
        <v>0.0</v>
      </c>
      <c r="L1651" s="360">
        <v>154.0</v>
      </c>
      <c r="M1651" s="102" t="s">
        <v>2276</v>
      </c>
      <c r="N1651" s="102" t="s">
        <v>2450</v>
      </c>
    </row>
    <row r="1652">
      <c r="A1652" s="412">
        <v>46068.0</v>
      </c>
      <c r="B1652" s="413">
        <v>2026.0</v>
      </c>
      <c r="C1652" s="414" t="s">
        <v>2387</v>
      </c>
      <c r="D1652" s="413" t="s">
        <v>702</v>
      </c>
      <c r="E1652" s="413" t="s">
        <v>465</v>
      </c>
      <c r="F1652" s="413" t="s">
        <v>711</v>
      </c>
      <c r="G1652" s="413" t="s">
        <v>730</v>
      </c>
      <c r="H1652" s="415">
        <v>85.0</v>
      </c>
      <c r="I1652" s="416" t="b">
        <v>0</v>
      </c>
      <c r="J1652" s="413" t="s">
        <v>472</v>
      </c>
      <c r="K1652" s="415">
        <v>11.724137931034477</v>
      </c>
      <c r="L1652" s="415">
        <v>73.27586206896552</v>
      </c>
      <c r="M1652" s="413" t="s">
        <v>2276</v>
      </c>
      <c r="N1652" s="413" t="s">
        <v>2451</v>
      </c>
    </row>
    <row r="1653">
      <c r="A1653" s="409">
        <v>46068.0</v>
      </c>
      <c r="B1653" s="102">
        <v>2026.0</v>
      </c>
      <c r="C1653" s="410" t="s">
        <v>2387</v>
      </c>
      <c r="D1653" s="102" t="s">
        <v>710</v>
      </c>
      <c r="E1653" s="102" t="s">
        <v>137</v>
      </c>
      <c r="F1653" s="102" t="s">
        <v>703</v>
      </c>
      <c r="G1653" s="102" t="s">
        <v>906</v>
      </c>
      <c r="H1653" s="360">
        <v>4000.0</v>
      </c>
      <c r="I1653" s="411" t="b">
        <v>0</v>
      </c>
      <c r="J1653" s="102" t="s">
        <v>472</v>
      </c>
      <c r="K1653" s="360">
        <v>0.0</v>
      </c>
      <c r="L1653" s="360">
        <v>4000.0</v>
      </c>
      <c r="M1653" s="102" t="s">
        <v>2276</v>
      </c>
      <c r="N1653" s="102" t="s">
        <v>2452</v>
      </c>
    </row>
    <row r="1654">
      <c r="A1654" s="412">
        <v>46070.0</v>
      </c>
      <c r="B1654" s="413">
        <v>2026.0</v>
      </c>
      <c r="C1654" s="414" t="s">
        <v>2387</v>
      </c>
      <c r="D1654" s="413" t="s">
        <v>723</v>
      </c>
      <c r="E1654" s="413" t="s">
        <v>137</v>
      </c>
      <c r="F1654" s="413" t="s">
        <v>703</v>
      </c>
      <c r="G1654" s="413" t="s">
        <v>724</v>
      </c>
      <c r="H1654" s="415">
        <v>1312.0</v>
      </c>
      <c r="I1654" s="416" t="b">
        <v>1</v>
      </c>
      <c r="J1654" s="413" t="s">
        <v>472</v>
      </c>
      <c r="K1654" s="415">
        <v>0.0</v>
      </c>
      <c r="L1654" s="415">
        <v>0.0</v>
      </c>
      <c r="M1654" s="413" t="s">
        <v>2276</v>
      </c>
      <c r="N1654" s="413" t="s">
        <v>2453</v>
      </c>
    </row>
    <row r="1655">
      <c r="A1655" s="409">
        <v>46070.0</v>
      </c>
      <c r="B1655" s="102">
        <v>2026.0</v>
      </c>
      <c r="C1655" s="410" t="s">
        <v>2387</v>
      </c>
      <c r="D1655" s="102" t="s">
        <v>710</v>
      </c>
      <c r="E1655" s="102" t="s">
        <v>137</v>
      </c>
      <c r="F1655" s="102" t="s">
        <v>711</v>
      </c>
      <c r="G1655" s="102" t="s">
        <v>724</v>
      </c>
      <c r="H1655" s="360">
        <v>1312.0</v>
      </c>
      <c r="I1655" s="411" t="b">
        <v>1</v>
      </c>
      <c r="J1655" s="102" t="s">
        <v>472</v>
      </c>
      <c r="K1655" s="360">
        <v>0.0</v>
      </c>
      <c r="L1655" s="360">
        <v>0.0</v>
      </c>
      <c r="M1655" s="102" t="s">
        <v>2276</v>
      </c>
      <c r="N1655" s="102" t="s">
        <v>2453</v>
      </c>
    </row>
    <row r="1656">
      <c r="A1656" s="412">
        <v>46071.0</v>
      </c>
      <c r="B1656" s="413">
        <v>2026.0</v>
      </c>
      <c r="C1656" s="414" t="s">
        <v>2387</v>
      </c>
      <c r="D1656" s="413" t="s">
        <v>702</v>
      </c>
      <c r="E1656" s="413" t="s">
        <v>465</v>
      </c>
      <c r="F1656" s="413" t="s">
        <v>711</v>
      </c>
      <c r="G1656" s="413" t="s">
        <v>767</v>
      </c>
      <c r="H1656" s="415">
        <v>369.0</v>
      </c>
      <c r="I1656" s="416" t="b">
        <v>0</v>
      </c>
      <c r="J1656" s="413" t="s">
        <v>2454</v>
      </c>
      <c r="K1656" s="415">
        <v>50.89655172413791</v>
      </c>
      <c r="L1656" s="415">
        <v>318.1034482758621</v>
      </c>
      <c r="M1656" s="413" t="s">
        <v>2276</v>
      </c>
      <c r="N1656" s="413" t="s">
        <v>2455</v>
      </c>
    </row>
    <row r="1657">
      <c r="A1657" s="409">
        <v>46071.0</v>
      </c>
      <c r="B1657" s="102">
        <v>2026.0</v>
      </c>
      <c r="C1657" s="410" t="s">
        <v>2387</v>
      </c>
      <c r="D1657" s="102" t="s">
        <v>723</v>
      </c>
      <c r="E1657" s="102" t="s">
        <v>137</v>
      </c>
      <c r="F1657" s="102" t="s">
        <v>711</v>
      </c>
      <c r="G1657" s="102" t="s">
        <v>734</v>
      </c>
      <c r="H1657" s="360">
        <v>140.0</v>
      </c>
      <c r="I1657" s="411" t="b">
        <v>0</v>
      </c>
      <c r="J1657" s="102" t="s">
        <v>472</v>
      </c>
      <c r="K1657" s="360">
        <v>0.0</v>
      </c>
      <c r="L1657" s="360">
        <v>140.0</v>
      </c>
      <c r="M1657" s="102" t="s">
        <v>2276</v>
      </c>
      <c r="N1657" s="102" t="s">
        <v>2456</v>
      </c>
    </row>
    <row r="1658">
      <c r="A1658" s="412">
        <v>46072.0</v>
      </c>
      <c r="B1658" s="413">
        <v>2026.0</v>
      </c>
      <c r="C1658" s="414" t="s">
        <v>2387</v>
      </c>
      <c r="D1658" s="413" t="s">
        <v>702</v>
      </c>
      <c r="E1658" s="413" t="s">
        <v>465</v>
      </c>
      <c r="F1658" s="413" t="s">
        <v>703</v>
      </c>
      <c r="G1658" s="413" t="s">
        <v>2457</v>
      </c>
      <c r="H1658" s="415">
        <v>110.0</v>
      </c>
      <c r="I1658" s="416" t="b">
        <v>0</v>
      </c>
      <c r="J1658" s="413" t="s">
        <v>472</v>
      </c>
      <c r="K1658" s="415">
        <v>0.0</v>
      </c>
      <c r="L1658" s="415">
        <v>110.0</v>
      </c>
      <c r="M1658" s="413" t="s">
        <v>2276</v>
      </c>
      <c r="N1658" s="413" t="s">
        <v>2458</v>
      </c>
    </row>
    <row r="1659">
      <c r="A1659" s="409">
        <v>46072.0</v>
      </c>
      <c r="B1659" s="102">
        <v>2026.0</v>
      </c>
      <c r="C1659" s="410" t="s">
        <v>2387</v>
      </c>
      <c r="D1659" s="102" t="s">
        <v>723</v>
      </c>
      <c r="E1659" s="102" t="s">
        <v>137</v>
      </c>
      <c r="F1659" s="102" t="s">
        <v>711</v>
      </c>
      <c r="G1659" s="102" t="s">
        <v>767</v>
      </c>
      <c r="H1659" s="360">
        <v>380.0</v>
      </c>
      <c r="I1659" s="411" t="b">
        <v>0</v>
      </c>
      <c r="J1659" s="102" t="s">
        <v>1146</v>
      </c>
      <c r="K1659" s="360">
        <v>0.0</v>
      </c>
      <c r="L1659" s="360">
        <v>380.0</v>
      </c>
      <c r="M1659" s="102" t="s">
        <v>2276</v>
      </c>
      <c r="N1659" s="102" t="s">
        <v>2459</v>
      </c>
    </row>
    <row r="1660">
      <c r="A1660" s="412">
        <v>46073.0</v>
      </c>
      <c r="B1660" s="413">
        <v>2026.0</v>
      </c>
      <c r="C1660" s="414" t="s">
        <v>2387</v>
      </c>
      <c r="D1660" s="413" t="s">
        <v>702</v>
      </c>
      <c r="E1660" s="413" t="s">
        <v>465</v>
      </c>
      <c r="F1660" s="413" t="s">
        <v>711</v>
      </c>
      <c r="G1660" s="413" t="s">
        <v>767</v>
      </c>
      <c r="H1660" s="415">
        <v>950.0</v>
      </c>
      <c r="I1660" s="416" t="b">
        <v>0</v>
      </c>
      <c r="J1660" s="413" t="s">
        <v>1274</v>
      </c>
      <c r="K1660" s="415">
        <v>131.03448275862058</v>
      </c>
      <c r="L1660" s="415">
        <v>818.9655172413794</v>
      </c>
      <c r="M1660" s="413" t="s">
        <v>2276</v>
      </c>
      <c r="N1660" s="413" t="s">
        <v>2460</v>
      </c>
    </row>
    <row r="1661">
      <c r="A1661" s="409">
        <v>46073.0</v>
      </c>
      <c r="B1661" s="102">
        <v>2026.0</v>
      </c>
      <c r="C1661" s="410" t="s">
        <v>2387</v>
      </c>
      <c r="D1661" s="102" t="s">
        <v>702</v>
      </c>
      <c r="E1661" s="102" t="s">
        <v>465</v>
      </c>
      <c r="F1661" s="102" t="s">
        <v>711</v>
      </c>
      <c r="G1661" s="102" t="s">
        <v>737</v>
      </c>
      <c r="H1661" s="360">
        <v>500.0</v>
      </c>
      <c r="I1661" s="411" t="b">
        <v>0</v>
      </c>
      <c r="J1661" s="102" t="s">
        <v>2461</v>
      </c>
      <c r="K1661" s="360">
        <v>68.9655172413793</v>
      </c>
      <c r="L1661" s="360">
        <v>431.0344827586207</v>
      </c>
      <c r="M1661" s="102" t="s">
        <v>2276</v>
      </c>
      <c r="N1661" s="102" t="s">
        <v>2462</v>
      </c>
    </row>
    <row r="1662">
      <c r="A1662" s="412">
        <v>46074.0</v>
      </c>
      <c r="B1662" s="413">
        <v>2026.0</v>
      </c>
      <c r="C1662" s="414" t="s">
        <v>2387</v>
      </c>
      <c r="D1662" s="413" t="s">
        <v>702</v>
      </c>
      <c r="E1662" s="413" t="s">
        <v>465</v>
      </c>
      <c r="F1662" s="413" t="s">
        <v>703</v>
      </c>
      <c r="G1662" s="413" t="s">
        <v>732</v>
      </c>
      <c r="H1662" s="415">
        <v>200.0</v>
      </c>
      <c r="I1662" s="416" t="b">
        <v>0</v>
      </c>
      <c r="J1662" s="413" t="s">
        <v>2463</v>
      </c>
      <c r="K1662" s="415">
        <v>0.0</v>
      </c>
      <c r="L1662" s="415">
        <v>200.0</v>
      </c>
      <c r="M1662" s="413" t="s">
        <v>2276</v>
      </c>
      <c r="N1662" s="413" t="s">
        <v>2464</v>
      </c>
    </row>
    <row r="1663">
      <c r="A1663" s="409">
        <v>46074.0</v>
      </c>
      <c r="B1663" s="102">
        <v>2026.0</v>
      </c>
      <c r="C1663" s="410" t="s">
        <v>2387</v>
      </c>
      <c r="D1663" s="102" t="s">
        <v>723</v>
      </c>
      <c r="E1663" s="102" t="s">
        <v>137</v>
      </c>
      <c r="F1663" s="102" t="s">
        <v>703</v>
      </c>
      <c r="G1663" s="102" t="s">
        <v>740</v>
      </c>
      <c r="H1663" s="360">
        <v>250.0</v>
      </c>
      <c r="I1663" s="411" t="b">
        <v>0</v>
      </c>
      <c r="J1663" s="102" t="s">
        <v>472</v>
      </c>
      <c r="K1663" s="360">
        <v>0.0</v>
      </c>
      <c r="L1663" s="360">
        <v>250.0</v>
      </c>
      <c r="M1663" s="102" t="s">
        <v>2276</v>
      </c>
      <c r="N1663" s="102" t="s">
        <v>2465</v>
      </c>
    </row>
    <row r="1664">
      <c r="A1664" s="412">
        <v>46074.0</v>
      </c>
      <c r="B1664" s="413">
        <v>2026.0</v>
      </c>
      <c r="C1664" s="414" t="s">
        <v>2387</v>
      </c>
      <c r="D1664" s="413" t="s">
        <v>723</v>
      </c>
      <c r="E1664" s="413" t="s">
        <v>137</v>
      </c>
      <c r="F1664" s="413" t="s">
        <v>711</v>
      </c>
      <c r="G1664" s="413" t="s">
        <v>740</v>
      </c>
      <c r="H1664" s="415">
        <v>60.0</v>
      </c>
      <c r="I1664" s="416" t="b">
        <v>0</v>
      </c>
      <c r="J1664" s="413" t="s">
        <v>472</v>
      </c>
      <c r="K1664" s="415">
        <v>0.0</v>
      </c>
      <c r="L1664" s="415">
        <v>60.0</v>
      </c>
      <c r="M1664" s="413" t="s">
        <v>2276</v>
      </c>
      <c r="N1664" s="413" t="s">
        <v>2466</v>
      </c>
    </row>
    <row r="1665">
      <c r="A1665" s="409">
        <v>46077.0</v>
      </c>
      <c r="B1665" s="102">
        <v>2026.0</v>
      </c>
      <c r="C1665" s="410" t="s">
        <v>2387</v>
      </c>
      <c r="D1665" s="102" t="s">
        <v>702</v>
      </c>
      <c r="E1665" s="102" t="s">
        <v>465</v>
      </c>
      <c r="F1665" s="102" t="s">
        <v>703</v>
      </c>
      <c r="G1665" s="102" t="s">
        <v>732</v>
      </c>
      <c r="H1665" s="360">
        <v>493.6</v>
      </c>
      <c r="I1665" s="411" t="b">
        <v>0</v>
      </c>
      <c r="J1665" s="102" t="s">
        <v>2467</v>
      </c>
      <c r="K1665" s="360">
        <v>0.0</v>
      </c>
      <c r="L1665" s="360">
        <v>493.6</v>
      </c>
      <c r="M1665" s="102" t="s">
        <v>2276</v>
      </c>
      <c r="N1665" s="102" t="s">
        <v>2468</v>
      </c>
    </row>
    <row r="1666">
      <c r="A1666" s="412">
        <v>46077.0</v>
      </c>
      <c r="B1666" s="413">
        <v>2026.0</v>
      </c>
      <c r="C1666" s="414" t="s">
        <v>2387</v>
      </c>
      <c r="D1666" s="413" t="s">
        <v>710</v>
      </c>
      <c r="E1666" s="413" t="s">
        <v>137</v>
      </c>
      <c r="F1666" s="413" t="s">
        <v>711</v>
      </c>
      <c r="G1666" s="413" t="s">
        <v>724</v>
      </c>
      <c r="H1666" s="415">
        <v>504.0</v>
      </c>
      <c r="I1666" s="416" t="b">
        <v>1</v>
      </c>
      <c r="J1666" s="413" t="s">
        <v>472</v>
      </c>
      <c r="K1666" s="415">
        <v>0.0</v>
      </c>
      <c r="L1666" s="415">
        <v>0.0</v>
      </c>
      <c r="M1666" s="413" t="s">
        <v>2276</v>
      </c>
      <c r="N1666" s="413" t="s">
        <v>2469</v>
      </c>
    </row>
    <row r="1667">
      <c r="A1667" s="409">
        <v>46077.0</v>
      </c>
      <c r="B1667" s="102">
        <v>2026.0</v>
      </c>
      <c r="C1667" s="410" t="s">
        <v>2387</v>
      </c>
      <c r="D1667" s="102" t="s">
        <v>723</v>
      </c>
      <c r="E1667" s="102" t="s">
        <v>137</v>
      </c>
      <c r="F1667" s="102" t="s">
        <v>703</v>
      </c>
      <c r="G1667" s="102" t="s">
        <v>724</v>
      </c>
      <c r="H1667" s="360">
        <v>504.0</v>
      </c>
      <c r="I1667" s="411" t="b">
        <v>1</v>
      </c>
      <c r="J1667" s="102" t="s">
        <v>472</v>
      </c>
      <c r="K1667" s="360">
        <v>0.0</v>
      </c>
      <c r="L1667" s="360">
        <v>0.0</v>
      </c>
      <c r="M1667" s="102" t="s">
        <v>2276</v>
      </c>
      <c r="N1667" s="102" t="s">
        <v>2469</v>
      </c>
    </row>
    <row r="1668">
      <c r="A1668" s="412">
        <v>46077.0</v>
      </c>
      <c r="B1668" s="413">
        <v>2026.0</v>
      </c>
      <c r="C1668" s="414" t="s">
        <v>2387</v>
      </c>
      <c r="D1668" s="413" t="s">
        <v>723</v>
      </c>
      <c r="E1668" s="413" t="s">
        <v>137</v>
      </c>
      <c r="F1668" s="413" t="s">
        <v>711</v>
      </c>
      <c r="G1668" s="413" t="s">
        <v>767</v>
      </c>
      <c r="H1668" s="415">
        <v>2050.0</v>
      </c>
      <c r="I1668" s="416" t="b">
        <v>0</v>
      </c>
      <c r="J1668" s="413" t="s">
        <v>2470</v>
      </c>
      <c r="K1668" s="415">
        <v>0.0</v>
      </c>
      <c r="L1668" s="415">
        <v>2050.0</v>
      </c>
      <c r="M1668" s="413" t="s">
        <v>2276</v>
      </c>
      <c r="N1668" s="413" t="s">
        <v>2471</v>
      </c>
    </row>
    <row r="1669">
      <c r="A1669" s="409">
        <v>46078.0</v>
      </c>
      <c r="B1669" s="102">
        <v>2026.0</v>
      </c>
      <c r="C1669" s="410" t="s">
        <v>2387</v>
      </c>
      <c r="D1669" s="102" t="s">
        <v>702</v>
      </c>
      <c r="E1669" s="102" t="s">
        <v>465</v>
      </c>
      <c r="F1669" s="102" t="s">
        <v>711</v>
      </c>
      <c r="G1669" s="102" t="s">
        <v>724</v>
      </c>
      <c r="H1669" s="360">
        <v>218.0</v>
      </c>
      <c r="I1669" s="411" t="b">
        <v>1</v>
      </c>
      <c r="J1669" s="102" t="s">
        <v>472</v>
      </c>
      <c r="K1669" s="360">
        <v>0.0</v>
      </c>
      <c r="L1669" s="360">
        <v>0.0</v>
      </c>
      <c r="M1669" s="102" t="s">
        <v>2276</v>
      </c>
      <c r="N1669" s="102" t="s">
        <v>2472</v>
      </c>
    </row>
    <row r="1670">
      <c r="A1670" s="412">
        <v>46078.0</v>
      </c>
      <c r="B1670" s="413">
        <v>2026.0</v>
      </c>
      <c r="C1670" s="414" t="s">
        <v>2387</v>
      </c>
      <c r="D1670" s="413" t="s">
        <v>710</v>
      </c>
      <c r="E1670" s="413" t="s">
        <v>137</v>
      </c>
      <c r="F1670" s="413" t="s">
        <v>703</v>
      </c>
      <c r="G1670" s="413" t="s">
        <v>724</v>
      </c>
      <c r="H1670" s="415">
        <v>218.0</v>
      </c>
      <c r="I1670" s="416" t="b">
        <v>1</v>
      </c>
      <c r="J1670" s="413" t="s">
        <v>472</v>
      </c>
      <c r="K1670" s="415">
        <v>0.0</v>
      </c>
      <c r="L1670" s="415">
        <v>0.0</v>
      </c>
      <c r="M1670" s="413" t="s">
        <v>2276</v>
      </c>
      <c r="N1670" s="413" t="s">
        <v>2472</v>
      </c>
    </row>
    <row r="1671">
      <c r="A1671" s="409">
        <v>46078.0</v>
      </c>
      <c r="B1671" s="102">
        <v>2026.0</v>
      </c>
      <c r="C1671" s="410" t="s">
        <v>2387</v>
      </c>
      <c r="D1671" s="102" t="s">
        <v>702</v>
      </c>
      <c r="E1671" s="102" t="s">
        <v>465</v>
      </c>
      <c r="F1671" s="102" t="s">
        <v>703</v>
      </c>
      <c r="G1671" s="102" t="s">
        <v>747</v>
      </c>
      <c r="H1671" s="360">
        <v>687.0</v>
      </c>
      <c r="I1671" s="411" t="b">
        <v>0</v>
      </c>
      <c r="J1671" s="102" t="s">
        <v>2382</v>
      </c>
      <c r="K1671" s="360">
        <v>0.0</v>
      </c>
      <c r="L1671" s="360">
        <v>687.0</v>
      </c>
      <c r="M1671" s="102" t="s">
        <v>2276</v>
      </c>
      <c r="N1671" s="102" t="s">
        <v>2473</v>
      </c>
    </row>
    <row r="1672">
      <c r="A1672" s="412">
        <v>46078.0</v>
      </c>
      <c r="B1672" s="413">
        <v>2026.0</v>
      </c>
      <c r="C1672" s="414" t="s">
        <v>2387</v>
      </c>
      <c r="D1672" s="413" t="s">
        <v>702</v>
      </c>
      <c r="E1672" s="413" t="s">
        <v>465</v>
      </c>
      <c r="F1672" s="413" t="s">
        <v>703</v>
      </c>
      <c r="G1672" s="413" t="s">
        <v>704</v>
      </c>
      <c r="H1672" s="415">
        <v>278.0</v>
      </c>
      <c r="I1672" s="416" t="b">
        <v>0</v>
      </c>
      <c r="J1672" s="413" t="s">
        <v>472</v>
      </c>
      <c r="K1672" s="415">
        <v>0.0</v>
      </c>
      <c r="L1672" s="415">
        <v>278.0</v>
      </c>
      <c r="M1672" s="413" t="s">
        <v>2276</v>
      </c>
      <c r="N1672" s="413" t="s">
        <v>2474</v>
      </c>
    </row>
    <row r="1673">
      <c r="A1673" s="409">
        <v>46078.0</v>
      </c>
      <c r="B1673" s="102">
        <v>2026.0</v>
      </c>
      <c r="C1673" s="410" t="s">
        <v>2387</v>
      </c>
      <c r="D1673" s="102" t="s">
        <v>702</v>
      </c>
      <c r="E1673" s="102" t="s">
        <v>465</v>
      </c>
      <c r="F1673" s="102" t="s">
        <v>711</v>
      </c>
      <c r="G1673" s="102" t="s">
        <v>730</v>
      </c>
      <c r="H1673" s="360">
        <v>132.0</v>
      </c>
      <c r="I1673" s="411" t="b">
        <v>0</v>
      </c>
      <c r="J1673" s="102" t="s">
        <v>472</v>
      </c>
      <c r="K1673" s="360">
        <v>18.206896551724128</v>
      </c>
      <c r="L1673" s="360">
        <v>113.79310344827587</v>
      </c>
      <c r="M1673" s="102" t="s">
        <v>2276</v>
      </c>
      <c r="N1673" s="102" t="s">
        <v>2475</v>
      </c>
    </row>
    <row r="1674">
      <c r="A1674" s="412">
        <v>46078.0</v>
      </c>
      <c r="B1674" s="413">
        <v>2026.0</v>
      </c>
      <c r="C1674" s="414" t="s">
        <v>2387</v>
      </c>
      <c r="D1674" s="413" t="s">
        <v>702</v>
      </c>
      <c r="E1674" s="413" t="s">
        <v>465</v>
      </c>
      <c r="F1674" s="413" t="s">
        <v>703</v>
      </c>
      <c r="G1674" s="413" t="s">
        <v>1673</v>
      </c>
      <c r="H1674" s="415">
        <v>695.0</v>
      </c>
      <c r="I1674" s="416" t="b">
        <v>0</v>
      </c>
      <c r="J1674" s="413" t="s">
        <v>460</v>
      </c>
      <c r="K1674" s="415">
        <v>0.0</v>
      </c>
      <c r="L1674" s="415">
        <v>695.0</v>
      </c>
      <c r="M1674" s="413" t="s">
        <v>2276</v>
      </c>
      <c r="N1674" s="413" t="s">
        <v>2476</v>
      </c>
    </row>
    <row r="1675">
      <c r="A1675" s="409">
        <v>46078.0</v>
      </c>
      <c r="B1675" s="102">
        <v>2026.0</v>
      </c>
      <c r="C1675" s="410" t="s">
        <v>2387</v>
      </c>
      <c r="D1675" s="102" t="s">
        <v>702</v>
      </c>
      <c r="E1675" s="102" t="s">
        <v>465</v>
      </c>
      <c r="F1675" s="102" t="s">
        <v>711</v>
      </c>
      <c r="G1675" s="102" t="s">
        <v>767</v>
      </c>
      <c r="H1675" s="360">
        <v>1100.0</v>
      </c>
      <c r="I1675" s="411" t="b">
        <v>0</v>
      </c>
      <c r="J1675" s="102" t="s">
        <v>2477</v>
      </c>
      <c r="K1675" s="360">
        <v>151.72413793103442</v>
      </c>
      <c r="L1675" s="360">
        <v>948.2758620689656</v>
      </c>
      <c r="M1675" s="102" t="s">
        <v>2276</v>
      </c>
      <c r="N1675" s="102" t="s">
        <v>2478</v>
      </c>
    </row>
    <row r="1676">
      <c r="A1676" s="412">
        <v>46078.0</v>
      </c>
      <c r="B1676" s="413">
        <v>2026.0</v>
      </c>
      <c r="C1676" s="414" t="s">
        <v>2387</v>
      </c>
      <c r="D1676" s="413" t="s">
        <v>702</v>
      </c>
      <c r="E1676" s="413" t="s">
        <v>465</v>
      </c>
      <c r="F1676" s="413" t="s">
        <v>711</v>
      </c>
      <c r="G1676" s="413" t="s">
        <v>767</v>
      </c>
      <c r="H1676" s="415">
        <v>1247.0</v>
      </c>
      <c r="I1676" s="416" t="b">
        <v>0</v>
      </c>
      <c r="J1676" s="413" t="s">
        <v>1705</v>
      </c>
      <c r="K1676" s="415">
        <v>172.0</v>
      </c>
      <c r="L1676" s="415">
        <v>1075.0</v>
      </c>
      <c r="M1676" s="413" t="s">
        <v>2276</v>
      </c>
      <c r="N1676" s="413" t="s">
        <v>2479</v>
      </c>
    </row>
    <row r="1677">
      <c r="A1677" s="409">
        <v>46080.0</v>
      </c>
      <c r="B1677" s="102">
        <v>2026.0</v>
      </c>
      <c r="C1677" s="410" t="s">
        <v>2387</v>
      </c>
      <c r="D1677" s="102" t="s">
        <v>702</v>
      </c>
      <c r="E1677" s="102" t="s">
        <v>465</v>
      </c>
      <c r="F1677" s="102" t="s">
        <v>711</v>
      </c>
      <c r="G1677" s="102" t="s">
        <v>767</v>
      </c>
      <c r="H1677" s="360">
        <v>1100.0</v>
      </c>
      <c r="I1677" s="411" t="b">
        <v>0</v>
      </c>
      <c r="J1677" s="102" t="s">
        <v>1899</v>
      </c>
      <c r="K1677" s="360">
        <v>151.72413793103442</v>
      </c>
      <c r="L1677" s="360">
        <v>948.2758620689656</v>
      </c>
      <c r="M1677" s="102" t="s">
        <v>2276</v>
      </c>
      <c r="N1677" s="102" t="s">
        <v>2480</v>
      </c>
    </row>
    <row r="1678">
      <c r="A1678" s="412">
        <v>46080.0</v>
      </c>
      <c r="B1678" s="413">
        <v>2026.0</v>
      </c>
      <c r="C1678" s="414" t="s">
        <v>2387</v>
      </c>
      <c r="D1678" s="413" t="s">
        <v>702</v>
      </c>
      <c r="E1678" s="413" t="s">
        <v>465</v>
      </c>
      <c r="F1678" s="413" t="s">
        <v>711</v>
      </c>
      <c r="G1678" s="413" t="s">
        <v>767</v>
      </c>
      <c r="H1678" s="415">
        <v>1100.0</v>
      </c>
      <c r="I1678" s="416" t="b">
        <v>0</v>
      </c>
      <c r="J1678" s="413" t="s">
        <v>2038</v>
      </c>
      <c r="K1678" s="415">
        <v>151.72413793103442</v>
      </c>
      <c r="L1678" s="415">
        <v>948.2758620689656</v>
      </c>
      <c r="M1678" s="413" t="s">
        <v>2276</v>
      </c>
      <c r="N1678" s="413" t="s">
        <v>2481</v>
      </c>
    </row>
    <row r="1679">
      <c r="A1679" s="409">
        <v>46080.0</v>
      </c>
      <c r="B1679" s="102">
        <v>2026.0</v>
      </c>
      <c r="C1679" s="410" t="s">
        <v>2387</v>
      </c>
      <c r="D1679" s="102" t="s">
        <v>702</v>
      </c>
      <c r="E1679" s="102" t="s">
        <v>465</v>
      </c>
      <c r="F1679" s="102" t="s">
        <v>703</v>
      </c>
      <c r="G1679" s="102" t="s">
        <v>2352</v>
      </c>
      <c r="H1679" s="360">
        <v>128.0</v>
      </c>
      <c r="I1679" s="411" t="b">
        <v>0</v>
      </c>
      <c r="J1679" s="102" t="s">
        <v>472</v>
      </c>
      <c r="K1679" s="360">
        <v>0.0</v>
      </c>
      <c r="L1679" s="360">
        <v>128.0</v>
      </c>
      <c r="M1679" s="102" t="s">
        <v>2276</v>
      </c>
      <c r="N1679" s="102" t="s">
        <v>2482</v>
      </c>
    </row>
    <row r="1680">
      <c r="A1680" s="412">
        <v>46080.0</v>
      </c>
      <c r="B1680" s="413">
        <v>2026.0</v>
      </c>
      <c r="C1680" s="414" t="s">
        <v>2387</v>
      </c>
      <c r="D1680" s="413" t="s">
        <v>710</v>
      </c>
      <c r="E1680" s="413" t="s">
        <v>137</v>
      </c>
      <c r="F1680" s="413" t="s">
        <v>703</v>
      </c>
      <c r="G1680" s="413" t="s">
        <v>732</v>
      </c>
      <c r="H1680" s="415">
        <v>415.0</v>
      </c>
      <c r="I1680" s="416" t="b">
        <v>0</v>
      </c>
      <c r="J1680" s="413" t="s">
        <v>472</v>
      </c>
      <c r="K1680" s="415">
        <v>0.0</v>
      </c>
      <c r="L1680" s="415">
        <v>415.0</v>
      </c>
      <c r="M1680" s="413" t="s">
        <v>2276</v>
      </c>
      <c r="N1680" s="413" t="s">
        <v>2483</v>
      </c>
    </row>
    <row r="1681">
      <c r="A1681" s="409">
        <v>46080.0</v>
      </c>
      <c r="B1681" s="102">
        <v>2026.0</v>
      </c>
      <c r="C1681" s="410" t="s">
        <v>2387</v>
      </c>
      <c r="D1681" s="102" t="s">
        <v>723</v>
      </c>
      <c r="E1681" s="102" t="s">
        <v>137</v>
      </c>
      <c r="F1681" s="102" t="s">
        <v>711</v>
      </c>
      <c r="G1681" s="102" t="s">
        <v>734</v>
      </c>
      <c r="H1681" s="360">
        <v>140.0</v>
      </c>
      <c r="I1681" s="411" t="b">
        <v>0</v>
      </c>
      <c r="J1681" s="102" t="s">
        <v>472</v>
      </c>
      <c r="K1681" s="360">
        <v>0.0</v>
      </c>
      <c r="L1681" s="360">
        <v>140.0</v>
      </c>
      <c r="M1681" s="102" t="s">
        <v>2276</v>
      </c>
      <c r="N1681" s="102" t="s">
        <v>2484</v>
      </c>
    </row>
    <row r="1682">
      <c r="A1682" s="412">
        <v>46080.0</v>
      </c>
      <c r="B1682" s="413">
        <v>2026.0</v>
      </c>
      <c r="C1682" s="414" t="s">
        <v>2387</v>
      </c>
      <c r="D1682" s="413" t="s">
        <v>723</v>
      </c>
      <c r="E1682" s="413" t="s">
        <v>137</v>
      </c>
      <c r="F1682" s="413" t="s">
        <v>711</v>
      </c>
      <c r="G1682" s="413" t="s">
        <v>740</v>
      </c>
      <c r="H1682" s="415">
        <v>75.0</v>
      </c>
      <c r="I1682" s="416" t="b">
        <v>0</v>
      </c>
      <c r="J1682" s="413" t="s">
        <v>472</v>
      </c>
      <c r="K1682" s="415">
        <v>0.0</v>
      </c>
      <c r="L1682" s="415">
        <v>75.0</v>
      </c>
      <c r="M1682" s="413" t="s">
        <v>2276</v>
      </c>
      <c r="N1682" s="413" t="s">
        <v>2485</v>
      </c>
    </row>
    <row r="1683">
      <c r="A1683" s="409">
        <v>46080.0</v>
      </c>
      <c r="B1683" s="102">
        <v>2026.0</v>
      </c>
      <c r="C1683" s="410" t="s">
        <v>2387</v>
      </c>
      <c r="D1683" s="102" t="s">
        <v>723</v>
      </c>
      <c r="E1683" s="102" t="s">
        <v>137</v>
      </c>
      <c r="F1683" s="102" t="s">
        <v>711</v>
      </c>
      <c r="G1683" s="102" t="s">
        <v>740</v>
      </c>
      <c r="H1683" s="360">
        <v>15.0</v>
      </c>
      <c r="I1683" s="411" t="b">
        <v>0</v>
      </c>
      <c r="J1683" s="102" t="s">
        <v>472</v>
      </c>
      <c r="K1683" s="360">
        <v>0.0</v>
      </c>
      <c r="L1683" s="360">
        <v>15.0</v>
      </c>
      <c r="M1683" s="102" t="s">
        <v>2276</v>
      </c>
      <c r="N1683" s="102" t="s">
        <v>2486</v>
      </c>
    </row>
    <row r="1684">
      <c r="A1684" s="412">
        <v>46080.0</v>
      </c>
      <c r="B1684" s="413">
        <v>2026.0</v>
      </c>
      <c r="C1684" s="414" t="s">
        <v>2387</v>
      </c>
      <c r="D1684" s="413" t="s">
        <v>710</v>
      </c>
      <c r="E1684" s="413" t="s">
        <v>137</v>
      </c>
      <c r="F1684" s="413" t="s">
        <v>703</v>
      </c>
      <c r="G1684" s="413" t="s">
        <v>747</v>
      </c>
      <c r="H1684" s="415">
        <v>112.0</v>
      </c>
      <c r="I1684" s="416" t="b">
        <v>0</v>
      </c>
      <c r="J1684" s="413" t="s">
        <v>472</v>
      </c>
      <c r="K1684" s="415">
        <v>0.0</v>
      </c>
      <c r="L1684" s="415">
        <v>112.0</v>
      </c>
      <c r="M1684" s="413" t="s">
        <v>2276</v>
      </c>
      <c r="N1684" s="413" t="s">
        <v>2487</v>
      </c>
    </row>
    <row r="1685">
      <c r="A1685" s="409">
        <v>46080.0</v>
      </c>
      <c r="B1685" s="102">
        <v>2026.0</v>
      </c>
      <c r="C1685" s="410" t="s">
        <v>2387</v>
      </c>
      <c r="D1685" s="102" t="s">
        <v>710</v>
      </c>
      <c r="E1685" s="102" t="s">
        <v>137</v>
      </c>
      <c r="F1685" s="102" t="s">
        <v>711</v>
      </c>
      <c r="G1685" s="102" t="s">
        <v>724</v>
      </c>
      <c r="H1685" s="360">
        <v>2075.0</v>
      </c>
      <c r="I1685" s="411" t="b">
        <v>1</v>
      </c>
      <c r="J1685" s="102" t="s">
        <v>472</v>
      </c>
      <c r="K1685" s="360">
        <v>0.0</v>
      </c>
      <c r="L1685" s="360">
        <v>0.0</v>
      </c>
      <c r="M1685" s="102" t="s">
        <v>2276</v>
      </c>
      <c r="N1685" s="102" t="s">
        <v>2488</v>
      </c>
    </row>
    <row r="1686">
      <c r="A1686" s="412">
        <v>46080.0</v>
      </c>
      <c r="B1686" s="413">
        <v>2026.0</v>
      </c>
      <c r="C1686" s="414" t="s">
        <v>2387</v>
      </c>
      <c r="D1686" s="413" t="s">
        <v>723</v>
      </c>
      <c r="E1686" s="413" t="s">
        <v>137</v>
      </c>
      <c r="F1686" s="413" t="s">
        <v>703</v>
      </c>
      <c r="G1686" s="413" t="s">
        <v>724</v>
      </c>
      <c r="H1686" s="415">
        <v>2075.0</v>
      </c>
      <c r="I1686" s="416" t="b">
        <v>1</v>
      </c>
      <c r="J1686" s="413" t="s">
        <v>472</v>
      </c>
      <c r="K1686" s="415">
        <v>0.0</v>
      </c>
      <c r="L1686" s="415">
        <v>0.0</v>
      </c>
      <c r="M1686" s="413" t="s">
        <v>2276</v>
      </c>
      <c r="N1686" s="413" t="s">
        <v>2488</v>
      </c>
    </row>
    <row r="1687">
      <c r="A1687" s="409">
        <v>46080.0</v>
      </c>
      <c r="B1687" s="102">
        <v>2026.0</v>
      </c>
      <c r="C1687" s="410" t="s">
        <v>2387</v>
      </c>
      <c r="D1687" s="102" t="s">
        <v>702</v>
      </c>
      <c r="E1687" s="102" t="s">
        <v>465</v>
      </c>
      <c r="F1687" s="102" t="s">
        <v>703</v>
      </c>
      <c r="G1687" s="102" t="s">
        <v>732</v>
      </c>
      <c r="H1687" s="360">
        <v>438.0</v>
      </c>
      <c r="I1687" s="411" t="b">
        <v>0</v>
      </c>
      <c r="J1687" s="102" t="s">
        <v>2252</v>
      </c>
      <c r="K1687" s="360">
        <v>0.0</v>
      </c>
      <c r="L1687" s="360">
        <v>438.0</v>
      </c>
      <c r="M1687" s="102" t="s">
        <v>2276</v>
      </c>
      <c r="N1687" s="102" t="s">
        <v>2489</v>
      </c>
    </row>
    <row r="1688">
      <c r="A1688" s="412">
        <v>46080.0</v>
      </c>
      <c r="B1688" s="413">
        <v>2026.0</v>
      </c>
      <c r="C1688" s="414" t="s">
        <v>2387</v>
      </c>
      <c r="D1688" s="413" t="s">
        <v>702</v>
      </c>
      <c r="E1688" s="413" t="s">
        <v>465</v>
      </c>
      <c r="F1688" s="413" t="s">
        <v>711</v>
      </c>
      <c r="G1688" s="413" t="s">
        <v>730</v>
      </c>
      <c r="H1688" s="415">
        <v>24.0</v>
      </c>
      <c r="I1688" s="416" t="b">
        <v>0</v>
      </c>
      <c r="J1688" s="413" t="s">
        <v>472</v>
      </c>
      <c r="K1688" s="415">
        <v>3.3103448275862064</v>
      </c>
      <c r="L1688" s="415">
        <v>20.689655172413794</v>
      </c>
      <c r="M1688" s="413" t="s">
        <v>2276</v>
      </c>
      <c r="N1688" s="413" t="s">
        <v>2490</v>
      </c>
    </row>
    <row r="1689">
      <c r="A1689" s="409">
        <v>46080.0</v>
      </c>
      <c r="B1689" s="102">
        <v>2026.0</v>
      </c>
      <c r="C1689" s="410" t="s">
        <v>2387</v>
      </c>
      <c r="D1689" s="102" t="s">
        <v>702</v>
      </c>
      <c r="E1689" s="102" t="s">
        <v>465</v>
      </c>
      <c r="F1689" s="102" t="s">
        <v>703</v>
      </c>
      <c r="G1689" s="102" t="s">
        <v>747</v>
      </c>
      <c r="H1689" s="360">
        <v>3500.0</v>
      </c>
      <c r="I1689" s="411" t="b">
        <v>0</v>
      </c>
      <c r="J1689" s="102" t="s">
        <v>2491</v>
      </c>
      <c r="K1689" s="360">
        <v>0.0</v>
      </c>
      <c r="L1689" s="360">
        <v>3500.0</v>
      </c>
      <c r="M1689" s="102" t="s">
        <v>2276</v>
      </c>
      <c r="N1689" s="102" t="s">
        <v>2492</v>
      </c>
    </row>
    <row r="1690">
      <c r="A1690" s="412">
        <v>46080.0</v>
      </c>
      <c r="B1690" s="413">
        <v>2026.0</v>
      </c>
      <c r="C1690" s="414" t="s">
        <v>2387</v>
      </c>
      <c r="D1690" s="413" t="s">
        <v>710</v>
      </c>
      <c r="E1690" s="413" t="s">
        <v>137</v>
      </c>
      <c r="F1690" s="413" t="s">
        <v>703</v>
      </c>
      <c r="G1690" s="413" t="s">
        <v>747</v>
      </c>
      <c r="H1690" s="415">
        <v>2500.0</v>
      </c>
      <c r="I1690" s="416" t="b">
        <v>0</v>
      </c>
      <c r="J1690" s="413" t="s">
        <v>2493</v>
      </c>
      <c r="K1690" s="415">
        <v>0.0</v>
      </c>
      <c r="L1690" s="415">
        <v>2500.0</v>
      </c>
      <c r="M1690" s="413" t="s">
        <v>2276</v>
      </c>
      <c r="N1690" s="413" t="s">
        <v>2494</v>
      </c>
    </row>
    <row r="1691">
      <c r="A1691" s="409">
        <v>46081.0</v>
      </c>
      <c r="B1691" s="102">
        <v>2026.0</v>
      </c>
      <c r="C1691" s="410" t="s">
        <v>2387</v>
      </c>
      <c r="D1691" s="102" t="s">
        <v>723</v>
      </c>
      <c r="E1691" s="102" t="s">
        <v>137</v>
      </c>
      <c r="F1691" s="102" t="s">
        <v>711</v>
      </c>
      <c r="G1691" s="102" t="s">
        <v>767</v>
      </c>
      <c r="H1691" s="360">
        <v>550.0</v>
      </c>
      <c r="I1691" s="411" t="b">
        <v>0</v>
      </c>
      <c r="J1691" s="102" t="s">
        <v>1213</v>
      </c>
      <c r="K1691" s="360">
        <v>0.0</v>
      </c>
      <c r="L1691" s="360">
        <v>550.0</v>
      </c>
      <c r="M1691" s="102" t="s">
        <v>2276</v>
      </c>
      <c r="N1691" s="102" t="s">
        <v>2495</v>
      </c>
    </row>
    <row r="1692">
      <c r="A1692" s="412">
        <v>46081.0</v>
      </c>
      <c r="B1692" s="413">
        <v>2026.0</v>
      </c>
      <c r="C1692" s="414" t="s">
        <v>2387</v>
      </c>
      <c r="D1692" s="413" t="s">
        <v>702</v>
      </c>
      <c r="E1692" s="413" t="s">
        <v>465</v>
      </c>
      <c r="F1692" s="413" t="s">
        <v>711</v>
      </c>
      <c r="G1692" s="413" t="s">
        <v>767</v>
      </c>
      <c r="H1692" s="415">
        <v>950.0</v>
      </c>
      <c r="I1692" s="416" t="b">
        <v>0</v>
      </c>
      <c r="J1692" s="413" t="s">
        <v>2496</v>
      </c>
      <c r="K1692" s="415">
        <v>131.03448275862058</v>
      </c>
      <c r="L1692" s="415">
        <v>818.9655172413794</v>
      </c>
      <c r="M1692" s="413" t="s">
        <v>2276</v>
      </c>
      <c r="N1692" s="413" t="s">
        <v>2497</v>
      </c>
    </row>
    <row r="1693">
      <c r="A1693" s="409">
        <v>46081.0</v>
      </c>
      <c r="B1693" s="102">
        <v>2026.0</v>
      </c>
      <c r="C1693" s="410" t="s">
        <v>2387</v>
      </c>
      <c r="D1693" s="102" t="s">
        <v>702</v>
      </c>
      <c r="E1693" s="102" t="s">
        <v>465</v>
      </c>
      <c r="F1693" s="102" t="s">
        <v>711</v>
      </c>
      <c r="G1693" s="102" t="s">
        <v>767</v>
      </c>
      <c r="H1693" s="360">
        <v>950.0</v>
      </c>
      <c r="I1693" s="411" t="b">
        <v>0</v>
      </c>
      <c r="J1693" s="102" t="s">
        <v>2498</v>
      </c>
      <c r="K1693" s="360">
        <v>131.03448275862058</v>
      </c>
      <c r="L1693" s="360">
        <v>818.9655172413794</v>
      </c>
      <c r="M1693" s="102" t="s">
        <v>2276</v>
      </c>
      <c r="N1693" s="102" t="s">
        <v>2499</v>
      </c>
    </row>
    <row r="1694">
      <c r="A1694" s="412">
        <v>46081.0</v>
      </c>
      <c r="B1694" s="413">
        <v>2026.0</v>
      </c>
      <c r="C1694" s="414" t="s">
        <v>2387</v>
      </c>
      <c r="D1694" s="413" t="s">
        <v>723</v>
      </c>
      <c r="E1694" s="413" t="s">
        <v>137</v>
      </c>
      <c r="F1694" s="413" t="s">
        <v>711</v>
      </c>
      <c r="G1694" s="413" t="s">
        <v>740</v>
      </c>
      <c r="H1694" s="415">
        <v>10.0</v>
      </c>
      <c r="I1694" s="416" t="b">
        <v>0</v>
      </c>
      <c r="J1694" s="413" t="s">
        <v>472</v>
      </c>
      <c r="K1694" s="415">
        <v>0.0</v>
      </c>
      <c r="L1694" s="415">
        <v>10.0</v>
      </c>
      <c r="M1694" s="413" t="s">
        <v>2276</v>
      </c>
      <c r="N1694" s="413" t="s">
        <v>2500</v>
      </c>
    </row>
    <row r="1695">
      <c r="A1695" s="409">
        <v>46081.0</v>
      </c>
      <c r="B1695" s="102">
        <v>2026.0</v>
      </c>
      <c r="C1695" s="410" t="s">
        <v>2387</v>
      </c>
      <c r="D1695" s="102" t="s">
        <v>702</v>
      </c>
      <c r="E1695" s="102" t="s">
        <v>465</v>
      </c>
      <c r="F1695" s="102" t="s">
        <v>711</v>
      </c>
      <c r="G1695" s="102" t="s">
        <v>767</v>
      </c>
      <c r="H1695" s="360">
        <v>527.0</v>
      </c>
      <c r="I1695" s="411" t="b">
        <v>0</v>
      </c>
      <c r="J1695" s="102" t="s">
        <v>1146</v>
      </c>
      <c r="K1695" s="360">
        <v>72.68965517241378</v>
      </c>
      <c r="L1695" s="360">
        <v>454.3103448275862</v>
      </c>
      <c r="M1695" s="102" t="s">
        <v>2276</v>
      </c>
      <c r="N1695" s="102" t="s">
        <v>2501</v>
      </c>
    </row>
    <row r="1696">
      <c r="A1696" s="412">
        <v>46081.0</v>
      </c>
      <c r="B1696" s="413">
        <v>2026.0</v>
      </c>
      <c r="C1696" s="414" t="s">
        <v>2387</v>
      </c>
      <c r="D1696" s="413" t="s">
        <v>702</v>
      </c>
      <c r="E1696" s="413" t="s">
        <v>465</v>
      </c>
      <c r="F1696" s="413" t="s">
        <v>711</v>
      </c>
      <c r="G1696" s="413" t="s">
        <v>767</v>
      </c>
      <c r="H1696" s="415">
        <v>650.0</v>
      </c>
      <c r="I1696" s="416" t="b">
        <v>0</v>
      </c>
      <c r="J1696" s="413" t="s">
        <v>1224</v>
      </c>
      <c r="K1696" s="415">
        <v>89.65517241379303</v>
      </c>
      <c r="L1696" s="415">
        <v>560.344827586207</v>
      </c>
      <c r="M1696" s="413" t="s">
        <v>2276</v>
      </c>
      <c r="N1696" s="413" t="s">
        <v>2502</v>
      </c>
    </row>
    <row r="1697">
      <c r="A1697" s="409">
        <v>46081.0</v>
      </c>
      <c r="B1697" s="102">
        <v>2026.0</v>
      </c>
      <c r="C1697" s="410" t="s">
        <v>2387</v>
      </c>
      <c r="D1697" s="102" t="s">
        <v>710</v>
      </c>
      <c r="E1697" s="102" t="s">
        <v>137</v>
      </c>
      <c r="F1697" s="102" t="s">
        <v>703</v>
      </c>
      <c r="G1697" s="102" t="s">
        <v>1657</v>
      </c>
      <c r="H1697" s="360">
        <v>1000.0</v>
      </c>
      <c r="I1697" s="411" t="b">
        <v>0</v>
      </c>
      <c r="J1697" s="102" t="s">
        <v>472</v>
      </c>
      <c r="K1697" s="360">
        <v>0.0</v>
      </c>
      <c r="L1697" s="360">
        <v>1000.0</v>
      </c>
      <c r="M1697" s="102" t="s">
        <v>2276</v>
      </c>
      <c r="N1697" s="102" t="s">
        <v>2503</v>
      </c>
    </row>
    <row r="1698">
      <c r="A1698" s="412">
        <v>46084.0</v>
      </c>
      <c r="B1698" s="413">
        <v>2026.0</v>
      </c>
      <c r="C1698" s="414" t="s">
        <v>2504</v>
      </c>
      <c r="D1698" s="413" t="s">
        <v>702</v>
      </c>
      <c r="E1698" s="413" t="s">
        <v>465</v>
      </c>
      <c r="F1698" s="413" t="s">
        <v>703</v>
      </c>
      <c r="G1698" s="413" t="s">
        <v>769</v>
      </c>
      <c r="H1698" s="415">
        <v>9280.0</v>
      </c>
      <c r="I1698" s="416" t="b">
        <v>0</v>
      </c>
      <c r="J1698" s="413" t="s">
        <v>472</v>
      </c>
      <c r="K1698" s="415">
        <v>0.0</v>
      </c>
      <c r="L1698" s="415">
        <v>9280.0</v>
      </c>
      <c r="M1698" s="413" t="s">
        <v>2276</v>
      </c>
      <c r="N1698" s="413" t="s">
        <v>2505</v>
      </c>
    </row>
    <row r="1699">
      <c r="A1699" s="409">
        <v>46084.0</v>
      </c>
      <c r="B1699" s="102">
        <v>2026.0</v>
      </c>
      <c r="C1699" s="410" t="s">
        <v>2504</v>
      </c>
      <c r="D1699" s="102" t="s">
        <v>702</v>
      </c>
      <c r="E1699" s="102" t="s">
        <v>465</v>
      </c>
      <c r="F1699" s="102" t="s">
        <v>703</v>
      </c>
      <c r="G1699" s="102" t="s">
        <v>601</v>
      </c>
      <c r="H1699" s="360">
        <v>550.0</v>
      </c>
      <c r="I1699" s="411" t="b">
        <v>0</v>
      </c>
      <c r="J1699" s="102" t="s">
        <v>472</v>
      </c>
      <c r="K1699" s="360">
        <v>0.0</v>
      </c>
      <c r="L1699" s="360">
        <v>550.0</v>
      </c>
      <c r="M1699" s="102" t="s">
        <v>2276</v>
      </c>
      <c r="N1699" s="102" t="s">
        <v>2506</v>
      </c>
    </row>
    <row r="1700">
      <c r="A1700" s="412">
        <v>46084.0</v>
      </c>
      <c r="B1700" s="413">
        <v>2026.0</v>
      </c>
      <c r="C1700" s="414" t="s">
        <v>2504</v>
      </c>
      <c r="D1700" s="413" t="s">
        <v>702</v>
      </c>
      <c r="E1700" s="413" t="s">
        <v>465</v>
      </c>
      <c r="F1700" s="413" t="s">
        <v>703</v>
      </c>
      <c r="G1700" s="413" t="s">
        <v>797</v>
      </c>
      <c r="H1700" s="415">
        <v>683.0</v>
      </c>
      <c r="I1700" s="416" t="b">
        <v>0</v>
      </c>
      <c r="J1700" s="413" t="s">
        <v>472</v>
      </c>
      <c r="K1700" s="415">
        <v>0.0</v>
      </c>
      <c r="L1700" s="415">
        <v>683.0</v>
      </c>
      <c r="M1700" s="413" t="s">
        <v>2276</v>
      </c>
      <c r="N1700" s="413" t="s">
        <v>2507</v>
      </c>
    </row>
    <row r="1701">
      <c r="A1701" s="409">
        <v>46084.0</v>
      </c>
      <c r="B1701" s="102">
        <v>2026.0</v>
      </c>
      <c r="C1701" s="410" t="s">
        <v>2504</v>
      </c>
      <c r="D1701" s="102" t="s">
        <v>702</v>
      </c>
      <c r="E1701" s="102" t="s">
        <v>465</v>
      </c>
      <c r="F1701" s="102" t="s">
        <v>711</v>
      </c>
      <c r="G1701" s="102" t="s">
        <v>767</v>
      </c>
      <c r="H1701" s="360">
        <v>550.0</v>
      </c>
      <c r="I1701" s="411" t="b">
        <v>0</v>
      </c>
      <c r="J1701" s="102" t="s">
        <v>1184</v>
      </c>
      <c r="K1701" s="360">
        <v>75.86206896551721</v>
      </c>
      <c r="L1701" s="360">
        <v>474.1379310344828</v>
      </c>
      <c r="M1701" s="102" t="s">
        <v>2276</v>
      </c>
      <c r="N1701" s="102" t="s">
        <v>2508</v>
      </c>
    </row>
    <row r="1702">
      <c r="A1702" s="412">
        <v>46084.0</v>
      </c>
      <c r="B1702" s="413">
        <v>2026.0</v>
      </c>
      <c r="C1702" s="414" t="s">
        <v>2504</v>
      </c>
      <c r="D1702" s="413" t="s">
        <v>702</v>
      </c>
      <c r="E1702" s="413" t="s">
        <v>465</v>
      </c>
      <c r="F1702" s="413" t="s">
        <v>711</v>
      </c>
      <c r="G1702" s="413" t="s">
        <v>767</v>
      </c>
      <c r="H1702" s="415">
        <v>950.0</v>
      </c>
      <c r="I1702" s="416" t="b">
        <v>0</v>
      </c>
      <c r="J1702" s="413" t="s">
        <v>1507</v>
      </c>
      <c r="K1702" s="415">
        <v>131.03448275862058</v>
      </c>
      <c r="L1702" s="415">
        <v>818.9655172413794</v>
      </c>
      <c r="M1702" s="413" t="s">
        <v>2276</v>
      </c>
      <c r="N1702" s="413" t="s">
        <v>2509</v>
      </c>
    </row>
    <row r="1703">
      <c r="A1703" s="409">
        <v>46084.0</v>
      </c>
      <c r="B1703" s="102">
        <v>2026.0</v>
      </c>
      <c r="C1703" s="410" t="s">
        <v>2504</v>
      </c>
      <c r="D1703" s="102" t="s">
        <v>723</v>
      </c>
      <c r="E1703" s="102" t="s">
        <v>137</v>
      </c>
      <c r="F1703" s="102" t="s">
        <v>711</v>
      </c>
      <c r="G1703" s="102" t="s">
        <v>767</v>
      </c>
      <c r="H1703" s="360">
        <v>950.0</v>
      </c>
      <c r="I1703" s="411" t="b">
        <v>0</v>
      </c>
      <c r="J1703" s="102" t="s">
        <v>1861</v>
      </c>
      <c r="K1703" s="360">
        <v>0.0</v>
      </c>
      <c r="L1703" s="360">
        <v>950.0</v>
      </c>
      <c r="M1703" s="102" t="s">
        <v>2276</v>
      </c>
      <c r="N1703" s="102" t="s">
        <v>2510</v>
      </c>
    </row>
    <row r="1704">
      <c r="A1704" s="412">
        <v>46084.0</v>
      </c>
      <c r="B1704" s="413">
        <v>2026.0</v>
      </c>
      <c r="C1704" s="414" t="s">
        <v>2504</v>
      </c>
      <c r="D1704" s="413" t="s">
        <v>723</v>
      </c>
      <c r="E1704" s="413" t="s">
        <v>137</v>
      </c>
      <c r="F1704" s="413" t="s">
        <v>711</v>
      </c>
      <c r="G1704" s="413" t="s">
        <v>767</v>
      </c>
      <c r="H1704" s="415">
        <v>1600.0</v>
      </c>
      <c r="I1704" s="416" t="b">
        <v>0</v>
      </c>
      <c r="J1704" s="413" t="s">
        <v>2511</v>
      </c>
      <c r="K1704" s="415">
        <v>0.0</v>
      </c>
      <c r="L1704" s="415">
        <v>1600.0</v>
      </c>
      <c r="M1704" s="413" t="s">
        <v>2276</v>
      </c>
      <c r="N1704" s="413" t="s">
        <v>2512</v>
      </c>
    </row>
    <row r="1705">
      <c r="A1705" s="409">
        <v>46084.0</v>
      </c>
      <c r="B1705" s="102">
        <v>2026.0</v>
      </c>
      <c r="C1705" s="410" t="s">
        <v>2504</v>
      </c>
      <c r="D1705" s="102" t="s">
        <v>723</v>
      </c>
      <c r="E1705" s="102" t="s">
        <v>137</v>
      </c>
      <c r="F1705" s="102" t="s">
        <v>711</v>
      </c>
      <c r="G1705" s="102" t="s">
        <v>767</v>
      </c>
      <c r="H1705" s="360">
        <v>950.0</v>
      </c>
      <c r="I1705" s="411" t="b">
        <v>0</v>
      </c>
      <c r="J1705" s="102" t="s">
        <v>1232</v>
      </c>
      <c r="K1705" s="360">
        <v>0.0</v>
      </c>
      <c r="L1705" s="360">
        <v>950.0</v>
      </c>
      <c r="M1705" s="102" t="s">
        <v>2276</v>
      </c>
      <c r="N1705" s="102" t="s">
        <v>2513</v>
      </c>
    </row>
    <row r="1706">
      <c r="A1706" s="412">
        <v>46084.0</v>
      </c>
      <c r="B1706" s="413">
        <v>2026.0</v>
      </c>
      <c r="C1706" s="414" t="s">
        <v>2504</v>
      </c>
      <c r="D1706" s="413" t="s">
        <v>723</v>
      </c>
      <c r="E1706" s="413" t="s">
        <v>137</v>
      </c>
      <c r="F1706" s="413" t="s">
        <v>711</v>
      </c>
      <c r="G1706" s="413" t="s">
        <v>740</v>
      </c>
      <c r="H1706" s="415">
        <v>25.0</v>
      </c>
      <c r="I1706" s="416" t="b">
        <v>0</v>
      </c>
      <c r="J1706" s="413" t="s">
        <v>472</v>
      </c>
      <c r="K1706" s="415">
        <v>0.0</v>
      </c>
      <c r="L1706" s="415">
        <v>25.0</v>
      </c>
      <c r="M1706" s="413" t="s">
        <v>2276</v>
      </c>
      <c r="N1706" s="413" t="s">
        <v>2514</v>
      </c>
    </row>
    <row r="1707">
      <c r="A1707" s="409">
        <v>46084.0</v>
      </c>
      <c r="B1707" s="102">
        <v>2026.0</v>
      </c>
      <c r="C1707" s="410" t="s">
        <v>2504</v>
      </c>
      <c r="D1707" s="102" t="s">
        <v>723</v>
      </c>
      <c r="E1707" s="102" t="s">
        <v>137</v>
      </c>
      <c r="F1707" s="102" t="s">
        <v>711</v>
      </c>
      <c r="G1707" s="102" t="s">
        <v>734</v>
      </c>
      <c r="H1707" s="360">
        <v>180.0</v>
      </c>
      <c r="I1707" s="411" t="b">
        <v>0</v>
      </c>
      <c r="J1707" s="102" t="s">
        <v>472</v>
      </c>
      <c r="K1707" s="360">
        <v>0.0</v>
      </c>
      <c r="L1707" s="360">
        <v>180.0</v>
      </c>
      <c r="M1707" s="102" t="s">
        <v>2276</v>
      </c>
      <c r="N1707" s="102" t="s">
        <v>2515</v>
      </c>
    </row>
    <row r="1708">
      <c r="A1708" s="412">
        <v>46084.0</v>
      </c>
      <c r="B1708" s="413">
        <v>2026.0</v>
      </c>
      <c r="C1708" s="414" t="s">
        <v>2504</v>
      </c>
      <c r="D1708" s="413" t="s">
        <v>702</v>
      </c>
      <c r="E1708" s="413" t="s">
        <v>465</v>
      </c>
      <c r="F1708" s="413" t="s">
        <v>711</v>
      </c>
      <c r="G1708" s="413" t="s">
        <v>767</v>
      </c>
      <c r="H1708" s="415">
        <v>800.0</v>
      </c>
      <c r="I1708" s="416" t="b">
        <v>0</v>
      </c>
      <c r="J1708" s="413" t="s">
        <v>2402</v>
      </c>
      <c r="K1708" s="415">
        <v>110.34482758620686</v>
      </c>
      <c r="L1708" s="415">
        <v>689.6551724137931</v>
      </c>
      <c r="M1708" s="413" t="s">
        <v>2276</v>
      </c>
      <c r="N1708" s="413" t="s">
        <v>2516</v>
      </c>
    </row>
    <row r="1709">
      <c r="A1709" s="409">
        <v>46084.0</v>
      </c>
      <c r="B1709" s="102">
        <v>2026.0</v>
      </c>
      <c r="C1709" s="410" t="s">
        <v>2504</v>
      </c>
      <c r="D1709" s="102" t="s">
        <v>702</v>
      </c>
      <c r="E1709" s="102" t="s">
        <v>465</v>
      </c>
      <c r="F1709" s="102" t="s">
        <v>711</v>
      </c>
      <c r="G1709" s="102" t="s">
        <v>767</v>
      </c>
      <c r="H1709" s="360">
        <v>800.0</v>
      </c>
      <c r="I1709" s="411" t="b">
        <v>0</v>
      </c>
      <c r="J1709" s="102" t="s">
        <v>2088</v>
      </c>
      <c r="K1709" s="360">
        <v>110.34482758620686</v>
      </c>
      <c r="L1709" s="360">
        <v>689.6551724137931</v>
      </c>
      <c r="M1709" s="102" t="s">
        <v>2276</v>
      </c>
      <c r="N1709" s="102" t="s">
        <v>2517</v>
      </c>
    </row>
    <row r="1710">
      <c r="A1710" s="412">
        <v>46084.0</v>
      </c>
      <c r="B1710" s="413">
        <v>2026.0</v>
      </c>
      <c r="C1710" s="414" t="s">
        <v>2504</v>
      </c>
      <c r="D1710" s="413" t="s">
        <v>723</v>
      </c>
      <c r="E1710" s="413" t="s">
        <v>137</v>
      </c>
      <c r="F1710" s="413" t="s">
        <v>711</v>
      </c>
      <c r="G1710" s="413" t="s">
        <v>767</v>
      </c>
      <c r="H1710" s="415">
        <v>950.0</v>
      </c>
      <c r="I1710" s="416" t="b">
        <v>0</v>
      </c>
      <c r="J1710" s="413" t="s">
        <v>1297</v>
      </c>
      <c r="K1710" s="415">
        <v>0.0</v>
      </c>
      <c r="L1710" s="415">
        <v>950.0</v>
      </c>
      <c r="M1710" s="413" t="s">
        <v>2276</v>
      </c>
      <c r="N1710" s="413" t="s">
        <v>2518</v>
      </c>
    </row>
    <row r="1711">
      <c r="A1711" s="409">
        <v>46084.0</v>
      </c>
      <c r="B1711" s="102">
        <v>2026.0</v>
      </c>
      <c r="C1711" s="410" t="s">
        <v>2504</v>
      </c>
      <c r="D1711" s="102" t="s">
        <v>723</v>
      </c>
      <c r="E1711" s="102" t="s">
        <v>137</v>
      </c>
      <c r="F1711" s="102" t="s">
        <v>711</v>
      </c>
      <c r="G1711" s="102" t="s">
        <v>767</v>
      </c>
      <c r="H1711" s="360">
        <v>800.0</v>
      </c>
      <c r="I1711" s="411" t="b">
        <v>0</v>
      </c>
      <c r="J1711" s="102" t="s">
        <v>1957</v>
      </c>
      <c r="K1711" s="360">
        <v>0.0</v>
      </c>
      <c r="L1711" s="360">
        <v>800.0</v>
      </c>
      <c r="M1711" s="102" t="s">
        <v>2276</v>
      </c>
      <c r="N1711" s="102" t="s">
        <v>2519</v>
      </c>
    </row>
    <row r="1712">
      <c r="A1712" s="412">
        <v>46084.0</v>
      </c>
      <c r="B1712" s="413">
        <v>2026.0</v>
      </c>
      <c r="C1712" s="414" t="s">
        <v>2504</v>
      </c>
      <c r="D1712" s="413" t="s">
        <v>702</v>
      </c>
      <c r="E1712" s="413" t="s">
        <v>465</v>
      </c>
      <c r="F1712" s="413" t="s">
        <v>711</v>
      </c>
      <c r="G1712" s="413" t="s">
        <v>767</v>
      </c>
      <c r="H1712" s="415">
        <v>637.0</v>
      </c>
      <c r="I1712" s="416" t="b">
        <v>0</v>
      </c>
      <c r="J1712" s="413" t="s">
        <v>2520</v>
      </c>
      <c r="K1712" s="415">
        <v>87.86206896551721</v>
      </c>
      <c r="L1712" s="415">
        <v>549.1379310344828</v>
      </c>
      <c r="M1712" s="413" t="s">
        <v>2276</v>
      </c>
      <c r="N1712" s="413" t="s">
        <v>2521</v>
      </c>
    </row>
    <row r="1713">
      <c r="A1713" s="409">
        <v>46084.0</v>
      </c>
      <c r="B1713" s="102">
        <v>2026.0</v>
      </c>
      <c r="C1713" s="410" t="s">
        <v>2504</v>
      </c>
      <c r="D1713" s="102" t="s">
        <v>702</v>
      </c>
      <c r="E1713" s="102" t="s">
        <v>465</v>
      </c>
      <c r="F1713" s="102" t="s">
        <v>711</v>
      </c>
      <c r="G1713" s="102" t="s">
        <v>767</v>
      </c>
      <c r="H1713" s="360">
        <v>550.0</v>
      </c>
      <c r="I1713" s="411" t="b">
        <v>0</v>
      </c>
      <c r="J1713" s="102" t="s">
        <v>1466</v>
      </c>
      <c r="K1713" s="360">
        <v>75.86206896551721</v>
      </c>
      <c r="L1713" s="360">
        <v>474.1379310344828</v>
      </c>
      <c r="M1713" s="102" t="s">
        <v>2276</v>
      </c>
      <c r="N1713" s="102" t="s">
        <v>2522</v>
      </c>
    </row>
    <row r="1714">
      <c r="A1714" s="412">
        <v>46084.0</v>
      </c>
      <c r="B1714" s="413">
        <v>2026.0</v>
      </c>
      <c r="C1714" s="414" t="s">
        <v>2504</v>
      </c>
      <c r="D1714" s="413" t="s">
        <v>702</v>
      </c>
      <c r="E1714" s="413" t="s">
        <v>465</v>
      </c>
      <c r="F1714" s="413" t="s">
        <v>711</v>
      </c>
      <c r="G1714" s="413" t="s">
        <v>767</v>
      </c>
      <c r="H1714" s="415">
        <v>950.0</v>
      </c>
      <c r="I1714" s="416" t="b">
        <v>0</v>
      </c>
      <c r="J1714" s="413" t="s">
        <v>1967</v>
      </c>
      <c r="K1714" s="415">
        <v>131.03448275862058</v>
      </c>
      <c r="L1714" s="415">
        <v>818.9655172413794</v>
      </c>
      <c r="M1714" s="413" t="s">
        <v>2276</v>
      </c>
      <c r="N1714" s="413" t="s">
        <v>2523</v>
      </c>
    </row>
    <row r="1715">
      <c r="A1715" s="409">
        <v>46084.0</v>
      </c>
      <c r="B1715" s="102">
        <v>2026.0</v>
      </c>
      <c r="C1715" s="410" t="s">
        <v>2504</v>
      </c>
      <c r="D1715" s="102" t="s">
        <v>702</v>
      </c>
      <c r="E1715" s="102" t="s">
        <v>465</v>
      </c>
      <c r="F1715" s="102" t="s">
        <v>711</v>
      </c>
      <c r="G1715" s="102" t="s">
        <v>767</v>
      </c>
      <c r="H1715" s="360">
        <v>950.0</v>
      </c>
      <c r="I1715" s="411" t="b">
        <v>0</v>
      </c>
      <c r="J1715" s="102" t="s">
        <v>1415</v>
      </c>
      <c r="K1715" s="360">
        <v>131.03448275862058</v>
      </c>
      <c r="L1715" s="360">
        <v>818.9655172413794</v>
      </c>
      <c r="M1715" s="102" t="s">
        <v>2276</v>
      </c>
      <c r="N1715" s="102" t="s">
        <v>2524</v>
      </c>
    </row>
    <row r="1716">
      <c r="A1716" s="412">
        <v>46085.0</v>
      </c>
      <c r="B1716" s="413">
        <v>2026.0</v>
      </c>
      <c r="C1716" s="414" t="s">
        <v>2504</v>
      </c>
      <c r="D1716" s="413" t="s">
        <v>702</v>
      </c>
      <c r="E1716" s="413" t="s">
        <v>465</v>
      </c>
      <c r="F1716" s="413" t="s">
        <v>711</v>
      </c>
      <c r="G1716" s="413" t="s">
        <v>767</v>
      </c>
      <c r="H1716" s="415">
        <v>800.0</v>
      </c>
      <c r="I1716" s="416" t="b">
        <v>0</v>
      </c>
      <c r="J1716" s="413" t="s">
        <v>1466</v>
      </c>
      <c r="K1716" s="415">
        <v>110.34482758620686</v>
      </c>
      <c r="L1716" s="415">
        <v>689.6551724137931</v>
      </c>
      <c r="M1716" s="413" t="s">
        <v>2276</v>
      </c>
      <c r="N1716" s="413" t="s">
        <v>2525</v>
      </c>
    </row>
    <row r="1717">
      <c r="A1717" s="409">
        <v>46085.0</v>
      </c>
      <c r="B1717" s="102">
        <v>2026.0</v>
      </c>
      <c r="C1717" s="410" t="s">
        <v>2504</v>
      </c>
      <c r="D1717" s="102" t="s">
        <v>702</v>
      </c>
      <c r="E1717" s="102" t="s">
        <v>465</v>
      </c>
      <c r="F1717" s="102" t="s">
        <v>711</v>
      </c>
      <c r="G1717" s="102" t="s">
        <v>767</v>
      </c>
      <c r="H1717" s="360">
        <v>800.0</v>
      </c>
      <c r="I1717" s="411" t="b">
        <v>0</v>
      </c>
      <c r="J1717" s="102" t="s">
        <v>432</v>
      </c>
      <c r="K1717" s="360">
        <v>110.34482758620686</v>
      </c>
      <c r="L1717" s="360">
        <v>689.6551724137931</v>
      </c>
      <c r="M1717" s="102" t="s">
        <v>2276</v>
      </c>
      <c r="N1717" s="102" t="s">
        <v>2526</v>
      </c>
    </row>
    <row r="1718">
      <c r="A1718" s="412">
        <v>46085.0</v>
      </c>
      <c r="B1718" s="413">
        <v>2026.0</v>
      </c>
      <c r="C1718" s="414" t="s">
        <v>2504</v>
      </c>
      <c r="D1718" s="413" t="s">
        <v>702</v>
      </c>
      <c r="E1718" s="413" t="s">
        <v>465</v>
      </c>
      <c r="F1718" s="413" t="s">
        <v>711</v>
      </c>
      <c r="G1718" s="413" t="s">
        <v>767</v>
      </c>
      <c r="H1718" s="415">
        <v>800.0</v>
      </c>
      <c r="I1718" s="416" t="b">
        <v>0</v>
      </c>
      <c r="J1718" s="413" t="s">
        <v>1950</v>
      </c>
      <c r="K1718" s="415">
        <v>110.34482758620686</v>
      </c>
      <c r="L1718" s="415">
        <v>689.6551724137931</v>
      </c>
      <c r="M1718" s="413" t="s">
        <v>2276</v>
      </c>
      <c r="N1718" s="413" t="s">
        <v>2527</v>
      </c>
    </row>
    <row r="1719">
      <c r="A1719" s="409">
        <v>46087.0</v>
      </c>
      <c r="B1719" s="102">
        <v>2026.0</v>
      </c>
      <c r="C1719" s="410" t="s">
        <v>2504</v>
      </c>
      <c r="D1719" s="102" t="s">
        <v>723</v>
      </c>
      <c r="E1719" s="102" t="s">
        <v>137</v>
      </c>
      <c r="F1719" s="102" t="s">
        <v>711</v>
      </c>
      <c r="G1719" s="102" t="s">
        <v>767</v>
      </c>
      <c r="H1719" s="360">
        <v>780.0</v>
      </c>
      <c r="I1719" s="411" t="b">
        <v>0</v>
      </c>
      <c r="J1719" s="102" t="s">
        <v>1985</v>
      </c>
      <c r="K1719" s="360">
        <v>0.0</v>
      </c>
      <c r="L1719" s="360">
        <v>780.0</v>
      </c>
      <c r="M1719" s="102" t="s">
        <v>2276</v>
      </c>
      <c r="N1719" s="102" t="s">
        <v>2528</v>
      </c>
    </row>
    <row r="1720">
      <c r="A1720" s="412">
        <v>46087.0</v>
      </c>
      <c r="B1720" s="413">
        <v>2026.0</v>
      </c>
      <c r="C1720" s="414" t="s">
        <v>2504</v>
      </c>
      <c r="D1720" s="413" t="s">
        <v>702</v>
      </c>
      <c r="E1720" s="413" t="s">
        <v>465</v>
      </c>
      <c r="F1720" s="413" t="s">
        <v>711</v>
      </c>
      <c r="G1720" s="413" t="s">
        <v>767</v>
      </c>
      <c r="H1720" s="415">
        <v>800.0</v>
      </c>
      <c r="I1720" s="416" t="b">
        <v>0</v>
      </c>
      <c r="J1720" s="413" t="s">
        <v>1655</v>
      </c>
      <c r="K1720" s="415">
        <v>110.34482758620686</v>
      </c>
      <c r="L1720" s="415">
        <v>689.6551724137931</v>
      </c>
      <c r="M1720" s="413" t="s">
        <v>2276</v>
      </c>
      <c r="N1720" s="413" t="s">
        <v>2529</v>
      </c>
    </row>
    <row r="1721">
      <c r="A1721" s="409">
        <v>46087.0</v>
      </c>
      <c r="B1721" s="102">
        <v>2026.0</v>
      </c>
      <c r="C1721" s="410" t="s">
        <v>2504</v>
      </c>
      <c r="D1721" s="102" t="s">
        <v>702</v>
      </c>
      <c r="E1721" s="102" t="s">
        <v>465</v>
      </c>
      <c r="F1721" s="102" t="s">
        <v>711</v>
      </c>
      <c r="G1721" s="102" t="s">
        <v>767</v>
      </c>
      <c r="H1721" s="360">
        <v>1247.0</v>
      </c>
      <c r="I1721" s="411" t="b">
        <v>0</v>
      </c>
      <c r="J1721" s="102" t="s">
        <v>1248</v>
      </c>
      <c r="K1721" s="360">
        <v>172.0</v>
      </c>
      <c r="L1721" s="360">
        <v>1075.0</v>
      </c>
      <c r="M1721" s="102" t="s">
        <v>2276</v>
      </c>
      <c r="N1721" s="102" t="s">
        <v>2530</v>
      </c>
    </row>
    <row r="1722">
      <c r="A1722" s="412">
        <v>46087.0</v>
      </c>
      <c r="B1722" s="413">
        <v>2026.0</v>
      </c>
      <c r="C1722" s="414" t="s">
        <v>2504</v>
      </c>
      <c r="D1722" s="413" t="s">
        <v>702</v>
      </c>
      <c r="E1722" s="413" t="s">
        <v>465</v>
      </c>
      <c r="F1722" s="413" t="s">
        <v>711</v>
      </c>
      <c r="G1722" s="413" t="s">
        <v>767</v>
      </c>
      <c r="H1722" s="415">
        <v>800.0</v>
      </c>
      <c r="I1722" s="416" t="b">
        <v>0</v>
      </c>
      <c r="J1722" s="413" t="s">
        <v>1237</v>
      </c>
      <c r="K1722" s="415">
        <v>110.34482758620686</v>
      </c>
      <c r="L1722" s="415">
        <v>689.6551724137931</v>
      </c>
      <c r="M1722" s="413" t="s">
        <v>2276</v>
      </c>
      <c r="N1722" s="413" t="s">
        <v>2531</v>
      </c>
    </row>
    <row r="1723">
      <c r="A1723" s="409">
        <v>46087.0</v>
      </c>
      <c r="B1723" s="102">
        <v>2026.0</v>
      </c>
      <c r="C1723" s="410" t="s">
        <v>2504</v>
      </c>
      <c r="D1723" s="102" t="s">
        <v>702</v>
      </c>
      <c r="E1723" s="102" t="s">
        <v>465</v>
      </c>
      <c r="F1723" s="102" t="s">
        <v>711</v>
      </c>
      <c r="G1723" s="102" t="s">
        <v>767</v>
      </c>
      <c r="H1723" s="360">
        <v>1103.0</v>
      </c>
      <c r="I1723" s="411" t="b">
        <v>0</v>
      </c>
      <c r="J1723" s="102" t="s">
        <v>1820</v>
      </c>
      <c r="K1723" s="360">
        <v>152.13793103448268</v>
      </c>
      <c r="L1723" s="360">
        <v>950.8620689655173</v>
      </c>
      <c r="M1723" s="102" t="s">
        <v>2276</v>
      </c>
      <c r="N1723" s="102" t="s">
        <v>2532</v>
      </c>
    </row>
    <row r="1724">
      <c r="A1724" s="412">
        <v>46087.0</v>
      </c>
      <c r="B1724" s="413">
        <v>2026.0</v>
      </c>
      <c r="C1724" s="414" t="s">
        <v>2504</v>
      </c>
      <c r="D1724" s="413" t="s">
        <v>702</v>
      </c>
      <c r="E1724" s="413" t="s">
        <v>465</v>
      </c>
      <c r="F1724" s="413" t="s">
        <v>711</v>
      </c>
      <c r="G1724" s="413" t="s">
        <v>767</v>
      </c>
      <c r="H1724" s="415">
        <v>950.0</v>
      </c>
      <c r="I1724" s="416" t="b">
        <v>0</v>
      </c>
      <c r="J1724" s="413" t="s">
        <v>1881</v>
      </c>
      <c r="K1724" s="415">
        <v>131.03448275862058</v>
      </c>
      <c r="L1724" s="415">
        <v>818.9655172413794</v>
      </c>
      <c r="M1724" s="413" t="s">
        <v>2276</v>
      </c>
      <c r="N1724" s="413" t="s">
        <v>2533</v>
      </c>
    </row>
    <row r="1725">
      <c r="A1725" s="409">
        <v>46087.0</v>
      </c>
      <c r="B1725" s="102">
        <v>2026.0</v>
      </c>
      <c r="C1725" s="410" t="s">
        <v>2504</v>
      </c>
      <c r="D1725" s="102" t="s">
        <v>702</v>
      </c>
      <c r="E1725" s="102" t="s">
        <v>465</v>
      </c>
      <c r="F1725" s="102" t="s">
        <v>711</v>
      </c>
      <c r="G1725" s="102" t="s">
        <v>767</v>
      </c>
      <c r="H1725" s="360">
        <v>1150.0</v>
      </c>
      <c r="I1725" s="411" t="b">
        <v>0</v>
      </c>
      <c r="J1725" s="102" t="s">
        <v>1197</v>
      </c>
      <c r="K1725" s="360">
        <v>158.62068965517233</v>
      </c>
      <c r="L1725" s="360">
        <v>991.3793103448277</v>
      </c>
      <c r="M1725" s="102" t="s">
        <v>2276</v>
      </c>
      <c r="N1725" s="102" t="s">
        <v>2534</v>
      </c>
    </row>
    <row r="1726">
      <c r="A1726" s="412">
        <v>46087.0</v>
      </c>
      <c r="B1726" s="413">
        <v>2026.0</v>
      </c>
      <c r="C1726" s="414" t="s">
        <v>2504</v>
      </c>
      <c r="D1726" s="413" t="s">
        <v>723</v>
      </c>
      <c r="E1726" s="413" t="s">
        <v>137</v>
      </c>
      <c r="F1726" s="413" t="s">
        <v>711</v>
      </c>
      <c r="G1726" s="413" t="s">
        <v>767</v>
      </c>
      <c r="H1726" s="415">
        <v>1150.0</v>
      </c>
      <c r="I1726" s="416" t="b">
        <v>0</v>
      </c>
      <c r="J1726" s="413" t="s">
        <v>1146</v>
      </c>
      <c r="K1726" s="415">
        <v>0.0</v>
      </c>
      <c r="L1726" s="415">
        <v>1150.0</v>
      </c>
      <c r="M1726" s="413" t="s">
        <v>2276</v>
      </c>
      <c r="N1726" s="413" t="s">
        <v>2535</v>
      </c>
    </row>
    <row r="1727">
      <c r="A1727" s="409">
        <v>46087.0</v>
      </c>
      <c r="B1727" s="102">
        <v>2026.0</v>
      </c>
      <c r="C1727" s="410" t="s">
        <v>2504</v>
      </c>
      <c r="D1727" s="102" t="s">
        <v>723</v>
      </c>
      <c r="E1727" s="102" t="s">
        <v>137</v>
      </c>
      <c r="F1727" s="102" t="s">
        <v>711</v>
      </c>
      <c r="G1727" s="102" t="s">
        <v>767</v>
      </c>
      <c r="H1727" s="360">
        <v>800.0</v>
      </c>
      <c r="I1727" s="411" t="b">
        <v>0</v>
      </c>
      <c r="J1727" s="102" t="s">
        <v>1148</v>
      </c>
      <c r="K1727" s="360">
        <v>0.0</v>
      </c>
      <c r="L1727" s="360">
        <v>800.0</v>
      </c>
      <c r="M1727" s="102" t="s">
        <v>2276</v>
      </c>
      <c r="N1727" s="102" t="s">
        <v>2536</v>
      </c>
    </row>
    <row r="1728">
      <c r="A1728" s="412">
        <v>46087.0</v>
      </c>
      <c r="B1728" s="413">
        <v>2026.0</v>
      </c>
      <c r="C1728" s="414" t="s">
        <v>2504</v>
      </c>
      <c r="D1728" s="413" t="s">
        <v>702</v>
      </c>
      <c r="E1728" s="413" t="s">
        <v>465</v>
      </c>
      <c r="F1728" s="413" t="s">
        <v>703</v>
      </c>
      <c r="G1728" s="413" t="s">
        <v>2382</v>
      </c>
      <c r="H1728" s="415">
        <v>200.0</v>
      </c>
      <c r="I1728" s="416" t="b">
        <v>0</v>
      </c>
      <c r="J1728" s="413" t="s">
        <v>1547</v>
      </c>
      <c r="K1728" s="415">
        <v>0.0</v>
      </c>
      <c r="L1728" s="415">
        <v>200.0</v>
      </c>
      <c r="M1728" s="413" t="s">
        <v>2276</v>
      </c>
      <c r="N1728" s="413" t="s">
        <v>2537</v>
      </c>
    </row>
    <row r="1729">
      <c r="A1729" s="409">
        <v>46087.0</v>
      </c>
      <c r="B1729" s="102">
        <v>2026.0</v>
      </c>
      <c r="C1729" s="410" t="s">
        <v>2504</v>
      </c>
      <c r="D1729" s="102" t="s">
        <v>702</v>
      </c>
      <c r="E1729" s="102" t="s">
        <v>465</v>
      </c>
      <c r="F1729" s="102" t="s">
        <v>703</v>
      </c>
      <c r="G1729" s="102" t="s">
        <v>732</v>
      </c>
      <c r="H1729" s="360">
        <v>1638.0</v>
      </c>
      <c r="I1729" s="411" t="b">
        <v>0</v>
      </c>
      <c r="J1729" s="102" t="s">
        <v>2538</v>
      </c>
      <c r="K1729" s="360">
        <v>0.0</v>
      </c>
      <c r="L1729" s="360">
        <v>1638.0</v>
      </c>
      <c r="M1729" s="102" t="s">
        <v>2276</v>
      </c>
      <c r="N1729" s="102" t="s">
        <v>2539</v>
      </c>
    </row>
    <row r="1730">
      <c r="A1730" s="412">
        <v>46087.0</v>
      </c>
      <c r="B1730" s="413">
        <v>2026.0</v>
      </c>
      <c r="C1730" s="414" t="s">
        <v>2504</v>
      </c>
      <c r="D1730" s="413" t="s">
        <v>702</v>
      </c>
      <c r="E1730" s="413" t="s">
        <v>465</v>
      </c>
      <c r="F1730" s="413" t="s">
        <v>711</v>
      </c>
      <c r="G1730" s="413" t="s">
        <v>730</v>
      </c>
      <c r="H1730" s="415">
        <v>86.0</v>
      </c>
      <c r="I1730" s="416" t="b">
        <v>0</v>
      </c>
      <c r="J1730" s="413" t="s">
        <v>472</v>
      </c>
      <c r="K1730" s="415">
        <v>11.862068965517238</v>
      </c>
      <c r="L1730" s="415">
        <v>74.13793103448276</v>
      </c>
      <c r="M1730" s="413" t="s">
        <v>2276</v>
      </c>
      <c r="N1730" s="413" t="s">
        <v>2540</v>
      </c>
    </row>
    <row r="1731">
      <c r="A1731" s="409">
        <v>46087.0</v>
      </c>
      <c r="B1731" s="102">
        <v>2026.0</v>
      </c>
      <c r="C1731" s="410" t="s">
        <v>2504</v>
      </c>
      <c r="D1731" s="102" t="s">
        <v>723</v>
      </c>
      <c r="E1731" s="102" t="s">
        <v>137</v>
      </c>
      <c r="F1731" s="102" t="s">
        <v>711</v>
      </c>
      <c r="G1731" s="102" t="s">
        <v>734</v>
      </c>
      <c r="H1731" s="360">
        <v>140.0</v>
      </c>
      <c r="I1731" s="411" t="b">
        <v>0</v>
      </c>
      <c r="J1731" s="102" t="s">
        <v>2541</v>
      </c>
      <c r="K1731" s="360">
        <v>0.0</v>
      </c>
      <c r="L1731" s="360">
        <v>140.0</v>
      </c>
      <c r="M1731" s="102" t="s">
        <v>2276</v>
      </c>
      <c r="N1731" s="102" t="s">
        <v>2542</v>
      </c>
    </row>
    <row r="1732">
      <c r="A1732" s="412">
        <v>46087.0</v>
      </c>
      <c r="B1732" s="413">
        <v>2026.0</v>
      </c>
      <c r="C1732" s="414" t="s">
        <v>2504</v>
      </c>
      <c r="D1732" s="413" t="s">
        <v>710</v>
      </c>
      <c r="E1732" s="413" t="s">
        <v>137</v>
      </c>
      <c r="F1732" s="413" t="s">
        <v>711</v>
      </c>
      <c r="G1732" s="413" t="s">
        <v>724</v>
      </c>
      <c r="H1732" s="415">
        <v>5990.0</v>
      </c>
      <c r="I1732" s="416" t="b">
        <v>1</v>
      </c>
      <c r="J1732" s="413" t="s">
        <v>472</v>
      </c>
      <c r="K1732" s="415">
        <v>0.0</v>
      </c>
      <c r="L1732" s="415">
        <v>0.0</v>
      </c>
      <c r="M1732" s="413" t="s">
        <v>2276</v>
      </c>
      <c r="N1732" s="413" t="s">
        <v>2543</v>
      </c>
    </row>
    <row r="1733">
      <c r="A1733" s="409">
        <v>46087.0</v>
      </c>
      <c r="B1733" s="102">
        <v>2026.0</v>
      </c>
      <c r="C1733" s="410" t="s">
        <v>2504</v>
      </c>
      <c r="D1733" s="102" t="s">
        <v>723</v>
      </c>
      <c r="E1733" s="102" t="s">
        <v>137</v>
      </c>
      <c r="F1733" s="102" t="s">
        <v>703</v>
      </c>
      <c r="G1733" s="102" t="s">
        <v>724</v>
      </c>
      <c r="H1733" s="360">
        <v>5990.0</v>
      </c>
      <c r="I1733" s="411" t="b">
        <v>1</v>
      </c>
      <c r="J1733" s="102" t="s">
        <v>472</v>
      </c>
      <c r="K1733" s="360">
        <v>0.0</v>
      </c>
      <c r="L1733" s="360">
        <v>0.0</v>
      </c>
      <c r="M1733" s="102" t="s">
        <v>2276</v>
      </c>
      <c r="N1733" s="102" t="s">
        <v>2543</v>
      </c>
    </row>
    <row r="1734">
      <c r="A1734" s="412">
        <v>46087.0</v>
      </c>
      <c r="B1734" s="413">
        <v>2026.0</v>
      </c>
      <c r="C1734" s="414" t="s">
        <v>2504</v>
      </c>
      <c r="D1734" s="413" t="s">
        <v>710</v>
      </c>
      <c r="E1734" s="413" t="s">
        <v>137</v>
      </c>
      <c r="F1734" s="413" t="s">
        <v>703</v>
      </c>
      <c r="G1734" s="413" t="s">
        <v>732</v>
      </c>
      <c r="H1734" s="415">
        <v>254.0</v>
      </c>
      <c r="I1734" s="416" t="b">
        <v>0</v>
      </c>
      <c r="J1734" s="413" t="s">
        <v>472</v>
      </c>
      <c r="K1734" s="415">
        <v>0.0</v>
      </c>
      <c r="L1734" s="415">
        <v>254.0</v>
      </c>
      <c r="M1734" s="413" t="s">
        <v>2276</v>
      </c>
      <c r="N1734" s="413" t="s">
        <v>2544</v>
      </c>
    </row>
    <row r="1735">
      <c r="A1735" s="409">
        <v>46089.0</v>
      </c>
      <c r="B1735" s="102">
        <v>2026.0</v>
      </c>
      <c r="C1735" s="410" t="s">
        <v>2504</v>
      </c>
      <c r="D1735" s="102" t="s">
        <v>723</v>
      </c>
      <c r="E1735" s="102" t="s">
        <v>137</v>
      </c>
      <c r="F1735" s="102" t="s">
        <v>711</v>
      </c>
      <c r="G1735" s="102" t="s">
        <v>740</v>
      </c>
      <c r="H1735" s="360">
        <v>50.0</v>
      </c>
      <c r="I1735" s="411" t="b">
        <v>0</v>
      </c>
      <c r="J1735" s="102" t="s">
        <v>472</v>
      </c>
      <c r="K1735" s="360">
        <v>0.0</v>
      </c>
      <c r="L1735" s="360">
        <v>50.0</v>
      </c>
      <c r="M1735" s="102" t="s">
        <v>2276</v>
      </c>
      <c r="N1735" s="102" t="s">
        <v>2545</v>
      </c>
    </row>
    <row r="1736">
      <c r="A1736" s="412">
        <v>46089.0</v>
      </c>
      <c r="B1736" s="413">
        <v>2026.0</v>
      </c>
      <c r="C1736" s="414" t="s">
        <v>2504</v>
      </c>
      <c r="D1736" s="413" t="s">
        <v>723</v>
      </c>
      <c r="E1736" s="413" t="s">
        <v>137</v>
      </c>
      <c r="F1736" s="413" t="s">
        <v>711</v>
      </c>
      <c r="G1736" s="413" t="s">
        <v>740</v>
      </c>
      <c r="H1736" s="415">
        <v>35.0</v>
      </c>
      <c r="I1736" s="416" t="b">
        <v>0</v>
      </c>
      <c r="J1736" s="413" t="s">
        <v>472</v>
      </c>
      <c r="K1736" s="415">
        <v>0.0</v>
      </c>
      <c r="L1736" s="415">
        <v>35.0</v>
      </c>
      <c r="M1736" s="413" t="s">
        <v>2276</v>
      </c>
      <c r="N1736" s="413" t="s">
        <v>2546</v>
      </c>
    </row>
    <row r="1737">
      <c r="A1737" s="409">
        <v>46089.0</v>
      </c>
      <c r="B1737" s="102">
        <v>2026.0</v>
      </c>
      <c r="C1737" s="410" t="s">
        <v>2504</v>
      </c>
      <c r="D1737" s="102" t="s">
        <v>723</v>
      </c>
      <c r="E1737" s="102" t="s">
        <v>137</v>
      </c>
      <c r="F1737" s="102" t="s">
        <v>711</v>
      </c>
      <c r="G1737" s="102" t="s">
        <v>767</v>
      </c>
      <c r="H1737" s="360">
        <v>700.0</v>
      </c>
      <c r="I1737" s="411" t="b">
        <v>0</v>
      </c>
      <c r="J1737" s="102" t="s">
        <v>2547</v>
      </c>
      <c r="K1737" s="360">
        <v>0.0</v>
      </c>
      <c r="L1737" s="360">
        <v>700.0</v>
      </c>
      <c r="M1737" s="102" t="s">
        <v>2276</v>
      </c>
      <c r="N1737" s="102" t="s">
        <v>2548</v>
      </c>
    </row>
    <row r="1738">
      <c r="A1738" s="412">
        <v>46089.0</v>
      </c>
      <c r="B1738" s="413">
        <v>2026.0</v>
      </c>
      <c r="C1738" s="414" t="s">
        <v>2504</v>
      </c>
      <c r="D1738" s="413" t="s">
        <v>723</v>
      </c>
      <c r="E1738" s="413" t="s">
        <v>137</v>
      </c>
      <c r="F1738" s="413" t="s">
        <v>711</v>
      </c>
      <c r="G1738" s="413" t="s">
        <v>740</v>
      </c>
      <c r="H1738" s="415">
        <v>69.0</v>
      </c>
      <c r="I1738" s="416" t="b">
        <v>0</v>
      </c>
      <c r="J1738" s="413" t="s">
        <v>472</v>
      </c>
      <c r="K1738" s="415">
        <v>0.0</v>
      </c>
      <c r="L1738" s="415">
        <v>69.0</v>
      </c>
      <c r="M1738" s="413" t="s">
        <v>2276</v>
      </c>
      <c r="N1738" s="413" t="s">
        <v>2549</v>
      </c>
    </row>
    <row r="1739">
      <c r="A1739" s="409">
        <v>46089.0</v>
      </c>
      <c r="B1739" s="102">
        <v>2026.0</v>
      </c>
      <c r="C1739" s="410" t="s">
        <v>2504</v>
      </c>
      <c r="D1739" s="102" t="s">
        <v>723</v>
      </c>
      <c r="E1739" s="102" t="s">
        <v>137</v>
      </c>
      <c r="F1739" s="102" t="s">
        <v>703</v>
      </c>
      <c r="G1739" s="102" t="s">
        <v>724</v>
      </c>
      <c r="H1739" s="360">
        <v>3689.0</v>
      </c>
      <c r="I1739" s="411" t="b">
        <v>1</v>
      </c>
      <c r="J1739" s="102" t="s">
        <v>472</v>
      </c>
      <c r="K1739" s="360">
        <v>0.0</v>
      </c>
      <c r="L1739" s="360">
        <v>0.0</v>
      </c>
      <c r="M1739" s="102" t="s">
        <v>2276</v>
      </c>
      <c r="N1739" s="102" t="s">
        <v>2550</v>
      </c>
    </row>
    <row r="1740">
      <c r="A1740" s="412">
        <v>46089.0</v>
      </c>
      <c r="B1740" s="413">
        <v>2026.0</v>
      </c>
      <c r="C1740" s="414" t="s">
        <v>2504</v>
      </c>
      <c r="D1740" s="413" t="s">
        <v>710</v>
      </c>
      <c r="E1740" s="413" t="s">
        <v>137</v>
      </c>
      <c r="F1740" s="413" t="s">
        <v>711</v>
      </c>
      <c r="G1740" s="413" t="s">
        <v>724</v>
      </c>
      <c r="H1740" s="415">
        <v>3689.0</v>
      </c>
      <c r="I1740" s="416" t="b">
        <v>1</v>
      </c>
      <c r="J1740" s="413" t="s">
        <v>472</v>
      </c>
      <c r="K1740" s="415">
        <v>0.0</v>
      </c>
      <c r="L1740" s="415">
        <v>0.0</v>
      </c>
      <c r="M1740" s="413" t="s">
        <v>2276</v>
      </c>
      <c r="N1740" s="413" t="s">
        <v>2550</v>
      </c>
    </row>
    <row r="1741">
      <c r="A1741" s="409">
        <v>46089.0</v>
      </c>
      <c r="B1741" s="102">
        <v>2026.0</v>
      </c>
      <c r="C1741" s="410" t="s">
        <v>2504</v>
      </c>
      <c r="D1741" s="102" t="s">
        <v>710</v>
      </c>
      <c r="E1741" s="102" t="s">
        <v>137</v>
      </c>
      <c r="F1741" s="102" t="s">
        <v>703</v>
      </c>
      <c r="G1741" s="102" t="s">
        <v>906</v>
      </c>
      <c r="H1741" s="360">
        <v>4000.0</v>
      </c>
      <c r="I1741" s="411" t="b">
        <v>0</v>
      </c>
      <c r="J1741" s="102" t="s">
        <v>472</v>
      </c>
      <c r="K1741" s="360">
        <v>0.0</v>
      </c>
      <c r="L1741" s="360">
        <v>4000.0</v>
      </c>
      <c r="M1741" s="102" t="s">
        <v>2276</v>
      </c>
      <c r="N1741" s="102" t="s">
        <v>2551</v>
      </c>
    </row>
    <row r="1742">
      <c r="A1742" s="412">
        <v>46092.0</v>
      </c>
      <c r="B1742" s="413">
        <v>2026.0</v>
      </c>
      <c r="C1742" s="414" t="s">
        <v>2504</v>
      </c>
      <c r="D1742" s="413" t="s">
        <v>702</v>
      </c>
      <c r="E1742" s="413" t="s">
        <v>465</v>
      </c>
      <c r="F1742" s="413" t="s">
        <v>711</v>
      </c>
      <c r="G1742" s="413" t="s">
        <v>724</v>
      </c>
      <c r="H1742" s="415">
        <v>50.0</v>
      </c>
      <c r="I1742" s="416" t="b">
        <v>1</v>
      </c>
      <c r="J1742" s="413" t="s">
        <v>472</v>
      </c>
      <c r="K1742" s="415">
        <v>0.0</v>
      </c>
      <c r="L1742" s="415">
        <v>0.0</v>
      </c>
      <c r="M1742" s="413" t="s">
        <v>2276</v>
      </c>
      <c r="N1742" s="413" t="s">
        <v>2552</v>
      </c>
    </row>
    <row r="1743">
      <c r="A1743" s="409">
        <v>46092.0</v>
      </c>
      <c r="B1743" s="102">
        <v>2026.0</v>
      </c>
      <c r="C1743" s="410" t="s">
        <v>2504</v>
      </c>
      <c r="D1743" s="102" t="s">
        <v>723</v>
      </c>
      <c r="E1743" s="102" t="s">
        <v>137</v>
      </c>
      <c r="F1743" s="102" t="s">
        <v>703</v>
      </c>
      <c r="G1743" s="102" t="s">
        <v>724</v>
      </c>
      <c r="H1743" s="360">
        <v>50.0</v>
      </c>
      <c r="I1743" s="411" t="b">
        <v>1</v>
      </c>
      <c r="J1743" s="102" t="s">
        <v>472</v>
      </c>
      <c r="K1743" s="360">
        <v>0.0</v>
      </c>
      <c r="L1743" s="360">
        <v>0.0</v>
      </c>
      <c r="M1743" s="102" t="s">
        <v>2276</v>
      </c>
      <c r="N1743" s="102" t="s">
        <v>2552</v>
      </c>
    </row>
    <row r="1744">
      <c r="A1744" s="412">
        <v>46092.0</v>
      </c>
      <c r="B1744" s="413">
        <v>2026.0</v>
      </c>
      <c r="C1744" s="414" t="s">
        <v>2504</v>
      </c>
      <c r="D1744" s="413" t="s">
        <v>702</v>
      </c>
      <c r="E1744" s="413" t="s">
        <v>465</v>
      </c>
      <c r="F1744" s="413" t="s">
        <v>703</v>
      </c>
      <c r="G1744" s="413" t="s">
        <v>732</v>
      </c>
      <c r="H1744" s="415">
        <v>1279.0</v>
      </c>
      <c r="I1744" s="416" t="b">
        <v>0</v>
      </c>
      <c r="J1744" s="413" t="s">
        <v>2538</v>
      </c>
      <c r="K1744" s="415">
        <v>0.0</v>
      </c>
      <c r="L1744" s="415">
        <v>1279.0</v>
      </c>
      <c r="M1744" s="413" t="s">
        <v>2276</v>
      </c>
      <c r="N1744" s="413" t="s">
        <v>2553</v>
      </c>
    </row>
    <row r="1745">
      <c r="A1745" s="409">
        <v>46093.0</v>
      </c>
      <c r="B1745" s="102">
        <v>2026.0</v>
      </c>
      <c r="C1745" s="410" t="s">
        <v>2504</v>
      </c>
      <c r="D1745" s="102" t="s">
        <v>723</v>
      </c>
      <c r="E1745" s="102" t="s">
        <v>137</v>
      </c>
      <c r="F1745" s="102" t="s">
        <v>711</v>
      </c>
      <c r="G1745" s="102" t="s">
        <v>767</v>
      </c>
      <c r="H1745" s="360">
        <v>1100.0</v>
      </c>
      <c r="I1745" s="411" t="b">
        <v>0</v>
      </c>
      <c r="J1745" s="102" t="s">
        <v>1218</v>
      </c>
      <c r="K1745" s="360">
        <v>0.0</v>
      </c>
      <c r="L1745" s="360">
        <v>1100.0</v>
      </c>
      <c r="M1745" s="102" t="s">
        <v>2276</v>
      </c>
      <c r="N1745" s="102" t="s">
        <v>2554</v>
      </c>
    </row>
    <row r="1746">
      <c r="A1746" s="412">
        <v>46093.0</v>
      </c>
      <c r="B1746" s="413">
        <v>2026.0</v>
      </c>
      <c r="C1746" s="414" t="s">
        <v>2504</v>
      </c>
      <c r="D1746" s="413" t="s">
        <v>723</v>
      </c>
      <c r="E1746" s="413" t="s">
        <v>137</v>
      </c>
      <c r="F1746" s="413" t="s">
        <v>703</v>
      </c>
      <c r="G1746" s="413" t="s">
        <v>740</v>
      </c>
      <c r="H1746" s="415">
        <v>105.0</v>
      </c>
      <c r="I1746" s="416" t="b">
        <v>0</v>
      </c>
      <c r="J1746" s="413" t="s">
        <v>472</v>
      </c>
      <c r="K1746" s="415">
        <v>0.0</v>
      </c>
      <c r="L1746" s="415">
        <v>105.0</v>
      </c>
      <c r="M1746" s="413" t="s">
        <v>2276</v>
      </c>
      <c r="N1746" s="413" t="s">
        <v>2555</v>
      </c>
    </row>
    <row r="1747">
      <c r="A1747" s="409">
        <v>46093.0</v>
      </c>
      <c r="B1747" s="102">
        <v>2026.0</v>
      </c>
      <c r="C1747" s="410" t="s">
        <v>2504</v>
      </c>
      <c r="D1747" s="102" t="s">
        <v>702</v>
      </c>
      <c r="E1747" s="102" t="s">
        <v>465</v>
      </c>
      <c r="F1747" s="102" t="s">
        <v>711</v>
      </c>
      <c r="G1747" s="102" t="s">
        <v>724</v>
      </c>
      <c r="H1747" s="360">
        <v>105.0</v>
      </c>
      <c r="I1747" s="411" t="b">
        <v>1</v>
      </c>
      <c r="J1747" s="102" t="s">
        <v>472</v>
      </c>
      <c r="K1747" s="360">
        <v>0.0</v>
      </c>
      <c r="L1747" s="360">
        <v>0.0</v>
      </c>
      <c r="M1747" s="102" t="s">
        <v>2276</v>
      </c>
      <c r="N1747" s="102" t="s">
        <v>2556</v>
      </c>
    </row>
    <row r="1748">
      <c r="A1748" s="412">
        <v>46093.0</v>
      </c>
      <c r="B1748" s="413">
        <v>2026.0</v>
      </c>
      <c r="C1748" s="414" t="s">
        <v>2504</v>
      </c>
      <c r="D1748" s="413" t="s">
        <v>723</v>
      </c>
      <c r="E1748" s="413" t="s">
        <v>137</v>
      </c>
      <c r="F1748" s="413" t="s">
        <v>703</v>
      </c>
      <c r="G1748" s="413" t="s">
        <v>724</v>
      </c>
      <c r="H1748" s="415">
        <v>105.0</v>
      </c>
      <c r="I1748" s="416" t="b">
        <v>1</v>
      </c>
      <c r="J1748" s="413" t="s">
        <v>472</v>
      </c>
      <c r="K1748" s="415">
        <v>0.0</v>
      </c>
      <c r="L1748" s="415">
        <v>0.0</v>
      </c>
      <c r="M1748" s="413" t="s">
        <v>2276</v>
      </c>
      <c r="N1748" s="413" t="s">
        <v>2556</v>
      </c>
    </row>
    <row r="1749">
      <c r="A1749" s="409">
        <v>46093.0</v>
      </c>
      <c r="B1749" s="102">
        <v>2026.0</v>
      </c>
      <c r="C1749" s="410" t="s">
        <v>2504</v>
      </c>
      <c r="D1749" s="102" t="s">
        <v>710</v>
      </c>
      <c r="E1749" s="102" t="s">
        <v>137</v>
      </c>
      <c r="F1749" s="102" t="s">
        <v>703</v>
      </c>
      <c r="G1749" s="102" t="s">
        <v>747</v>
      </c>
      <c r="H1749" s="360">
        <v>3505.0</v>
      </c>
      <c r="I1749" s="411" t="b">
        <v>0</v>
      </c>
      <c r="J1749" s="102" t="s">
        <v>2557</v>
      </c>
      <c r="K1749" s="360">
        <v>0.0</v>
      </c>
      <c r="L1749" s="360">
        <v>3505.0</v>
      </c>
      <c r="M1749" s="102" t="s">
        <v>2276</v>
      </c>
      <c r="N1749" s="102" t="s">
        <v>2558</v>
      </c>
    </row>
    <row r="1750">
      <c r="A1750" s="412">
        <v>46093.0</v>
      </c>
      <c r="B1750" s="413">
        <v>2026.0</v>
      </c>
      <c r="C1750" s="414" t="s">
        <v>2504</v>
      </c>
      <c r="D1750" s="413" t="s">
        <v>702</v>
      </c>
      <c r="E1750" s="413" t="s">
        <v>465</v>
      </c>
      <c r="F1750" s="413" t="s">
        <v>703</v>
      </c>
      <c r="G1750" s="413" t="s">
        <v>747</v>
      </c>
      <c r="H1750" s="415">
        <v>2495.0</v>
      </c>
      <c r="I1750" s="416" t="b">
        <v>0</v>
      </c>
      <c r="J1750" s="413" t="s">
        <v>2382</v>
      </c>
      <c r="K1750" s="415">
        <v>0.0</v>
      </c>
      <c r="L1750" s="415">
        <v>2495.0</v>
      </c>
      <c r="M1750" s="413" t="s">
        <v>2276</v>
      </c>
      <c r="N1750" s="413" t="s">
        <v>2559</v>
      </c>
    </row>
    <row r="1751">
      <c r="A1751" s="409">
        <v>46096.0</v>
      </c>
      <c r="B1751" s="102">
        <v>2026.0</v>
      </c>
      <c r="C1751" s="410" t="s">
        <v>2504</v>
      </c>
      <c r="D1751" s="102" t="s">
        <v>702</v>
      </c>
      <c r="E1751" s="102" t="s">
        <v>465</v>
      </c>
      <c r="F1751" s="102" t="s">
        <v>711</v>
      </c>
      <c r="G1751" s="102" t="s">
        <v>767</v>
      </c>
      <c r="H1751" s="360">
        <v>950.0</v>
      </c>
      <c r="I1751" s="411" t="b">
        <v>0</v>
      </c>
      <c r="J1751" s="102" t="s">
        <v>1788</v>
      </c>
      <c r="K1751" s="360">
        <v>131.03448275862058</v>
      </c>
      <c r="L1751" s="360">
        <v>818.9655172413794</v>
      </c>
      <c r="M1751" s="102" t="s">
        <v>2276</v>
      </c>
      <c r="N1751" s="102" t="s">
        <v>2560</v>
      </c>
    </row>
    <row r="1752">
      <c r="A1752" s="412">
        <v>46096.0</v>
      </c>
      <c r="B1752" s="413">
        <v>2026.0</v>
      </c>
      <c r="C1752" s="414" t="s">
        <v>2504</v>
      </c>
      <c r="D1752" s="413" t="s">
        <v>723</v>
      </c>
      <c r="E1752" s="413" t="s">
        <v>137</v>
      </c>
      <c r="F1752" s="413" t="s">
        <v>711</v>
      </c>
      <c r="G1752" s="413" t="s">
        <v>734</v>
      </c>
      <c r="H1752" s="415">
        <v>180.0</v>
      </c>
      <c r="I1752" s="416" t="b">
        <v>0</v>
      </c>
      <c r="J1752" s="413" t="s">
        <v>2561</v>
      </c>
      <c r="K1752" s="415">
        <v>0.0</v>
      </c>
      <c r="L1752" s="415">
        <v>180.0</v>
      </c>
      <c r="M1752" s="413" t="s">
        <v>2276</v>
      </c>
      <c r="N1752" s="413" t="s">
        <v>2562</v>
      </c>
    </row>
    <row r="1753">
      <c r="A1753" s="409">
        <v>46096.0</v>
      </c>
      <c r="B1753" s="102">
        <v>2026.0</v>
      </c>
      <c r="C1753" s="410" t="s">
        <v>2504</v>
      </c>
      <c r="D1753" s="102" t="s">
        <v>710</v>
      </c>
      <c r="E1753" s="102" t="s">
        <v>137</v>
      </c>
      <c r="F1753" s="102" t="s">
        <v>703</v>
      </c>
      <c r="G1753" s="102" t="s">
        <v>724</v>
      </c>
      <c r="H1753" s="360">
        <v>4000.0</v>
      </c>
      <c r="I1753" s="411" t="b">
        <v>1</v>
      </c>
      <c r="J1753" s="102" t="s">
        <v>472</v>
      </c>
      <c r="K1753" s="360">
        <v>0.0</v>
      </c>
      <c r="L1753" s="360">
        <v>0.0</v>
      </c>
      <c r="M1753" s="102" t="s">
        <v>2276</v>
      </c>
      <c r="N1753" s="102" t="s">
        <v>2563</v>
      </c>
    </row>
    <row r="1754">
      <c r="A1754" s="412">
        <v>46096.0</v>
      </c>
      <c r="B1754" s="413">
        <v>2026.0</v>
      </c>
      <c r="C1754" s="414" t="s">
        <v>2504</v>
      </c>
      <c r="D1754" s="413" t="s">
        <v>702</v>
      </c>
      <c r="E1754" s="413" t="s">
        <v>465</v>
      </c>
      <c r="F1754" s="413" t="s">
        <v>711</v>
      </c>
      <c r="G1754" s="413" t="s">
        <v>724</v>
      </c>
      <c r="H1754" s="415">
        <v>4000.0</v>
      </c>
      <c r="I1754" s="416" t="b">
        <v>1</v>
      </c>
      <c r="J1754" s="413" t="s">
        <v>472</v>
      </c>
      <c r="K1754" s="415">
        <v>0.0</v>
      </c>
      <c r="L1754" s="415">
        <v>0.0</v>
      </c>
      <c r="M1754" s="413" t="s">
        <v>2276</v>
      </c>
      <c r="N1754" s="413" t="s">
        <v>2563</v>
      </c>
    </row>
    <row r="1755">
      <c r="A1755" s="409">
        <v>46096.0</v>
      </c>
      <c r="B1755" s="102">
        <v>2026.0</v>
      </c>
      <c r="C1755" s="410" t="s">
        <v>2504</v>
      </c>
      <c r="D1755" s="102" t="s">
        <v>702</v>
      </c>
      <c r="E1755" s="102" t="s">
        <v>465</v>
      </c>
      <c r="F1755" s="102" t="s">
        <v>711</v>
      </c>
      <c r="G1755" s="102" t="s">
        <v>767</v>
      </c>
      <c r="H1755" s="360">
        <v>150.0</v>
      </c>
      <c r="I1755" s="411" t="b">
        <v>0</v>
      </c>
      <c r="J1755" s="102" t="s">
        <v>1655</v>
      </c>
      <c r="K1755" s="360">
        <v>20.68965517241378</v>
      </c>
      <c r="L1755" s="360">
        <v>129.31034482758622</v>
      </c>
      <c r="M1755" s="102" t="s">
        <v>2276</v>
      </c>
      <c r="N1755" s="102" t="s">
        <v>2564</v>
      </c>
    </row>
    <row r="1756">
      <c r="A1756" s="412">
        <v>46096.0</v>
      </c>
      <c r="B1756" s="413">
        <v>2026.0</v>
      </c>
      <c r="C1756" s="414" t="s">
        <v>2504</v>
      </c>
      <c r="D1756" s="413" t="s">
        <v>723</v>
      </c>
      <c r="E1756" s="413" t="s">
        <v>137</v>
      </c>
      <c r="F1756" s="413" t="s">
        <v>703</v>
      </c>
      <c r="G1756" s="413" t="s">
        <v>732</v>
      </c>
      <c r="H1756" s="415">
        <v>871.0</v>
      </c>
      <c r="I1756" s="416" t="b">
        <v>0</v>
      </c>
      <c r="J1756" s="413" t="s">
        <v>2252</v>
      </c>
      <c r="K1756" s="415">
        <v>0.0</v>
      </c>
      <c r="L1756" s="415">
        <v>871.0</v>
      </c>
      <c r="M1756" s="413" t="s">
        <v>2276</v>
      </c>
      <c r="N1756" s="413" t="s">
        <v>2565</v>
      </c>
    </row>
    <row r="1757">
      <c r="A1757" s="409">
        <v>46096.0</v>
      </c>
      <c r="B1757" s="102">
        <v>2026.0</v>
      </c>
      <c r="C1757" s="410" t="s">
        <v>2504</v>
      </c>
      <c r="D1757" s="102" t="s">
        <v>702</v>
      </c>
      <c r="E1757" s="102" t="s">
        <v>465</v>
      </c>
      <c r="F1757" s="102" t="s">
        <v>703</v>
      </c>
      <c r="G1757" s="102" t="s">
        <v>1673</v>
      </c>
      <c r="H1757" s="360">
        <v>180.0</v>
      </c>
      <c r="I1757" s="411" t="b">
        <v>0</v>
      </c>
      <c r="J1757" s="102" t="s">
        <v>2566</v>
      </c>
      <c r="K1757" s="360">
        <v>0.0</v>
      </c>
      <c r="L1757" s="360">
        <v>180.0</v>
      </c>
      <c r="M1757" s="102" t="s">
        <v>2276</v>
      </c>
      <c r="N1757" s="102" t="s">
        <v>2567</v>
      </c>
    </row>
    <row r="1758">
      <c r="A1758" s="412">
        <v>46096.0</v>
      </c>
      <c r="B1758" s="413">
        <v>2026.0</v>
      </c>
      <c r="C1758" s="414" t="s">
        <v>2504</v>
      </c>
      <c r="D1758" s="413" t="s">
        <v>702</v>
      </c>
      <c r="E1758" s="413" t="s">
        <v>465</v>
      </c>
      <c r="F1758" s="413" t="s">
        <v>711</v>
      </c>
      <c r="G1758" s="413" t="s">
        <v>730</v>
      </c>
      <c r="H1758" s="415">
        <v>100.0</v>
      </c>
      <c r="I1758" s="416" t="b">
        <v>0</v>
      </c>
      <c r="J1758" s="413" t="s">
        <v>472</v>
      </c>
      <c r="K1758" s="415">
        <v>13.793103448275858</v>
      </c>
      <c r="L1758" s="415">
        <v>86.20689655172414</v>
      </c>
      <c r="M1758" s="413" t="s">
        <v>2276</v>
      </c>
      <c r="N1758" s="413" t="s">
        <v>2568</v>
      </c>
    </row>
    <row r="1759">
      <c r="A1759" s="409">
        <v>46096.0</v>
      </c>
      <c r="B1759" s="102">
        <v>2026.0</v>
      </c>
      <c r="C1759" s="410" t="s">
        <v>2504</v>
      </c>
      <c r="D1759" s="102" t="s">
        <v>723</v>
      </c>
      <c r="E1759" s="102" t="s">
        <v>137</v>
      </c>
      <c r="F1759" s="102" t="s">
        <v>703</v>
      </c>
      <c r="G1759" s="102" t="s">
        <v>732</v>
      </c>
      <c r="H1759" s="360">
        <v>23.0</v>
      </c>
      <c r="I1759" s="411" t="b">
        <v>0</v>
      </c>
      <c r="J1759" s="102" t="s">
        <v>472</v>
      </c>
      <c r="K1759" s="360">
        <v>0.0</v>
      </c>
      <c r="L1759" s="360">
        <v>23.0</v>
      </c>
      <c r="M1759" s="102" t="s">
        <v>2276</v>
      </c>
      <c r="N1759" s="102" t="s">
        <v>2569</v>
      </c>
    </row>
    <row r="1760">
      <c r="A1760" s="412">
        <v>46100.0</v>
      </c>
      <c r="B1760" s="413">
        <v>2026.0</v>
      </c>
      <c r="C1760" s="414" t="s">
        <v>2504</v>
      </c>
      <c r="D1760" s="413" t="s">
        <v>702</v>
      </c>
      <c r="E1760" s="413" t="s">
        <v>465</v>
      </c>
      <c r="F1760" s="413" t="s">
        <v>711</v>
      </c>
      <c r="G1760" s="413" t="s">
        <v>767</v>
      </c>
      <c r="H1760" s="415">
        <v>1100.0</v>
      </c>
      <c r="I1760" s="416" t="b">
        <v>0</v>
      </c>
      <c r="J1760" s="413" t="s">
        <v>1246</v>
      </c>
      <c r="K1760" s="415">
        <v>151.72413793103442</v>
      </c>
      <c r="L1760" s="415">
        <v>948.2758620689656</v>
      </c>
      <c r="M1760" s="413" t="s">
        <v>2276</v>
      </c>
      <c r="N1760" s="413" t="s">
        <v>2570</v>
      </c>
    </row>
    <row r="1761">
      <c r="A1761" s="409">
        <v>46100.0</v>
      </c>
      <c r="B1761" s="102">
        <v>2026.0</v>
      </c>
      <c r="C1761" s="410" t="s">
        <v>2504</v>
      </c>
      <c r="D1761" s="102" t="s">
        <v>723</v>
      </c>
      <c r="E1761" s="102" t="s">
        <v>137</v>
      </c>
      <c r="F1761" s="102" t="s">
        <v>711</v>
      </c>
      <c r="G1761" s="102" t="s">
        <v>767</v>
      </c>
      <c r="H1761" s="360">
        <v>550.0</v>
      </c>
      <c r="I1761" s="411" t="b">
        <v>0</v>
      </c>
      <c r="J1761" s="102" t="s">
        <v>2571</v>
      </c>
      <c r="K1761" s="360">
        <v>0.0</v>
      </c>
      <c r="L1761" s="360">
        <v>550.0</v>
      </c>
      <c r="M1761" s="102" t="s">
        <v>2276</v>
      </c>
      <c r="N1761" s="102" t="s">
        <v>2572</v>
      </c>
    </row>
    <row r="1762">
      <c r="A1762" s="412">
        <v>46100.0</v>
      </c>
      <c r="B1762" s="413">
        <v>2026.0</v>
      </c>
      <c r="C1762" s="414" t="s">
        <v>2504</v>
      </c>
      <c r="D1762" s="413" t="s">
        <v>702</v>
      </c>
      <c r="E1762" s="413" t="s">
        <v>465</v>
      </c>
      <c r="F1762" s="413" t="s">
        <v>711</v>
      </c>
      <c r="G1762" s="413" t="s">
        <v>767</v>
      </c>
      <c r="H1762" s="415">
        <v>390.0</v>
      </c>
      <c r="I1762" s="416" t="b">
        <v>0</v>
      </c>
      <c r="J1762" s="413" t="s">
        <v>2573</v>
      </c>
      <c r="K1762" s="415">
        <v>53.793103448275815</v>
      </c>
      <c r="L1762" s="415">
        <v>336.2068965517242</v>
      </c>
      <c r="M1762" s="413" t="s">
        <v>2276</v>
      </c>
      <c r="N1762" s="413" t="s">
        <v>2574</v>
      </c>
    </row>
    <row r="1763">
      <c r="A1763" s="409">
        <v>46104.0</v>
      </c>
      <c r="B1763" s="102">
        <v>2026.0</v>
      </c>
      <c r="C1763" s="410" t="s">
        <v>2504</v>
      </c>
      <c r="D1763" s="102" t="s">
        <v>723</v>
      </c>
      <c r="E1763" s="102" t="s">
        <v>137</v>
      </c>
      <c r="F1763" s="102" t="s">
        <v>703</v>
      </c>
      <c r="G1763" s="102" t="s">
        <v>732</v>
      </c>
      <c r="H1763" s="360">
        <v>156.0</v>
      </c>
      <c r="I1763" s="411" t="b">
        <v>0</v>
      </c>
      <c r="J1763" s="102" t="s">
        <v>2575</v>
      </c>
      <c r="K1763" s="360">
        <v>0.0</v>
      </c>
      <c r="L1763" s="360">
        <v>156.0</v>
      </c>
      <c r="M1763" s="102" t="s">
        <v>2276</v>
      </c>
      <c r="N1763" s="102" t="s">
        <v>2576</v>
      </c>
    </row>
    <row r="1764">
      <c r="A1764" s="412">
        <v>46105.0</v>
      </c>
      <c r="B1764" s="413">
        <v>2026.0</v>
      </c>
      <c r="C1764" s="414" t="s">
        <v>2504</v>
      </c>
      <c r="D1764" s="413" t="s">
        <v>702</v>
      </c>
      <c r="E1764" s="413" t="s">
        <v>465</v>
      </c>
      <c r="F1764" s="413" t="s">
        <v>703</v>
      </c>
      <c r="G1764" s="413" t="s">
        <v>732</v>
      </c>
      <c r="H1764" s="415">
        <v>1589.0</v>
      </c>
      <c r="I1764" s="416" t="b">
        <v>0</v>
      </c>
      <c r="J1764" s="413" t="s">
        <v>2577</v>
      </c>
      <c r="K1764" s="415">
        <v>0.0</v>
      </c>
      <c r="L1764" s="415">
        <v>1589.0</v>
      </c>
      <c r="M1764" s="413" t="s">
        <v>2276</v>
      </c>
      <c r="N1764" s="413" t="s">
        <v>2578</v>
      </c>
    </row>
    <row r="1765">
      <c r="A1765" s="409">
        <v>46107.0</v>
      </c>
      <c r="B1765" s="102">
        <v>2026.0</v>
      </c>
      <c r="C1765" s="410" t="s">
        <v>2504</v>
      </c>
      <c r="D1765" s="102" t="s">
        <v>702</v>
      </c>
      <c r="E1765" s="102" t="s">
        <v>465</v>
      </c>
      <c r="F1765" s="102" t="s">
        <v>703</v>
      </c>
      <c r="G1765" s="102" t="s">
        <v>732</v>
      </c>
      <c r="H1765" s="360">
        <v>1215.0</v>
      </c>
      <c r="I1765" s="411" t="b">
        <v>0</v>
      </c>
      <c r="J1765" s="102" t="s">
        <v>2579</v>
      </c>
      <c r="K1765" s="360">
        <v>0.0</v>
      </c>
      <c r="L1765" s="360">
        <v>1215.0</v>
      </c>
      <c r="M1765" s="102" t="s">
        <v>2276</v>
      </c>
      <c r="N1765" s="102" t="s">
        <v>2580</v>
      </c>
    </row>
    <row r="1766">
      <c r="A1766" s="412">
        <v>46108.0</v>
      </c>
      <c r="B1766" s="413">
        <v>2026.0</v>
      </c>
      <c r="C1766" s="414" t="s">
        <v>2504</v>
      </c>
      <c r="D1766" s="413" t="s">
        <v>702</v>
      </c>
      <c r="E1766" s="413" t="s">
        <v>465</v>
      </c>
      <c r="F1766" s="413" t="s">
        <v>711</v>
      </c>
      <c r="G1766" s="413" t="s">
        <v>767</v>
      </c>
      <c r="H1766" s="415">
        <v>354.0</v>
      </c>
      <c r="I1766" s="416" t="b">
        <v>0</v>
      </c>
      <c r="J1766" s="413" t="s">
        <v>2581</v>
      </c>
      <c r="K1766" s="415">
        <v>48.82758620689651</v>
      </c>
      <c r="L1766" s="415">
        <v>305.1724137931035</v>
      </c>
      <c r="M1766" s="413" t="s">
        <v>2276</v>
      </c>
      <c r="N1766" s="413" t="s">
        <v>2582</v>
      </c>
    </row>
    <row r="1767">
      <c r="A1767" s="409">
        <v>46108.0</v>
      </c>
      <c r="B1767" s="102">
        <v>2026.0</v>
      </c>
      <c r="C1767" s="410" t="s">
        <v>2504</v>
      </c>
      <c r="D1767" s="102" t="s">
        <v>702</v>
      </c>
      <c r="E1767" s="102" t="s">
        <v>465</v>
      </c>
      <c r="F1767" s="102" t="s">
        <v>711</v>
      </c>
      <c r="G1767" s="102" t="s">
        <v>767</v>
      </c>
      <c r="H1767" s="360">
        <v>997.78</v>
      </c>
      <c r="I1767" s="411" t="b">
        <v>0</v>
      </c>
      <c r="J1767" s="102" t="s">
        <v>2583</v>
      </c>
      <c r="K1767" s="360">
        <v>137.62482758620683</v>
      </c>
      <c r="L1767" s="360">
        <v>860.1551724137931</v>
      </c>
      <c r="M1767" s="102" t="s">
        <v>2276</v>
      </c>
      <c r="N1767" s="102" t="s">
        <v>2584</v>
      </c>
    </row>
    <row r="1768">
      <c r="A1768" s="412">
        <v>46108.0</v>
      </c>
      <c r="B1768" s="413">
        <v>2026.0</v>
      </c>
      <c r="C1768" s="414" t="s">
        <v>2504</v>
      </c>
      <c r="D1768" s="413" t="s">
        <v>702</v>
      </c>
      <c r="E1768" s="413" t="s">
        <v>465</v>
      </c>
      <c r="F1768" s="413" t="s">
        <v>711</v>
      </c>
      <c r="G1768" s="413" t="s">
        <v>767</v>
      </c>
      <c r="H1768" s="415">
        <v>1247.22</v>
      </c>
      <c r="I1768" s="416" t="b">
        <v>0</v>
      </c>
      <c r="J1768" s="413" t="s">
        <v>1164</v>
      </c>
      <c r="K1768" s="415">
        <v>172.03034482758608</v>
      </c>
      <c r="L1768" s="415">
        <v>1075.189655172414</v>
      </c>
      <c r="M1768" s="413" t="s">
        <v>2276</v>
      </c>
      <c r="N1768" s="413" t="s">
        <v>2585</v>
      </c>
    </row>
    <row r="1769">
      <c r="A1769" s="409">
        <v>46108.0</v>
      </c>
      <c r="B1769" s="102">
        <v>2026.0</v>
      </c>
      <c r="C1769" s="410" t="s">
        <v>2504</v>
      </c>
      <c r="D1769" s="102" t="s">
        <v>723</v>
      </c>
      <c r="E1769" s="102" t="s">
        <v>137</v>
      </c>
      <c r="F1769" s="102" t="s">
        <v>711</v>
      </c>
      <c r="G1769" s="102" t="s">
        <v>734</v>
      </c>
      <c r="H1769" s="360">
        <v>280.0</v>
      </c>
      <c r="I1769" s="411" t="b">
        <v>0</v>
      </c>
      <c r="J1769" s="102" t="s">
        <v>2541</v>
      </c>
      <c r="K1769" s="360">
        <v>0.0</v>
      </c>
      <c r="L1769" s="360">
        <v>280.0</v>
      </c>
      <c r="M1769" s="102" t="s">
        <v>2276</v>
      </c>
      <c r="N1769" s="102" t="s">
        <v>2586</v>
      </c>
    </row>
    <row r="1770">
      <c r="A1770" s="412">
        <v>46108.0</v>
      </c>
      <c r="B1770" s="413">
        <v>2026.0</v>
      </c>
      <c r="C1770" s="414" t="s">
        <v>2504</v>
      </c>
      <c r="D1770" s="413" t="s">
        <v>723</v>
      </c>
      <c r="E1770" s="413" t="s">
        <v>137</v>
      </c>
      <c r="F1770" s="413" t="s">
        <v>703</v>
      </c>
      <c r="G1770" s="413" t="s">
        <v>2352</v>
      </c>
      <c r="H1770" s="415">
        <v>623.0</v>
      </c>
      <c r="I1770" s="416" t="b">
        <v>0</v>
      </c>
      <c r="J1770" s="413" t="s">
        <v>472</v>
      </c>
      <c r="K1770" s="415">
        <v>0.0</v>
      </c>
      <c r="L1770" s="415">
        <v>623.0</v>
      </c>
      <c r="M1770" s="413" t="s">
        <v>2276</v>
      </c>
      <c r="N1770" s="413" t="s">
        <v>2587</v>
      </c>
    </row>
    <row r="1771">
      <c r="A1771" s="409">
        <v>46108.0</v>
      </c>
      <c r="B1771" s="102">
        <v>2026.0</v>
      </c>
      <c r="C1771" s="410" t="s">
        <v>2504</v>
      </c>
      <c r="D1771" s="102" t="s">
        <v>702</v>
      </c>
      <c r="E1771" s="102" t="s">
        <v>465</v>
      </c>
      <c r="F1771" s="102" t="s">
        <v>703</v>
      </c>
      <c r="G1771" s="102" t="s">
        <v>1673</v>
      </c>
      <c r="H1771" s="360">
        <v>696.0</v>
      </c>
      <c r="I1771" s="411" t="b">
        <v>0</v>
      </c>
      <c r="J1771" s="102" t="s">
        <v>472</v>
      </c>
      <c r="K1771" s="360">
        <v>0.0</v>
      </c>
      <c r="L1771" s="360">
        <v>696.0</v>
      </c>
      <c r="M1771" s="102" t="s">
        <v>2276</v>
      </c>
      <c r="N1771" s="102" t="s">
        <v>2588</v>
      </c>
    </row>
    <row r="1772">
      <c r="A1772" s="412">
        <v>46108.0</v>
      </c>
      <c r="B1772" s="413">
        <v>2026.0</v>
      </c>
      <c r="C1772" s="414" t="s">
        <v>2504</v>
      </c>
      <c r="D1772" s="413" t="s">
        <v>702</v>
      </c>
      <c r="E1772" s="413" t="s">
        <v>465</v>
      </c>
      <c r="F1772" s="413" t="s">
        <v>711</v>
      </c>
      <c r="G1772" s="413" t="s">
        <v>767</v>
      </c>
      <c r="H1772" s="415">
        <v>1055.34</v>
      </c>
      <c r="I1772" s="416" t="b">
        <v>0</v>
      </c>
      <c r="J1772" s="413" t="s">
        <v>2454</v>
      </c>
      <c r="K1772" s="415">
        <v>145.56413793103445</v>
      </c>
      <c r="L1772" s="415">
        <v>909.7758620689655</v>
      </c>
      <c r="M1772" s="413" t="s">
        <v>2276</v>
      </c>
      <c r="N1772" s="413" t="s">
        <v>2589</v>
      </c>
    </row>
    <row r="1773">
      <c r="A1773" s="409">
        <v>46108.0</v>
      </c>
      <c r="B1773" s="102">
        <v>2026.0</v>
      </c>
      <c r="C1773" s="410" t="s">
        <v>2504</v>
      </c>
      <c r="D1773" s="102" t="s">
        <v>702</v>
      </c>
      <c r="E1773" s="102" t="s">
        <v>465</v>
      </c>
      <c r="F1773" s="102" t="s">
        <v>711</v>
      </c>
      <c r="G1773" s="102" t="s">
        <v>767</v>
      </c>
      <c r="H1773" s="360">
        <v>1100.0</v>
      </c>
      <c r="I1773" s="411" t="b">
        <v>0</v>
      </c>
      <c r="J1773" s="102" t="s">
        <v>1899</v>
      </c>
      <c r="K1773" s="360">
        <v>151.72413793103442</v>
      </c>
      <c r="L1773" s="360">
        <v>948.2758620689656</v>
      </c>
      <c r="M1773" s="102" t="s">
        <v>2276</v>
      </c>
      <c r="N1773" s="102" t="s">
        <v>2590</v>
      </c>
    </row>
    <row r="1774">
      <c r="A1774" s="412">
        <v>46108.0</v>
      </c>
      <c r="B1774" s="413">
        <v>2026.0</v>
      </c>
      <c r="C1774" s="414" t="s">
        <v>2504</v>
      </c>
      <c r="D1774" s="413" t="s">
        <v>723</v>
      </c>
      <c r="E1774" s="413" t="s">
        <v>137</v>
      </c>
      <c r="F1774" s="413" t="s">
        <v>711</v>
      </c>
      <c r="G1774" s="413" t="s">
        <v>767</v>
      </c>
      <c r="H1774" s="415">
        <v>1150.0</v>
      </c>
      <c r="I1774" s="416" t="b">
        <v>0</v>
      </c>
      <c r="J1774" s="413" t="s">
        <v>2591</v>
      </c>
      <c r="K1774" s="415">
        <v>0.0</v>
      </c>
      <c r="L1774" s="415">
        <v>1150.0</v>
      </c>
      <c r="M1774" s="413" t="s">
        <v>2276</v>
      </c>
      <c r="N1774" s="413" t="s">
        <v>2592</v>
      </c>
    </row>
    <row r="1775">
      <c r="A1775" s="409">
        <v>46108.0</v>
      </c>
      <c r="B1775" s="102">
        <v>2026.0</v>
      </c>
      <c r="C1775" s="410" t="s">
        <v>2504</v>
      </c>
      <c r="D1775" s="102" t="s">
        <v>723</v>
      </c>
      <c r="E1775" s="102" t="s">
        <v>137</v>
      </c>
      <c r="F1775" s="102" t="s">
        <v>703</v>
      </c>
      <c r="G1775" s="102" t="s">
        <v>732</v>
      </c>
      <c r="H1775" s="360">
        <v>50.0</v>
      </c>
      <c r="I1775" s="411" t="b">
        <v>0</v>
      </c>
      <c r="J1775" s="102" t="s">
        <v>472</v>
      </c>
      <c r="K1775" s="360">
        <v>0.0</v>
      </c>
      <c r="L1775" s="360">
        <v>50.0</v>
      </c>
      <c r="M1775" s="102" t="s">
        <v>2276</v>
      </c>
      <c r="N1775" s="102" t="s">
        <v>2593</v>
      </c>
    </row>
    <row r="1776">
      <c r="A1776" s="412">
        <v>46108.0</v>
      </c>
      <c r="B1776" s="413">
        <v>2026.0</v>
      </c>
      <c r="C1776" s="414" t="s">
        <v>2504</v>
      </c>
      <c r="D1776" s="413" t="s">
        <v>723</v>
      </c>
      <c r="E1776" s="413" t="s">
        <v>137</v>
      </c>
      <c r="F1776" s="413" t="s">
        <v>711</v>
      </c>
      <c r="G1776" s="413" t="s">
        <v>740</v>
      </c>
      <c r="H1776" s="415">
        <v>30.0</v>
      </c>
      <c r="I1776" s="416" t="b">
        <v>0</v>
      </c>
      <c r="J1776" s="413" t="s">
        <v>472</v>
      </c>
      <c r="K1776" s="415">
        <v>0.0</v>
      </c>
      <c r="L1776" s="415">
        <v>30.0</v>
      </c>
      <c r="M1776" s="413" t="s">
        <v>2276</v>
      </c>
      <c r="N1776" s="413" t="s">
        <v>2594</v>
      </c>
    </row>
    <row r="1777">
      <c r="A1777" s="409">
        <v>46108.0</v>
      </c>
      <c r="B1777" s="102">
        <v>2026.0</v>
      </c>
      <c r="C1777" s="410" t="s">
        <v>2504</v>
      </c>
      <c r="D1777" s="102" t="s">
        <v>702</v>
      </c>
      <c r="E1777" s="102" t="s">
        <v>465</v>
      </c>
      <c r="F1777" s="102" t="s">
        <v>711</v>
      </c>
      <c r="G1777" s="102" t="s">
        <v>734</v>
      </c>
      <c r="H1777" s="360">
        <v>134.0</v>
      </c>
      <c r="I1777" s="411" t="b">
        <v>0</v>
      </c>
      <c r="J1777" s="102" t="s">
        <v>472</v>
      </c>
      <c r="K1777" s="360">
        <v>18.48275862068965</v>
      </c>
      <c r="L1777" s="360">
        <v>115.51724137931035</v>
      </c>
      <c r="M1777" s="102" t="s">
        <v>2276</v>
      </c>
      <c r="N1777" s="102" t="s">
        <v>2595</v>
      </c>
    </row>
    <row r="1778">
      <c r="A1778" s="412">
        <v>46111.0</v>
      </c>
      <c r="B1778" s="413">
        <v>2026.0</v>
      </c>
      <c r="C1778" s="414" t="s">
        <v>2504</v>
      </c>
      <c r="D1778" s="413" t="s">
        <v>710</v>
      </c>
      <c r="E1778" s="413" t="s">
        <v>137</v>
      </c>
      <c r="F1778" s="413" t="s">
        <v>711</v>
      </c>
      <c r="G1778" s="413" t="s">
        <v>724</v>
      </c>
      <c r="H1778" s="415">
        <v>479.0</v>
      </c>
      <c r="I1778" s="416" t="b">
        <v>1</v>
      </c>
      <c r="J1778" s="413" t="s">
        <v>472</v>
      </c>
      <c r="K1778" s="415">
        <v>0.0</v>
      </c>
      <c r="L1778" s="415">
        <v>0.0</v>
      </c>
      <c r="M1778" s="413" t="s">
        <v>2276</v>
      </c>
      <c r="N1778" s="413" t="s">
        <v>2596</v>
      </c>
    </row>
    <row r="1779">
      <c r="A1779" s="409">
        <v>46111.0</v>
      </c>
      <c r="B1779" s="102">
        <v>2026.0</v>
      </c>
      <c r="C1779" s="410" t="s">
        <v>2504</v>
      </c>
      <c r="D1779" s="102" t="s">
        <v>702</v>
      </c>
      <c r="E1779" s="102" t="s">
        <v>465</v>
      </c>
      <c r="F1779" s="102" t="s">
        <v>703</v>
      </c>
      <c r="G1779" s="102" t="s">
        <v>724</v>
      </c>
      <c r="H1779" s="360">
        <v>479.0</v>
      </c>
      <c r="I1779" s="411" t="b">
        <v>1</v>
      </c>
      <c r="J1779" s="102" t="s">
        <v>472</v>
      </c>
      <c r="K1779" s="360">
        <v>0.0</v>
      </c>
      <c r="L1779" s="360">
        <v>0.0</v>
      </c>
      <c r="M1779" s="102" t="s">
        <v>2276</v>
      </c>
      <c r="N1779" s="102" t="s">
        <v>2596</v>
      </c>
    </row>
    <row r="1780">
      <c r="A1780" s="412">
        <v>46111.0</v>
      </c>
      <c r="B1780" s="413">
        <v>2026.0</v>
      </c>
      <c r="C1780" s="414" t="s">
        <v>2504</v>
      </c>
      <c r="D1780" s="413" t="s">
        <v>702</v>
      </c>
      <c r="E1780" s="413" t="s">
        <v>465</v>
      </c>
      <c r="F1780" s="413" t="s">
        <v>711</v>
      </c>
      <c r="G1780" s="413" t="s">
        <v>767</v>
      </c>
      <c r="H1780" s="415">
        <v>1100.0</v>
      </c>
      <c r="I1780" s="416" t="b">
        <v>0</v>
      </c>
      <c r="J1780" s="413" t="s">
        <v>2038</v>
      </c>
      <c r="K1780" s="415">
        <v>151.72413793103442</v>
      </c>
      <c r="L1780" s="415">
        <v>948.2758620689656</v>
      </c>
      <c r="M1780" s="413" t="s">
        <v>2276</v>
      </c>
      <c r="N1780" s="413" t="s">
        <v>2597</v>
      </c>
    </row>
    <row r="1781">
      <c r="A1781" s="409">
        <v>46112.0</v>
      </c>
      <c r="B1781" s="102">
        <v>2026.0</v>
      </c>
      <c r="C1781" s="410" t="s">
        <v>2504</v>
      </c>
      <c r="D1781" s="102" t="s">
        <v>702</v>
      </c>
      <c r="E1781" s="102" t="s">
        <v>465</v>
      </c>
      <c r="F1781" s="102" t="s">
        <v>703</v>
      </c>
      <c r="G1781" s="102" t="s">
        <v>906</v>
      </c>
      <c r="H1781" s="360">
        <v>4594.0</v>
      </c>
      <c r="I1781" s="411" t="b">
        <v>0</v>
      </c>
      <c r="J1781" s="102" t="s">
        <v>2598</v>
      </c>
      <c r="K1781" s="360">
        <v>0.0</v>
      </c>
      <c r="L1781" s="360">
        <v>4594.0</v>
      </c>
      <c r="M1781" s="102" t="s">
        <v>2276</v>
      </c>
      <c r="N1781" s="102" t="s">
        <v>2599</v>
      </c>
    </row>
    <row r="1782">
      <c r="A1782" s="412">
        <v>46112.0</v>
      </c>
      <c r="B1782" s="413">
        <v>2026.0</v>
      </c>
      <c r="C1782" s="414" t="s">
        <v>2504</v>
      </c>
      <c r="D1782" s="413" t="s">
        <v>702</v>
      </c>
      <c r="E1782" s="413" t="s">
        <v>465</v>
      </c>
      <c r="F1782" s="413" t="s">
        <v>711</v>
      </c>
      <c r="G1782" s="413" t="s">
        <v>767</v>
      </c>
      <c r="H1782" s="415">
        <v>917.0</v>
      </c>
      <c r="I1782" s="416" t="b">
        <v>0</v>
      </c>
      <c r="J1782" s="413" t="s">
        <v>2600</v>
      </c>
      <c r="K1782" s="415">
        <v>126.48275862068965</v>
      </c>
      <c r="L1782" s="415">
        <v>790.5172413793103</v>
      </c>
      <c r="M1782" s="413" t="s">
        <v>2276</v>
      </c>
      <c r="N1782" s="413" t="s">
        <v>2601</v>
      </c>
    </row>
    <row r="1783">
      <c r="A1783" s="409">
        <v>46112.0</v>
      </c>
      <c r="B1783" s="102">
        <v>2026.0</v>
      </c>
      <c r="C1783" s="410" t="s">
        <v>2504</v>
      </c>
      <c r="D1783" s="102" t="s">
        <v>710</v>
      </c>
      <c r="E1783" s="102" t="s">
        <v>137</v>
      </c>
      <c r="F1783" s="102" t="s">
        <v>703</v>
      </c>
      <c r="G1783" s="102" t="s">
        <v>747</v>
      </c>
      <c r="H1783" s="360">
        <v>3000.0</v>
      </c>
      <c r="I1783" s="411" t="b">
        <v>0</v>
      </c>
      <c r="J1783" s="102" t="s">
        <v>2382</v>
      </c>
      <c r="K1783" s="360">
        <v>0.0</v>
      </c>
      <c r="L1783" s="360">
        <v>3000.0</v>
      </c>
      <c r="M1783" s="102" t="s">
        <v>2276</v>
      </c>
      <c r="N1783" s="102" t="s">
        <v>2602</v>
      </c>
    </row>
    <row r="1784">
      <c r="A1784" s="412">
        <v>46112.0</v>
      </c>
      <c r="B1784" s="413">
        <v>2026.0</v>
      </c>
      <c r="C1784" s="414" t="s">
        <v>2504</v>
      </c>
      <c r="D1784" s="413" t="s">
        <v>702</v>
      </c>
      <c r="E1784" s="413" t="s">
        <v>465</v>
      </c>
      <c r="F1784" s="413" t="s">
        <v>703</v>
      </c>
      <c r="G1784" s="413" t="s">
        <v>747</v>
      </c>
      <c r="H1784" s="415">
        <v>3000.0</v>
      </c>
      <c r="I1784" s="416" t="b">
        <v>0</v>
      </c>
      <c r="J1784" s="413" t="s">
        <v>2382</v>
      </c>
      <c r="K1784" s="415">
        <v>0.0</v>
      </c>
      <c r="L1784" s="415">
        <v>3000.0</v>
      </c>
      <c r="M1784" s="413" t="s">
        <v>2276</v>
      </c>
      <c r="N1784" s="413" t="s">
        <v>2603</v>
      </c>
    </row>
    <row r="1785">
      <c r="A1785" s="409">
        <v>46112.0</v>
      </c>
      <c r="B1785" s="102">
        <v>2026.0</v>
      </c>
      <c r="C1785" s="410" t="s">
        <v>2504</v>
      </c>
      <c r="D1785" s="102" t="s">
        <v>702</v>
      </c>
      <c r="E1785" s="102" t="s">
        <v>465</v>
      </c>
      <c r="F1785" s="102" t="s">
        <v>711</v>
      </c>
      <c r="G1785" s="102" t="s">
        <v>767</v>
      </c>
      <c r="H1785" s="360">
        <v>950.0</v>
      </c>
      <c r="I1785" s="411" t="b">
        <v>0</v>
      </c>
      <c r="J1785" s="102" t="s">
        <v>1224</v>
      </c>
      <c r="K1785" s="360">
        <v>131.03448275862058</v>
      </c>
      <c r="L1785" s="360">
        <v>818.9655172413794</v>
      </c>
      <c r="M1785" s="102" t="s">
        <v>2276</v>
      </c>
      <c r="N1785" s="102" t="s">
        <v>2604</v>
      </c>
    </row>
    <row r="1786">
      <c r="A1786" s="412">
        <v>46113.0</v>
      </c>
      <c r="B1786" s="413">
        <v>2026.0</v>
      </c>
      <c r="C1786" s="414" t="s">
        <v>2605</v>
      </c>
      <c r="D1786" s="413" t="s">
        <v>702</v>
      </c>
      <c r="E1786" s="413" t="s">
        <v>465</v>
      </c>
      <c r="F1786" s="413" t="s">
        <v>711</v>
      </c>
      <c r="G1786" s="413" t="s">
        <v>767</v>
      </c>
      <c r="H1786" s="415">
        <v>1300.0</v>
      </c>
      <c r="I1786" s="416" t="b">
        <v>0</v>
      </c>
      <c r="J1786" s="413" t="s">
        <v>1248</v>
      </c>
      <c r="K1786" s="415">
        <v>179.31034482758605</v>
      </c>
      <c r="L1786" s="415">
        <v>1120.689655172414</v>
      </c>
      <c r="M1786" s="413" t="s">
        <v>2276</v>
      </c>
      <c r="N1786" s="413" t="s">
        <v>2606</v>
      </c>
    </row>
    <row r="1787">
      <c r="A1787" s="409">
        <v>46114.0</v>
      </c>
      <c r="B1787" s="102">
        <v>2026.0</v>
      </c>
      <c r="C1787" s="410" t="s">
        <v>2605</v>
      </c>
      <c r="D1787" s="102" t="s">
        <v>702</v>
      </c>
      <c r="E1787" s="102" t="s">
        <v>465</v>
      </c>
      <c r="F1787" s="102" t="s">
        <v>711</v>
      </c>
      <c r="G1787" s="102" t="s">
        <v>767</v>
      </c>
      <c r="H1787" s="360">
        <v>800.0</v>
      </c>
      <c r="I1787" s="411" t="b">
        <v>0</v>
      </c>
      <c r="J1787" s="102" t="s">
        <v>2088</v>
      </c>
      <c r="K1787" s="360">
        <v>110.34482758620686</v>
      </c>
      <c r="L1787" s="360">
        <v>689.6551724137931</v>
      </c>
      <c r="M1787" s="102" t="s">
        <v>2276</v>
      </c>
      <c r="N1787" s="102" t="s">
        <v>2607</v>
      </c>
    </row>
    <row r="1788">
      <c r="A1788" s="412">
        <v>46114.0</v>
      </c>
      <c r="B1788" s="413">
        <v>2026.0</v>
      </c>
      <c r="C1788" s="414" t="s">
        <v>2605</v>
      </c>
      <c r="D1788" s="413" t="s">
        <v>702</v>
      </c>
      <c r="E1788" s="413" t="s">
        <v>465</v>
      </c>
      <c r="F1788" s="413" t="s">
        <v>711</v>
      </c>
      <c r="G1788" s="413" t="s">
        <v>767</v>
      </c>
      <c r="H1788" s="415">
        <v>950.0</v>
      </c>
      <c r="I1788" s="416" t="b">
        <v>0</v>
      </c>
      <c r="J1788" s="413" t="s">
        <v>2437</v>
      </c>
      <c r="K1788" s="415">
        <v>131.03448275862058</v>
      </c>
      <c r="L1788" s="415">
        <v>818.9655172413794</v>
      </c>
      <c r="M1788" s="413" t="s">
        <v>2276</v>
      </c>
      <c r="N1788" s="413" t="s">
        <v>2608</v>
      </c>
    </row>
    <row r="1789">
      <c r="A1789" s="409">
        <v>46114.0</v>
      </c>
      <c r="B1789" s="102">
        <v>2026.0</v>
      </c>
      <c r="C1789" s="410" t="s">
        <v>2605</v>
      </c>
      <c r="D1789" s="102" t="s">
        <v>702</v>
      </c>
      <c r="E1789" s="102" t="s">
        <v>465</v>
      </c>
      <c r="F1789" s="102" t="s">
        <v>711</v>
      </c>
      <c r="G1789" s="102" t="s">
        <v>767</v>
      </c>
      <c r="H1789" s="360">
        <v>800.0</v>
      </c>
      <c r="I1789" s="411" t="b">
        <v>0</v>
      </c>
      <c r="J1789" s="102" t="s">
        <v>1655</v>
      </c>
      <c r="K1789" s="360">
        <v>110.34482758620686</v>
      </c>
      <c r="L1789" s="360">
        <v>689.6551724137931</v>
      </c>
      <c r="M1789" s="102" t="s">
        <v>2276</v>
      </c>
      <c r="N1789" s="102" t="s">
        <v>2609</v>
      </c>
    </row>
    <row r="1790">
      <c r="A1790" s="412">
        <v>46114.0</v>
      </c>
      <c r="B1790" s="413">
        <v>2026.0</v>
      </c>
      <c r="C1790" s="414" t="s">
        <v>2605</v>
      </c>
      <c r="D1790" s="413" t="s">
        <v>702</v>
      </c>
      <c r="E1790" s="413" t="s">
        <v>465</v>
      </c>
      <c r="F1790" s="413" t="s">
        <v>711</v>
      </c>
      <c r="G1790" s="413" t="s">
        <v>767</v>
      </c>
      <c r="H1790" s="415">
        <v>950.0</v>
      </c>
      <c r="I1790" s="416" t="b">
        <v>0</v>
      </c>
      <c r="J1790" s="413" t="s">
        <v>1507</v>
      </c>
      <c r="K1790" s="415">
        <v>131.03448275862058</v>
      </c>
      <c r="L1790" s="415">
        <v>818.9655172413794</v>
      </c>
      <c r="M1790" s="413" t="s">
        <v>2276</v>
      </c>
      <c r="N1790" s="413" t="s">
        <v>2609</v>
      </c>
    </row>
    <row r="1791">
      <c r="A1791" s="409">
        <v>46114.0</v>
      </c>
      <c r="B1791" s="102">
        <v>2026.0</v>
      </c>
      <c r="C1791" s="410" t="s">
        <v>2605</v>
      </c>
      <c r="D1791" s="102" t="s">
        <v>702</v>
      </c>
      <c r="E1791" s="102" t="s">
        <v>465</v>
      </c>
      <c r="F1791" s="102" t="s">
        <v>711</v>
      </c>
      <c r="G1791" s="102" t="s">
        <v>767</v>
      </c>
      <c r="H1791" s="360">
        <v>800.0</v>
      </c>
      <c r="I1791" s="411" t="b">
        <v>0</v>
      </c>
      <c r="J1791" s="102" t="s">
        <v>2402</v>
      </c>
      <c r="K1791" s="360">
        <v>110.34482758620686</v>
      </c>
      <c r="L1791" s="360">
        <v>689.6551724137931</v>
      </c>
      <c r="M1791" s="102" t="s">
        <v>2276</v>
      </c>
      <c r="N1791" s="102" t="s">
        <v>2609</v>
      </c>
    </row>
    <row r="1792">
      <c r="A1792" s="412">
        <v>46115.0</v>
      </c>
      <c r="B1792" s="413">
        <v>2026.0</v>
      </c>
      <c r="C1792" s="414" t="s">
        <v>2605</v>
      </c>
      <c r="D1792" s="413" t="s">
        <v>702</v>
      </c>
      <c r="E1792" s="413" t="s">
        <v>465</v>
      </c>
      <c r="F1792" s="413" t="s">
        <v>703</v>
      </c>
      <c r="G1792" s="413" t="s">
        <v>906</v>
      </c>
      <c r="H1792" s="415">
        <v>3257.0</v>
      </c>
      <c r="I1792" s="416" t="b">
        <v>0</v>
      </c>
      <c r="J1792" s="413" t="s">
        <v>2610</v>
      </c>
      <c r="K1792" s="415">
        <v>0.0</v>
      </c>
      <c r="L1792" s="415">
        <v>3257.0</v>
      </c>
      <c r="M1792" s="413" t="s">
        <v>2276</v>
      </c>
      <c r="N1792" s="413" t="s">
        <v>2611</v>
      </c>
    </row>
    <row r="1793">
      <c r="A1793" s="409">
        <v>46115.0</v>
      </c>
      <c r="B1793" s="102">
        <v>2026.0</v>
      </c>
      <c r="C1793" s="410" t="s">
        <v>2605</v>
      </c>
      <c r="D1793" s="102" t="s">
        <v>702</v>
      </c>
      <c r="E1793" s="102" t="s">
        <v>465</v>
      </c>
      <c r="F1793" s="102" t="s">
        <v>703</v>
      </c>
      <c r="G1793" s="102" t="s">
        <v>732</v>
      </c>
      <c r="H1793" s="360">
        <v>200.0</v>
      </c>
      <c r="I1793" s="411" t="b">
        <v>0</v>
      </c>
      <c r="J1793" s="102" t="s">
        <v>1547</v>
      </c>
      <c r="K1793" s="360">
        <v>0.0</v>
      </c>
      <c r="L1793" s="360">
        <v>200.0</v>
      </c>
      <c r="M1793" s="102" t="s">
        <v>2276</v>
      </c>
      <c r="N1793" s="102" t="s">
        <v>2612</v>
      </c>
    </row>
    <row r="1794">
      <c r="A1794" s="412">
        <v>46115.0</v>
      </c>
      <c r="B1794" s="413">
        <v>2026.0</v>
      </c>
      <c r="C1794" s="414" t="s">
        <v>2605</v>
      </c>
      <c r="D1794" s="413" t="s">
        <v>702</v>
      </c>
      <c r="E1794" s="413" t="s">
        <v>465</v>
      </c>
      <c r="F1794" s="413" t="s">
        <v>711</v>
      </c>
      <c r="G1794" s="413" t="s">
        <v>767</v>
      </c>
      <c r="H1794" s="415">
        <v>950.0</v>
      </c>
      <c r="I1794" s="416" t="b">
        <v>0</v>
      </c>
      <c r="J1794" s="413" t="s">
        <v>1415</v>
      </c>
      <c r="K1794" s="415">
        <v>131.03448275862058</v>
      </c>
      <c r="L1794" s="415">
        <v>818.9655172413794</v>
      </c>
      <c r="M1794" s="413" t="s">
        <v>2276</v>
      </c>
      <c r="N1794" s="413" t="s">
        <v>2612</v>
      </c>
    </row>
    <row r="1795">
      <c r="A1795" s="409">
        <v>46115.0</v>
      </c>
      <c r="B1795" s="102">
        <v>2026.0</v>
      </c>
      <c r="C1795" s="410" t="s">
        <v>2605</v>
      </c>
      <c r="D1795" s="102" t="s">
        <v>702</v>
      </c>
      <c r="E1795" s="102" t="s">
        <v>465</v>
      </c>
      <c r="F1795" s="102" t="s">
        <v>711</v>
      </c>
      <c r="G1795" s="102" t="s">
        <v>767</v>
      </c>
      <c r="H1795" s="360">
        <v>800.0</v>
      </c>
      <c r="I1795" s="411" t="b">
        <v>0</v>
      </c>
      <c r="J1795" s="102" t="s">
        <v>2071</v>
      </c>
      <c r="K1795" s="360">
        <v>110.34482758620686</v>
      </c>
      <c r="L1795" s="360">
        <v>689.6551724137931</v>
      </c>
      <c r="M1795" s="102" t="s">
        <v>2276</v>
      </c>
      <c r="N1795" s="102" t="s">
        <v>2612</v>
      </c>
    </row>
    <row r="1796">
      <c r="A1796" s="412">
        <v>46115.0</v>
      </c>
      <c r="B1796" s="413">
        <v>2026.0</v>
      </c>
      <c r="C1796" s="414" t="s">
        <v>2605</v>
      </c>
      <c r="D1796" s="413" t="s">
        <v>702</v>
      </c>
      <c r="E1796" s="413" t="s">
        <v>465</v>
      </c>
      <c r="F1796" s="413" t="s">
        <v>711</v>
      </c>
      <c r="G1796" s="413" t="s">
        <v>767</v>
      </c>
      <c r="H1796" s="415">
        <v>950.0</v>
      </c>
      <c r="I1796" s="416" t="b">
        <v>0</v>
      </c>
      <c r="J1796" s="413" t="s">
        <v>2613</v>
      </c>
      <c r="K1796" s="415">
        <v>131.03448275862058</v>
      </c>
      <c r="L1796" s="415">
        <v>818.9655172413794</v>
      </c>
      <c r="M1796" s="413" t="s">
        <v>2276</v>
      </c>
      <c r="N1796" s="413" t="s">
        <v>2614</v>
      </c>
    </row>
    <row r="1797">
      <c r="A1797" s="409">
        <v>46115.0</v>
      </c>
      <c r="B1797" s="102">
        <v>2026.0</v>
      </c>
      <c r="C1797" s="410" t="s">
        <v>2605</v>
      </c>
      <c r="D1797" s="102" t="s">
        <v>702</v>
      </c>
      <c r="E1797" s="102" t="s">
        <v>465</v>
      </c>
      <c r="F1797" s="102" t="s">
        <v>711</v>
      </c>
      <c r="G1797" s="102" t="s">
        <v>767</v>
      </c>
      <c r="H1797" s="360">
        <v>1150.0</v>
      </c>
      <c r="I1797" s="411" t="b">
        <v>0</v>
      </c>
      <c r="J1797" s="102" t="s">
        <v>2615</v>
      </c>
      <c r="K1797" s="360">
        <v>158.62068965517233</v>
      </c>
      <c r="L1797" s="360">
        <v>991.3793103448277</v>
      </c>
      <c r="M1797" s="102" t="s">
        <v>2276</v>
      </c>
      <c r="N1797" s="102" t="s">
        <v>2616</v>
      </c>
    </row>
    <row r="1798">
      <c r="A1798" s="412">
        <v>46116.0</v>
      </c>
      <c r="B1798" s="413">
        <v>2026.0</v>
      </c>
      <c r="C1798" s="414" t="s">
        <v>2605</v>
      </c>
      <c r="D1798" s="413" t="s">
        <v>702</v>
      </c>
      <c r="E1798" s="413" t="s">
        <v>465</v>
      </c>
      <c r="F1798" s="413" t="s">
        <v>711</v>
      </c>
      <c r="G1798" s="413" t="s">
        <v>767</v>
      </c>
      <c r="H1798" s="415">
        <v>550.0</v>
      </c>
      <c r="I1798" s="416" t="b">
        <v>0</v>
      </c>
      <c r="J1798" s="413" t="s">
        <v>1184</v>
      </c>
      <c r="K1798" s="415">
        <v>75.86206896551721</v>
      </c>
      <c r="L1798" s="415">
        <v>474.1379310344828</v>
      </c>
      <c r="M1798" s="413" t="s">
        <v>2276</v>
      </c>
      <c r="N1798" s="413" t="s">
        <v>2617</v>
      </c>
    </row>
    <row r="1799">
      <c r="A1799" s="409">
        <v>46116.0</v>
      </c>
      <c r="B1799" s="102">
        <v>2026.0</v>
      </c>
      <c r="C1799" s="410" t="s">
        <v>2605</v>
      </c>
      <c r="D1799" s="102" t="s">
        <v>723</v>
      </c>
      <c r="E1799" s="102" t="s">
        <v>137</v>
      </c>
      <c r="F1799" s="102" t="s">
        <v>703</v>
      </c>
      <c r="G1799" s="102" t="s">
        <v>724</v>
      </c>
      <c r="H1799" s="360">
        <v>2307.0</v>
      </c>
      <c r="I1799" s="411" t="b">
        <v>1</v>
      </c>
      <c r="J1799" s="102" t="s">
        <v>472</v>
      </c>
      <c r="K1799" s="360">
        <v>0.0</v>
      </c>
      <c r="L1799" s="360">
        <v>0.0</v>
      </c>
      <c r="M1799" s="102" t="s">
        <v>2276</v>
      </c>
      <c r="N1799" s="102" t="s">
        <v>2618</v>
      </c>
    </row>
    <row r="1800">
      <c r="A1800" s="412">
        <v>46116.0</v>
      </c>
      <c r="B1800" s="413">
        <v>2026.0</v>
      </c>
      <c r="C1800" s="414" t="s">
        <v>2605</v>
      </c>
      <c r="D1800" s="413" t="s">
        <v>710</v>
      </c>
      <c r="E1800" s="413" t="s">
        <v>137</v>
      </c>
      <c r="F1800" s="413" t="s">
        <v>711</v>
      </c>
      <c r="G1800" s="413" t="s">
        <v>724</v>
      </c>
      <c r="H1800" s="415">
        <v>2307.0</v>
      </c>
      <c r="I1800" s="416" t="b">
        <v>1</v>
      </c>
      <c r="J1800" s="413" t="s">
        <v>472</v>
      </c>
      <c r="K1800" s="415">
        <v>0.0</v>
      </c>
      <c r="L1800" s="415">
        <v>0.0</v>
      </c>
      <c r="M1800" s="413" t="s">
        <v>2276</v>
      </c>
      <c r="N1800" s="413" t="s">
        <v>2618</v>
      </c>
    </row>
    <row r="1801">
      <c r="A1801" s="409">
        <v>46117.0</v>
      </c>
      <c r="B1801" s="102">
        <v>2026.0</v>
      </c>
      <c r="C1801" s="410" t="s">
        <v>2605</v>
      </c>
      <c r="D1801" s="102" t="s">
        <v>702</v>
      </c>
      <c r="E1801" s="102" t="s">
        <v>465</v>
      </c>
      <c r="F1801" s="102" t="s">
        <v>711</v>
      </c>
      <c r="G1801" s="102" t="s">
        <v>767</v>
      </c>
      <c r="H1801" s="360">
        <v>550.0</v>
      </c>
      <c r="I1801" s="411" t="b">
        <v>0</v>
      </c>
      <c r="J1801" s="102" t="s">
        <v>1146</v>
      </c>
      <c r="K1801" s="360">
        <v>75.86206896551721</v>
      </c>
      <c r="L1801" s="360">
        <v>474.1379310344828</v>
      </c>
      <c r="M1801" s="102" t="s">
        <v>2276</v>
      </c>
      <c r="N1801" s="102" t="s">
        <v>2619</v>
      </c>
    </row>
    <row r="1802">
      <c r="A1802" s="412">
        <v>46117.0</v>
      </c>
      <c r="B1802" s="413">
        <v>2026.0</v>
      </c>
      <c r="C1802" s="414" t="s">
        <v>2605</v>
      </c>
      <c r="D1802" s="413" t="s">
        <v>702</v>
      </c>
      <c r="E1802" s="413" t="s">
        <v>465</v>
      </c>
      <c r="F1802" s="413" t="s">
        <v>703</v>
      </c>
      <c r="G1802" s="413" t="s">
        <v>601</v>
      </c>
      <c r="H1802" s="415">
        <v>550.0</v>
      </c>
      <c r="I1802" s="416" t="b">
        <v>0</v>
      </c>
      <c r="J1802" s="413" t="s">
        <v>472</v>
      </c>
      <c r="K1802" s="415">
        <v>0.0</v>
      </c>
      <c r="L1802" s="415">
        <v>550.0</v>
      </c>
      <c r="M1802" s="413" t="s">
        <v>2276</v>
      </c>
      <c r="N1802" s="413" t="s">
        <v>2620</v>
      </c>
    </row>
    <row r="1803">
      <c r="A1803" s="409">
        <v>46117.0</v>
      </c>
      <c r="B1803" s="102">
        <v>2026.0</v>
      </c>
      <c r="C1803" s="410" t="s">
        <v>2605</v>
      </c>
      <c r="D1803" s="102" t="s">
        <v>702</v>
      </c>
      <c r="E1803" s="102" t="s">
        <v>465</v>
      </c>
      <c r="F1803" s="102" t="s">
        <v>711</v>
      </c>
      <c r="G1803" s="102" t="s">
        <v>767</v>
      </c>
      <c r="H1803" s="360">
        <v>950.0</v>
      </c>
      <c r="I1803" s="411" t="b">
        <v>0</v>
      </c>
      <c r="J1803" s="102" t="s">
        <v>1230</v>
      </c>
      <c r="K1803" s="360">
        <v>131.03448275862058</v>
      </c>
      <c r="L1803" s="360">
        <v>818.9655172413794</v>
      </c>
      <c r="M1803" s="102" t="s">
        <v>2276</v>
      </c>
      <c r="N1803" s="102" t="s">
        <v>2621</v>
      </c>
    </row>
    <row r="1804">
      <c r="A1804" s="412">
        <v>46117.0</v>
      </c>
      <c r="B1804" s="413">
        <v>2026.0</v>
      </c>
      <c r="C1804" s="414" t="s">
        <v>2605</v>
      </c>
      <c r="D1804" s="413" t="s">
        <v>702</v>
      </c>
      <c r="E1804" s="413" t="s">
        <v>465</v>
      </c>
      <c r="F1804" s="413" t="s">
        <v>703</v>
      </c>
      <c r="G1804" s="413" t="s">
        <v>769</v>
      </c>
      <c r="H1804" s="415">
        <v>9280.0</v>
      </c>
      <c r="I1804" s="416" t="b">
        <v>0</v>
      </c>
      <c r="J1804" s="413" t="s">
        <v>472</v>
      </c>
      <c r="K1804" s="415">
        <v>0.0</v>
      </c>
      <c r="L1804" s="415">
        <v>9280.0</v>
      </c>
      <c r="M1804" s="413" t="s">
        <v>2276</v>
      </c>
      <c r="N1804" s="413" t="s">
        <v>2621</v>
      </c>
    </row>
    <row r="1805">
      <c r="A1805" s="409">
        <v>46118.0</v>
      </c>
      <c r="B1805" s="102">
        <v>2026.0</v>
      </c>
      <c r="C1805" s="410" t="s">
        <v>2605</v>
      </c>
      <c r="D1805" s="102" t="s">
        <v>702</v>
      </c>
      <c r="E1805" s="102" t="s">
        <v>465</v>
      </c>
      <c r="F1805" s="102" t="s">
        <v>711</v>
      </c>
      <c r="G1805" s="102" t="s">
        <v>767</v>
      </c>
      <c r="H1805" s="360">
        <v>950.0</v>
      </c>
      <c r="I1805" s="411" t="b">
        <v>0</v>
      </c>
      <c r="J1805" s="102" t="s">
        <v>1799</v>
      </c>
      <c r="K1805" s="360">
        <v>131.03448275862058</v>
      </c>
      <c r="L1805" s="360">
        <v>818.9655172413794</v>
      </c>
      <c r="M1805" s="102" t="s">
        <v>2276</v>
      </c>
      <c r="N1805" s="102" t="s">
        <v>2622</v>
      </c>
    </row>
    <row r="1806">
      <c r="A1806" s="412">
        <v>46118.0</v>
      </c>
      <c r="B1806" s="413">
        <v>2026.0</v>
      </c>
      <c r="C1806" s="414" t="s">
        <v>2605</v>
      </c>
      <c r="D1806" s="413" t="s">
        <v>702</v>
      </c>
      <c r="E1806" s="413" t="s">
        <v>465</v>
      </c>
      <c r="F1806" s="413" t="s">
        <v>711</v>
      </c>
      <c r="G1806" s="413" t="s">
        <v>767</v>
      </c>
      <c r="H1806" s="415">
        <v>800.0</v>
      </c>
      <c r="I1806" s="416" t="b">
        <v>0</v>
      </c>
      <c r="J1806" s="413" t="s">
        <v>1950</v>
      </c>
      <c r="K1806" s="415">
        <v>110.34482758620686</v>
      </c>
      <c r="L1806" s="415">
        <v>689.6551724137931</v>
      </c>
      <c r="M1806" s="413" t="s">
        <v>2276</v>
      </c>
      <c r="N1806" s="413" t="s">
        <v>2623</v>
      </c>
    </row>
    <row r="1807">
      <c r="A1807" s="409">
        <v>46118.0</v>
      </c>
      <c r="B1807" s="102">
        <v>2026.0</v>
      </c>
      <c r="C1807" s="410" t="s">
        <v>2605</v>
      </c>
      <c r="D1807" s="102" t="s">
        <v>702</v>
      </c>
      <c r="E1807" s="102" t="s">
        <v>465</v>
      </c>
      <c r="F1807" s="102" t="s">
        <v>711</v>
      </c>
      <c r="G1807" s="102" t="s">
        <v>767</v>
      </c>
      <c r="H1807" s="360">
        <v>917.0</v>
      </c>
      <c r="I1807" s="411" t="b">
        <v>0</v>
      </c>
      <c r="J1807" s="102" t="s">
        <v>2624</v>
      </c>
      <c r="K1807" s="360">
        <v>126.48275862068965</v>
      </c>
      <c r="L1807" s="360">
        <v>790.5172413793103</v>
      </c>
      <c r="M1807" s="102" t="s">
        <v>2276</v>
      </c>
      <c r="N1807" s="102" t="s">
        <v>2623</v>
      </c>
    </row>
    <row r="1808">
      <c r="A1808" s="412">
        <v>46120.0</v>
      </c>
      <c r="B1808" s="413">
        <v>2026.0</v>
      </c>
      <c r="C1808" s="414" t="s">
        <v>2605</v>
      </c>
      <c r="D1808" s="413" t="s">
        <v>702</v>
      </c>
      <c r="E1808" s="413" t="s">
        <v>465</v>
      </c>
      <c r="F1808" s="413" t="s">
        <v>711</v>
      </c>
      <c r="G1808" s="413" t="s">
        <v>767</v>
      </c>
      <c r="H1808" s="415">
        <v>800.0</v>
      </c>
      <c r="I1808" s="416" t="b">
        <v>0</v>
      </c>
      <c r="J1808" s="413" t="s">
        <v>1148</v>
      </c>
      <c r="K1808" s="415">
        <v>110.34482758620686</v>
      </c>
      <c r="L1808" s="415">
        <v>689.6551724137931</v>
      </c>
      <c r="M1808" s="413" t="s">
        <v>2276</v>
      </c>
      <c r="N1808" s="413" t="s">
        <v>2625</v>
      </c>
    </row>
    <row r="1809">
      <c r="A1809" s="409">
        <v>46121.0</v>
      </c>
      <c r="B1809" s="102">
        <v>2026.0</v>
      </c>
      <c r="C1809" s="410" t="s">
        <v>2605</v>
      </c>
      <c r="D1809" s="102" t="s">
        <v>702</v>
      </c>
      <c r="E1809" s="102" t="s">
        <v>465</v>
      </c>
      <c r="F1809" s="102" t="s">
        <v>703</v>
      </c>
      <c r="G1809" s="102" t="s">
        <v>724</v>
      </c>
      <c r="H1809" s="360">
        <v>200.0</v>
      </c>
      <c r="I1809" s="411" t="b">
        <v>1</v>
      </c>
      <c r="J1809" s="102" t="s">
        <v>472</v>
      </c>
      <c r="K1809" s="360">
        <v>0.0</v>
      </c>
      <c r="L1809" s="360">
        <v>0.0</v>
      </c>
      <c r="M1809" s="102" t="s">
        <v>2276</v>
      </c>
      <c r="N1809" s="102" t="s">
        <v>2626</v>
      </c>
    </row>
    <row r="1810">
      <c r="A1810" s="412">
        <v>46121.0</v>
      </c>
      <c r="B1810" s="413">
        <v>2026.0</v>
      </c>
      <c r="C1810" s="414" t="s">
        <v>2605</v>
      </c>
      <c r="D1810" s="413" t="s">
        <v>710</v>
      </c>
      <c r="E1810" s="413" t="s">
        <v>137</v>
      </c>
      <c r="F1810" s="413" t="s">
        <v>711</v>
      </c>
      <c r="G1810" s="413" t="s">
        <v>724</v>
      </c>
      <c r="H1810" s="415">
        <v>200.0</v>
      </c>
      <c r="I1810" s="416" t="b">
        <v>1</v>
      </c>
      <c r="J1810" s="413" t="s">
        <v>472</v>
      </c>
      <c r="K1810" s="415">
        <v>0.0</v>
      </c>
      <c r="L1810" s="415">
        <v>0.0</v>
      </c>
      <c r="M1810" s="413" t="s">
        <v>2276</v>
      </c>
      <c r="N1810" s="413" t="s">
        <v>2626</v>
      </c>
    </row>
    <row r="1811">
      <c r="A1811" s="409">
        <v>46122.0</v>
      </c>
      <c r="B1811" s="102">
        <v>2026.0</v>
      </c>
      <c r="C1811" s="410" t="s">
        <v>2605</v>
      </c>
      <c r="D1811" s="102" t="s">
        <v>702</v>
      </c>
      <c r="E1811" s="102" t="s">
        <v>465</v>
      </c>
      <c r="F1811" s="102" t="s">
        <v>711</v>
      </c>
      <c r="G1811" s="102" t="s">
        <v>740</v>
      </c>
      <c r="H1811" s="360">
        <v>43.0</v>
      </c>
      <c r="I1811" s="411" t="b">
        <v>0</v>
      </c>
      <c r="J1811" s="102" t="s">
        <v>472</v>
      </c>
      <c r="K1811" s="360">
        <v>5.931034482758619</v>
      </c>
      <c r="L1811" s="360">
        <v>37.06896551724138</v>
      </c>
      <c r="M1811" s="102" t="s">
        <v>2276</v>
      </c>
      <c r="N1811" s="102" t="s">
        <v>2627</v>
      </c>
    </row>
    <row r="1812">
      <c r="A1812" s="412">
        <v>46122.0</v>
      </c>
      <c r="B1812" s="413">
        <v>2026.0</v>
      </c>
      <c r="C1812" s="414" t="s">
        <v>2605</v>
      </c>
      <c r="D1812" s="413" t="s">
        <v>702</v>
      </c>
      <c r="E1812" s="413" t="s">
        <v>465</v>
      </c>
      <c r="F1812" s="413" t="s">
        <v>711</v>
      </c>
      <c r="G1812" s="413" t="s">
        <v>724</v>
      </c>
      <c r="H1812" s="415">
        <v>118.0</v>
      </c>
      <c r="I1812" s="416" t="b">
        <v>1</v>
      </c>
      <c r="J1812" s="413" t="s">
        <v>2628</v>
      </c>
      <c r="K1812" s="415">
        <v>0.0</v>
      </c>
      <c r="L1812" s="415">
        <v>0.0</v>
      </c>
      <c r="M1812" s="413" t="s">
        <v>2276</v>
      </c>
      <c r="N1812" s="413" t="s">
        <v>2629</v>
      </c>
    </row>
    <row r="1813">
      <c r="A1813" s="409">
        <v>46122.0</v>
      </c>
      <c r="B1813" s="102">
        <v>2026.0</v>
      </c>
      <c r="C1813" s="410" t="s">
        <v>2605</v>
      </c>
      <c r="D1813" s="102" t="s">
        <v>710</v>
      </c>
      <c r="E1813" s="102" t="s">
        <v>137</v>
      </c>
      <c r="F1813" s="102" t="s">
        <v>703</v>
      </c>
      <c r="G1813" s="102" t="s">
        <v>724</v>
      </c>
      <c r="H1813" s="360">
        <v>118.0</v>
      </c>
      <c r="I1813" s="411" t="b">
        <v>1</v>
      </c>
      <c r="J1813" s="102" t="s">
        <v>2628</v>
      </c>
      <c r="K1813" s="360">
        <v>0.0</v>
      </c>
      <c r="L1813" s="360">
        <v>0.0</v>
      </c>
      <c r="M1813" s="102" t="s">
        <v>2276</v>
      </c>
      <c r="N1813" s="102" t="s">
        <v>2629</v>
      </c>
    </row>
    <row r="1814">
      <c r="A1814" s="412">
        <v>46123.0</v>
      </c>
      <c r="B1814" s="413">
        <v>2026.0</v>
      </c>
      <c r="C1814" s="414" t="s">
        <v>2605</v>
      </c>
      <c r="D1814" s="413" t="s">
        <v>702</v>
      </c>
      <c r="E1814" s="413" t="s">
        <v>465</v>
      </c>
      <c r="F1814" s="413" t="s">
        <v>711</v>
      </c>
      <c r="G1814" s="413" t="s">
        <v>767</v>
      </c>
      <c r="H1814" s="415">
        <v>1247.22</v>
      </c>
      <c r="I1814" s="416" t="b">
        <v>0</v>
      </c>
      <c r="J1814" s="413" t="s">
        <v>1820</v>
      </c>
      <c r="K1814" s="415">
        <v>172.03034482758608</v>
      </c>
      <c r="L1814" s="415">
        <v>1075.189655172414</v>
      </c>
      <c r="M1814" s="413" t="s">
        <v>2276</v>
      </c>
      <c r="N1814" s="413" t="s">
        <v>2630</v>
      </c>
    </row>
    <row r="1815">
      <c r="A1815" s="409">
        <v>46125.0</v>
      </c>
      <c r="B1815" s="102">
        <v>2026.0</v>
      </c>
      <c r="C1815" s="410" t="s">
        <v>2605</v>
      </c>
      <c r="D1815" s="102" t="s">
        <v>702</v>
      </c>
      <c r="E1815" s="102" t="s">
        <v>465</v>
      </c>
      <c r="F1815" s="102" t="s">
        <v>711</v>
      </c>
      <c r="G1815" s="102" t="s">
        <v>767</v>
      </c>
      <c r="H1815" s="360">
        <v>950.0</v>
      </c>
      <c r="I1815" s="411" t="b">
        <v>0</v>
      </c>
      <c r="J1815" s="102" t="s">
        <v>1881</v>
      </c>
      <c r="K1815" s="360">
        <v>131.03448275862058</v>
      </c>
      <c r="L1815" s="360">
        <v>818.9655172413794</v>
      </c>
      <c r="M1815" s="102" t="s">
        <v>2276</v>
      </c>
      <c r="N1815" s="102" t="s">
        <v>2631</v>
      </c>
    </row>
    <row r="1816">
      <c r="A1816" s="412">
        <v>46125.0</v>
      </c>
      <c r="B1816" s="413">
        <v>2026.0</v>
      </c>
      <c r="C1816" s="414" t="s">
        <v>2605</v>
      </c>
      <c r="D1816" s="413" t="s">
        <v>710</v>
      </c>
      <c r="E1816" s="413" t="s">
        <v>137</v>
      </c>
      <c r="F1816" s="413" t="s">
        <v>711</v>
      </c>
      <c r="G1816" s="413" t="s">
        <v>767</v>
      </c>
      <c r="H1816" s="415">
        <v>740.0</v>
      </c>
      <c r="I1816" s="416" t="b">
        <v>0</v>
      </c>
      <c r="J1816" s="413" t="s">
        <v>2632</v>
      </c>
      <c r="K1816" s="415">
        <v>0.0</v>
      </c>
      <c r="L1816" s="415">
        <v>740.0</v>
      </c>
      <c r="M1816" s="413" t="s">
        <v>2276</v>
      </c>
      <c r="N1816" s="413" t="s">
        <v>2633</v>
      </c>
    </row>
    <row r="1817">
      <c r="A1817" s="409">
        <v>46125.0</v>
      </c>
      <c r="B1817" s="102">
        <v>2026.0</v>
      </c>
      <c r="C1817" s="410" t="s">
        <v>2605</v>
      </c>
      <c r="D1817" s="102" t="s">
        <v>710</v>
      </c>
      <c r="E1817" s="102" t="s">
        <v>137</v>
      </c>
      <c r="F1817" s="102" t="s">
        <v>711</v>
      </c>
      <c r="G1817" s="102" t="s">
        <v>767</v>
      </c>
      <c r="H1817" s="360">
        <v>950.0</v>
      </c>
      <c r="I1817" s="411" t="b">
        <v>0</v>
      </c>
      <c r="J1817" s="102" t="s">
        <v>2571</v>
      </c>
      <c r="K1817" s="360">
        <v>0.0</v>
      </c>
      <c r="L1817" s="360">
        <v>950.0</v>
      </c>
      <c r="M1817" s="102" t="s">
        <v>2276</v>
      </c>
      <c r="N1817" s="102" t="s">
        <v>2634</v>
      </c>
    </row>
    <row r="1818">
      <c r="A1818" s="412">
        <v>46126.0</v>
      </c>
      <c r="B1818" s="413">
        <v>2026.0</v>
      </c>
      <c r="C1818" s="414" t="s">
        <v>2605</v>
      </c>
      <c r="D1818" s="413" t="s">
        <v>702</v>
      </c>
      <c r="E1818" s="413" t="s">
        <v>465</v>
      </c>
      <c r="F1818" s="413" t="s">
        <v>711</v>
      </c>
      <c r="G1818" s="413" t="s">
        <v>767</v>
      </c>
      <c r="H1818" s="415">
        <v>1425.0</v>
      </c>
      <c r="I1818" s="416" t="b">
        <v>0</v>
      </c>
      <c r="J1818" s="413" t="s">
        <v>2635</v>
      </c>
      <c r="K1818" s="415">
        <v>196.55172413793093</v>
      </c>
      <c r="L1818" s="415">
        <v>1228.448275862069</v>
      </c>
      <c r="M1818" s="413" t="s">
        <v>2276</v>
      </c>
      <c r="N1818" s="413" t="s">
        <v>2636</v>
      </c>
    </row>
    <row r="1819">
      <c r="A1819" s="409">
        <v>46126.0</v>
      </c>
      <c r="B1819" s="102">
        <v>2026.0</v>
      </c>
      <c r="C1819" s="410" t="s">
        <v>2605</v>
      </c>
      <c r="D1819" s="102" t="s">
        <v>710</v>
      </c>
      <c r="E1819" s="102" t="s">
        <v>137</v>
      </c>
      <c r="F1819" s="102" t="s">
        <v>711</v>
      </c>
      <c r="G1819" s="102" t="s">
        <v>767</v>
      </c>
      <c r="H1819" s="360">
        <v>715.0</v>
      </c>
      <c r="I1819" s="411" t="b">
        <v>0</v>
      </c>
      <c r="J1819" s="102" t="s">
        <v>2637</v>
      </c>
      <c r="K1819" s="360">
        <v>0.0</v>
      </c>
      <c r="L1819" s="360">
        <v>715.0</v>
      </c>
      <c r="M1819" s="102" t="s">
        <v>2276</v>
      </c>
      <c r="N1819" s="102" t="s">
        <v>2638</v>
      </c>
    </row>
    <row r="1820">
      <c r="A1820" s="412">
        <v>46126.0</v>
      </c>
      <c r="B1820" s="413">
        <v>2026.0</v>
      </c>
      <c r="C1820" s="414" t="s">
        <v>2605</v>
      </c>
      <c r="D1820" s="413" t="s">
        <v>710</v>
      </c>
      <c r="E1820" s="413" t="s">
        <v>137</v>
      </c>
      <c r="F1820" s="413" t="s">
        <v>711</v>
      </c>
      <c r="G1820" s="413" t="s">
        <v>767</v>
      </c>
      <c r="H1820" s="415">
        <v>150.0</v>
      </c>
      <c r="I1820" s="416" t="b">
        <v>0</v>
      </c>
      <c r="J1820" s="413" t="s">
        <v>1148</v>
      </c>
      <c r="K1820" s="415">
        <v>0.0</v>
      </c>
      <c r="L1820" s="415">
        <v>150.0</v>
      </c>
      <c r="M1820" s="413" t="s">
        <v>2276</v>
      </c>
      <c r="N1820" s="413" t="s">
        <v>2638</v>
      </c>
    </row>
    <row r="1821">
      <c r="A1821" s="409">
        <v>46127.0</v>
      </c>
      <c r="B1821" s="102">
        <v>2026.0</v>
      </c>
      <c r="C1821" s="410" t="s">
        <v>2605</v>
      </c>
      <c r="D1821" s="102" t="s">
        <v>702</v>
      </c>
      <c r="E1821" s="102" t="s">
        <v>465</v>
      </c>
      <c r="F1821" s="102" t="s">
        <v>711</v>
      </c>
      <c r="G1821" s="102" t="s">
        <v>767</v>
      </c>
      <c r="H1821" s="360">
        <v>1100.0</v>
      </c>
      <c r="I1821" s="411" t="b">
        <v>0</v>
      </c>
      <c r="J1821" s="102" t="s">
        <v>2477</v>
      </c>
      <c r="K1821" s="360">
        <v>151.72413793103442</v>
      </c>
      <c r="L1821" s="360">
        <v>948.2758620689656</v>
      </c>
      <c r="M1821" s="102" t="s">
        <v>2276</v>
      </c>
      <c r="N1821" s="102" t="s">
        <v>2639</v>
      </c>
    </row>
    <row r="1822">
      <c r="A1822" s="412">
        <v>46127.0</v>
      </c>
      <c r="B1822" s="413">
        <v>2026.0</v>
      </c>
      <c r="C1822" s="414" t="s">
        <v>2605</v>
      </c>
      <c r="D1822" s="413" t="s">
        <v>702</v>
      </c>
      <c r="E1822" s="413" t="s">
        <v>465</v>
      </c>
      <c r="F1822" s="413" t="s">
        <v>711</v>
      </c>
      <c r="G1822" s="413" t="s">
        <v>767</v>
      </c>
      <c r="H1822" s="415">
        <v>1600.0</v>
      </c>
      <c r="I1822" s="416" t="b">
        <v>0</v>
      </c>
      <c r="J1822" s="413" t="s">
        <v>2640</v>
      </c>
      <c r="K1822" s="415">
        <v>220.68965517241372</v>
      </c>
      <c r="L1822" s="415">
        <v>1379.3103448275863</v>
      </c>
      <c r="M1822" s="413" t="s">
        <v>2276</v>
      </c>
      <c r="N1822" s="413" t="s">
        <v>2639</v>
      </c>
    </row>
    <row r="1823">
      <c r="A1823" s="409">
        <v>46127.0</v>
      </c>
      <c r="B1823" s="102">
        <v>2026.0</v>
      </c>
      <c r="C1823" s="410" t="s">
        <v>2605</v>
      </c>
      <c r="D1823" s="102" t="s">
        <v>702</v>
      </c>
      <c r="E1823" s="102" t="s">
        <v>465</v>
      </c>
      <c r="F1823" s="102" t="s">
        <v>703</v>
      </c>
      <c r="G1823" s="102" t="s">
        <v>747</v>
      </c>
      <c r="H1823" s="360">
        <v>3000.0</v>
      </c>
      <c r="I1823" s="411" t="b">
        <v>0</v>
      </c>
      <c r="J1823" s="102" t="s">
        <v>472</v>
      </c>
      <c r="K1823" s="360">
        <v>0.0</v>
      </c>
      <c r="L1823" s="360">
        <v>3000.0</v>
      </c>
      <c r="M1823" s="102" t="s">
        <v>2276</v>
      </c>
      <c r="N1823" s="102" t="s">
        <v>2641</v>
      </c>
    </row>
    <row r="1824">
      <c r="A1824" s="412">
        <v>46127.0</v>
      </c>
      <c r="B1824" s="413">
        <v>2026.0</v>
      </c>
      <c r="C1824" s="414" t="s">
        <v>2605</v>
      </c>
      <c r="D1824" s="413" t="s">
        <v>710</v>
      </c>
      <c r="E1824" s="413" t="s">
        <v>137</v>
      </c>
      <c r="F1824" s="413" t="s">
        <v>703</v>
      </c>
      <c r="G1824" s="413" t="s">
        <v>747</v>
      </c>
      <c r="H1824" s="415">
        <v>2500.0</v>
      </c>
      <c r="I1824" s="416" t="b">
        <v>0</v>
      </c>
      <c r="J1824" s="413" t="s">
        <v>472</v>
      </c>
      <c r="K1824" s="415">
        <v>0.0</v>
      </c>
      <c r="L1824" s="415">
        <v>2500.0</v>
      </c>
      <c r="M1824" s="413" t="s">
        <v>2276</v>
      </c>
      <c r="N1824" s="413" t="s">
        <v>2642</v>
      </c>
    </row>
    <row r="1825">
      <c r="A1825" s="409">
        <v>46128.0</v>
      </c>
      <c r="B1825" s="102">
        <v>2026.0</v>
      </c>
      <c r="C1825" s="410" t="s">
        <v>2605</v>
      </c>
      <c r="D1825" s="102" t="s">
        <v>723</v>
      </c>
      <c r="E1825" s="102" t="s">
        <v>137</v>
      </c>
      <c r="F1825" s="102" t="s">
        <v>711</v>
      </c>
      <c r="G1825" s="102" t="s">
        <v>767</v>
      </c>
      <c r="H1825" s="360">
        <v>690.0</v>
      </c>
      <c r="I1825" s="411" t="b">
        <v>0</v>
      </c>
      <c r="J1825" s="102" t="s">
        <v>2643</v>
      </c>
      <c r="K1825" s="360">
        <v>0.0</v>
      </c>
      <c r="L1825" s="360">
        <v>690.0</v>
      </c>
      <c r="M1825" s="102" t="s">
        <v>2276</v>
      </c>
      <c r="N1825" s="102" t="s">
        <v>2644</v>
      </c>
    </row>
    <row r="1826">
      <c r="A1826" s="412">
        <v>46128.0</v>
      </c>
      <c r="B1826" s="413">
        <v>2026.0</v>
      </c>
      <c r="C1826" s="414" t="s">
        <v>2605</v>
      </c>
      <c r="D1826" s="413" t="s">
        <v>702</v>
      </c>
      <c r="E1826" s="413" t="s">
        <v>465</v>
      </c>
      <c r="F1826" s="413" t="s">
        <v>711</v>
      </c>
      <c r="G1826" s="413" t="s">
        <v>767</v>
      </c>
      <c r="H1826" s="415">
        <v>900.0</v>
      </c>
      <c r="I1826" s="416" t="b">
        <v>0</v>
      </c>
      <c r="J1826" s="413" t="s">
        <v>1788</v>
      </c>
      <c r="K1826" s="415">
        <v>124.13793103448268</v>
      </c>
      <c r="L1826" s="415">
        <v>775.8620689655173</v>
      </c>
      <c r="M1826" s="413" t="s">
        <v>2276</v>
      </c>
      <c r="N1826" s="413" t="s">
        <v>2645</v>
      </c>
    </row>
    <row r="1827">
      <c r="A1827" s="409">
        <v>46128.0</v>
      </c>
      <c r="B1827" s="102">
        <v>2026.0</v>
      </c>
      <c r="C1827" s="410" t="s">
        <v>2605</v>
      </c>
      <c r="D1827" s="102" t="s">
        <v>702</v>
      </c>
      <c r="E1827" s="102" t="s">
        <v>465</v>
      </c>
      <c r="F1827" s="102" t="s">
        <v>711</v>
      </c>
      <c r="G1827" s="102" t="s">
        <v>767</v>
      </c>
      <c r="H1827" s="360">
        <v>1100.0</v>
      </c>
      <c r="I1827" s="411" t="b">
        <v>0</v>
      </c>
      <c r="J1827" s="102" t="s">
        <v>1967</v>
      </c>
      <c r="K1827" s="360">
        <v>151.72413793103442</v>
      </c>
      <c r="L1827" s="360">
        <v>948.2758620689656</v>
      </c>
      <c r="M1827" s="102" t="s">
        <v>2276</v>
      </c>
      <c r="N1827" s="102" t="s">
        <v>2646</v>
      </c>
    </row>
    <row r="1828">
      <c r="A1828" s="412">
        <v>46129.0</v>
      </c>
      <c r="B1828" s="413">
        <v>2026.0</v>
      </c>
      <c r="C1828" s="414" t="s">
        <v>2605</v>
      </c>
      <c r="D1828" s="413" t="s">
        <v>702</v>
      </c>
      <c r="E1828" s="413" t="s">
        <v>465</v>
      </c>
      <c r="F1828" s="413" t="s">
        <v>711</v>
      </c>
      <c r="G1828" s="413" t="s">
        <v>767</v>
      </c>
      <c r="H1828" s="415">
        <v>700.0</v>
      </c>
      <c r="I1828" s="416" t="b">
        <v>0</v>
      </c>
      <c r="J1828" s="413" t="s">
        <v>2547</v>
      </c>
      <c r="K1828" s="415">
        <v>96.55172413793105</v>
      </c>
      <c r="L1828" s="415">
        <v>603.448275862069</v>
      </c>
      <c r="M1828" s="413" t="s">
        <v>2276</v>
      </c>
      <c r="N1828" s="413" t="s">
        <v>2647</v>
      </c>
    </row>
    <row r="1829">
      <c r="A1829" s="409">
        <v>46133.0</v>
      </c>
      <c r="B1829" s="102">
        <v>2026.0</v>
      </c>
      <c r="C1829" s="410" t="s">
        <v>2605</v>
      </c>
      <c r="D1829" s="102" t="s">
        <v>702</v>
      </c>
      <c r="E1829" s="102" t="s">
        <v>465</v>
      </c>
      <c r="F1829" s="102" t="s">
        <v>703</v>
      </c>
      <c r="G1829" s="102" t="s">
        <v>732</v>
      </c>
      <c r="H1829" s="360">
        <v>1880.0</v>
      </c>
      <c r="I1829" s="411" t="b">
        <v>0</v>
      </c>
      <c r="J1829" s="102" t="s">
        <v>2211</v>
      </c>
      <c r="K1829" s="360">
        <v>0.0</v>
      </c>
      <c r="L1829" s="360">
        <v>1880.0</v>
      </c>
      <c r="M1829" s="102" t="s">
        <v>2276</v>
      </c>
      <c r="N1829" s="102" t="s">
        <v>2648</v>
      </c>
    </row>
    <row r="1830">
      <c r="A1830" s="412">
        <v>46133.0</v>
      </c>
      <c r="B1830" s="413">
        <v>2026.0</v>
      </c>
      <c r="C1830" s="414" t="s">
        <v>2605</v>
      </c>
      <c r="D1830" s="413" t="s">
        <v>702</v>
      </c>
      <c r="E1830" s="413" t="s">
        <v>465</v>
      </c>
      <c r="F1830" s="413" t="s">
        <v>703</v>
      </c>
      <c r="G1830" s="413" t="s">
        <v>906</v>
      </c>
      <c r="H1830" s="415">
        <v>97.0</v>
      </c>
      <c r="I1830" s="416" t="b">
        <v>0</v>
      </c>
      <c r="J1830" s="413" t="s">
        <v>2649</v>
      </c>
      <c r="K1830" s="415">
        <v>0.0</v>
      </c>
      <c r="L1830" s="415">
        <v>97.0</v>
      </c>
      <c r="M1830" s="413" t="s">
        <v>2276</v>
      </c>
      <c r="N1830" s="413" t="s">
        <v>2650</v>
      </c>
    </row>
    <row r="1831">
      <c r="A1831" s="409">
        <v>46133.0</v>
      </c>
      <c r="B1831" s="102">
        <v>2026.0</v>
      </c>
      <c r="C1831" s="410" t="s">
        <v>2605</v>
      </c>
      <c r="D1831" s="102" t="s">
        <v>702</v>
      </c>
      <c r="E1831" s="102" t="s">
        <v>465</v>
      </c>
      <c r="F1831" s="102" t="s">
        <v>703</v>
      </c>
      <c r="G1831" s="102" t="s">
        <v>732</v>
      </c>
      <c r="H1831" s="360">
        <v>1709.0</v>
      </c>
      <c r="I1831" s="411" t="b">
        <v>0</v>
      </c>
      <c r="J1831" s="102" t="s">
        <v>1505</v>
      </c>
      <c r="K1831" s="360">
        <v>0.0</v>
      </c>
      <c r="L1831" s="360">
        <v>1709.0</v>
      </c>
      <c r="M1831" s="102" t="s">
        <v>2276</v>
      </c>
      <c r="N1831" s="102" t="s">
        <v>2651</v>
      </c>
    </row>
    <row r="1832">
      <c r="A1832" s="412">
        <v>46133.0</v>
      </c>
      <c r="B1832" s="413">
        <v>2026.0</v>
      </c>
      <c r="C1832" s="414" t="s">
        <v>2605</v>
      </c>
      <c r="D1832" s="413" t="s">
        <v>710</v>
      </c>
      <c r="E1832" s="413" t="s">
        <v>137</v>
      </c>
      <c r="F1832" s="413" t="s">
        <v>711</v>
      </c>
      <c r="G1832" s="413" t="s">
        <v>767</v>
      </c>
      <c r="H1832" s="415">
        <v>1900.0</v>
      </c>
      <c r="I1832" s="416" t="b">
        <v>0</v>
      </c>
      <c r="J1832" s="413" t="s">
        <v>2652</v>
      </c>
      <c r="K1832" s="415">
        <v>0.0</v>
      </c>
      <c r="L1832" s="415">
        <v>1900.0</v>
      </c>
      <c r="M1832" s="413" t="s">
        <v>2276</v>
      </c>
      <c r="N1832" s="413" t="s">
        <v>2653</v>
      </c>
    </row>
    <row r="1833">
      <c r="A1833" s="409">
        <v>46133.0</v>
      </c>
      <c r="B1833" s="102">
        <v>2026.0</v>
      </c>
      <c r="C1833" s="410" t="s">
        <v>2605</v>
      </c>
      <c r="D1833" s="102" t="s">
        <v>710</v>
      </c>
      <c r="E1833" s="102" t="s">
        <v>137</v>
      </c>
      <c r="F1833" s="102" t="s">
        <v>711</v>
      </c>
      <c r="G1833" s="102" t="s">
        <v>740</v>
      </c>
      <c r="H1833" s="360">
        <v>80.0</v>
      </c>
      <c r="I1833" s="411" t="b">
        <v>0</v>
      </c>
      <c r="J1833" s="102" t="s">
        <v>472</v>
      </c>
      <c r="K1833" s="360">
        <v>0.0</v>
      </c>
      <c r="L1833" s="360">
        <v>80.0</v>
      </c>
      <c r="M1833" s="102" t="s">
        <v>2276</v>
      </c>
      <c r="N1833" s="102" t="s">
        <v>2654</v>
      </c>
    </row>
    <row r="1834">
      <c r="A1834" s="412">
        <v>46133.0</v>
      </c>
      <c r="B1834" s="413">
        <v>2026.0</v>
      </c>
      <c r="C1834" s="414" t="s">
        <v>2605</v>
      </c>
      <c r="D1834" s="413" t="s">
        <v>710</v>
      </c>
      <c r="E1834" s="413" t="s">
        <v>137</v>
      </c>
      <c r="F1834" s="413" t="s">
        <v>711</v>
      </c>
      <c r="G1834" s="413" t="s">
        <v>732</v>
      </c>
      <c r="H1834" s="415">
        <v>150.0</v>
      </c>
      <c r="I1834" s="416" t="b">
        <v>0</v>
      </c>
      <c r="J1834" s="413" t="s">
        <v>2655</v>
      </c>
      <c r="K1834" s="415">
        <v>0.0</v>
      </c>
      <c r="L1834" s="415">
        <v>150.0</v>
      </c>
      <c r="M1834" s="413" t="s">
        <v>2276</v>
      </c>
      <c r="N1834" s="413" t="s">
        <v>2656</v>
      </c>
    </row>
    <row r="1835">
      <c r="A1835" s="409">
        <v>46133.0</v>
      </c>
      <c r="B1835" s="102">
        <v>2026.0</v>
      </c>
      <c r="C1835" s="410" t="s">
        <v>2605</v>
      </c>
      <c r="D1835" s="102" t="s">
        <v>723</v>
      </c>
      <c r="E1835" s="102" t="s">
        <v>137</v>
      </c>
      <c r="F1835" s="102" t="s">
        <v>703</v>
      </c>
      <c r="G1835" s="102" t="s">
        <v>724</v>
      </c>
      <c r="H1835" s="360">
        <v>690.0</v>
      </c>
      <c r="I1835" s="411" t="b">
        <v>1</v>
      </c>
      <c r="J1835" s="102" t="s">
        <v>472</v>
      </c>
      <c r="K1835" s="360">
        <v>0.0</v>
      </c>
      <c r="L1835" s="360">
        <v>0.0</v>
      </c>
      <c r="M1835" s="102" t="s">
        <v>2276</v>
      </c>
      <c r="N1835" s="102" t="s">
        <v>2657</v>
      </c>
    </row>
    <row r="1836">
      <c r="A1836" s="412">
        <v>46133.0</v>
      </c>
      <c r="B1836" s="413">
        <v>2026.0</v>
      </c>
      <c r="C1836" s="414" t="s">
        <v>2605</v>
      </c>
      <c r="D1836" s="413" t="s">
        <v>710</v>
      </c>
      <c r="E1836" s="413" t="s">
        <v>137</v>
      </c>
      <c r="F1836" s="413" t="s">
        <v>711</v>
      </c>
      <c r="G1836" s="413" t="s">
        <v>724</v>
      </c>
      <c r="H1836" s="415">
        <v>690.0</v>
      </c>
      <c r="I1836" s="416" t="b">
        <v>1</v>
      </c>
      <c r="J1836" s="413" t="s">
        <v>472</v>
      </c>
      <c r="K1836" s="415">
        <v>0.0</v>
      </c>
      <c r="L1836" s="415">
        <v>0.0</v>
      </c>
      <c r="M1836" s="413" t="s">
        <v>2276</v>
      </c>
      <c r="N1836" s="413" t="s">
        <v>2657</v>
      </c>
    </row>
    <row r="1837">
      <c r="A1837" s="409">
        <v>46133.0</v>
      </c>
      <c r="B1837" s="102">
        <v>2026.0</v>
      </c>
      <c r="C1837" s="410" t="s">
        <v>2605</v>
      </c>
      <c r="D1837" s="102" t="s">
        <v>702</v>
      </c>
      <c r="E1837" s="102" t="s">
        <v>465</v>
      </c>
      <c r="F1837" s="102" t="s">
        <v>711</v>
      </c>
      <c r="G1837" s="102" t="s">
        <v>732</v>
      </c>
      <c r="H1837" s="360">
        <v>4356.0</v>
      </c>
      <c r="I1837" s="411" t="b">
        <v>0</v>
      </c>
      <c r="J1837" s="102" t="s">
        <v>2658</v>
      </c>
      <c r="K1837" s="360">
        <v>600.8275862068963</v>
      </c>
      <c r="L1837" s="360">
        <v>3755.1724137931037</v>
      </c>
      <c r="M1837" s="102" t="s">
        <v>2276</v>
      </c>
      <c r="N1837" s="102" t="s">
        <v>2659</v>
      </c>
    </row>
    <row r="1838">
      <c r="A1838" s="412">
        <v>46133.0</v>
      </c>
      <c r="B1838" s="413">
        <v>2026.0</v>
      </c>
      <c r="C1838" s="414" t="s">
        <v>2605</v>
      </c>
      <c r="D1838" s="413" t="s">
        <v>710</v>
      </c>
      <c r="E1838" s="413" t="s">
        <v>137</v>
      </c>
      <c r="F1838" s="413" t="s">
        <v>711</v>
      </c>
      <c r="G1838" s="413" t="s">
        <v>740</v>
      </c>
      <c r="H1838" s="415">
        <v>59.0</v>
      </c>
      <c r="I1838" s="416" t="b">
        <v>0</v>
      </c>
      <c r="J1838" s="413" t="s">
        <v>472</v>
      </c>
      <c r="K1838" s="415">
        <v>0.0</v>
      </c>
      <c r="L1838" s="415">
        <v>59.0</v>
      </c>
      <c r="M1838" s="413" t="s">
        <v>2276</v>
      </c>
      <c r="N1838" s="413" t="s">
        <v>2660</v>
      </c>
    </row>
    <row r="1839">
      <c r="A1839" s="409">
        <v>46133.0</v>
      </c>
      <c r="B1839" s="102">
        <v>2026.0</v>
      </c>
      <c r="C1839" s="410" t="s">
        <v>2605</v>
      </c>
      <c r="D1839" s="102" t="s">
        <v>702</v>
      </c>
      <c r="E1839" s="102" t="s">
        <v>465</v>
      </c>
      <c r="F1839" s="102" t="s">
        <v>711</v>
      </c>
      <c r="G1839" s="102" t="s">
        <v>767</v>
      </c>
      <c r="H1839" s="360">
        <v>150.0</v>
      </c>
      <c r="I1839" s="411" t="b">
        <v>0</v>
      </c>
      <c r="J1839" s="102" t="s">
        <v>1950</v>
      </c>
      <c r="K1839" s="360">
        <v>20.68965517241378</v>
      </c>
      <c r="L1839" s="360">
        <v>129.31034482758622</v>
      </c>
      <c r="M1839" s="102" t="s">
        <v>2276</v>
      </c>
      <c r="N1839" s="102" t="s">
        <v>2661</v>
      </c>
    </row>
    <row r="1840">
      <c r="A1840" s="412">
        <v>46133.0</v>
      </c>
      <c r="B1840" s="413">
        <v>2026.0</v>
      </c>
      <c r="C1840" s="414" t="s">
        <v>2605</v>
      </c>
      <c r="D1840" s="413" t="s">
        <v>723</v>
      </c>
      <c r="E1840" s="413" t="s">
        <v>137</v>
      </c>
      <c r="F1840" s="413" t="s">
        <v>711</v>
      </c>
      <c r="G1840" s="413" t="s">
        <v>732</v>
      </c>
      <c r="H1840" s="415">
        <v>300.0</v>
      </c>
      <c r="I1840" s="416" t="b">
        <v>0</v>
      </c>
      <c r="J1840" s="413" t="s">
        <v>2655</v>
      </c>
      <c r="K1840" s="415">
        <v>0.0</v>
      </c>
      <c r="L1840" s="415">
        <v>300.0</v>
      </c>
      <c r="M1840" s="413" t="s">
        <v>2276</v>
      </c>
      <c r="N1840" s="413" t="s">
        <v>2662</v>
      </c>
    </row>
    <row r="1841">
      <c r="A1841" s="409">
        <v>46133.0</v>
      </c>
      <c r="B1841" s="102">
        <v>2026.0</v>
      </c>
      <c r="C1841" s="410" t="s">
        <v>2605</v>
      </c>
      <c r="D1841" s="102" t="s">
        <v>710</v>
      </c>
      <c r="E1841" s="102" t="s">
        <v>137</v>
      </c>
      <c r="F1841" s="102" t="s">
        <v>703</v>
      </c>
      <c r="G1841" s="102" t="s">
        <v>724</v>
      </c>
      <c r="H1841" s="360">
        <v>480.0</v>
      </c>
      <c r="I1841" s="411" t="b">
        <v>1</v>
      </c>
      <c r="J1841" s="102" t="s">
        <v>472</v>
      </c>
      <c r="K1841" s="360">
        <v>0.0</v>
      </c>
      <c r="L1841" s="360">
        <v>0.0</v>
      </c>
      <c r="M1841" s="102" t="s">
        <v>2276</v>
      </c>
      <c r="N1841" s="102" t="s">
        <v>2663</v>
      </c>
    </row>
    <row r="1842">
      <c r="A1842" s="412">
        <v>46133.0</v>
      </c>
      <c r="B1842" s="413">
        <v>2026.0</v>
      </c>
      <c r="C1842" s="414" t="s">
        <v>2605</v>
      </c>
      <c r="D1842" s="413" t="s">
        <v>723</v>
      </c>
      <c r="E1842" s="413" t="s">
        <v>137</v>
      </c>
      <c r="F1842" s="413" t="s">
        <v>711</v>
      </c>
      <c r="G1842" s="413" t="s">
        <v>724</v>
      </c>
      <c r="H1842" s="415">
        <v>480.0</v>
      </c>
      <c r="I1842" s="416" t="b">
        <v>1</v>
      </c>
      <c r="J1842" s="413" t="s">
        <v>472</v>
      </c>
      <c r="K1842" s="415">
        <v>0.0</v>
      </c>
      <c r="L1842" s="415">
        <v>0.0</v>
      </c>
      <c r="M1842" s="413" t="s">
        <v>2276</v>
      </c>
      <c r="N1842" s="413" t="s">
        <v>2663</v>
      </c>
    </row>
    <row r="1843">
      <c r="A1843" s="409">
        <v>46134.0</v>
      </c>
      <c r="B1843" s="102">
        <v>2026.0</v>
      </c>
      <c r="C1843" s="410" t="s">
        <v>2605</v>
      </c>
      <c r="D1843" s="102" t="s">
        <v>702</v>
      </c>
      <c r="E1843" s="102" t="s">
        <v>465</v>
      </c>
      <c r="F1843" s="102" t="s">
        <v>711</v>
      </c>
      <c r="G1843" s="102" t="s">
        <v>767</v>
      </c>
      <c r="H1843" s="360">
        <v>50.0</v>
      </c>
      <c r="I1843" s="411" t="b">
        <v>0</v>
      </c>
      <c r="J1843" s="102" t="s">
        <v>1788</v>
      </c>
      <c r="K1843" s="360">
        <v>6.896551724137929</v>
      </c>
      <c r="L1843" s="360">
        <v>43.10344827586207</v>
      </c>
      <c r="M1843" s="102" t="s">
        <v>2276</v>
      </c>
      <c r="N1843" s="102" t="s">
        <v>2664</v>
      </c>
    </row>
    <row r="1844">
      <c r="A1844" s="412">
        <v>46134.0</v>
      </c>
      <c r="B1844" s="413">
        <v>2026.0</v>
      </c>
      <c r="C1844" s="414" t="s">
        <v>2605</v>
      </c>
      <c r="D1844" s="413" t="s">
        <v>710</v>
      </c>
      <c r="E1844" s="413" t="s">
        <v>137</v>
      </c>
      <c r="F1844" s="413" t="s">
        <v>703</v>
      </c>
      <c r="G1844" s="413" t="s">
        <v>906</v>
      </c>
      <c r="H1844" s="415">
        <v>1645.0</v>
      </c>
      <c r="I1844" s="416" t="b">
        <v>0</v>
      </c>
      <c r="J1844" s="413" t="s">
        <v>472</v>
      </c>
      <c r="K1844" s="415">
        <v>0.0</v>
      </c>
      <c r="L1844" s="415">
        <v>1645.0</v>
      </c>
      <c r="M1844" s="413" t="s">
        <v>2276</v>
      </c>
      <c r="N1844" s="413" t="s">
        <v>2665</v>
      </c>
    </row>
    <row r="1845">
      <c r="A1845" s="409">
        <v>46134.0</v>
      </c>
      <c r="B1845" s="102">
        <v>2026.0</v>
      </c>
      <c r="C1845" s="410" t="s">
        <v>2605</v>
      </c>
      <c r="D1845" s="102" t="s">
        <v>723</v>
      </c>
      <c r="E1845" s="102" t="s">
        <v>137</v>
      </c>
      <c r="F1845" s="102" t="s">
        <v>711</v>
      </c>
      <c r="G1845" s="102" t="s">
        <v>734</v>
      </c>
      <c r="H1845" s="360">
        <v>420.0</v>
      </c>
      <c r="I1845" s="411" t="b">
        <v>0</v>
      </c>
      <c r="J1845" s="102" t="s">
        <v>2666</v>
      </c>
      <c r="K1845" s="360">
        <v>0.0</v>
      </c>
      <c r="L1845" s="360">
        <v>420.0</v>
      </c>
      <c r="M1845" s="102" t="s">
        <v>2276</v>
      </c>
      <c r="N1845" s="102" t="s">
        <v>2667</v>
      </c>
    </row>
    <row r="1846">
      <c r="A1846" s="412">
        <v>46134.0</v>
      </c>
      <c r="B1846" s="413">
        <v>2026.0</v>
      </c>
      <c r="C1846" s="414" t="s">
        <v>2605</v>
      </c>
      <c r="D1846" s="413" t="s">
        <v>723</v>
      </c>
      <c r="E1846" s="413" t="s">
        <v>137</v>
      </c>
      <c r="F1846" s="413" t="s">
        <v>711</v>
      </c>
      <c r="G1846" s="413" t="s">
        <v>740</v>
      </c>
      <c r="H1846" s="415">
        <v>10.0</v>
      </c>
      <c r="I1846" s="416" t="b">
        <v>0</v>
      </c>
      <c r="J1846" s="413" t="s">
        <v>472</v>
      </c>
      <c r="K1846" s="415">
        <v>0.0</v>
      </c>
      <c r="L1846" s="415">
        <v>10.0</v>
      </c>
      <c r="M1846" s="413" t="s">
        <v>2276</v>
      </c>
      <c r="N1846" s="413" t="s">
        <v>2668</v>
      </c>
    </row>
    <row r="1847">
      <c r="A1847" s="409">
        <v>46134.0</v>
      </c>
      <c r="B1847" s="102">
        <v>2026.0</v>
      </c>
      <c r="C1847" s="410" t="s">
        <v>2605</v>
      </c>
      <c r="D1847" s="102" t="s">
        <v>723</v>
      </c>
      <c r="E1847" s="102" t="s">
        <v>137</v>
      </c>
      <c r="F1847" s="102" t="s">
        <v>711</v>
      </c>
      <c r="G1847" s="102" t="s">
        <v>767</v>
      </c>
      <c r="H1847" s="360">
        <v>1100.0</v>
      </c>
      <c r="I1847" s="411" t="b">
        <v>0</v>
      </c>
      <c r="J1847" s="102" t="s">
        <v>1232</v>
      </c>
      <c r="K1847" s="360">
        <v>0.0</v>
      </c>
      <c r="L1847" s="360">
        <v>1100.0</v>
      </c>
      <c r="M1847" s="102" t="s">
        <v>2276</v>
      </c>
      <c r="N1847" s="102" t="s">
        <v>2669</v>
      </c>
    </row>
    <row r="1848">
      <c r="A1848" s="412">
        <v>46137.0</v>
      </c>
      <c r="B1848" s="413">
        <v>2026.0</v>
      </c>
      <c r="C1848" s="414" t="s">
        <v>2605</v>
      </c>
      <c r="D1848" s="413" t="s">
        <v>723</v>
      </c>
      <c r="E1848" s="413" t="s">
        <v>137</v>
      </c>
      <c r="F1848" s="413" t="s">
        <v>711</v>
      </c>
      <c r="G1848" s="413" t="s">
        <v>740</v>
      </c>
      <c r="H1848" s="415">
        <v>40.0</v>
      </c>
      <c r="I1848" s="416" t="b">
        <v>0</v>
      </c>
      <c r="J1848" s="413" t="s">
        <v>472</v>
      </c>
      <c r="K1848" s="415">
        <v>0.0</v>
      </c>
      <c r="L1848" s="415">
        <v>40.0</v>
      </c>
      <c r="M1848" s="413" t="s">
        <v>2276</v>
      </c>
      <c r="N1848" s="413" t="s">
        <v>2670</v>
      </c>
    </row>
    <row r="1849">
      <c r="A1849" s="409">
        <v>46137.0</v>
      </c>
      <c r="B1849" s="102">
        <v>2026.0</v>
      </c>
      <c r="C1849" s="410" t="s">
        <v>2605</v>
      </c>
      <c r="D1849" s="102" t="s">
        <v>723</v>
      </c>
      <c r="E1849" s="102" t="s">
        <v>137</v>
      </c>
      <c r="F1849" s="102" t="s">
        <v>711</v>
      </c>
      <c r="G1849" s="102" t="s">
        <v>734</v>
      </c>
      <c r="H1849" s="360">
        <v>550.0</v>
      </c>
      <c r="I1849" s="411" t="b">
        <v>0</v>
      </c>
      <c r="J1849" s="102" t="s">
        <v>472</v>
      </c>
      <c r="K1849" s="360">
        <v>0.0</v>
      </c>
      <c r="L1849" s="360">
        <v>550.0</v>
      </c>
      <c r="M1849" s="102" t="s">
        <v>2276</v>
      </c>
      <c r="N1849" s="102" t="s">
        <v>2671</v>
      </c>
    </row>
    <row r="1850">
      <c r="A1850" s="412">
        <v>46137.0</v>
      </c>
      <c r="B1850" s="413">
        <v>2026.0</v>
      </c>
      <c r="C1850" s="414" t="s">
        <v>2605</v>
      </c>
      <c r="D1850" s="413" t="s">
        <v>723</v>
      </c>
      <c r="E1850" s="413" t="s">
        <v>137</v>
      </c>
      <c r="F1850" s="413" t="s">
        <v>711</v>
      </c>
      <c r="G1850" s="413" t="s">
        <v>732</v>
      </c>
      <c r="H1850" s="415">
        <v>160.0</v>
      </c>
      <c r="I1850" s="416" t="b">
        <v>0</v>
      </c>
      <c r="J1850" s="413" t="s">
        <v>472</v>
      </c>
      <c r="K1850" s="415">
        <v>0.0</v>
      </c>
      <c r="L1850" s="415">
        <v>160.0</v>
      </c>
      <c r="M1850" s="413" t="s">
        <v>2276</v>
      </c>
      <c r="N1850" s="413" t="s">
        <v>2672</v>
      </c>
    </row>
    <row r="1851">
      <c r="A1851" s="409">
        <v>46137.0</v>
      </c>
      <c r="B1851" s="102">
        <v>2026.0</v>
      </c>
      <c r="C1851" s="410" t="s">
        <v>2605</v>
      </c>
      <c r="D1851" s="102" t="s">
        <v>702</v>
      </c>
      <c r="E1851" s="102" t="s">
        <v>465</v>
      </c>
      <c r="F1851" s="102" t="s">
        <v>703</v>
      </c>
      <c r="G1851" s="102" t="s">
        <v>1673</v>
      </c>
      <c r="H1851" s="360">
        <v>696.0</v>
      </c>
      <c r="I1851" s="411" t="b">
        <v>0</v>
      </c>
      <c r="J1851" s="102" t="s">
        <v>460</v>
      </c>
      <c r="K1851" s="360">
        <v>0.0</v>
      </c>
      <c r="L1851" s="360">
        <v>696.0</v>
      </c>
      <c r="M1851" s="102" t="s">
        <v>2276</v>
      </c>
      <c r="N1851" s="102" t="s">
        <v>2673</v>
      </c>
    </row>
    <row r="1852">
      <c r="A1852" s="412">
        <v>46137.0</v>
      </c>
      <c r="B1852" s="413">
        <v>2026.0</v>
      </c>
      <c r="C1852" s="414" t="s">
        <v>2605</v>
      </c>
      <c r="D1852" s="413" t="s">
        <v>702</v>
      </c>
      <c r="E1852" s="413" t="s">
        <v>465</v>
      </c>
      <c r="F1852" s="413" t="s">
        <v>703</v>
      </c>
      <c r="G1852" s="413" t="s">
        <v>740</v>
      </c>
      <c r="H1852" s="415">
        <v>115.0</v>
      </c>
      <c r="I1852" s="416" t="b">
        <v>0</v>
      </c>
      <c r="J1852" s="413" t="s">
        <v>472</v>
      </c>
      <c r="K1852" s="415">
        <v>0.0</v>
      </c>
      <c r="L1852" s="415">
        <v>115.0</v>
      </c>
      <c r="M1852" s="413" t="s">
        <v>2276</v>
      </c>
      <c r="N1852" s="413" t="s">
        <v>2674</v>
      </c>
    </row>
    <row r="1853">
      <c r="A1853" s="409">
        <v>46138.0</v>
      </c>
      <c r="B1853" s="102">
        <v>2026.0</v>
      </c>
      <c r="C1853" s="410" t="s">
        <v>2605</v>
      </c>
      <c r="D1853" s="102" t="s">
        <v>723</v>
      </c>
      <c r="E1853" s="102" t="s">
        <v>137</v>
      </c>
      <c r="F1853" s="102" t="s">
        <v>703</v>
      </c>
      <c r="G1853" s="102" t="s">
        <v>724</v>
      </c>
      <c r="H1853" s="360">
        <v>2800.0</v>
      </c>
      <c r="I1853" s="411" t="b">
        <v>1</v>
      </c>
      <c r="J1853" s="102" t="s">
        <v>472</v>
      </c>
      <c r="K1853" s="360">
        <v>0.0</v>
      </c>
      <c r="L1853" s="360">
        <v>0.0</v>
      </c>
      <c r="M1853" s="102" t="s">
        <v>2276</v>
      </c>
      <c r="N1853" s="102" t="s">
        <v>2675</v>
      </c>
    </row>
    <row r="1854">
      <c r="A1854" s="412">
        <v>46138.0</v>
      </c>
      <c r="B1854" s="413">
        <v>2026.0</v>
      </c>
      <c r="C1854" s="414" t="s">
        <v>2605</v>
      </c>
      <c r="D1854" s="413" t="s">
        <v>710</v>
      </c>
      <c r="E1854" s="413" t="s">
        <v>137</v>
      </c>
      <c r="F1854" s="413" t="s">
        <v>711</v>
      </c>
      <c r="G1854" s="413" t="s">
        <v>724</v>
      </c>
      <c r="H1854" s="415">
        <v>2800.0</v>
      </c>
      <c r="I1854" s="416" t="b">
        <v>1</v>
      </c>
      <c r="J1854" s="413" t="s">
        <v>472</v>
      </c>
      <c r="K1854" s="415">
        <v>0.0</v>
      </c>
      <c r="L1854" s="415">
        <v>0.0</v>
      </c>
      <c r="M1854" s="413" t="s">
        <v>2276</v>
      </c>
      <c r="N1854" s="413" t="s">
        <v>2675</v>
      </c>
    </row>
    <row r="1855">
      <c r="A1855" s="409">
        <v>46140.0</v>
      </c>
      <c r="B1855" s="102">
        <v>2026.0</v>
      </c>
      <c r="C1855" s="410" t="s">
        <v>2605</v>
      </c>
      <c r="D1855" s="102" t="s">
        <v>702</v>
      </c>
      <c r="E1855" s="102" t="s">
        <v>465</v>
      </c>
      <c r="F1855" s="102" t="s">
        <v>711</v>
      </c>
      <c r="G1855" s="102" t="s">
        <v>767</v>
      </c>
      <c r="H1855" s="360">
        <v>950.0</v>
      </c>
      <c r="I1855" s="411" t="b">
        <v>0</v>
      </c>
      <c r="J1855" s="102" t="s">
        <v>1237</v>
      </c>
      <c r="K1855" s="360">
        <v>131.03448275862058</v>
      </c>
      <c r="L1855" s="360">
        <v>818.9655172413794</v>
      </c>
      <c r="M1855" s="102" t="s">
        <v>2276</v>
      </c>
      <c r="N1855" s="102" t="s">
        <v>2676</v>
      </c>
    </row>
    <row r="1856">
      <c r="A1856" s="412">
        <v>46140.0</v>
      </c>
      <c r="B1856" s="413">
        <v>2026.0</v>
      </c>
      <c r="C1856" s="414" t="s">
        <v>2605</v>
      </c>
      <c r="D1856" s="413" t="s">
        <v>702</v>
      </c>
      <c r="E1856" s="413" t="s">
        <v>465</v>
      </c>
      <c r="F1856" s="413" t="s">
        <v>703</v>
      </c>
      <c r="G1856" s="413" t="s">
        <v>747</v>
      </c>
      <c r="H1856" s="415">
        <v>3000.0</v>
      </c>
      <c r="I1856" s="416" t="b">
        <v>0</v>
      </c>
      <c r="J1856" s="413" t="s">
        <v>2382</v>
      </c>
      <c r="K1856" s="415">
        <v>0.0</v>
      </c>
      <c r="L1856" s="415">
        <v>3000.0</v>
      </c>
      <c r="M1856" s="413" t="s">
        <v>2276</v>
      </c>
      <c r="N1856" s="413" t="s">
        <v>2677</v>
      </c>
    </row>
    <row r="1857">
      <c r="A1857" s="409">
        <v>46140.0</v>
      </c>
      <c r="B1857" s="102">
        <v>2026.0</v>
      </c>
      <c r="C1857" s="410" t="s">
        <v>2605</v>
      </c>
      <c r="D1857" s="102" t="s">
        <v>710</v>
      </c>
      <c r="E1857" s="102" t="s">
        <v>137</v>
      </c>
      <c r="F1857" s="102" t="s">
        <v>703</v>
      </c>
      <c r="G1857" s="102" t="s">
        <v>747</v>
      </c>
      <c r="H1857" s="360">
        <v>3000.0</v>
      </c>
      <c r="I1857" s="411" t="b">
        <v>0</v>
      </c>
      <c r="J1857" s="102" t="s">
        <v>2382</v>
      </c>
      <c r="K1857" s="360">
        <v>0.0</v>
      </c>
      <c r="L1857" s="360">
        <v>3000.0</v>
      </c>
      <c r="M1857" s="102" t="s">
        <v>2276</v>
      </c>
      <c r="N1857" s="102" t="s">
        <v>2678</v>
      </c>
    </row>
    <row r="1858">
      <c r="A1858" s="412">
        <v>46140.0</v>
      </c>
      <c r="B1858" s="413">
        <v>2026.0</v>
      </c>
      <c r="C1858" s="414" t="s">
        <v>2605</v>
      </c>
      <c r="D1858" s="413" t="s">
        <v>702</v>
      </c>
      <c r="E1858" s="413" t="s">
        <v>465</v>
      </c>
      <c r="F1858" s="413" t="s">
        <v>703</v>
      </c>
      <c r="G1858" s="413" t="s">
        <v>2352</v>
      </c>
      <c r="H1858" s="415">
        <v>1215.0</v>
      </c>
      <c r="I1858" s="416" t="b">
        <v>0</v>
      </c>
      <c r="J1858" s="413" t="s">
        <v>472</v>
      </c>
      <c r="K1858" s="415">
        <v>0.0</v>
      </c>
      <c r="L1858" s="415">
        <v>1215.0</v>
      </c>
      <c r="M1858" s="413" t="s">
        <v>2276</v>
      </c>
      <c r="N1858" s="413" t="s">
        <v>2679</v>
      </c>
    </row>
    <row r="1859">
      <c r="A1859" s="409">
        <v>46140.0</v>
      </c>
      <c r="B1859" s="102">
        <v>2026.0</v>
      </c>
      <c r="C1859" s="410" t="s">
        <v>2605</v>
      </c>
      <c r="D1859" s="102" t="s">
        <v>723</v>
      </c>
      <c r="E1859" s="102" t="s">
        <v>137</v>
      </c>
      <c r="F1859" s="102" t="s">
        <v>711</v>
      </c>
      <c r="G1859" s="102" t="s">
        <v>767</v>
      </c>
      <c r="H1859" s="360">
        <v>950.0</v>
      </c>
      <c r="I1859" s="411" t="b">
        <v>0</v>
      </c>
      <c r="J1859" s="102" t="s">
        <v>432</v>
      </c>
      <c r="K1859" s="360">
        <v>0.0</v>
      </c>
      <c r="L1859" s="360">
        <v>950.0</v>
      </c>
      <c r="M1859" s="102" t="s">
        <v>2276</v>
      </c>
      <c r="N1859" s="102" t="s">
        <v>2680</v>
      </c>
    </row>
    <row r="1860">
      <c r="A1860" s="412">
        <v>46140.0</v>
      </c>
      <c r="B1860" s="413">
        <v>2026.0</v>
      </c>
      <c r="C1860" s="414" t="s">
        <v>2605</v>
      </c>
      <c r="D1860" s="413" t="s">
        <v>702</v>
      </c>
      <c r="E1860" s="413" t="s">
        <v>465</v>
      </c>
      <c r="F1860" s="413" t="s">
        <v>711</v>
      </c>
      <c r="G1860" s="413" t="s">
        <v>734</v>
      </c>
      <c r="H1860" s="415">
        <v>140.0</v>
      </c>
      <c r="I1860" s="416" t="b">
        <v>0</v>
      </c>
      <c r="J1860" s="413" t="s">
        <v>2681</v>
      </c>
      <c r="K1860" s="415">
        <v>19.310344827586192</v>
      </c>
      <c r="L1860" s="415">
        <v>120.68965517241381</v>
      </c>
      <c r="M1860" s="413" t="s">
        <v>2276</v>
      </c>
      <c r="N1860" s="413" t="s">
        <v>2682</v>
      </c>
    </row>
    <row r="1861">
      <c r="A1861" s="409">
        <v>46140.0</v>
      </c>
      <c r="B1861" s="102">
        <v>2026.0</v>
      </c>
      <c r="C1861" s="410" t="s">
        <v>2605</v>
      </c>
      <c r="D1861" s="102" t="s">
        <v>723</v>
      </c>
      <c r="E1861" s="102" t="s">
        <v>137</v>
      </c>
      <c r="F1861" s="102" t="s">
        <v>711</v>
      </c>
      <c r="G1861" s="102" t="s">
        <v>740</v>
      </c>
      <c r="H1861" s="360">
        <v>15.0</v>
      </c>
      <c r="I1861" s="411" t="b">
        <v>0</v>
      </c>
      <c r="J1861" s="102" t="s">
        <v>472</v>
      </c>
      <c r="K1861" s="360">
        <v>0.0</v>
      </c>
      <c r="L1861" s="360">
        <v>15.0</v>
      </c>
      <c r="M1861" s="102" t="s">
        <v>2276</v>
      </c>
      <c r="N1861" s="102" t="s">
        <v>2683</v>
      </c>
    </row>
    <row r="1862">
      <c r="A1862" s="412">
        <v>46141.0</v>
      </c>
      <c r="B1862" s="413">
        <v>2026.0</v>
      </c>
      <c r="C1862" s="414" t="s">
        <v>2605</v>
      </c>
      <c r="D1862" s="413" t="s">
        <v>702</v>
      </c>
      <c r="E1862" s="413" t="s">
        <v>465</v>
      </c>
      <c r="F1862" s="413" t="s">
        <v>703</v>
      </c>
      <c r="G1862" s="413" t="s">
        <v>732</v>
      </c>
      <c r="H1862" s="415">
        <v>543.0</v>
      </c>
      <c r="I1862" s="416" t="b">
        <v>0</v>
      </c>
      <c r="J1862" s="413" t="s">
        <v>2684</v>
      </c>
      <c r="K1862" s="415">
        <v>0.0</v>
      </c>
      <c r="L1862" s="415">
        <v>543.0</v>
      </c>
      <c r="M1862" s="413" t="s">
        <v>2276</v>
      </c>
      <c r="N1862" s="413" t="s">
        <v>2685</v>
      </c>
    </row>
    <row r="1863">
      <c r="A1863" s="409">
        <v>46142.0</v>
      </c>
      <c r="B1863" s="102">
        <v>2026.0</v>
      </c>
      <c r="C1863" s="410" t="s">
        <v>2605</v>
      </c>
      <c r="D1863" s="102" t="s">
        <v>723</v>
      </c>
      <c r="E1863" s="102" t="s">
        <v>137</v>
      </c>
      <c r="F1863" s="102" t="s">
        <v>711</v>
      </c>
      <c r="G1863" s="102" t="s">
        <v>767</v>
      </c>
      <c r="H1863" s="360">
        <v>1100.0</v>
      </c>
      <c r="I1863" s="411" t="b">
        <v>0</v>
      </c>
      <c r="J1863" s="102" t="s">
        <v>1881</v>
      </c>
      <c r="K1863" s="360">
        <v>0.0</v>
      </c>
      <c r="L1863" s="360">
        <v>1100.0</v>
      </c>
      <c r="M1863" s="102" t="s">
        <v>2276</v>
      </c>
      <c r="N1863" s="102" t="s">
        <v>2686</v>
      </c>
    </row>
    <row r="1864">
      <c r="A1864" s="412">
        <v>46142.0</v>
      </c>
      <c r="B1864" s="413">
        <v>2026.0</v>
      </c>
      <c r="C1864" s="414" t="s">
        <v>2605</v>
      </c>
      <c r="D1864" s="413" t="s">
        <v>702</v>
      </c>
      <c r="E1864" s="413" t="s">
        <v>465</v>
      </c>
      <c r="F1864" s="413" t="s">
        <v>711</v>
      </c>
      <c r="G1864" s="413" t="s">
        <v>767</v>
      </c>
      <c r="H1864" s="415">
        <v>800.0</v>
      </c>
      <c r="I1864" s="416" t="b">
        <v>0</v>
      </c>
      <c r="J1864" s="413" t="s">
        <v>2088</v>
      </c>
      <c r="K1864" s="415">
        <v>110.34482758620686</v>
      </c>
      <c r="L1864" s="415">
        <v>689.6551724137931</v>
      </c>
      <c r="M1864" s="413" t="s">
        <v>2276</v>
      </c>
      <c r="N1864" s="413" t="s">
        <v>2687</v>
      </c>
    </row>
    <row r="1865">
      <c r="A1865" s="409">
        <v>46142.0</v>
      </c>
      <c r="B1865" s="102">
        <v>2026.0</v>
      </c>
      <c r="C1865" s="410" t="s">
        <v>2605</v>
      </c>
      <c r="D1865" s="102" t="s">
        <v>723</v>
      </c>
      <c r="E1865" s="102" t="s">
        <v>137</v>
      </c>
      <c r="F1865" s="102" t="s">
        <v>703</v>
      </c>
      <c r="G1865" s="102" t="s">
        <v>732</v>
      </c>
      <c r="H1865" s="360">
        <v>100.0</v>
      </c>
      <c r="I1865" s="411" t="b">
        <v>0</v>
      </c>
      <c r="J1865" s="102" t="s">
        <v>2688</v>
      </c>
      <c r="K1865" s="360">
        <v>0.0</v>
      </c>
      <c r="L1865" s="360">
        <v>100.0</v>
      </c>
      <c r="M1865" s="102" t="s">
        <v>2276</v>
      </c>
      <c r="N1865" s="102" t="s">
        <v>2689</v>
      </c>
    </row>
    <row r="1866">
      <c r="A1866" s="412">
        <v>46142.0</v>
      </c>
      <c r="B1866" s="413">
        <v>2026.0</v>
      </c>
      <c r="C1866" s="414" t="s">
        <v>2605</v>
      </c>
      <c r="D1866" s="413" t="s">
        <v>702</v>
      </c>
      <c r="E1866" s="413" t="s">
        <v>465</v>
      </c>
      <c r="F1866" s="413" t="s">
        <v>711</v>
      </c>
      <c r="G1866" s="413" t="s">
        <v>767</v>
      </c>
      <c r="H1866" s="415">
        <v>527.0</v>
      </c>
      <c r="I1866" s="416" t="b">
        <v>0</v>
      </c>
      <c r="J1866" s="413" t="s">
        <v>1146</v>
      </c>
      <c r="K1866" s="415">
        <v>72.68965517241378</v>
      </c>
      <c r="L1866" s="415">
        <v>454.3103448275862</v>
      </c>
      <c r="M1866" s="413" t="s">
        <v>2276</v>
      </c>
      <c r="N1866" s="413" t="s">
        <v>2690</v>
      </c>
    </row>
    <row r="1867">
      <c r="A1867" s="409">
        <v>46142.0</v>
      </c>
      <c r="B1867" s="102">
        <v>2026.0</v>
      </c>
      <c r="C1867" s="410" t="s">
        <v>2605</v>
      </c>
      <c r="D1867" s="102" t="s">
        <v>702</v>
      </c>
      <c r="E1867" s="102" t="s">
        <v>465</v>
      </c>
      <c r="F1867" s="102" t="s">
        <v>703</v>
      </c>
      <c r="G1867" s="102" t="s">
        <v>732</v>
      </c>
      <c r="H1867" s="360">
        <v>851.0</v>
      </c>
      <c r="I1867" s="411" t="b">
        <v>0</v>
      </c>
      <c r="J1867" s="102" t="s">
        <v>2691</v>
      </c>
      <c r="K1867" s="360">
        <v>0.0</v>
      </c>
      <c r="L1867" s="360">
        <v>851.0</v>
      </c>
      <c r="M1867" s="102" t="s">
        <v>2276</v>
      </c>
      <c r="N1867" s="102" t="s">
        <v>2692</v>
      </c>
    </row>
    <row r="1868">
      <c r="A1868" s="412">
        <v>46142.0</v>
      </c>
      <c r="B1868" s="413">
        <v>2026.0</v>
      </c>
      <c r="C1868" s="414" t="s">
        <v>2605</v>
      </c>
      <c r="D1868" s="413" t="s">
        <v>723</v>
      </c>
      <c r="E1868" s="413" t="s">
        <v>137</v>
      </c>
      <c r="F1868" s="413" t="s">
        <v>711</v>
      </c>
      <c r="G1868" s="413" t="s">
        <v>724</v>
      </c>
      <c r="H1868" s="415">
        <v>241.0</v>
      </c>
      <c r="I1868" s="416" t="b">
        <v>1</v>
      </c>
      <c r="J1868" s="413" t="s">
        <v>472</v>
      </c>
      <c r="K1868" s="415">
        <v>0.0</v>
      </c>
      <c r="L1868" s="415">
        <v>0.0</v>
      </c>
      <c r="M1868" s="413" t="s">
        <v>2276</v>
      </c>
      <c r="N1868" s="413" t="s">
        <v>2693</v>
      </c>
    </row>
    <row r="1869">
      <c r="A1869" s="409">
        <v>46142.0</v>
      </c>
      <c r="B1869" s="102">
        <v>2026.0</v>
      </c>
      <c r="C1869" s="410" t="s">
        <v>2605</v>
      </c>
      <c r="D1869" s="102" t="s">
        <v>702</v>
      </c>
      <c r="E1869" s="102" t="s">
        <v>465</v>
      </c>
      <c r="F1869" s="102" t="s">
        <v>703</v>
      </c>
      <c r="G1869" s="102" t="s">
        <v>724</v>
      </c>
      <c r="H1869" s="360">
        <v>241.0</v>
      </c>
      <c r="I1869" s="411" t="b">
        <v>1</v>
      </c>
      <c r="J1869" s="102" t="s">
        <v>472</v>
      </c>
      <c r="K1869" s="360">
        <v>0.0</v>
      </c>
      <c r="L1869" s="360">
        <v>0.0</v>
      </c>
      <c r="M1869" s="102" t="s">
        <v>2276</v>
      </c>
      <c r="N1869" s="102" t="s">
        <v>2693</v>
      </c>
    </row>
    <row r="1870">
      <c r="A1870" s="412">
        <v>46142.0</v>
      </c>
      <c r="B1870" s="413">
        <v>2026.0</v>
      </c>
      <c r="C1870" s="414" t="s">
        <v>2605</v>
      </c>
      <c r="D1870" s="413" t="s">
        <v>702</v>
      </c>
      <c r="E1870" s="413" t="s">
        <v>465</v>
      </c>
      <c r="F1870" s="413" t="s">
        <v>703</v>
      </c>
      <c r="G1870" s="413" t="s">
        <v>732</v>
      </c>
      <c r="H1870" s="415">
        <v>859.0</v>
      </c>
      <c r="I1870" s="416" t="b">
        <v>0</v>
      </c>
      <c r="J1870" s="413" t="s">
        <v>2694</v>
      </c>
      <c r="K1870" s="415">
        <v>0.0</v>
      </c>
      <c r="L1870" s="415">
        <v>859.0</v>
      </c>
      <c r="M1870" s="413" t="s">
        <v>2276</v>
      </c>
      <c r="N1870" s="413" t="s">
        <v>2695</v>
      </c>
    </row>
    <row r="1871">
      <c r="A1871" s="409">
        <v>46142.0</v>
      </c>
      <c r="B1871" s="102">
        <v>2026.0</v>
      </c>
      <c r="C1871" s="410" t="s">
        <v>2605</v>
      </c>
      <c r="D1871" s="102" t="s">
        <v>702</v>
      </c>
      <c r="E1871" s="102" t="s">
        <v>465</v>
      </c>
      <c r="F1871" s="102" t="s">
        <v>711</v>
      </c>
      <c r="G1871" s="102" t="s">
        <v>2696</v>
      </c>
      <c r="H1871" s="360">
        <v>58.0</v>
      </c>
      <c r="I1871" s="411" t="b">
        <v>0</v>
      </c>
      <c r="J1871" s="102" t="s">
        <v>472</v>
      </c>
      <c r="K1871" s="360">
        <v>8.0</v>
      </c>
      <c r="L1871" s="360">
        <v>50.0</v>
      </c>
      <c r="M1871" s="102" t="s">
        <v>2276</v>
      </c>
      <c r="N1871" s="102" t="s">
        <v>2697</v>
      </c>
    </row>
    <row r="1872">
      <c r="A1872" s="412">
        <v>46142.0</v>
      </c>
      <c r="B1872" s="413">
        <v>2026.0</v>
      </c>
      <c r="C1872" s="414" t="s">
        <v>2605</v>
      </c>
      <c r="D1872" s="413" t="s">
        <v>723</v>
      </c>
      <c r="E1872" s="413" t="s">
        <v>137</v>
      </c>
      <c r="F1872" s="413" t="s">
        <v>711</v>
      </c>
      <c r="G1872" s="413" t="s">
        <v>767</v>
      </c>
      <c r="H1872" s="415">
        <v>800.0</v>
      </c>
      <c r="I1872" s="416" t="b">
        <v>0</v>
      </c>
      <c r="J1872" s="413" t="s">
        <v>2637</v>
      </c>
      <c r="K1872" s="415">
        <v>0.0</v>
      </c>
      <c r="L1872" s="415">
        <v>800.0</v>
      </c>
      <c r="M1872" s="413" t="s">
        <v>2276</v>
      </c>
      <c r="N1872" s="413" t="s">
        <v>2698</v>
      </c>
    </row>
    <row r="1873">
      <c r="A1873" s="409">
        <v>46142.0</v>
      </c>
      <c r="B1873" s="102">
        <v>2026.0</v>
      </c>
      <c r="C1873" s="410" t="s">
        <v>2605</v>
      </c>
      <c r="D1873" s="102" t="s">
        <v>723</v>
      </c>
      <c r="E1873" s="102" t="s">
        <v>137</v>
      </c>
      <c r="F1873" s="102" t="s">
        <v>711</v>
      </c>
      <c r="G1873" s="102" t="s">
        <v>732</v>
      </c>
      <c r="H1873" s="360">
        <v>150.0</v>
      </c>
      <c r="I1873" s="411" t="b">
        <v>0</v>
      </c>
      <c r="J1873" s="102" t="s">
        <v>2577</v>
      </c>
      <c r="K1873" s="360">
        <v>0.0</v>
      </c>
      <c r="L1873" s="360">
        <v>150.0</v>
      </c>
      <c r="M1873" s="102" t="s">
        <v>2276</v>
      </c>
      <c r="N1873" s="102" t="s">
        <v>2699</v>
      </c>
    </row>
    <row r="1874">
      <c r="A1874" s="412">
        <v>46142.0</v>
      </c>
      <c r="B1874" s="413">
        <v>2026.0</v>
      </c>
      <c r="C1874" s="414" t="s">
        <v>2605</v>
      </c>
      <c r="D1874" s="413" t="s">
        <v>723</v>
      </c>
      <c r="E1874" s="413" t="s">
        <v>137</v>
      </c>
      <c r="F1874" s="413" t="s">
        <v>711</v>
      </c>
      <c r="G1874" s="413" t="s">
        <v>740</v>
      </c>
      <c r="H1874" s="415">
        <v>44.0</v>
      </c>
      <c r="I1874" s="416" t="b">
        <v>0</v>
      </c>
      <c r="J1874" s="413" t="s">
        <v>740</v>
      </c>
      <c r="K1874" s="415">
        <v>0.0</v>
      </c>
      <c r="L1874" s="415">
        <v>44.0</v>
      </c>
      <c r="M1874" s="413" t="s">
        <v>2276</v>
      </c>
      <c r="N1874" s="413" t="s">
        <v>2700</v>
      </c>
    </row>
    <row r="1875">
      <c r="A1875" s="409">
        <v>46142.0</v>
      </c>
      <c r="B1875" s="102">
        <v>2026.0</v>
      </c>
      <c r="C1875" s="410" t="s">
        <v>2605</v>
      </c>
      <c r="D1875" s="102" t="s">
        <v>723</v>
      </c>
      <c r="E1875" s="102" t="s">
        <v>137</v>
      </c>
      <c r="F1875" s="102" t="s">
        <v>711</v>
      </c>
      <c r="G1875" s="102" t="s">
        <v>734</v>
      </c>
      <c r="H1875" s="360">
        <v>140.0</v>
      </c>
      <c r="I1875" s="411" t="b">
        <v>0</v>
      </c>
      <c r="J1875" s="102" t="s">
        <v>472</v>
      </c>
      <c r="K1875" s="360">
        <v>0.0</v>
      </c>
      <c r="L1875" s="360">
        <v>140.0</v>
      </c>
      <c r="M1875" s="102" t="s">
        <v>2276</v>
      </c>
      <c r="N1875" s="102" t="s">
        <v>2701</v>
      </c>
    </row>
    <row r="1876">
      <c r="A1876" s="412">
        <v>46142.0</v>
      </c>
      <c r="B1876" s="413">
        <v>2026.0</v>
      </c>
      <c r="C1876" s="414" t="s">
        <v>2605</v>
      </c>
      <c r="D1876" s="413" t="s">
        <v>702</v>
      </c>
      <c r="E1876" s="413" t="s">
        <v>465</v>
      </c>
      <c r="F1876" s="413" t="s">
        <v>711</v>
      </c>
      <c r="G1876" s="413" t="s">
        <v>767</v>
      </c>
      <c r="H1876" s="415">
        <v>917.0</v>
      </c>
      <c r="I1876" s="416" t="b">
        <v>0</v>
      </c>
      <c r="J1876" s="413" t="s">
        <v>1274</v>
      </c>
      <c r="K1876" s="415">
        <v>126.48275862068965</v>
      </c>
      <c r="L1876" s="415">
        <v>790.5172413793103</v>
      </c>
      <c r="M1876" s="413" t="s">
        <v>2276</v>
      </c>
      <c r="N1876" s="413" t="s">
        <v>2702</v>
      </c>
    </row>
    <row r="1877">
      <c r="A1877" s="409">
        <v>46142.0</v>
      </c>
      <c r="B1877" s="102">
        <v>2026.0</v>
      </c>
      <c r="C1877" s="410" t="s">
        <v>2605</v>
      </c>
      <c r="D1877" s="102" t="s">
        <v>702</v>
      </c>
      <c r="E1877" s="102" t="s">
        <v>465</v>
      </c>
      <c r="F1877" s="102" t="s">
        <v>711</v>
      </c>
      <c r="G1877" s="102" t="s">
        <v>767</v>
      </c>
      <c r="H1877" s="360">
        <v>550.0</v>
      </c>
      <c r="I1877" s="411" t="b">
        <v>0</v>
      </c>
      <c r="J1877" s="102" t="s">
        <v>1861</v>
      </c>
      <c r="K1877" s="360">
        <v>75.86206896551721</v>
      </c>
      <c r="L1877" s="360">
        <v>474.1379310344828</v>
      </c>
      <c r="M1877" s="102" t="s">
        <v>2276</v>
      </c>
      <c r="N1877" s="102" t="s">
        <v>2703</v>
      </c>
    </row>
    <row r="1878">
      <c r="A1878" s="412">
        <v>46142.0</v>
      </c>
      <c r="B1878" s="413">
        <v>2026.0</v>
      </c>
      <c r="C1878" s="414" t="s">
        <v>2605</v>
      </c>
      <c r="D1878" s="413" t="s">
        <v>710</v>
      </c>
      <c r="E1878" s="413" t="s">
        <v>137</v>
      </c>
      <c r="F1878" s="413" t="s">
        <v>703</v>
      </c>
      <c r="G1878" s="413" t="s">
        <v>1657</v>
      </c>
      <c r="H1878" s="415">
        <v>1000.0</v>
      </c>
      <c r="I1878" s="416" t="b">
        <v>0</v>
      </c>
      <c r="J1878" s="413" t="s">
        <v>472</v>
      </c>
      <c r="K1878" s="415">
        <v>0.0</v>
      </c>
      <c r="L1878" s="415">
        <v>1000.0</v>
      </c>
      <c r="M1878" s="413" t="s">
        <v>2276</v>
      </c>
      <c r="N1878" s="413" t="s">
        <v>2704</v>
      </c>
    </row>
    <row r="1879">
      <c r="A1879" s="409">
        <v>46143.0</v>
      </c>
      <c r="B1879" s="102">
        <v>2026.0</v>
      </c>
      <c r="C1879" s="410" t="s">
        <v>2705</v>
      </c>
      <c r="D1879" s="102" t="s">
        <v>702</v>
      </c>
      <c r="E1879" s="102" t="s">
        <v>465</v>
      </c>
      <c r="F1879" s="102" t="s">
        <v>711</v>
      </c>
      <c r="G1879" s="102" t="s">
        <v>767</v>
      </c>
      <c r="H1879" s="360">
        <v>1150.0</v>
      </c>
      <c r="I1879" s="411" t="b">
        <v>0</v>
      </c>
      <c r="J1879" s="102" t="s">
        <v>1237</v>
      </c>
      <c r="K1879" s="360">
        <v>158.62068965517233</v>
      </c>
      <c r="L1879" s="360">
        <v>991.3793103448277</v>
      </c>
      <c r="M1879" s="102" t="s">
        <v>2276</v>
      </c>
      <c r="N1879" s="102" t="s">
        <v>2706</v>
      </c>
    </row>
    <row r="1880">
      <c r="A1880" s="412">
        <v>46143.0</v>
      </c>
      <c r="B1880" s="413">
        <v>2026.0</v>
      </c>
      <c r="C1880" s="414" t="s">
        <v>2705</v>
      </c>
      <c r="D1880" s="413" t="s">
        <v>710</v>
      </c>
      <c r="E1880" s="413" t="s">
        <v>137</v>
      </c>
      <c r="F1880" s="413" t="s">
        <v>711</v>
      </c>
      <c r="G1880" s="413" t="s">
        <v>724</v>
      </c>
      <c r="H1880" s="415">
        <v>3400.0</v>
      </c>
      <c r="I1880" s="416" t="b">
        <v>1</v>
      </c>
      <c r="J1880" s="413" t="s">
        <v>472</v>
      </c>
      <c r="K1880" s="415">
        <v>0.0</v>
      </c>
      <c r="L1880" s="415">
        <v>0.0</v>
      </c>
      <c r="M1880" s="413" t="s">
        <v>2276</v>
      </c>
      <c r="N1880" s="413" t="s">
        <v>2707</v>
      </c>
    </row>
    <row r="1881">
      <c r="A1881" s="409">
        <v>46143.0</v>
      </c>
      <c r="B1881" s="102">
        <v>2026.0</v>
      </c>
      <c r="C1881" s="410" t="s">
        <v>2705</v>
      </c>
      <c r="D1881" s="102" t="s">
        <v>723</v>
      </c>
      <c r="E1881" s="102" t="s">
        <v>137</v>
      </c>
      <c r="F1881" s="102" t="s">
        <v>703</v>
      </c>
      <c r="G1881" s="102" t="s">
        <v>724</v>
      </c>
      <c r="H1881" s="360">
        <v>3400.0</v>
      </c>
      <c r="I1881" s="411" t="b">
        <v>1</v>
      </c>
      <c r="J1881" s="102" t="s">
        <v>472</v>
      </c>
      <c r="K1881" s="360">
        <v>0.0</v>
      </c>
      <c r="L1881" s="360">
        <v>0.0</v>
      </c>
      <c r="M1881" s="102" t="s">
        <v>2276</v>
      </c>
      <c r="N1881" s="102" t="s">
        <v>2707</v>
      </c>
    </row>
    <row r="1882">
      <c r="A1882" s="412">
        <v>46145.0</v>
      </c>
      <c r="B1882" s="413">
        <v>2026.0</v>
      </c>
      <c r="C1882" s="414" t="s">
        <v>2705</v>
      </c>
      <c r="D1882" s="413" t="s">
        <v>702</v>
      </c>
      <c r="E1882" s="413" t="s">
        <v>465</v>
      </c>
      <c r="F1882" s="413" t="s">
        <v>711</v>
      </c>
      <c r="G1882" s="413" t="s">
        <v>767</v>
      </c>
      <c r="H1882" s="415">
        <v>950.0</v>
      </c>
      <c r="I1882" s="416" t="b">
        <v>0</v>
      </c>
      <c r="J1882" s="413" t="s">
        <v>1224</v>
      </c>
      <c r="K1882" s="415">
        <v>131.03448275862058</v>
      </c>
      <c r="L1882" s="415">
        <v>818.9655172413794</v>
      </c>
      <c r="M1882" s="413" t="s">
        <v>2276</v>
      </c>
      <c r="N1882" s="413" t="s">
        <v>2708</v>
      </c>
    </row>
    <row r="1883">
      <c r="A1883" s="409">
        <v>46145.0</v>
      </c>
      <c r="B1883" s="102">
        <v>2026.0</v>
      </c>
      <c r="C1883" s="410" t="s">
        <v>2705</v>
      </c>
      <c r="D1883" s="102" t="s">
        <v>702</v>
      </c>
      <c r="E1883" s="102" t="s">
        <v>465</v>
      </c>
      <c r="F1883" s="102" t="s">
        <v>711</v>
      </c>
      <c r="G1883" s="102" t="s">
        <v>767</v>
      </c>
      <c r="H1883" s="360">
        <v>950.0</v>
      </c>
      <c r="I1883" s="411" t="b">
        <v>0</v>
      </c>
      <c r="J1883" s="102" t="s">
        <v>1655</v>
      </c>
      <c r="K1883" s="360">
        <v>131.03448275862058</v>
      </c>
      <c r="L1883" s="360">
        <v>818.9655172413794</v>
      </c>
      <c r="M1883" s="102" t="s">
        <v>2276</v>
      </c>
      <c r="N1883" s="102" t="s">
        <v>2709</v>
      </c>
    </row>
    <row r="1884">
      <c r="A1884" s="412">
        <v>46145.0</v>
      </c>
      <c r="B1884" s="413">
        <v>2026.0</v>
      </c>
      <c r="C1884" s="414" t="s">
        <v>2705</v>
      </c>
      <c r="D1884" s="413" t="s">
        <v>723</v>
      </c>
      <c r="E1884" s="413" t="s">
        <v>137</v>
      </c>
      <c r="F1884" s="413" t="s">
        <v>711</v>
      </c>
      <c r="G1884" s="413" t="s">
        <v>732</v>
      </c>
      <c r="H1884" s="415">
        <v>20.0</v>
      </c>
      <c r="I1884" s="416" t="b">
        <v>0</v>
      </c>
      <c r="J1884" s="413" t="s">
        <v>472</v>
      </c>
      <c r="K1884" s="415">
        <v>0.0</v>
      </c>
      <c r="L1884" s="415">
        <v>20.0</v>
      </c>
      <c r="M1884" s="413" t="s">
        <v>2276</v>
      </c>
      <c r="N1884" s="413" t="s">
        <v>2710</v>
      </c>
    </row>
    <row r="1885">
      <c r="A1885" s="409">
        <v>46145.0</v>
      </c>
      <c r="B1885" s="102">
        <v>2026.0</v>
      </c>
      <c r="C1885" s="410" t="s">
        <v>2705</v>
      </c>
      <c r="D1885" s="102" t="s">
        <v>723</v>
      </c>
      <c r="E1885" s="102" t="s">
        <v>137</v>
      </c>
      <c r="F1885" s="102" t="s">
        <v>711</v>
      </c>
      <c r="G1885" s="102" t="s">
        <v>724</v>
      </c>
      <c r="H1885" s="360">
        <v>470.0</v>
      </c>
      <c r="I1885" s="411" t="b">
        <v>1</v>
      </c>
      <c r="J1885" s="102" t="s">
        <v>472</v>
      </c>
      <c r="K1885" s="360">
        <v>0.0</v>
      </c>
      <c r="L1885" s="360">
        <v>0.0</v>
      </c>
      <c r="M1885" s="102" t="s">
        <v>2276</v>
      </c>
      <c r="N1885" s="102" t="s">
        <v>2711</v>
      </c>
    </row>
    <row r="1886">
      <c r="A1886" s="412">
        <v>46145.0</v>
      </c>
      <c r="B1886" s="413">
        <v>2026.0</v>
      </c>
      <c r="C1886" s="414" t="s">
        <v>2705</v>
      </c>
      <c r="D1886" s="413" t="s">
        <v>710</v>
      </c>
      <c r="E1886" s="413" t="s">
        <v>137</v>
      </c>
      <c r="F1886" s="413" t="s">
        <v>703</v>
      </c>
      <c r="G1886" s="413" t="s">
        <v>724</v>
      </c>
      <c r="H1886" s="415">
        <v>470.0</v>
      </c>
      <c r="I1886" s="416" t="b">
        <v>1</v>
      </c>
      <c r="J1886" s="413" t="s">
        <v>472</v>
      </c>
      <c r="K1886" s="415">
        <v>0.0</v>
      </c>
      <c r="L1886" s="415">
        <v>0.0</v>
      </c>
      <c r="M1886" s="413" t="s">
        <v>2276</v>
      </c>
      <c r="N1886" s="413" t="s">
        <v>2711</v>
      </c>
    </row>
    <row r="1887">
      <c r="A1887" s="409">
        <v>46145.0</v>
      </c>
      <c r="B1887" s="102">
        <v>2026.0</v>
      </c>
      <c r="C1887" s="410" t="s">
        <v>2705</v>
      </c>
      <c r="D1887" s="102" t="s">
        <v>710</v>
      </c>
      <c r="E1887" s="102" t="s">
        <v>137</v>
      </c>
      <c r="F1887" s="102" t="s">
        <v>703</v>
      </c>
      <c r="G1887" s="102" t="s">
        <v>715</v>
      </c>
      <c r="H1887" s="360">
        <v>200.0</v>
      </c>
      <c r="I1887" s="411" t="b">
        <v>0</v>
      </c>
      <c r="J1887" s="102" t="s">
        <v>2712</v>
      </c>
      <c r="K1887" s="360">
        <v>0.0</v>
      </c>
      <c r="L1887" s="360">
        <v>200.0</v>
      </c>
      <c r="M1887" s="102" t="s">
        <v>2276</v>
      </c>
      <c r="N1887" s="102" t="s">
        <v>2713</v>
      </c>
    </row>
    <row r="1888">
      <c r="A1888" s="412">
        <v>46146.0</v>
      </c>
      <c r="B1888" s="413">
        <v>2026.0</v>
      </c>
      <c r="C1888" s="414" t="s">
        <v>2705</v>
      </c>
      <c r="D1888" s="413" t="s">
        <v>702</v>
      </c>
      <c r="E1888" s="413" t="s">
        <v>465</v>
      </c>
      <c r="F1888" s="413" t="s">
        <v>711</v>
      </c>
      <c r="G1888" s="413" t="s">
        <v>767</v>
      </c>
      <c r="H1888" s="415">
        <v>950.0</v>
      </c>
      <c r="I1888" s="416" t="b">
        <v>0</v>
      </c>
      <c r="J1888" s="413" t="s">
        <v>1507</v>
      </c>
      <c r="K1888" s="415">
        <v>131.03448275862058</v>
      </c>
      <c r="L1888" s="415">
        <v>818.9655172413794</v>
      </c>
      <c r="M1888" s="413" t="s">
        <v>2276</v>
      </c>
      <c r="N1888" s="413" t="s">
        <v>2714</v>
      </c>
    </row>
    <row r="1889">
      <c r="A1889" s="409">
        <v>46146.0</v>
      </c>
      <c r="B1889" s="102">
        <v>2026.0</v>
      </c>
      <c r="C1889" s="410" t="s">
        <v>2705</v>
      </c>
      <c r="D1889" s="102" t="s">
        <v>723</v>
      </c>
      <c r="E1889" s="102" t="s">
        <v>137</v>
      </c>
      <c r="F1889" s="102" t="s">
        <v>711</v>
      </c>
      <c r="G1889" s="102" t="s">
        <v>767</v>
      </c>
      <c r="H1889" s="360">
        <v>1150.0</v>
      </c>
      <c r="I1889" s="411" t="b">
        <v>0</v>
      </c>
      <c r="J1889" s="102" t="s">
        <v>1146</v>
      </c>
      <c r="K1889" s="360">
        <v>0.0</v>
      </c>
      <c r="L1889" s="360">
        <v>1150.0</v>
      </c>
      <c r="M1889" s="102" t="s">
        <v>2276</v>
      </c>
      <c r="N1889" s="102" t="s">
        <v>2715</v>
      </c>
    </row>
    <row r="1890">
      <c r="A1890" s="412">
        <v>46146.0</v>
      </c>
      <c r="B1890" s="413">
        <v>2026.0</v>
      </c>
      <c r="C1890" s="414" t="s">
        <v>2705</v>
      </c>
      <c r="D1890" s="413" t="s">
        <v>702</v>
      </c>
      <c r="E1890" s="413" t="s">
        <v>465</v>
      </c>
      <c r="F1890" s="413" t="s">
        <v>711</v>
      </c>
      <c r="G1890" s="413" t="s">
        <v>767</v>
      </c>
      <c r="H1890" s="415">
        <v>950.0</v>
      </c>
      <c r="I1890" s="416" t="b">
        <v>0</v>
      </c>
      <c r="J1890" s="413" t="s">
        <v>1415</v>
      </c>
      <c r="K1890" s="415">
        <v>131.03448275862058</v>
      </c>
      <c r="L1890" s="415">
        <v>818.9655172413794</v>
      </c>
      <c r="M1890" s="413" t="s">
        <v>2276</v>
      </c>
      <c r="N1890" s="413" t="s">
        <v>2716</v>
      </c>
    </row>
    <row r="1891">
      <c r="A1891" s="409">
        <v>46146.0</v>
      </c>
      <c r="B1891" s="102">
        <v>2026.0</v>
      </c>
      <c r="C1891" s="410" t="s">
        <v>2705</v>
      </c>
      <c r="D1891" s="102" t="s">
        <v>702</v>
      </c>
      <c r="E1891" s="102" t="s">
        <v>465</v>
      </c>
      <c r="F1891" s="102" t="s">
        <v>711</v>
      </c>
      <c r="G1891" s="102" t="s">
        <v>767</v>
      </c>
      <c r="H1891" s="360">
        <v>950.0</v>
      </c>
      <c r="I1891" s="411" t="b">
        <v>0</v>
      </c>
      <c r="J1891" s="102" t="s">
        <v>1561</v>
      </c>
      <c r="K1891" s="360">
        <v>131.03448275862058</v>
      </c>
      <c r="L1891" s="360">
        <v>818.9655172413794</v>
      </c>
      <c r="M1891" s="102" t="s">
        <v>2276</v>
      </c>
      <c r="N1891" s="102" t="s">
        <v>2717</v>
      </c>
    </row>
    <row r="1892">
      <c r="A1892" s="412">
        <v>46146.0</v>
      </c>
      <c r="B1892" s="413">
        <v>2026.0</v>
      </c>
      <c r="C1892" s="414" t="s">
        <v>2705</v>
      </c>
      <c r="D1892" s="413" t="s">
        <v>702</v>
      </c>
      <c r="E1892" s="413" t="s">
        <v>465</v>
      </c>
      <c r="F1892" s="413" t="s">
        <v>711</v>
      </c>
      <c r="G1892" s="413" t="s">
        <v>767</v>
      </c>
      <c r="H1892" s="415">
        <v>800.0</v>
      </c>
      <c r="I1892" s="416" t="b">
        <v>0</v>
      </c>
      <c r="J1892" s="413" t="s">
        <v>2718</v>
      </c>
      <c r="K1892" s="415">
        <v>110.34482758620686</v>
      </c>
      <c r="L1892" s="415">
        <v>689.6551724137931</v>
      </c>
      <c r="M1892" s="413" t="s">
        <v>2276</v>
      </c>
      <c r="N1892" s="413" t="s">
        <v>2719</v>
      </c>
    </row>
    <row r="1893">
      <c r="A1893" s="409">
        <v>46146.0</v>
      </c>
      <c r="B1893" s="102">
        <v>2026.0</v>
      </c>
      <c r="C1893" s="410" t="s">
        <v>2705</v>
      </c>
      <c r="D1893" s="102" t="s">
        <v>702</v>
      </c>
      <c r="E1893" s="102" t="s">
        <v>465</v>
      </c>
      <c r="F1893" s="102" t="s">
        <v>711</v>
      </c>
      <c r="G1893" s="102" t="s">
        <v>767</v>
      </c>
      <c r="H1893" s="360">
        <v>800.0</v>
      </c>
      <c r="I1893" s="411" t="b">
        <v>0</v>
      </c>
      <c r="J1893" s="102" t="s">
        <v>2077</v>
      </c>
      <c r="K1893" s="360">
        <v>110.34482758620686</v>
      </c>
      <c r="L1893" s="360">
        <v>689.6551724137931</v>
      </c>
      <c r="M1893" s="102" t="s">
        <v>2276</v>
      </c>
      <c r="N1893" s="102" t="s">
        <v>2720</v>
      </c>
    </row>
    <row r="1894">
      <c r="A1894" s="412">
        <v>46146.0</v>
      </c>
      <c r="B1894" s="413">
        <v>2026.0</v>
      </c>
      <c r="C1894" s="414" t="s">
        <v>2705</v>
      </c>
      <c r="D1894" s="413" t="s">
        <v>702</v>
      </c>
      <c r="E1894" s="413" t="s">
        <v>465</v>
      </c>
      <c r="F1894" s="413" t="s">
        <v>711</v>
      </c>
      <c r="G1894" s="413" t="s">
        <v>767</v>
      </c>
      <c r="H1894" s="415">
        <v>950.0</v>
      </c>
      <c r="I1894" s="416" t="b">
        <v>0</v>
      </c>
      <c r="J1894" s="413" t="s">
        <v>2721</v>
      </c>
      <c r="K1894" s="415">
        <v>131.03448275862058</v>
      </c>
      <c r="L1894" s="415">
        <v>818.9655172413794</v>
      </c>
      <c r="M1894" s="413" t="s">
        <v>2276</v>
      </c>
      <c r="N1894" s="413" t="s">
        <v>2722</v>
      </c>
    </row>
    <row r="1895">
      <c r="A1895" s="409">
        <v>46146.0</v>
      </c>
      <c r="B1895" s="102">
        <v>2026.0</v>
      </c>
      <c r="C1895" s="410" t="s">
        <v>2705</v>
      </c>
      <c r="D1895" s="102" t="s">
        <v>702</v>
      </c>
      <c r="E1895" s="102" t="s">
        <v>465</v>
      </c>
      <c r="F1895" s="102" t="s">
        <v>711</v>
      </c>
      <c r="G1895" s="102" t="s">
        <v>767</v>
      </c>
      <c r="H1895" s="360">
        <v>1103.0</v>
      </c>
      <c r="I1895" s="411" t="b">
        <v>0</v>
      </c>
      <c r="J1895" s="102" t="s">
        <v>2098</v>
      </c>
      <c r="K1895" s="360">
        <v>152.13793103448268</v>
      </c>
      <c r="L1895" s="360">
        <v>950.8620689655173</v>
      </c>
      <c r="M1895" s="102" t="s">
        <v>2276</v>
      </c>
      <c r="N1895" s="102" t="s">
        <v>2723</v>
      </c>
    </row>
    <row r="1896">
      <c r="A1896" s="412">
        <v>46146.0</v>
      </c>
      <c r="B1896" s="413">
        <v>2026.0</v>
      </c>
      <c r="C1896" s="414" t="s">
        <v>2705</v>
      </c>
      <c r="D1896" s="413" t="s">
        <v>702</v>
      </c>
      <c r="E1896" s="413" t="s">
        <v>465</v>
      </c>
      <c r="F1896" s="413" t="s">
        <v>711</v>
      </c>
      <c r="G1896" s="413" t="s">
        <v>767</v>
      </c>
      <c r="H1896" s="415">
        <v>1254.0</v>
      </c>
      <c r="I1896" s="416" t="b">
        <v>0</v>
      </c>
      <c r="J1896" s="413" t="s">
        <v>1164</v>
      </c>
      <c r="K1896" s="415">
        <v>172.9655172413793</v>
      </c>
      <c r="L1896" s="415">
        <v>1081.0344827586207</v>
      </c>
      <c r="M1896" s="413" t="s">
        <v>2276</v>
      </c>
      <c r="N1896" s="413" t="s">
        <v>2724</v>
      </c>
    </row>
    <row r="1897">
      <c r="A1897" s="409">
        <v>46146.0</v>
      </c>
      <c r="B1897" s="102">
        <v>2026.0</v>
      </c>
      <c r="C1897" s="410" t="s">
        <v>2705</v>
      </c>
      <c r="D1897" s="102" t="s">
        <v>702</v>
      </c>
      <c r="E1897" s="102" t="s">
        <v>465</v>
      </c>
      <c r="F1897" s="102" t="s">
        <v>711</v>
      </c>
      <c r="G1897" s="102" t="s">
        <v>732</v>
      </c>
      <c r="H1897" s="360">
        <v>500.0</v>
      </c>
      <c r="I1897" s="411" t="b">
        <v>0</v>
      </c>
      <c r="J1897" s="102" t="s">
        <v>1753</v>
      </c>
      <c r="K1897" s="360">
        <v>68.9655172413793</v>
      </c>
      <c r="L1897" s="360">
        <v>431.0344827586207</v>
      </c>
      <c r="M1897" s="102" t="s">
        <v>2276</v>
      </c>
      <c r="N1897" s="102" t="s">
        <v>2725</v>
      </c>
    </row>
    <row r="1898">
      <c r="A1898" s="412">
        <v>46147.0</v>
      </c>
      <c r="B1898" s="413">
        <v>2026.0</v>
      </c>
      <c r="C1898" s="414" t="s">
        <v>2705</v>
      </c>
      <c r="D1898" s="413" t="s">
        <v>702</v>
      </c>
      <c r="E1898" s="413" t="s">
        <v>465</v>
      </c>
      <c r="F1898" s="413" t="s">
        <v>711</v>
      </c>
      <c r="G1898" s="413" t="s">
        <v>767</v>
      </c>
      <c r="H1898" s="415">
        <v>950.0</v>
      </c>
      <c r="I1898" s="416" t="b">
        <v>0</v>
      </c>
      <c r="J1898" s="413" t="s">
        <v>1230</v>
      </c>
      <c r="K1898" s="415">
        <v>131.03448275862058</v>
      </c>
      <c r="L1898" s="415">
        <v>818.9655172413794</v>
      </c>
      <c r="M1898" s="413" t="s">
        <v>2276</v>
      </c>
      <c r="N1898" s="413" t="s">
        <v>2726</v>
      </c>
    </row>
    <row r="1899">
      <c r="A1899" s="409">
        <v>46147.0</v>
      </c>
      <c r="B1899" s="102">
        <v>2026.0</v>
      </c>
      <c r="C1899" s="410" t="s">
        <v>2705</v>
      </c>
      <c r="D1899" s="102" t="s">
        <v>723</v>
      </c>
      <c r="E1899" s="102" t="s">
        <v>137</v>
      </c>
      <c r="F1899" s="102" t="s">
        <v>711</v>
      </c>
      <c r="G1899" s="102" t="s">
        <v>767</v>
      </c>
      <c r="H1899" s="360">
        <v>800.0</v>
      </c>
      <c r="I1899" s="411" t="b">
        <v>0</v>
      </c>
      <c r="J1899" s="102" t="s">
        <v>2093</v>
      </c>
      <c r="K1899" s="360">
        <v>0.0</v>
      </c>
      <c r="L1899" s="360">
        <v>800.0</v>
      </c>
      <c r="M1899" s="102" t="s">
        <v>2276</v>
      </c>
      <c r="N1899" s="102" t="s">
        <v>2727</v>
      </c>
    </row>
    <row r="1900">
      <c r="A1900" s="412">
        <v>46147.0</v>
      </c>
      <c r="B1900" s="413">
        <v>2026.0</v>
      </c>
      <c r="C1900" s="414" t="s">
        <v>2705</v>
      </c>
      <c r="D1900" s="413" t="s">
        <v>723</v>
      </c>
      <c r="E1900" s="413" t="s">
        <v>137</v>
      </c>
      <c r="F1900" s="413" t="s">
        <v>711</v>
      </c>
      <c r="G1900" s="413" t="s">
        <v>767</v>
      </c>
      <c r="H1900" s="415">
        <v>800.0</v>
      </c>
      <c r="I1900" s="416" t="b">
        <v>0</v>
      </c>
      <c r="J1900" s="413" t="s">
        <v>1788</v>
      </c>
      <c r="K1900" s="415">
        <v>0.0</v>
      </c>
      <c r="L1900" s="415">
        <v>800.0</v>
      </c>
      <c r="M1900" s="413" t="s">
        <v>2276</v>
      </c>
      <c r="N1900" s="413" t="s">
        <v>2728</v>
      </c>
    </row>
    <row r="1901">
      <c r="A1901" s="409">
        <v>46147.0</v>
      </c>
      <c r="B1901" s="102">
        <v>2026.0</v>
      </c>
      <c r="C1901" s="410" t="s">
        <v>2705</v>
      </c>
      <c r="D1901" s="102" t="s">
        <v>723</v>
      </c>
      <c r="E1901" s="102" t="s">
        <v>137</v>
      </c>
      <c r="F1901" s="102" t="s">
        <v>711</v>
      </c>
      <c r="G1901" s="102" t="s">
        <v>767</v>
      </c>
      <c r="H1901" s="360">
        <v>950.0</v>
      </c>
      <c r="I1901" s="411" t="b">
        <v>0</v>
      </c>
      <c r="J1901" s="102" t="s">
        <v>1232</v>
      </c>
      <c r="K1901" s="360">
        <v>0.0</v>
      </c>
      <c r="L1901" s="360">
        <v>950.0</v>
      </c>
      <c r="M1901" s="102" t="s">
        <v>2276</v>
      </c>
      <c r="N1901" s="102" t="s">
        <v>2729</v>
      </c>
    </row>
    <row r="1902">
      <c r="A1902" s="412">
        <v>46147.0</v>
      </c>
      <c r="B1902" s="413">
        <v>2026.0</v>
      </c>
      <c r="C1902" s="414" t="s">
        <v>2705</v>
      </c>
      <c r="D1902" s="413" t="s">
        <v>702</v>
      </c>
      <c r="E1902" s="413" t="s">
        <v>465</v>
      </c>
      <c r="F1902" s="413" t="s">
        <v>711</v>
      </c>
      <c r="G1902" s="413" t="s">
        <v>767</v>
      </c>
      <c r="H1902" s="415">
        <v>1247.22</v>
      </c>
      <c r="I1902" s="416" t="b">
        <v>0</v>
      </c>
      <c r="J1902" s="413" t="s">
        <v>1248</v>
      </c>
      <c r="K1902" s="415">
        <v>172.03034482758608</v>
      </c>
      <c r="L1902" s="415">
        <v>1075.189655172414</v>
      </c>
      <c r="M1902" s="413" t="s">
        <v>2276</v>
      </c>
      <c r="N1902" s="413" t="s">
        <v>2730</v>
      </c>
    </row>
    <row r="1903">
      <c r="A1903" s="409">
        <v>46147.0</v>
      </c>
      <c r="B1903" s="102">
        <v>2026.0</v>
      </c>
      <c r="C1903" s="410" t="s">
        <v>2705</v>
      </c>
      <c r="D1903" s="102" t="s">
        <v>723</v>
      </c>
      <c r="E1903" s="102" t="s">
        <v>137</v>
      </c>
      <c r="F1903" s="102" t="s">
        <v>711</v>
      </c>
      <c r="G1903" s="102" t="s">
        <v>767</v>
      </c>
      <c r="H1903" s="360">
        <v>800.0</v>
      </c>
      <c r="I1903" s="411" t="b">
        <v>0</v>
      </c>
      <c r="J1903" s="102" t="s">
        <v>1297</v>
      </c>
      <c r="K1903" s="360">
        <v>0.0</v>
      </c>
      <c r="L1903" s="360">
        <v>800.0</v>
      </c>
      <c r="M1903" s="102" t="s">
        <v>2276</v>
      </c>
      <c r="N1903" s="102" t="s">
        <v>2731</v>
      </c>
    </row>
    <row r="1904">
      <c r="A1904" s="412">
        <v>46147.0</v>
      </c>
      <c r="B1904" s="413">
        <v>2026.0</v>
      </c>
      <c r="C1904" s="414" t="s">
        <v>2705</v>
      </c>
      <c r="D1904" s="413" t="s">
        <v>723</v>
      </c>
      <c r="E1904" s="413" t="s">
        <v>137</v>
      </c>
      <c r="F1904" s="413" t="s">
        <v>711</v>
      </c>
      <c r="G1904" s="413" t="s">
        <v>767</v>
      </c>
      <c r="H1904" s="415">
        <v>800.0</v>
      </c>
      <c r="I1904" s="416" t="b">
        <v>0</v>
      </c>
      <c r="J1904" s="413" t="s">
        <v>2071</v>
      </c>
      <c r="K1904" s="415">
        <v>0.0</v>
      </c>
      <c r="L1904" s="415">
        <v>800.0</v>
      </c>
      <c r="M1904" s="413" t="s">
        <v>2276</v>
      </c>
      <c r="N1904" s="413" t="s">
        <v>2732</v>
      </c>
    </row>
    <row r="1905">
      <c r="A1905" s="409">
        <v>46147.0</v>
      </c>
      <c r="B1905" s="102">
        <v>2026.0</v>
      </c>
      <c r="C1905" s="410" t="s">
        <v>2705</v>
      </c>
      <c r="D1905" s="102" t="s">
        <v>723</v>
      </c>
      <c r="E1905" s="102" t="s">
        <v>137</v>
      </c>
      <c r="F1905" s="102" t="s">
        <v>711</v>
      </c>
      <c r="G1905" s="102" t="s">
        <v>767</v>
      </c>
      <c r="H1905" s="360">
        <v>800.0</v>
      </c>
      <c r="I1905" s="411" t="b">
        <v>0</v>
      </c>
      <c r="J1905" s="102" t="s">
        <v>1148</v>
      </c>
      <c r="K1905" s="360">
        <v>0.0</v>
      </c>
      <c r="L1905" s="360">
        <v>800.0</v>
      </c>
      <c r="M1905" s="102" t="s">
        <v>2276</v>
      </c>
      <c r="N1905" s="102" t="s">
        <v>2733</v>
      </c>
    </row>
    <row r="1906">
      <c r="A1906" s="412">
        <v>46147.0</v>
      </c>
      <c r="B1906" s="413">
        <v>2026.0</v>
      </c>
      <c r="C1906" s="414" t="s">
        <v>2705</v>
      </c>
      <c r="D1906" s="413" t="s">
        <v>702</v>
      </c>
      <c r="E1906" s="413" t="s">
        <v>465</v>
      </c>
      <c r="F1906" s="413" t="s">
        <v>711</v>
      </c>
      <c r="G1906" s="413" t="s">
        <v>767</v>
      </c>
      <c r="H1906" s="415">
        <v>800.0</v>
      </c>
      <c r="I1906" s="416" t="b">
        <v>0</v>
      </c>
      <c r="J1906" s="413" t="s">
        <v>432</v>
      </c>
      <c r="K1906" s="415">
        <v>110.34482758620686</v>
      </c>
      <c r="L1906" s="415">
        <v>689.6551724137931</v>
      </c>
      <c r="M1906" s="413" t="s">
        <v>2276</v>
      </c>
      <c r="N1906" s="413" t="s">
        <v>2734</v>
      </c>
    </row>
    <row r="1907">
      <c r="A1907" s="409">
        <v>46147.0</v>
      </c>
      <c r="B1907" s="102">
        <v>2026.0</v>
      </c>
      <c r="C1907" s="410" t="s">
        <v>2705</v>
      </c>
      <c r="D1907" s="102" t="s">
        <v>702</v>
      </c>
      <c r="E1907" s="102" t="s">
        <v>465</v>
      </c>
      <c r="F1907" s="102" t="s">
        <v>711</v>
      </c>
      <c r="G1907" s="102" t="s">
        <v>767</v>
      </c>
      <c r="H1907" s="360">
        <v>950.0</v>
      </c>
      <c r="I1907" s="411" t="b">
        <v>0</v>
      </c>
      <c r="J1907" s="102" t="s">
        <v>2632</v>
      </c>
      <c r="K1907" s="360">
        <v>131.03448275862058</v>
      </c>
      <c r="L1907" s="360">
        <v>818.9655172413794</v>
      </c>
      <c r="M1907" s="102" t="s">
        <v>2276</v>
      </c>
      <c r="N1907" s="102" t="s">
        <v>2735</v>
      </c>
    </row>
    <row r="1908">
      <c r="A1908" s="412">
        <v>46147.0</v>
      </c>
      <c r="B1908" s="413">
        <v>2026.0</v>
      </c>
      <c r="C1908" s="414" t="s">
        <v>2705</v>
      </c>
      <c r="D1908" s="413" t="s">
        <v>723</v>
      </c>
      <c r="E1908" s="413" t="s">
        <v>137</v>
      </c>
      <c r="F1908" s="413" t="s">
        <v>711</v>
      </c>
      <c r="G1908" s="413" t="s">
        <v>767</v>
      </c>
      <c r="H1908" s="415">
        <v>1600.0</v>
      </c>
      <c r="I1908" s="416" t="b">
        <v>0</v>
      </c>
      <c r="J1908" s="413" t="s">
        <v>2736</v>
      </c>
      <c r="K1908" s="415">
        <v>0.0</v>
      </c>
      <c r="L1908" s="415">
        <v>1600.0</v>
      </c>
      <c r="M1908" s="413" t="s">
        <v>2276</v>
      </c>
      <c r="N1908" s="413" t="s">
        <v>2737</v>
      </c>
    </row>
    <row r="1909">
      <c r="A1909" s="409">
        <v>46147.0</v>
      </c>
      <c r="B1909" s="102">
        <v>2026.0</v>
      </c>
      <c r="C1909" s="410" t="s">
        <v>2705</v>
      </c>
      <c r="D1909" s="102" t="s">
        <v>723</v>
      </c>
      <c r="E1909" s="102" t="s">
        <v>137</v>
      </c>
      <c r="F1909" s="102" t="s">
        <v>711</v>
      </c>
      <c r="G1909" s="102" t="s">
        <v>767</v>
      </c>
      <c r="H1909" s="360">
        <v>950.0</v>
      </c>
      <c r="I1909" s="411" t="b">
        <v>0</v>
      </c>
      <c r="J1909" s="102" t="s">
        <v>2643</v>
      </c>
      <c r="K1909" s="360">
        <v>0.0</v>
      </c>
      <c r="L1909" s="360">
        <v>950.0</v>
      </c>
      <c r="M1909" s="102" t="s">
        <v>2276</v>
      </c>
      <c r="N1909" s="102" t="s">
        <v>2738</v>
      </c>
    </row>
    <row r="1910">
      <c r="A1910" s="412">
        <v>46147.0</v>
      </c>
      <c r="B1910" s="413">
        <v>2026.0</v>
      </c>
      <c r="C1910" s="414" t="s">
        <v>2705</v>
      </c>
      <c r="D1910" s="413" t="s">
        <v>702</v>
      </c>
      <c r="E1910" s="413" t="s">
        <v>465</v>
      </c>
      <c r="F1910" s="413" t="s">
        <v>711</v>
      </c>
      <c r="G1910" s="413" t="s">
        <v>767</v>
      </c>
      <c r="H1910" s="415">
        <v>550.0</v>
      </c>
      <c r="I1910" s="416" t="b">
        <v>0</v>
      </c>
      <c r="J1910" s="413" t="s">
        <v>2454</v>
      </c>
      <c r="K1910" s="415">
        <v>75.86206896551721</v>
      </c>
      <c r="L1910" s="415">
        <v>474.1379310344828</v>
      </c>
      <c r="M1910" s="413" t="s">
        <v>2276</v>
      </c>
      <c r="N1910" s="413" t="s">
        <v>2739</v>
      </c>
    </row>
    <row r="1911">
      <c r="A1911" s="409">
        <v>46147.0</v>
      </c>
      <c r="B1911" s="102">
        <v>2026.0</v>
      </c>
      <c r="C1911" s="410" t="s">
        <v>2705</v>
      </c>
      <c r="D1911" s="102" t="s">
        <v>702</v>
      </c>
      <c r="E1911" s="102" t="s">
        <v>465</v>
      </c>
      <c r="F1911" s="102" t="s">
        <v>711</v>
      </c>
      <c r="G1911" s="102" t="s">
        <v>767</v>
      </c>
      <c r="H1911" s="360">
        <v>550.0</v>
      </c>
      <c r="I1911" s="411" t="b">
        <v>0</v>
      </c>
      <c r="J1911" s="102" t="s">
        <v>1146</v>
      </c>
      <c r="K1911" s="360">
        <v>75.86206896551721</v>
      </c>
      <c r="L1911" s="360">
        <v>474.1379310344828</v>
      </c>
      <c r="M1911" s="102" t="s">
        <v>2276</v>
      </c>
      <c r="N1911" s="102" t="s">
        <v>2740</v>
      </c>
    </row>
    <row r="1912">
      <c r="A1912" s="412">
        <v>46147.0</v>
      </c>
      <c r="B1912" s="413">
        <v>2026.0</v>
      </c>
      <c r="C1912" s="414" t="s">
        <v>2705</v>
      </c>
      <c r="D1912" s="413" t="s">
        <v>702</v>
      </c>
      <c r="E1912" s="413" t="s">
        <v>465</v>
      </c>
      <c r="F1912" s="413" t="s">
        <v>711</v>
      </c>
      <c r="G1912" s="413" t="s">
        <v>730</v>
      </c>
      <c r="H1912" s="415">
        <v>5.0</v>
      </c>
      <c r="I1912" s="416" t="b">
        <v>0</v>
      </c>
      <c r="J1912" s="413" t="s">
        <v>472</v>
      </c>
      <c r="K1912" s="415">
        <v>0.6896551724137927</v>
      </c>
      <c r="L1912" s="415">
        <v>4.310344827586207</v>
      </c>
      <c r="M1912" s="413" t="s">
        <v>2276</v>
      </c>
      <c r="N1912" s="413" t="s">
        <v>2741</v>
      </c>
    </row>
    <row r="1913">
      <c r="A1913" s="409">
        <v>46147.0</v>
      </c>
      <c r="B1913" s="102">
        <v>2026.0</v>
      </c>
      <c r="C1913" s="410" t="s">
        <v>2705</v>
      </c>
      <c r="D1913" s="102" t="s">
        <v>723</v>
      </c>
      <c r="E1913" s="102" t="s">
        <v>137</v>
      </c>
      <c r="F1913" s="102" t="s">
        <v>711</v>
      </c>
      <c r="G1913" s="102" t="s">
        <v>732</v>
      </c>
      <c r="H1913" s="360">
        <v>250.0</v>
      </c>
      <c r="I1913" s="411" t="b">
        <v>0</v>
      </c>
      <c r="J1913" s="102" t="s">
        <v>2211</v>
      </c>
      <c r="K1913" s="360">
        <v>0.0</v>
      </c>
      <c r="L1913" s="360">
        <v>250.0</v>
      </c>
      <c r="M1913" s="102" t="s">
        <v>2276</v>
      </c>
      <c r="N1913" s="102" t="s">
        <v>2742</v>
      </c>
    </row>
    <row r="1914">
      <c r="A1914" s="412">
        <v>46147.0</v>
      </c>
      <c r="B1914" s="413">
        <v>2026.0</v>
      </c>
      <c r="C1914" s="414" t="s">
        <v>2705</v>
      </c>
      <c r="D1914" s="413" t="s">
        <v>723</v>
      </c>
      <c r="E1914" s="413" t="s">
        <v>137</v>
      </c>
      <c r="F1914" s="413" t="s">
        <v>711</v>
      </c>
      <c r="G1914" s="413" t="s">
        <v>740</v>
      </c>
      <c r="H1914" s="415">
        <v>30.0</v>
      </c>
      <c r="I1914" s="416" t="b">
        <v>0</v>
      </c>
      <c r="J1914" s="413" t="s">
        <v>472</v>
      </c>
      <c r="K1914" s="415">
        <v>0.0</v>
      </c>
      <c r="L1914" s="415">
        <v>30.0</v>
      </c>
      <c r="M1914" s="413" t="s">
        <v>2276</v>
      </c>
      <c r="N1914" s="413" t="s">
        <v>2743</v>
      </c>
    </row>
    <row r="1915">
      <c r="A1915" s="409">
        <v>46147.0</v>
      </c>
      <c r="B1915" s="102">
        <v>2026.0</v>
      </c>
      <c r="C1915" s="410" t="s">
        <v>2705</v>
      </c>
      <c r="D1915" s="102" t="s">
        <v>723</v>
      </c>
      <c r="E1915" s="102" t="s">
        <v>137</v>
      </c>
      <c r="F1915" s="102" t="s">
        <v>703</v>
      </c>
      <c r="G1915" s="102" t="s">
        <v>732</v>
      </c>
      <c r="H1915" s="360">
        <v>22.0</v>
      </c>
      <c r="I1915" s="411" t="b">
        <v>0</v>
      </c>
      <c r="J1915" s="102" t="s">
        <v>2744</v>
      </c>
      <c r="K1915" s="360">
        <v>0.0</v>
      </c>
      <c r="L1915" s="360">
        <v>22.0</v>
      </c>
      <c r="M1915" s="102" t="s">
        <v>2276</v>
      </c>
      <c r="N1915" s="102" t="s">
        <v>2745</v>
      </c>
    </row>
    <row r="1916">
      <c r="A1916" s="412">
        <v>46147.0</v>
      </c>
      <c r="B1916" s="413">
        <v>2026.0</v>
      </c>
      <c r="C1916" s="414" t="s">
        <v>2705</v>
      </c>
      <c r="D1916" s="413" t="s">
        <v>702</v>
      </c>
      <c r="E1916" s="413" t="s">
        <v>465</v>
      </c>
      <c r="F1916" s="413" t="s">
        <v>703</v>
      </c>
      <c r="G1916" s="413" t="s">
        <v>797</v>
      </c>
      <c r="H1916" s="415">
        <v>849.0</v>
      </c>
      <c r="I1916" s="416" t="b">
        <v>0</v>
      </c>
      <c r="J1916" s="413" t="s">
        <v>603</v>
      </c>
      <c r="K1916" s="415">
        <v>0.0</v>
      </c>
      <c r="L1916" s="415">
        <v>849.0</v>
      </c>
      <c r="M1916" s="413" t="s">
        <v>2276</v>
      </c>
      <c r="N1916" s="413" t="s">
        <v>2746</v>
      </c>
    </row>
    <row r="1917">
      <c r="A1917" s="409">
        <v>46147.0</v>
      </c>
      <c r="B1917" s="102">
        <v>2026.0</v>
      </c>
      <c r="C1917" s="410" t="s">
        <v>2705</v>
      </c>
      <c r="D1917" s="102" t="s">
        <v>702</v>
      </c>
      <c r="E1917" s="102" t="s">
        <v>465</v>
      </c>
      <c r="F1917" s="102" t="s">
        <v>703</v>
      </c>
      <c r="G1917" s="102" t="s">
        <v>601</v>
      </c>
      <c r="H1917" s="360">
        <v>550.0</v>
      </c>
      <c r="I1917" s="411" t="b">
        <v>0</v>
      </c>
      <c r="J1917" s="102" t="s">
        <v>472</v>
      </c>
      <c r="K1917" s="360">
        <v>0.0</v>
      </c>
      <c r="L1917" s="360">
        <v>550.0</v>
      </c>
      <c r="M1917" s="102" t="s">
        <v>2276</v>
      </c>
      <c r="N1917" s="102" t="s">
        <v>2747</v>
      </c>
    </row>
    <row r="1918">
      <c r="A1918" s="412">
        <v>46147.0</v>
      </c>
      <c r="B1918" s="413">
        <v>2026.0</v>
      </c>
      <c r="C1918" s="414" t="s">
        <v>2705</v>
      </c>
      <c r="D1918" s="413" t="s">
        <v>702</v>
      </c>
      <c r="E1918" s="413" t="s">
        <v>465</v>
      </c>
      <c r="F1918" s="413" t="s">
        <v>703</v>
      </c>
      <c r="G1918" s="413" t="s">
        <v>769</v>
      </c>
      <c r="H1918" s="415">
        <v>9280.0</v>
      </c>
      <c r="I1918" s="416" t="b">
        <v>0</v>
      </c>
      <c r="J1918" s="413" t="s">
        <v>472</v>
      </c>
      <c r="K1918" s="415">
        <v>0.0</v>
      </c>
      <c r="L1918" s="415">
        <v>9280.0</v>
      </c>
      <c r="M1918" s="413" t="s">
        <v>2276</v>
      </c>
      <c r="N1918" s="413" t="s">
        <v>2748</v>
      </c>
    </row>
    <row r="1919">
      <c r="A1919" s="409">
        <v>46147.0</v>
      </c>
      <c r="B1919" s="102">
        <v>2026.0</v>
      </c>
      <c r="C1919" s="410" t="s">
        <v>2705</v>
      </c>
      <c r="D1919" s="102" t="s">
        <v>702</v>
      </c>
      <c r="E1919" s="102" t="s">
        <v>465</v>
      </c>
      <c r="F1919" s="102" t="s">
        <v>703</v>
      </c>
      <c r="G1919" s="102" t="s">
        <v>732</v>
      </c>
      <c r="H1919" s="360">
        <v>1575.0</v>
      </c>
      <c r="I1919" s="411" t="b">
        <v>0</v>
      </c>
      <c r="J1919" s="102" t="s">
        <v>2749</v>
      </c>
      <c r="K1919" s="360">
        <v>0.0</v>
      </c>
      <c r="L1919" s="360">
        <v>1575.0</v>
      </c>
      <c r="M1919" s="102" t="s">
        <v>2276</v>
      </c>
      <c r="N1919" s="102" t="s">
        <v>2750</v>
      </c>
    </row>
    <row r="1920">
      <c r="A1920" s="412">
        <v>46147.0</v>
      </c>
      <c r="B1920" s="413">
        <v>2026.0</v>
      </c>
      <c r="C1920" s="414" t="s">
        <v>2705</v>
      </c>
      <c r="D1920" s="413" t="s">
        <v>723</v>
      </c>
      <c r="E1920" s="413" t="s">
        <v>137</v>
      </c>
      <c r="F1920" s="413" t="s">
        <v>703</v>
      </c>
      <c r="G1920" s="413" t="s">
        <v>724</v>
      </c>
      <c r="H1920" s="415">
        <v>8598.0</v>
      </c>
      <c r="I1920" s="416" t="b">
        <v>1</v>
      </c>
      <c r="J1920" s="413" t="s">
        <v>472</v>
      </c>
      <c r="K1920" s="415">
        <v>0.0</v>
      </c>
      <c r="L1920" s="415">
        <v>0.0</v>
      </c>
      <c r="M1920" s="413" t="s">
        <v>2276</v>
      </c>
      <c r="N1920" s="413" t="s">
        <v>2751</v>
      </c>
    </row>
    <row r="1921">
      <c r="A1921" s="409">
        <v>46147.0</v>
      </c>
      <c r="B1921" s="102">
        <v>2026.0</v>
      </c>
      <c r="C1921" s="410" t="s">
        <v>2705</v>
      </c>
      <c r="D1921" s="102" t="s">
        <v>710</v>
      </c>
      <c r="E1921" s="102" t="s">
        <v>137</v>
      </c>
      <c r="F1921" s="102" t="s">
        <v>711</v>
      </c>
      <c r="G1921" s="102" t="s">
        <v>724</v>
      </c>
      <c r="H1921" s="360">
        <v>8598.0</v>
      </c>
      <c r="I1921" s="411" t="b">
        <v>1</v>
      </c>
      <c r="J1921" s="102" t="s">
        <v>472</v>
      </c>
      <c r="K1921" s="360">
        <v>0.0</v>
      </c>
      <c r="L1921" s="360">
        <v>0.0</v>
      </c>
      <c r="M1921" s="102" t="s">
        <v>2276</v>
      </c>
      <c r="N1921" s="102" t="s">
        <v>2751</v>
      </c>
    </row>
    <row r="1922">
      <c r="A1922" s="412">
        <v>46148.0</v>
      </c>
      <c r="B1922" s="413">
        <v>2026.0</v>
      </c>
      <c r="C1922" s="414" t="s">
        <v>2705</v>
      </c>
      <c r="D1922" s="413" t="s">
        <v>702</v>
      </c>
      <c r="E1922" s="413" t="s">
        <v>465</v>
      </c>
      <c r="F1922" s="413" t="s">
        <v>711</v>
      </c>
      <c r="G1922" s="413" t="s">
        <v>767</v>
      </c>
      <c r="H1922" s="415">
        <v>800.0</v>
      </c>
      <c r="I1922" s="416" t="b">
        <v>0</v>
      </c>
      <c r="J1922" s="413" t="s">
        <v>2752</v>
      </c>
      <c r="K1922" s="415">
        <v>110.34482758620686</v>
      </c>
      <c r="L1922" s="415">
        <v>689.6551724137931</v>
      </c>
      <c r="M1922" s="413" t="s">
        <v>2276</v>
      </c>
      <c r="N1922" s="413" t="s">
        <v>2753</v>
      </c>
    </row>
    <row r="1923">
      <c r="A1923" s="409">
        <v>46148.0</v>
      </c>
      <c r="B1923" s="102">
        <v>2026.0</v>
      </c>
      <c r="C1923" s="410" t="s">
        <v>2705</v>
      </c>
      <c r="D1923" s="102" t="s">
        <v>702</v>
      </c>
      <c r="E1923" s="102" t="s">
        <v>465</v>
      </c>
      <c r="F1923" s="102" t="s">
        <v>711</v>
      </c>
      <c r="G1923" s="102" t="s">
        <v>767</v>
      </c>
      <c r="H1923" s="360">
        <v>950.0</v>
      </c>
      <c r="I1923" s="411" t="b">
        <v>0</v>
      </c>
      <c r="J1923" s="102" t="s">
        <v>1799</v>
      </c>
      <c r="K1923" s="360">
        <v>131.03448275862058</v>
      </c>
      <c r="L1923" s="360">
        <v>818.9655172413794</v>
      </c>
      <c r="M1923" s="102" t="s">
        <v>2276</v>
      </c>
      <c r="N1923" s="102" t="s">
        <v>2754</v>
      </c>
    </row>
    <row r="1924">
      <c r="A1924" s="412">
        <v>46148.0</v>
      </c>
      <c r="B1924" s="413">
        <v>2026.0</v>
      </c>
      <c r="C1924" s="414" t="s">
        <v>2705</v>
      </c>
      <c r="D1924" s="413" t="s">
        <v>702</v>
      </c>
      <c r="E1924" s="413" t="s">
        <v>465</v>
      </c>
      <c r="F1924" s="413" t="s">
        <v>711</v>
      </c>
      <c r="G1924" s="413" t="s">
        <v>767</v>
      </c>
      <c r="H1924" s="415">
        <v>1600.0</v>
      </c>
      <c r="I1924" s="416" t="b">
        <v>0</v>
      </c>
      <c r="J1924" s="413" t="s">
        <v>2652</v>
      </c>
      <c r="K1924" s="415">
        <v>220.68965517241372</v>
      </c>
      <c r="L1924" s="415">
        <v>1379.3103448275863</v>
      </c>
      <c r="M1924" s="413" t="s">
        <v>2276</v>
      </c>
      <c r="N1924" s="413" t="s">
        <v>2755</v>
      </c>
    </row>
    <row r="1925">
      <c r="A1925" s="409">
        <v>46148.0</v>
      </c>
      <c r="B1925" s="102">
        <v>2026.0</v>
      </c>
      <c r="C1925" s="410" t="s">
        <v>2705</v>
      </c>
      <c r="D1925" s="102" t="s">
        <v>723</v>
      </c>
      <c r="E1925" s="102" t="s">
        <v>137</v>
      </c>
      <c r="F1925" s="102" t="s">
        <v>711</v>
      </c>
      <c r="G1925" s="102" t="s">
        <v>767</v>
      </c>
      <c r="H1925" s="360">
        <v>1100.0</v>
      </c>
      <c r="I1925" s="411" t="b">
        <v>0</v>
      </c>
      <c r="J1925" s="102" t="s">
        <v>2411</v>
      </c>
      <c r="K1925" s="360">
        <v>0.0</v>
      </c>
      <c r="L1925" s="360">
        <v>1100.0</v>
      </c>
      <c r="M1925" s="102" t="s">
        <v>2276</v>
      </c>
      <c r="N1925" s="102" t="s">
        <v>2756</v>
      </c>
    </row>
    <row r="1926">
      <c r="A1926" s="412">
        <v>46148.0</v>
      </c>
      <c r="B1926" s="413">
        <v>2026.0</v>
      </c>
      <c r="C1926" s="414" t="s">
        <v>2705</v>
      </c>
      <c r="D1926" s="413" t="s">
        <v>702</v>
      </c>
      <c r="E1926" s="413" t="s">
        <v>465</v>
      </c>
      <c r="F1926" s="413" t="s">
        <v>711</v>
      </c>
      <c r="G1926" s="413" t="s">
        <v>767</v>
      </c>
      <c r="H1926" s="415">
        <v>550.0</v>
      </c>
      <c r="I1926" s="416" t="b">
        <v>0</v>
      </c>
      <c r="J1926" s="413" t="s">
        <v>1967</v>
      </c>
      <c r="K1926" s="415">
        <v>75.86206896551721</v>
      </c>
      <c r="L1926" s="415">
        <v>474.1379310344828</v>
      </c>
      <c r="M1926" s="413" t="s">
        <v>2276</v>
      </c>
      <c r="N1926" s="413" t="s">
        <v>2757</v>
      </c>
    </row>
    <row r="1927">
      <c r="A1927" s="409">
        <v>46148.0</v>
      </c>
      <c r="B1927" s="102">
        <v>2026.0</v>
      </c>
      <c r="C1927" s="410" t="s">
        <v>2705</v>
      </c>
      <c r="D1927" s="102" t="s">
        <v>723</v>
      </c>
      <c r="E1927" s="102" t="s">
        <v>137</v>
      </c>
      <c r="F1927" s="102" t="s">
        <v>711</v>
      </c>
      <c r="G1927" s="102" t="s">
        <v>767</v>
      </c>
      <c r="H1927" s="360">
        <v>1650.0</v>
      </c>
      <c r="I1927" s="411" t="b">
        <v>0</v>
      </c>
      <c r="J1927" s="102" t="s">
        <v>2758</v>
      </c>
      <c r="K1927" s="360">
        <v>0.0</v>
      </c>
      <c r="L1927" s="360">
        <v>1650.0</v>
      </c>
      <c r="M1927" s="102" t="s">
        <v>2276</v>
      </c>
      <c r="N1927" s="102" t="s">
        <v>2759</v>
      </c>
    </row>
    <row r="1928">
      <c r="A1928" s="412">
        <v>46148.0</v>
      </c>
      <c r="B1928" s="413">
        <v>2026.0</v>
      </c>
      <c r="C1928" s="414" t="s">
        <v>2705</v>
      </c>
      <c r="D1928" s="413" t="s">
        <v>702</v>
      </c>
      <c r="E1928" s="413" t="s">
        <v>465</v>
      </c>
      <c r="F1928" s="413" t="s">
        <v>711</v>
      </c>
      <c r="G1928" s="413" t="s">
        <v>767</v>
      </c>
      <c r="H1928" s="415">
        <v>700.0</v>
      </c>
      <c r="I1928" s="416" t="b">
        <v>0</v>
      </c>
      <c r="J1928" s="413" t="s">
        <v>1367</v>
      </c>
      <c r="K1928" s="415">
        <v>96.55172413793105</v>
      </c>
      <c r="L1928" s="415">
        <v>603.448275862069</v>
      </c>
      <c r="M1928" s="413" t="s">
        <v>2276</v>
      </c>
      <c r="N1928" s="413" t="s">
        <v>2760</v>
      </c>
    </row>
    <row r="1929">
      <c r="A1929" s="409">
        <v>46149.0</v>
      </c>
      <c r="B1929" s="102">
        <v>2026.0</v>
      </c>
      <c r="C1929" s="410" t="s">
        <v>2705</v>
      </c>
      <c r="D1929" s="102" t="s">
        <v>702</v>
      </c>
      <c r="E1929" s="102" t="s">
        <v>465</v>
      </c>
      <c r="F1929" s="102" t="s">
        <v>711</v>
      </c>
      <c r="G1929" s="102" t="s">
        <v>767</v>
      </c>
      <c r="H1929" s="360">
        <v>1350.0</v>
      </c>
      <c r="I1929" s="411" t="b">
        <v>0</v>
      </c>
      <c r="J1929" s="102" t="s">
        <v>2761</v>
      </c>
      <c r="K1929" s="360">
        <v>186.20689655172396</v>
      </c>
      <c r="L1929" s="360">
        <v>1163.793103448276</v>
      </c>
      <c r="M1929" s="102" t="s">
        <v>2276</v>
      </c>
      <c r="N1929" s="102" t="s">
        <v>2762</v>
      </c>
    </row>
    <row r="1930">
      <c r="A1930" s="412">
        <v>46149.0</v>
      </c>
      <c r="B1930" s="413">
        <v>2026.0</v>
      </c>
      <c r="C1930" s="414" t="s">
        <v>2705</v>
      </c>
      <c r="D1930" s="413" t="s">
        <v>723</v>
      </c>
      <c r="E1930" s="413" t="s">
        <v>137</v>
      </c>
      <c r="F1930" s="413" t="s">
        <v>703</v>
      </c>
      <c r="G1930" s="413" t="s">
        <v>747</v>
      </c>
      <c r="H1930" s="415">
        <v>500.0</v>
      </c>
      <c r="I1930" s="416" t="b">
        <v>0</v>
      </c>
      <c r="J1930" s="413" t="s">
        <v>2382</v>
      </c>
      <c r="K1930" s="415">
        <v>0.0</v>
      </c>
      <c r="L1930" s="415">
        <v>500.0</v>
      </c>
      <c r="M1930" s="413" t="s">
        <v>2276</v>
      </c>
      <c r="N1930" s="413" t="s">
        <v>2763</v>
      </c>
    </row>
    <row r="1931">
      <c r="A1931" s="409">
        <v>46149.0</v>
      </c>
      <c r="B1931" s="102">
        <v>2026.0</v>
      </c>
      <c r="C1931" s="410" t="s">
        <v>2705</v>
      </c>
      <c r="D1931" s="102" t="s">
        <v>723</v>
      </c>
      <c r="E1931" s="102" t="s">
        <v>137</v>
      </c>
      <c r="F1931" s="102" t="s">
        <v>711</v>
      </c>
      <c r="G1931" s="102" t="s">
        <v>724</v>
      </c>
      <c r="H1931" s="360">
        <v>200.0</v>
      </c>
      <c r="I1931" s="411" t="b">
        <v>1</v>
      </c>
      <c r="J1931" s="102" t="s">
        <v>472</v>
      </c>
      <c r="K1931" s="360">
        <v>0.0</v>
      </c>
      <c r="L1931" s="360">
        <v>0.0</v>
      </c>
      <c r="M1931" s="102" t="s">
        <v>2276</v>
      </c>
      <c r="N1931" s="102" t="s">
        <v>2764</v>
      </c>
    </row>
    <row r="1932">
      <c r="A1932" s="412">
        <v>46149.0</v>
      </c>
      <c r="B1932" s="413">
        <v>2026.0</v>
      </c>
      <c r="C1932" s="414" t="s">
        <v>2705</v>
      </c>
      <c r="D1932" s="413" t="s">
        <v>702</v>
      </c>
      <c r="E1932" s="413" t="s">
        <v>465</v>
      </c>
      <c r="F1932" s="413" t="s">
        <v>703</v>
      </c>
      <c r="G1932" s="413" t="s">
        <v>724</v>
      </c>
      <c r="H1932" s="415">
        <v>200.0</v>
      </c>
      <c r="I1932" s="416" t="b">
        <v>1</v>
      </c>
      <c r="J1932" s="413" t="s">
        <v>472</v>
      </c>
      <c r="K1932" s="415">
        <v>0.0</v>
      </c>
      <c r="L1932" s="415">
        <v>0.0</v>
      </c>
      <c r="M1932" s="413" t="s">
        <v>2276</v>
      </c>
      <c r="N1932" s="413" t="s">
        <v>2764</v>
      </c>
    </row>
    <row r="1933">
      <c r="A1933" s="409">
        <v>46149.0</v>
      </c>
      <c r="B1933" s="102">
        <v>2026.0</v>
      </c>
      <c r="C1933" s="410" t="s">
        <v>2705</v>
      </c>
      <c r="D1933" s="102" t="s">
        <v>702</v>
      </c>
      <c r="E1933" s="102" t="s">
        <v>465</v>
      </c>
      <c r="F1933" s="102" t="s">
        <v>711</v>
      </c>
      <c r="G1933" s="102" t="s">
        <v>767</v>
      </c>
      <c r="H1933" s="360">
        <v>767.0</v>
      </c>
      <c r="I1933" s="411" t="b">
        <v>0</v>
      </c>
      <c r="J1933" s="102" t="s">
        <v>2681</v>
      </c>
      <c r="K1933" s="360">
        <v>105.79310344827582</v>
      </c>
      <c r="L1933" s="360">
        <v>661.2068965517242</v>
      </c>
      <c r="M1933" s="102" t="s">
        <v>2276</v>
      </c>
      <c r="N1933" s="102" t="s">
        <v>2765</v>
      </c>
    </row>
    <row r="1934">
      <c r="A1934" s="412">
        <v>46153.0</v>
      </c>
      <c r="B1934" s="413">
        <v>2026.0</v>
      </c>
      <c r="C1934" s="414" t="s">
        <v>2705</v>
      </c>
      <c r="D1934" s="413" t="s">
        <v>702</v>
      </c>
      <c r="E1934" s="413" t="s">
        <v>465</v>
      </c>
      <c r="F1934" s="413" t="s">
        <v>711</v>
      </c>
      <c r="G1934" s="413" t="s">
        <v>767</v>
      </c>
      <c r="H1934" s="415">
        <v>1100.0</v>
      </c>
      <c r="I1934" s="416" t="b">
        <v>0</v>
      </c>
      <c r="J1934" s="413" t="s">
        <v>2571</v>
      </c>
      <c r="K1934" s="415">
        <v>151.72413793103442</v>
      </c>
      <c r="L1934" s="415">
        <v>948.2758620689656</v>
      </c>
      <c r="M1934" s="413" t="s">
        <v>2276</v>
      </c>
      <c r="N1934" s="413" t="s">
        <v>2766</v>
      </c>
    </row>
    <row r="1935">
      <c r="A1935" s="409">
        <v>46153.0</v>
      </c>
      <c r="B1935" s="102">
        <v>2026.0</v>
      </c>
      <c r="C1935" s="410" t="s">
        <v>2705</v>
      </c>
      <c r="D1935" s="102" t="s">
        <v>723</v>
      </c>
      <c r="E1935" s="102" t="s">
        <v>137</v>
      </c>
      <c r="F1935" s="102" t="s">
        <v>711</v>
      </c>
      <c r="G1935" s="102" t="s">
        <v>767</v>
      </c>
      <c r="H1935" s="360">
        <v>700.0</v>
      </c>
      <c r="I1935" s="411" t="b">
        <v>0</v>
      </c>
      <c r="J1935" s="102" t="s">
        <v>1213</v>
      </c>
      <c r="K1935" s="360">
        <v>0.0</v>
      </c>
      <c r="L1935" s="360">
        <v>700.0</v>
      </c>
      <c r="M1935" s="102" t="s">
        <v>2276</v>
      </c>
      <c r="N1935" s="102" t="s">
        <v>2767</v>
      </c>
    </row>
    <row r="1936">
      <c r="A1936" s="412">
        <v>46153.0</v>
      </c>
      <c r="B1936" s="413">
        <v>2026.0</v>
      </c>
      <c r="C1936" s="414" t="s">
        <v>2705</v>
      </c>
      <c r="D1936" s="413" t="s">
        <v>702</v>
      </c>
      <c r="E1936" s="413" t="s">
        <v>465</v>
      </c>
      <c r="F1936" s="413" t="s">
        <v>711</v>
      </c>
      <c r="G1936" s="413" t="s">
        <v>730</v>
      </c>
      <c r="H1936" s="415">
        <v>70.0</v>
      </c>
      <c r="I1936" s="416" t="b">
        <v>0</v>
      </c>
      <c r="J1936" s="413" t="s">
        <v>472</v>
      </c>
      <c r="K1936" s="415">
        <v>9.655172413793096</v>
      </c>
      <c r="L1936" s="415">
        <v>60.344827586206904</v>
      </c>
      <c r="M1936" s="413" t="s">
        <v>2276</v>
      </c>
      <c r="N1936" s="413" t="s">
        <v>2768</v>
      </c>
    </row>
    <row r="1937">
      <c r="A1937" s="409">
        <v>46153.0</v>
      </c>
      <c r="B1937" s="102">
        <v>2026.0</v>
      </c>
      <c r="C1937" s="410" t="s">
        <v>2705</v>
      </c>
      <c r="D1937" s="102" t="s">
        <v>723</v>
      </c>
      <c r="E1937" s="102" t="s">
        <v>137</v>
      </c>
      <c r="F1937" s="102" t="s">
        <v>703</v>
      </c>
      <c r="G1937" s="102" t="s">
        <v>724</v>
      </c>
      <c r="H1937" s="360">
        <v>280.0</v>
      </c>
      <c r="I1937" s="411" t="b">
        <v>1</v>
      </c>
      <c r="J1937" s="102" t="s">
        <v>472</v>
      </c>
      <c r="K1937" s="360">
        <v>0.0</v>
      </c>
      <c r="L1937" s="360">
        <v>0.0</v>
      </c>
      <c r="M1937" s="102" t="s">
        <v>2276</v>
      </c>
      <c r="N1937" s="102" t="s">
        <v>2769</v>
      </c>
    </row>
    <row r="1938">
      <c r="A1938" s="412">
        <v>46153.0</v>
      </c>
      <c r="B1938" s="413">
        <v>2026.0</v>
      </c>
      <c r="C1938" s="414" t="s">
        <v>2705</v>
      </c>
      <c r="D1938" s="413" t="s">
        <v>702</v>
      </c>
      <c r="E1938" s="413" t="s">
        <v>465</v>
      </c>
      <c r="F1938" s="413" t="s">
        <v>711</v>
      </c>
      <c r="G1938" s="413" t="s">
        <v>724</v>
      </c>
      <c r="H1938" s="415">
        <v>280.0</v>
      </c>
      <c r="I1938" s="416" t="b">
        <v>1</v>
      </c>
      <c r="J1938" s="413" t="s">
        <v>472</v>
      </c>
      <c r="K1938" s="415">
        <v>0.0</v>
      </c>
      <c r="L1938" s="415">
        <v>0.0</v>
      </c>
      <c r="M1938" s="413" t="s">
        <v>2276</v>
      </c>
      <c r="N1938" s="413" t="s">
        <v>2769</v>
      </c>
    </row>
    <row r="1939">
      <c r="A1939" s="409">
        <v>46153.0</v>
      </c>
      <c r="B1939" s="102">
        <v>2026.0</v>
      </c>
      <c r="C1939" s="410" t="s">
        <v>2705</v>
      </c>
      <c r="D1939" s="102" t="s">
        <v>710</v>
      </c>
      <c r="E1939" s="102" t="s">
        <v>137</v>
      </c>
      <c r="F1939" s="102" t="s">
        <v>703</v>
      </c>
      <c r="G1939" s="102" t="s">
        <v>732</v>
      </c>
      <c r="H1939" s="360">
        <v>610.0</v>
      </c>
      <c r="I1939" s="411" t="b">
        <v>0</v>
      </c>
      <c r="J1939" s="102" t="s">
        <v>2770</v>
      </c>
      <c r="K1939" s="360">
        <v>0.0</v>
      </c>
      <c r="L1939" s="360">
        <v>610.0</v>
      </c>
      <c r="M1939" s="102" t="s">
        <v>2276</v>
      </c>
      <c r="N1939" s="102" t="s">
        <v>2771</v>
      </c>
    </row>
    <row r="1940">
      <c r="A1940" s="412">
        <v>46154.0</v>
      </c>
      <c r="B1940" s="413">
        <v>2026.0</v>
      </c>
      <c r="C1940" s="414" t="s">
        <v>2705</v>
      </c>
      <c r="D1940" s="413" t="s">
        <v>723</v>
      </c>
      <c r="E1940" s="413" t="s">
        <v>137</v>
      </c>
      <c r="F1940" s="413" t="s">
        <v>711</v>
      </c>
      <c r="G1940" s="413" t="s">
        <v>732</v>
      </c>
      <c r="H1940" s="415">
        <v>125.0</v>
      </c>
      <c r="I1940" s="416" t="b">
        <v>0</v>
      </c>
      <c r="J1940" s="413" t="s">
        <v>472</v>
      </c>
      <c r="K1940" s="415">
        <v>0.0</v>
      </c>
      <c r="L1940" s="415">
        <v>125.0</v>
      </c>
      <c r="M1940" s="413" t="s">
        <v>2276</v>
      </c>
      <c r="N1940" s="413" t="s">
        <v>2772</v>
      </c>
    </row>
    <row r="1941">
      <c r="A1941" s="409">
        <v>46154.0</v>
      </c>
      <c r="B1941" s="102">
        <v>2026.0</v>
      </c>
      <c r="C1941" s="410" t="s">
        <v>2705</v>
      </c>
      <c r="D1941" s="102" t="s">
        <v>710</v>
      </c>
      <c r="E1941" s="102" t="s">
        <v>137</v>
      </c>
      <c r="F1941" s="102" t="s">
        <v>711</v>
      </c>
      <c r="G1941" s="102" t="s">
        <v>732</v>
      </c>
      <c r="H1941" s="360">
        <v>460.0</v>
      </c>
      <c r="I1941" s="411" t="b">
        <v>0</v>
      </c>
      <c r="J1941" s="102" t="s">
        <v>472</v>
      </c>
      <c r="K1941" s="360">
        <v>0.0</v>
      </c>
      <c r="L1941" s="360">
        <v>460.0</v>
      </c>
      <c r="M1941" s="102" t="s">
        <v>2276</v>
      </c>
      <c r="N1941" s="102" t="s">
        <v>2773</v>
      </c>
    </row>
    <row r="1942">
      <c r="A1942" s="412">
        <v>46154.0</v>
      </c>
      <c r="B1942" s="413">
        <v>2026.0</v>
      </c>
      <c r="C1942" s="414" t="s">
        <v>2705</v>
      </c>
      <c r="D1942" s="413" t="s">
        <v>710</v>
      </c>
      <c r="E1942" s="413" t="s">
        <v>137</v>
      </c>
      <c r="F1942" s="413" t="s">
        <v>711</v>
      </c>
      <c r="G1942" s="413" t="s">
        <v>724</v>
      </c>
      <c r="H1942" s="415">
        <v>2995.0</v>
      </c>
      <c r="I1942" s="416" t="b">
        <v>1</v>
      </c>
      <c r="J1942" s="413" t="s">
        <v>472</v>
      </c>
      <c r="K1942" s="415">
        <v>0.0</v>
      </c>
      <c r="L1942" s="415">
        <v>0.0</v>
      </c>
      <c r="M1942" s="413" t="s">
        <v>2276</v>
      </c>
      <c r="N1942" s="413" t="s">
        <v>2774</v>
      </c>
    </row>
    <row r="1943">
      <c r="A1943" s="409">
        <v>46154.0</v>
      </c>
      <c r="B1943" s="102">
        <v>2026.0</v>
      </c>
      <c r="C1943" s="410" t="s">
        <v>2705</v>
      </c>
      <c r="D1943" s="102" t="s">
        <v>723</v>
      </c>
      <c r="E1943" s="102" t="s">
        <v>137</v>
      </c>
      <c r="F1943" s="102" t="s">
        <v>703</v>
      </c>
      <c r="G1943" s="102" t="s">
        <v>724</v>
      </c>
      <c r="H1943" s="360">
        <v>2995.0</v>
      </c>
      <c r="I1943" s="411" t="b">
        <v>1</v>
      </c>
      <c r="J1943" s="102" t="s">
        <v>472</v>
      </c>
      <c r="K1943" s="360">
        <v>0.0</v>
      </c>
      <c r="L1943" s="360">
        <v>0.0</v>
      </c>
      <c r="M1943" s="102" t="s">
        <v>2276</v>
      </c>
      <c r="N1943" s="102" t="s">
        <v>2774</v>
      </c>
    </row>
    <row r="1944">
      <c r="A1944" s="412">
        <v>46158.0</v>
      </c>
      <c r="B1944" s="413">
        <v>2026.0</v>
      </c>
      <c r="C1944" s="414" t="s">
        <v>2705</v>
      </c>
      <c r="D1944" s="413" t="s">
        <v>723</v>
      </c>
      <c r="E1944" s="413" t="s">
        <v>137</v>
      </c>
      <c r="F1944" s="413" t="s">
        <v>711</v>
      </c>
      <c r="G1944" s="413" t="s">
        <v>740</v>
      </c>
      <c r="H1944" s="415">
        <v>169.0</v>
      </c>
      <c r="I1944" s="416" t="b">
        <v>0</v>
      </c>
      <c r="J1944" s="413" t="s">
        <v>472</v>
      </c>
      <c r="K1944" s="415">
        <v>0.0</v>
      </c>
      <c r="L1944" s="415">
        <v>169.0</v>
      </c>
      <c r="M1944" s="413" t="s">
        <v>2276</v>
      </c>
      <c r="N1944" s="413" t="s">
        <v>2775</v>
      </c>
    </row>
    <row r="1945">
      <c r="A1945" s="409">
        <v>46158.0</v>
      </c>
      <c r="B1945" s="102">
        <v>2026.0</v>
      </c>
      <c r="C1945" s="410" t="s">
        <v>2705</v>
      </c>
      <c r="D1945" s="102" t="s">
        <v>723</v>
      </c>
      <c r="E1945" s="102" t="s">
        <v>137</v>
      </c>
      <c r="F1945" s="102" t="s">
        <v>703</v>
      </c>
      <c r="G1945" s="102" t="s">
        <v>732</v>
      </c>
      <c r="H1945" s="360">
        <v>270.0</v>
      </c>
      <c r="I1945" s="411" t="b">
        <v>0</v>
      </c>
      <c r="J1945" s="102" t="s">
        <v>2285</v>
      </c>
      <c r="K1945" s="360">
        <v>0.0</v>
      </c>
      <c r="L1945" s="360">
        <v>270.0</v>
      </c>
      <c r="M1945" s="102" t="s">
        <v>2276</v>
      </c>
      <c r="N1945" s="102" t="s">
        <v>2776</v>
      </c>
    </row>
    <row r="1946">
      <c r="A1946" s="412">
        <v>46158.0</v>
      </c>
      <c r="B1946" s="413">
        <v>2026.0</v>
      </c>
      <c r="C1946" s="414" t="s">
        <v>2705</v>
      </c>
      <c r="D1946" s="413" t="s">
        <v>710</v>
      </c>
      <c r="E1946" s="413" t="s">
        <v>137</v>
      </c>
      <c r="F1946" s="413" t="s">
        <v>711</v>
      </c>
      <c r="G1946" s="413" t="s">
        <v>724</v>
      </c>
      <c r="H1946" s="415">
        <v>40.0</v>
      </c>
      <c r="I1946" s="416" t="b">
        <v>1</v>
      </c>
      <c r="J1946" s="413" t="s">
        <v>472</v>
      </c>
      <c r="K1946" s="415">
        <v>0.0</v>
      </c>
      <c r="L1946" s="415">
        <v>0.0</v>
      </c>
      <c r="M1946" s="413" t="s">
        <v>2276</v>
      </c>
      <c r="N1946" s="413" t="s">
        <v>2777</v>
      </c>
    </row>
    <row r="1947">
      <c r="A1947" s="409">
        <v>46158.0</v>
      </c>
      <c r="B1947" s="102">
        <v>2026.0</v>
      </c>
      <c r="C1947" s="410" t="s">
        <v>2705</v>
      </c>
      <c r="D1947" s="102" t="s">
        <v>723</v>
      </c>
      <c r="E1947" s="102" t="s">
        <v>137</v>
      </c>
      <c r="F1947" s="102" t="s">
        <v>703</v>
      </c>
      <c r="G1947" s="102" t="s">
        <v>724</v>
      </c>
      <c r="H1947" s="360">
        <v>40.0</v>
      </c>
      <c r="I1947" s="411" t="b">
        <v>1</v>
      </c>
      <c r="J1947" s="102" t="s">
        <v>472</v>
      </c>
      <c r="K1947" s="360">
        <v>0.0</v>
      </c>
      <c r="L1947" s="360">
        <v>0.0</v>
      </c>
      <c r="M1947" s="102" t="s">
        <v>2276</v>
      </c>
      <c r="N1947" s="102" t="s">
        <v>2777</v>
      </c>
    </row>
    <row r="1948">
      <c r="A1948" s="412">
        <v>46158.0</v>
      </c>
      <c r="B1948" s="413">
        <v>2026.0</v>
      </c>
      <c r="C1948" s="414" t="s">
        <v>2705</v>
      </c>
      <c r="D1948" s="413" t="s">
        <v>710</v>
      </c>
      <c r="E1948" s="413" t="s">
        <v>137</v>
      </c>
      <c r="F1948" s="413" t="s">
        <v>703</v>
      </c>
      <c r="G1948" s="413" t="s">
        <v>747</v>
      </c>
      <c r="H1948" s="415">
        <v>4450.0</v>
      </c>
      <c r="I1948" s="416" t="b">
        <v>0</v>
      </c>
      <c r="J1948" s="413" t="s">
        <v>2778</v>
      </c>
      <c r="K1948" s="415">
        <v>0.0</v>
      </c>
      <c r="L1948" s="415">
        <v>4450.0</v>
      </c>
      <c r="M1948" s="413" t="s">
        <v>2276</v>
      </c>
      <c r="N1948" s="413" t="s">
        <v>2779</v>
      </c>
    </row>
    <row r="1949">
      <c r="A1949" s="409">
        <v>46158.0</v>
      </c>
      <c r="B1949" s="102">
        <v>2026.0</v>
      </c>
      <c r="C1949" s="410" t="s">
        <v>2705</v>
      </c>
      <c r="D1949" s="102" t="s">
        <v>702</v>
      </c>
      <c r="E1949" s="102" t="s">
        <v>465</v>
      </c>
      <c r="F1949" s="102" t="s">
        <v>703</v>
      </c>
      <c r="G1949" s="102" t="s">
        <v>747</v>
      </c>
      <c r="H1949" s="360">
        <v>2050.0</v>
      </c>
      <c r="I1949" s="411" t="b">
        <v>0</v>
      </c>
      <c r="J1949" s="102" t="s">
        <v>2557</v>
      </c>
      <c r="K1949" s="360">
        <v>0.0</v>
      </c>
      <c r="L1949" s="360">
        <v>2050.0</v>
      </c>
      <c r="M1949" s="102" t="s">
        <v>2276</v>
      </c>
      <c r="N1949" s="102" t="s">
        <v>2780</v>
      </c>
    </row>
    <row r="1950">
      <c r="A1950" s="412">
        <v>46158.0</v>
      </c>
      <c r="B1950" s="413">
        <v>2026.0</v>
      </c>
      <c r="C1950" s="414" t="s">
        <v>2705</v>
      </c>
      <c r="D1950" s="413" t="s">
        <v>702</v>
      </c>
      <c r="E1950" s="413" t="s">
        <v>465</v>
      </c>
      <c r="F1950" s="413" t="s">
        <v>703</v>
      </c>
      <c r="G1950" s="413" t="s">
        <v>2457</v>
      </c>
      <c r="H1950" s="415">
        <v>1000.0</v>
      </c>
      <c r="I1950" s="416" t="b">
        <v>0</v>
      </c>
      <c r="J1950" s="413" t="s">
        <v>2781</v>
      </c>
      <c r="K1950" s="415">
        <v>0.0</v>
      </c>
      <c r="L1950" s="415">
        <v>1000.0</v>
      </c>
      <c r="M1950" s="413" t="s">
        <v>2276</v>
      </c>
      <c r="N1950" s="413" t="s">
        <v>2782</v>
      </c>
    </row>
    <row r="1951">
      <c r="A1951" s="409">
        <v>46158.0</v>
      </c>
      <c r="B1951" s="102">
        <v>2026.0</v>
      </c>
      <c r="C1951" s="410" t="s">
        <v>2705</v>
      </c>
      <c r="D1951" s="102" t="s">
        <v>702</v>
      </c>
      <c r="E1951" s="102" t="s">
        <v>465</v>
      </c>
      <c r="F1951" s="102" t="s">
        <v>711</v>
      </c>
      <c r="G1951" s="102" t="s">
        <v>730</v>
      </c>
      <c r="H1951" s="360">
        <v>59.0</v>
      </c>
      <c r="I1951" s="411" t="b">
        <v>0</v>
      </c>
      <c r="J1951" s="102" t="s">
        <v>472</v>
      </c>
      <c r="K1951" s="360">
        <v>8.137931034482754</v>
      </c>
      <c r="L1951" s="360">
        <v>50.862068965517246</v>
      </c>
      <c r="M1951" s="102" t="s">
        <v>2276</v>
      </c>
      <c r="N1951" s="102" t="s">
        <v>2783</v>
      </c>
    </row>
    <row r="1952">
      <c r="A1952" s="412">
        <v>46158.0</v>
      </c>
      <c r="B1952" s="413">
        <v>2026.0</v>
      </c>
      <c r="C1952" s="414" t="s">
        <v>2705</v>
      </c>
      <c r="D1952" s="413" t="s">
        <v>723</v>
      </c>
      <c r="E1952" s="413" t="s">
        <v>137</v>
      </c>
      <c r="F1952" s="413" t="s">
        <v>703</v>
      </c>
      <c r="G1952" s="413" t="s">
        <v>724</v>
      </c>
      <c r="H1952" s="415">
        <v>190.0</v>
      </c>
      <c r="I1952" s="416" t="b">
        <v>1</v>
      </c>
      <c r="J1952" s="413" t="s">
        <v>472</v>
      </c>
      <c r="K1952" s="415">
        <v>0.0</v>
      </c>
      <c r="L1952" s="415">
        <v>0.0</v>
      </c>
      <c r="M1952" s="413" t="s">
        <v>2276</v>
      </c>
      <c r="N1952" s="413" t="s">
        <v>2784</v>
      </c>
    </row>
    <row r="1953">
      <c r="A1953" s="409">
        <v>46158.0</v>
      </c>
      <c r="B1953" s="102">
        <v>2026.0</v>
      </c>
      <c r="C1953" s="410" t="s">
        <v>2705</v>
      </c>
      <c r="D1953" s="102" t="s">
        <v>710</v>
      </c>
      <c r="E1953" s="102" t="s">
        <v>137</v>
      </c>
      <c r="F1953" s="102" t="s">
        <v>711</v>
      </c>
      <c r="G1953" s="102" t="s">
        <v>724</v>
      </c>
      <c r="H1953" s="360">
        <v>190.0</v>
      </c>
      <c r="I1953" s="411" t="b">
        <v>1</v>
      </c>
      <c r="J1953" s="102" t="s">
        <v>472</v>
      </c>
      <c r="K1953" s="360">
        <v>0.0</v>
      </c>
      <c r="L1953" s="360">
        <v>0.0</v>
      </c>
      <c r="M1953" s="102" t="s">
        <v>2276</v>
      </c>
      <c r="N1953" s="102" t="s">
        <v>2784</v>
      </c>
    </row>
    <row r="1954">
      <c r="A1954" s="412">
        <v>46160.0</v>
      </c>
      <c r="B1954" s="413">
        <v>2026.0</v>
      </c>
      <c r="C1954" s="414" t="s">
        <v>2705</v>
      </c>
      <c r="D1954" s="413" t="s">
        <v>702</v>
      </c>
      <c r="E1954" s="413" t="s">
        <v>465</v>
      </c>
      <c r="F1954" s="413" t="s">
        <v>711</v>
      </c>
      <c r="G1954" s="413" t="s">
        <v>767</v>
      </c>
      <c r="H1954" s="415">
        <v>1100.0</v>
      </c>
      <c r="I1954" s="416" t="b">
        <v>0</v>
      </c>
      <c r="J1954" s="413" t="s">
        <v>1246</v>
      </c>
      <c r="K1954" s="415">
        <v>151.72413793103442</v>
      </c>
      <c r="L1954" s="415">
        <v>948.2758620689656</v>
      </c>
      <c r="M1954" s="413" t="s">
        <v>2276</v>
      </c>
      <c r="N1954" s="413" t="s">
        <v>2785</v>
      </c>
    </row>
    <row r="1955">
      <c r="A1955" s="409">
        <v>46165.0</v>
      </c>
      <c r="B1955" s="102">
        <v>2026.0</v>
      </c>
      <c r="C1955" s="410" t="s">
        <v>2705</v>
      </c>
      <c r="D1955" s="102" t="s">
        <v>723</v>
      </c>
      <c r="E1955" s="102" t="s">
        <v>137</v>
      </c>
      <c r="F1955" s="102" t="s">
        <v>711</v>
      </c>
      <c r="G1955" s="102" t="s">
        <v>740</v>
      </c>
      <c r="H1955" s="360">
        <v>131.0</v>
      </c>
      <c r="I1955" s="411" t="b">
        <v>0</v>
      </c>
      <c r="J1955" s="102" t="s">
        <v>472</v>
      </c>
      <c r="K1955" s="360">
        <v>0.0</v>
      </c>
      <c r="L1955" s="360">
        <v>131.0</v>
      </c>
      <c r="M1955" s="102" t="s">
        <v>2276</v>
      </c>
      <c r="N1955" s="102" t="s">
        <v>2786</v>
      </c>
    </row>
    <row r="1956">
      <c r="A1956" s="412">
        <v>46165.0</v>
      </c>
      <c r="B1956" s="413">
        <v>2026.0</v>
      </c>
      <c r="C1956" s="414" t="s">
        <v>2705</v>
      </c>
      <c r="D1956" s="413" t="s">
        <v>702</v>
      </c>
      <c r="E1956" s="413" t="s">
        <v>465</v>
      </c>
      <c r="F1956" s="413" t="s">
        <v>703</v>
      </c>
      <c r="G1956" s="413" t="s">
        <v>906</v>
      </c>
      <c r="H1956" s="415">
        <v>1772.0</v>
      </c>
      <c r="I1956" s="416" t="b">
        <v>0</v>
      </c>
      <c r="J1956" s="413" t="s">
        <v>472</v>
      </c>
      <c r="K1956" s="415">
        <v>0.0</v>
      </c>
      <c r="L1956" s="415">
        <v>1772.0</v>
      </c>
      <c r="M1956" s="413" t="s">
        <v>2276</v>
      </c>
      <c r="N1956" s="413" t="s">
        <v>2787</v>
      </c>
    </row>
    <row r="1957">
      <c r="A1957" s="409">
        <v>46165.0</v>
      </c>
      <c r="B1957" s="102">
        <v>2026.0</v>
      </c>
      <c r="C1957" s="410" t="s">
        <v>2705</v>
      </c>
      <c r="D1957" s="102" t="s">
        <v>702</v>
      </c>
      <c r="E1957" s="102" t="s">
        <v>465</v>
      </c>
      <c r="F1957" s="102" t="s">
        <v>703</v>
      </c>
      <c r="G1957" s="102" t="s">
        <v>732</v>
      </c>
      <c r="H1957" s="360">
        <v>279.0</v>
      </c>
      <c r="I1957" s="411" t="b">
        <v>0</v>
      </c>
      <c r="J1957" s="102" t="s">
        <v>602</v>
      </c>
      <c r="K1957" s="360">
        <v>0.0</v>
      </c>
      <c r="L1957" s="360">
        <v>279.0</v>
      </c>
      <c r="M1957" s="102" t="s">
        <v>2276</v>
      </c>
      <c r="N1957" s="102" t="s">
        <v>2788</v>
      </c>
    </row>
    <row r="1958">
      <c r="A1958" s="412">
        <v>46165.0</v>
      </c>
      <c r="B1958" s="413">
        <v>2026.0</v>
      </c>
      <c r="C1958" s="414" t="s">
        <v>2705</v>
      </c>
      <c r="D1958" s="413" t="s">
        <v>702</v>
      </c>
      <c r="E1958" s="413" t="s">
        <v>465</v>
      </c>
      <c r="F1958" s="413" t="s">
        <v>703</v>
      </c>
      <c r="G1958" s="413" t="s">
        <v>732</v>
      </c>
      <c r="H1958" s="415">
        <v>146.0</v>
      </c>
      <c r="I1958" s="416" t="b">
        <v>0</v>
      </c>
      <c r="J1958" s="413" t="s">
        <v>2789</v>
      </c>
      <c r="K1958" s="415">
        <v>0.0</v>
      </c>
      <c r="L1958" s="415">
        <v>146.0</v>
      </c>
      <c r="M1958" s="413" t="s">
        <v>2276</v>
      </c>
      <c r="N1958" s="413" t="s">
        <v>2790</v>
      </c>
    </row>
    <row r="1959">
      <c r="A1959" s="409">
        <v>46165.0</v>
      </c>
      <c r="B1959" s="102">
        <v>2026.0</v>
      </c>
      <c r="C1959" s="410" t="s">
        <v>2705</v>
      </c>
      <c r="D1959" s="102" t="s">
        <v>710</v>
      </c>
      <c r="E1959" s="102" t="s">
        <v>137</v>
      </c>
      <c r="F1959" s="102" t="s">
        <v>703</v>
      </c>
      <c r="G1959" s="102" t="s">
        <v>1980</v>
      </c>
      <c r="H1959" s="360">
        <v>351.0</v>
      </c>
      <c r="I1959" s="411" t="b">
        <v>0</v>
      </c>
      <c r="J1959" s="102" t="s">
        <v>472</v>
      </c>
      <c r="K1959" s="360">
        <v>0.0</v>
      </c>
      <c r="L1959" s="360">
        <v>351.0</v>
      </c>
      <c r="M1959" s="102" t="s">
        <v>2276</v>
      </c>
      <c r="N1959" s="102" t="s">
        <v>2791</v>
      </c>
    </row>
    <row r="1960">
      <c r="A1960" s="412">
        <v>46167.0</v>
      </c>
      <c r="B1960" s="413">
        <v>2026.0</v>
      </c>
      <c r="C1960" s="414" t="s">
        <v>2705</v>
      </c>
      <c r="D1960" s="413" t="s">
        <v>702</v>
      </c>
      <c r="E1960" s="413" t="s">
        <v>465</v>
      </c>
      <c r="F1960" s="413" t="s">
        <v>711</v>
      </c>
      <c r="G1960" s="413" t="s">
        <v>767</v>
      </c>
      <c r="H1960" s="415">
        <v>1254.0</v>
      </c>
      <c r="I1960" s="416" t="b">
        <v>0</v>
      </c>
      <c r="J1960" s="413" t="s">
        <v>1705</v>
      </c>
      <c r="K1960" s="415">
        <v>172.9655172413793</v>
      </c>
      <c r="L1960" s="415">
        <v>1081.0344827586207</v>
      </c>
      <c r="M1960" s="413" t="s">
        <v>2276</v>
      </c>
      <c r="N1960" s="413" t="s">
        <v>2792</v>
      </c>
    </row>
    <row r="1961">
      <c r="A1961" s="409">
        <v>46168.0</v>
      </c>
      <c r="B1961" s="102">
        <v>2026.0</v>
      </c>
      <c r="C1961" s="410" t="s">
        <v>2705</v>
      </c>
      <c r="D1961" s="102" t="s">
        <v>702</v>
      </c>
      <c r="E1961" s="102" t="s">
        <v>465</v>
      </c>
      <c r="F1961" s="102" t="s">
        <v>703</v>
      </c>
      <c r="G1961" s="102" t="s">
        <v>906</v>
      </c>
      <c r="H1961" s="360">
        <v>946.0</v>
      </c>
      <c r="I1961" s="411" t="b">
        <v>0</v>
      </c>
      <c r="J1961" s="102" t="s">
        <v>472</v>
      </c>
      <c r="K1961" s="360">
        <v>0.0</v>
      </c>
      <c r="L1961" s="360">
        <v>946.0</v>
      </c>
      <c r="M1961" s="102" t="s">
        <v>2276</v>
      </c>
      <c r="N1961" s="102" t="s">
        <v>2793</v>
      </c>
    </row>
    <row r="1962">
      <c r="A1962" s="412">
        <v>46168.0</v>
      </c>
      <c r="B1962" s="413">
        <v>2026.0</v>
      </c>
      <c r="C1962" s="414" t="s">
        <v>2705</v>
      </c>
      <c r="D1962" s="413" t="s">
        <v>702</v>
      </c>
      <c r="E1962" s="413" t="s">
        <v>465</v>
      </c>
      <c r="F1962" s="413" t="s">
        <v>703</v>
      </c>
      <c r="G1962" s="413" t="s">
        <v>747</v>
      </c>
      <c r="H1962" s="415">
        <v>696.0</v>
      </c>
      <c r="I1962" s="416" t="b">
        <v>0</v>
      </c>
      <c r="J1962" s="413" t="s">
        <v>460</v>
      </c>
      <c r="K1962" s="415">
        <v>0.0</v>
      </c>
      <c r="L1962" s="415">
        <v>696.0</v>
      </c>
      <c r="M1962" s="413" t="s">
        <v>2276</v>
      </c>
      <c r="N1962" s="413" t="s">
        <v>2794</v>
      </c>
    </row>
    <row r="1963">
      <c r="A1963" s="409">
        <v>46168.0</v>
      </c>
      <c r="B1963" s="102">
        <v>2026.0</v>
      </c>
      <c r="C1963" s="410" t="s">
        <v>2705</v>
      </c>
      <c r="D1963" s="102" t="s">
        <v>702</v>
      </c>
      <c r="E1963" s="102" t="s">
        <v>465</v>
      </c>
      <c r="F1963" s="102" t="s">
        <v>703</v>
      </c>
      <c r="G1963" s="102" t="s">
        <v>906</v>
      </c>
      <c r="H1963" s="360">
        <v>711.0</v>
      </c>
      <c r="I1963" s="411" t="b">
        <v>0</v>
      </c>
      <c r="J1963" s="102" t="s">
        <v>472</v>
      </c>
      <c r="K1963" s="360">
        <v>0.0</v>
      </c>
      <c r="L1963" s="360">
        <v>711.0</v>
      </c>
      <c r="M1963" s="102" t="s">
        <v>2276</v>
      </c>
      <c r="N1963" s="102" t="s">
        <v>2795</v>
      </c>
    </row>
    <row r="1964">
      <c r="A1964" s="412">
        <v>46170.0</v>
      </c>
      <c r="B1964" s="413">
        <v>2026.0</v>
      </c>
      <c r="C1964" s="414" t="s">
        <v>2705</v>
      </c>
      <c r="D1964" s="413" t="s">
        <v>723</v>
      </c>
      <c r="E1964" s="413" t="s">
        <v>137</v>
      </c>
      <c r="F1964" s="413" t="s">
        <v>711</v>
      </c>
      <c r="G1964" s="413" t="s">
        <v>734</v>
      </c>
      <c r="H1964" s="415">
        <v>570.0</v>
      </c>
      <c r="I1964" s="416" t="b">
        <v>0</v>
      </c>
      <c r="J1964" s="413" t="s">
        <v>472</v>
      </c>
      <c r="K1964" s="415">
        <v>0.0</v>
      </c>
      <c r="L1964" s="415">
        <v>570.0</v>
      </c>
      <c r="M1964" s="413" t="s">
        <v>2276</v>
      </c>
      <c r="N1964" s="413" t="s">
        <v>2796</v>
      </c>
    </row>
    <row r="1965">
      <c r="A1965" s="409">
        <v>46170.0</v>
      </c>
      <c r="B1965" s="102">
        <v>2026.0</v>
      </c>
      <c r="C1965" s="410" t="s">
        <v>2705</v>
      </c>
      <c r="D1965" s="102" t="s">
        <v>702</v>
      </c>
      <c r="E1965" s="102" t="s">
        <v>465</v>
      </c>
      <c r="F1965" s="102" t="s">
        <v>711</v>
      </c>
      <c r="G1965" s="102" t="s">
        <v>767</v>
      </c>
      <c r="H1965" s="360">
        <v>1061.0</v>
      </c>
      <c r="I1965" s="411" t="b">
        <v>0</v>
      </c>
      <c r="J1965" s="102" t="s">
        <v>2797</v>
      </c>
      <c r="K1965" s="360">
        <v>146.34482758620686</v>
      </c>
      <c r="L1965" s="360">
        <v>914.6551724137931</v>
      </c>
      <c r="M1965" s="102" t="s">
        <v>2276</v>
      </c>
      <c r="N1965" s="102" t="s">
        <v>2798</v>
      </c>
    </row>
    <row r="1966">
      <c r="A1966" s="412">
        <v>46170.0</v>
      </c>
      <c r="B1966" s="413">
        <v>2026.0</v>
      </c>
      <c r="C1966" s="414" t="s">
        <v>2705</v>
      </c>
      <c r="D1966" s="413" t="s">
        <v>723</v>
      </c>
      <c r="E1966" s="413" t="s">
        <v>137</v>
      </c>
      <c r="F1966" s="413" t="s">
        <v>703</v>
      </c>
      <c r="G1966" s="413" t="s">
        <v>732</v>
      </c>
      <c r="H1966" s="415">
        <v>258.0</v>
      </c>
      <c r="I1966" s="416" t="b">
        <v>0</v>
      </c>
      <c r="J1966" s="413" t="s">
        <v>2285</v>
      </c>
      <c r="K1966" s="415">
        <v>0.0</v>
      </c>
      <c r="L1966" s="415">
        <v>258.0</v>
      </c>
      <c r="M1966" s="413" t="s">
        <v>2276</v>
      </c>
      <c r="N1966" s="413" t="s">
        <v>2799</v>
      </c>
    </row>
    <row r="1967">
      <c r="A1967" s="409">
        <v>46170.0</v>
      </c>
      <c r="B1967" s="102">
        <v>2026.0</v>
      </c>
      <c r="C1967" s="410" t="s">
        <v>2705</v>
      </c>
      <c r="D1967" s="102" t="s">
        <v>723</v>
      </c>
      <c r="E1967" s="102" t="s">
        <v>137</v>
      </c>
      <c r="F1967" s="102" t="s">
        <v>703</v>
      </c>
      <c r="G1967" s="102" t="s">
        <v>933</v>
      </c>
      <c r="H1967" s="360">
        <v>195.0</v>
      </c>
      <c r="I1967" s="411" t="b">
        <v>0</v>
      </c>
      <c r="J1967" s="102" t="s">
        <v>472</v>
      </c>
      <c r="K1967" s="360">
        <v>0.0</v>
      </c>
      <c r="L1967" s="360">
        <v>195.0</v>
      </c>
      <c r="M1967" s="102" t="s">
        <v>2276</v>
      </c>
      <c r="N1967" s="102" t="s">
        <v>2800</v>
      </c>
    </row>
    <row r="1968">
      <c r="A1968" s="412">
        <v>46170.0</v>
      </c>
      <c r="B1968" s="413">
        <v>2026.0</v>
      </c>
      <c r="C1968" s="414" t="s">
        <v>2705</v>
      </c>
      <c r="D1968" s="413" t="s">
        <v>723</v>
      </c>
      <c r="E1968" s="413" t="s">
        <v>137</v>
      </c>
      <c r="F1968" s="413" t="s">
        <v>711</v>
      </c>
      <c r="G1968" s="413" t="s">
        <v>740</v>
      </c>
      <c r="H1968" s="415">
        <v>191.0</v>
      </c>
      <c r="I1968" s="416" t="b">
        <v>0</v>
      </c>
      <c r="J1968" s="413" t="s">
        <v>472</v>
      </c>
      <c r="K1968" s="415">
        <v>0.0</v>
      </c>
      <c r="L1968" s="415">
        <v>191.0</v>
      </c>
      <c r="M1968" s="413" t="s">
        <v>2276</v>
      </c>
      <c r="N1968" s="413" t="s">
        <v>2801</v>
      </c>
    </row>
    <row r="1969">
      <c r="A1969" s="409">
        <v>46170.0</v>
      </c>
      <c r="B1969" s="102">
        <v>2026.0</v>
      </c>
      <c r="C1969" s="410" t="s">
        <v>2705</v>
      </c>
      <c r="D1969" s="102" t="s">
        <v>723</v>
      </c>
      <c r="E1969" s="102" t="s">
        <v>137</v>
      </c>
      <c r="F1969" s="102" t="s">
        <v>711</v>
      </c>
      <c r="G1969" s="102" t="s">
        <v>767</v>
      </c>
      <c r="H1969" s="360">
        <v>1300.0</v>
      </c>
      <c r="I1969" s="411" t="b">
        <v>0</v>
      </c>
      <c r="J1969" s="102" t="s">
        <v>1197</v>
      </c>
      <c r="K1969" s="360">
        <v>0.0</v>
      </c>
      <c r="L1969" s="360">
        <v>1300.0</v>
      </c>
      <c r="M1969" s="102" t="s">
        <v>2276</v>
      </c>
      <c r="N1969" s="102" t="s">
        <v>2802</v>
      </c>
    </row>
    <row r="1970">
      <c r="A1970" s="412">
        <v>46170.0</v>
      </c>
      <c r="B1970" s="413">
        <v>2026.0</v>
      </c>
      <c r="C1970" s="414" t="s">
        <v>2705</v>
      </c>
      <c r="D1970" s="413" t="s">
        <v>702</v>
      </c>
      <c r="E1970" s="413" t="s">
        <v>465</v>
      </c>
      <c r="F1970" s="413" t="s">
        <v>703</v>
      </c>
      <c r="G1970" s="413" t="s">
        <v>732</v>
      </c>
      <c r="H1970" s="415">
        <v>150.0</v>
      </c>
      <c r="I1970" s="416" t="b">
        <v>0</v>
      </c>
      <c r="J1970" s="413" t="s">
        <v>2803</v>
      </c>
      <c r="K1970" s="415">
        <v>0.0</v>
      </c>
      <c r="L1970" s="415">
        <v>150.0</v>
      </c>
      <c r="M1970" s="413" t="s">
        <v>2276</v>
      </c>
      <c r="N1970" s="413" t="s">
        <v>2804</v>
      </c>
    </row>
    <row r="1971">
      <c r="A1971" s="409">
        <v>46170.0</v>
      </c>
      <c r="B1971" s="102">
        <v>2026.0</v>
      </c>
      <c r="C1971" s="410" t="s">
        <v>2705</v>
      </c>
      <c r="D1971" s="102" t="s">
        <v>702</v>
      </c>
      <c r="E1971" s="102" t="s">
        <v>465</v>
      </c>
      <c r="F1971" s="102" t="s">
        <v>703</v>
      </c>
      <c r="G1971" s="102" t="s">
        <v>2352</v>
      </c>
      <c r="H1971" s="360">
        <v>811.0</v>
      </c>
      <c r="I1971" s="411" t="b">
        <v>0</v>
      </c>
      <c r="J1971" s="102" t="s">
        <v>472</v>
      </c>
      <c r="K1971" s="360">
        <v>0.0</v>
      </c>
      <c r="L1971" s="360">
        <v>811.0</v>
      </c>
      <c r="M1971" s="102" t="s">
        <v>2276</v>
      </c>
      <c r="N1971" s="102" t="s">
        <v>2805</v>
      </c>
    </row>
    <row r="1972">
      <c r="A1972" s="412">
        <v>46170.0</v>
      </c>
      <c r="B1972" s="413">
        <v>2026.0</v>
      </c>
      <c r="C1972" s="414" t="s">
        <v>2705</v>
      </c>
      <c r="D1972" s="413" t="s">
        <v>710</v>
      </c>
      <c r="E1972" s="413" t="s">
        <v>137</v>
      </c>
      <c r="F1972" s="413" t="s">
        <v>703</v>
      </c>
      <c r="G1972" s="413" t="s">
        <v>906</v>
      </c>
      <c r="H1972" s="415">
        <v>1371.0</v>
      </c>
      <c r="I1972" s="416" t="b">
        <v>0</v>
      </c>
      <c r="J1972" s="413" t="s">
        <v>472</v>
      </c>
      <c r="K1972" s="415">
        <v>0.0</v>
      </c>
      <c r="L1972" s="415">
        <v>1371.0</v>
      </c>
      <c r="M1972" s="413" t="s">
        <v>2276</v>
      </c>
      <c r="N1972" s="413" t="s">
        <v>2806</v>
      </c>
    </row>
    <row r="1973">
      <c r="A1973" s="409">
        <v>46170.0</v>
      </c>
      <c r="B1973" s="102">
        <v>2026.0</v>
      </c>
      <c r="C1973" s="410" t="s">
        <v>2705</v>
      </c>
      <c r="D1973" s="102" t="s">
        <v>702</v>
      </c>
      <c r="E1973" s="102" t="s">
        <v>465</v>
      </c>
      <c r="F1973" s="102" t="s">
        <v>703</v>
      </c>
      <c r="G1973" s="102" t="s">
        <v>906</v>
      </c>
      <c r="H1973" s="360">
        <v>200.0</v>
      </c>
      <c r="I1973" s="411" t="b">
        <v>0</v>
      </c>
      <c r="J1973" s="102" t="s">
        <v>472</v>
      </c>
      <c r="K1973" s="360">
        <v>0.0</v>
      </c>
      <c r="L1973" s="360">
        <v>200.0</v>
      </c>
      <c r="M1973" s="102" t="s">
        <v>2276</v>
      </c>
      <c r="N1973" s="102" t="s">
        <v>2807</v>
      </c>
    </row>
    <row r="1974">
      <c r="A1974" s="412">
        <v>46171.0</v>
      </c>
      <c r="B1974" s="413">
        <v>2026.0</v>
      </c>
      <c r="C1974" s="414" t="s">
        <v>2705</v>
      </c>
      <c r="D1974" s="413" t="s">
        <v>710</v>
      </c>
      <c r="E1974" s="413" t="s">
        <v>137</v>
      </c>
      <c r="F1974" s="413" t="s">
        <v>703</v>
      </c>
      <c r="G1974" s="413" t="s">
        <v>747</v>
      </c>
      <c r="H1974" s="415">
        <v>6500.0</v>
      </c>
      <c r="I1974" s="416" t="b">
        <v>0</v>
      </c>
      <c r="J1974" s="413" t="s">
        <v>2382</v>
      </c>
      <c r="K1974" s="415">
        <v>0.0</v>
      </c>
      <c r="L1974" s="415">
        <v>6500.0</v>
      </c>
      <c r="M1974" s="413" t="s">
        <v>2276</v>
      </c>
      <c r="N1974" s="413" t="s">
        <v>2808</v>
      </c>
    </row>
    <row r="1975">
      <c r="A1975" s="409">
        <v>46171.0</v>
      </c>
      <c r="B1975" s="102">
        <v>2026.0</v>
      </c>
      <c r="C1975" s="410" t="s">
        <v>2705</v>
      </c>
      <c r="D1975" s="102" t="s">
        <v>702</v>
      </c>
      <c r="E1975" s="102" t="s">
        <v>465</v>
      </c>
      <c r="F1975" s="102" t="s">
        <v>703</v>
      </c>
      <c r="G1975" s="102" t="s">
        <v>724</v>
      </c>
      <c r="H1975" s="360">
        <v>500.0</v>
      </c>
      <c r="I1975" s="411" t="b">
        <v>1</v>
      </c>
      <c r="J1975" s="102" t="s">
        <v>472</v>
      </c>
      <c r="K1975" s="360">
        <v>0.0</v>
      </c>
      <c r="L1975" s="360">
        <v>0.0</v>
      </c>
      <c r="M1975" s="102" t="s">
        <v>2276</v>
      </c>
      <c r="N1975" s="102" t="s">
        <v>2809</v>
      </c>
    </row>
    <row r="1976">
      <c r="A1976" s="412">
        <v>46171.0</v>
      </c>
      <c r="B1976" s="413">
        <v>2026.0</v>
      </c>
      <c r="C1976" s="414" t="s">
        <v>2705</v>
      </c>
      <c r="D1976" s="413" t="s">
        <v>710</v>
      </c>
      <c r="E1976" s="413" t="s">
        <v>137</v>
      </c>
      <c r="F1976" s="413" t="s">
        <v>711</v>
      </c>
      <c r="G1976" s="413" t="s">
        <v>724</v>
      </c>
      <c r="H1976" s="415">
        <v>500.0</v>
      </c>
      <c r="I1976" s="416" t="b">
        <v>1</v>
      </c>
      <c r="J1976" s="413" t="s">
        <v>472</v>
      </c>
      <c r="K1976" s="415">
        <v>0.0</v>
      </c>
      <c r="L1976" s="415">
        <v>0.0</v>
      </c>
      <c r="M1976" s="413" t="s">
        <v>2276</v>
      </c>
      <c r="N1976" s="413" t="s">
        <v>2809</v>
      </c>
    </row>
    <row r="1977">
      <c r="A1977" s="409">
        <v>46171.0</v>
      </c>
      <c r="B1977" s="102">
        <v>2026.0</v>
      </c>
      <c r="C1977" s="410" t="s">
        <v>2705</v>
      </c>
      <c r="D1977" s="102" t="s">
        <v>723</v>
      </c>
      <c r="E1977" s="102" t="s">
        <v>137</v>
      </c>
      <c r="F1977" s="102" t="s">
        <v>711</v>
      </c>
      <c r="G1977" s="102" t="s">
        <v>767</v>
      </c>
      <c r="H1977" s="360">
        <v>950.0</v>
      </c>
      <c r="I1977" s="411" t="b">
        <v>0</v>
      </c>
      <c r="J1977" s="102" t="s">
        <v>2810</v>
      </c>
      <c r="K1977" s="360">
        <v>0.0</v>
      </c>
      <c r="L1977" s="360">
        <v>950.0</v>
      </c>
      <c r="M1977" s="102" t="s">
        <v>2276</v>
      </c>
      <c r="N1977" s="102" t="s">
        <v>2811</v>
      </c>
    </row>
    <row r="1978">
      <c r="A1978" s="412">
        <v>46171.0</v>
      </c>
      <c r="B1978" s="413">
        <v>2026.0</v>
      </c>
      <c r="C1978" s="414" t="s">
        <v>2705</v>
      </c>
      <c r="D1978" s="413" t="s">
        <v>723</v>
      </c>
      <c r="E1978" s="413" t="s">
        <v>137</v>
      </c>
      <c r="F1978" s="413" t="s">
        <v>703</v>
      </c>
      <c r="G1978" s="413" t="s">
        <v>732</v>
      </c>
      <c r="H1978" s="415">
        <v>37.0</v>
      </c>
      <c r="I1978" s="416" t="b">
        <v>0</v>
      </c>
      <c r="J1978" s="413" t="s">
        <v>472</v>
      </c>
      <c r="K1978" s="415">
        <v>0.0</v>
      </c>
      <c r="L1978" s="415">
        <v>37.0</v>
      </c>
      <c r="M1978" s="413" t="s">
        <v>2276</v>
      </c>
      <c r="N1978" s="413" t="s">
        <v>2812</v>
      </c>
    </row>
    <row r="1979">
      <c r="A1979" s="409">
        <v>46171.0</v>
      </c>
      <c r="B1979" s="102">
        <v>2026.0</v>
      </c>
      <c r="C1979" s="410" t="s">
        <v>2705</v>
      </c>
      <c r="D1979" s="102" t="s">
        <v>702</v>
      </c>
      <c r="E1979" s="102" t="s">
        <v>465</v>
      </c>
      <c r="F1979" s="102" t="s">
        <v>711</v>
      </c>
      <c r="G1979" s="102" t="s">
        <v>767</v>
      </c>
      <c r="H1979" s="360">
        <v>917.0</v>
      </c>
      <c r="I1979" s="411" t="b">
        <v>0</v>
      </c>
      <c r="J1979" s="102" t="s">
        <v>1274</v>
      </c>
      <c r="K1979" s="360">
        <v>126.48275862068965</v>
      </c>
      <c r="L1979" s="360">
        <v>790.5172413793103</v>
      </c>
      <c r="M1979" s="102" t="s">
        <v>2276</v>
      </c>
      <c r="N1979" s="102" t="s">
        <v>2813</v>
      </c>
    </row>
    <row r="1980">
      <c r="A1980" s="412">
        <v>46172.0</v>
      </c>
      <c r="B1980" s="413">
        <v>2026.0</v>
      </c>
      <c r="C1980" s="414" t="s">
        <v>2705</v>
      </c>
      <c r="D1980" s="413" t="s">
        <v>702</v>
      </c>
      <c r="E1980" s="413" t="s">
        <v>465</v>
      </c>
      <c r="F1980" s="413" t="s">
        <v>703</v>
      </c>
      <c r="G1980" s="413" t="s">
        <v>732</v>
      </c>
      <c r="H1980" s="415">
        <v>900.0</v>
      </c>
      <c r="I1980" s="416" t="b">
        <v>0</v>
      </c>
      <c r="J1980" s="413" t="s">
        <v>1505</v>
      </c>
      <c r="K1980" s="415">
        <v>0.0</v>
      </c>
      <c r="L1980" s="415">
        <v>900.0</v>
      </c>
      <c r="M1980" s="413" t="s">
        <v>2276</v>
      </c>
      <c r="N1980" s="413" t="s">
        <v>2814</v>
      </c>
    </row>
    <row r="1981">
      <c r="A1981" s="409">
        <v>46172.0</v>
      </c>
      <c r="B1981" s="102">
        <v>2026.0</v>
      </c>
      <c r="C1981" s="410" t="s">
        <v>2705</v>
      </c>
      <c r="D1981" s="102" t="s">
        <v>723</v>
      </c>
      <c r="E1981" s="102" t="s">
        <v>137</v>
      </c>
      <c r="F1981" s="102" t="s">
        <v>711</v>
      </c>
      <c r="G1981" s="102" t="s">
        <v>767</v>
      </c>
      <c r="H1981" s="360">
        <v>700.0</v>
      </c>
      <c r="I1981" s="411" t="b">
        <v>0</v>
      </c>
      <c r="J1981" s="102" t="s">
        <v>2440</v>
      </c>
      <c r="K1981" s="360">
        <v>0.0</v>
      </c>
      <c r="L1981" s="360">
        <v>700.0</v>
      </c>
      <c r="M1981" s="102" t="s">
        <v>2276</v>
      </c>
      <c r="N1981" s="102" t="s">
        <v>2815</v>
      </c>
    </row>
    <row r="1982">
      <c r="A1982" s="412">
        <v>46172.0</v>
      </c>
      <c r="B1982" s="413">
        <v>2026.0</v>
      </c>
      <c r="C1982" s="414" t="s">
        <v>2705</v>
      </c>
      <c r="D1982" s="413" t="s">
        <v>723</v>
      </c>
      <c r="E1982" s="413" t="s">
        <v>137</v>
      </c>
      <c r="F1982" s="413" t="s">
        <v>711</v>
      </c>
      <c r="G1982" s="413" t="s">
        <v>767</v>
      </c>
      <c r="H1982" s="415">
        <v>550.0</v>
      </c>
      <c r="I1982" s="416" t="b">
        <v>0</v>
      </c>
      <c r="J1982" s="413" t="s">
        <v>1213</v>
      </c>
      <c r="K1982" s="415">
        <v>0.0</v>
      </c>
      <c r="L1982" s="415">
        <v>550.0</v>
      </c>
      <c r="M1982" s="413" t="s">
        <v>2276</v>
      </c>
      <c r="N1982" s="413" t="s">
        <v>2816</v>
      </c>
    </row>
    <row r="1983">
      <c r="A1983" s="409">
        <v>46172.0</v>
      </c>
      <c r="B1983" s="102">
        <v>2026.0</v>
      </c>
      <c r="C1983" s="410" t="s">
        <v>2705</v>
      </c>
      <c r="D1983" s="102" t="s">
        <v>723</v>
      </c>
      <c r="E1983" s="102" t="s">
        <v>137</v>
      </c>
      <c r="F1983" s="102" t="s">
        <v>711</v>
      </c>
      <c r="G1983" s="102" t="s">
        <v>724</v>
      </c>
      <c r="H1983" s="360">
        <v>126.0</v>
      </c>
      <c r="I1983" s="411" t="b">
        <v>1</v>
      </c>
      <c r="J1983" s="102" t="s">
        <v>472</v>
      </c>
      <c r="K1983" s="360">
        <v>0.0</v>
      </c>
      <c r="L1983" s="360">
        <v>0.0</v>
      </c>
      <c r="M1983" s="102" t="s">
        <v>2276</v>
      </c>
      <c r="N1983" s="102" t="s">
        <v>2817</v>
      </c>
    </row>
    <row r="1984">
      <c r="A1984" s="412">
        <v>46172.0</v>
      </c>
      <c r="B1984" s="413">
        <v>2026.0</v>
      </c>
      <c r="C1984" s="414" t="s">
        <v>2705</v>
      </c>
      <c r="D1984" s="413" t="s">
        <v>702</v>
      </c>
      <c r="E1984" s="413" t="s">
        <v>465</v>
      </c>
      <c r="F1984" s="413" t="s">
        <v>703</v>
      </c>
      <c r="G1984" s="413" t="s">
        <v>724</v>
      </c>
      <c r="H1984" s="415">
        <v>126.0</v>
      </c>
      <c r="I1984" s="416" t="b">
        <v>1</v>
      </c>
      <c r="J1984" s="413" t="s">
        <v>472</v>
      </c>
      <c r="K1984" s="415">
        <v>0.0</v>
      </c>
      <c r="L1984" s="415">
        <v>0.0</v>
      </c>
      <c r="M1984" s="413" t="s">
        <v>2276</v>
      </c>
      <c r="N1984" s="413" t="s">
        <v>2817</v>
      </c>
    </row>
    <row r="1985">
      <c r="A1985" s="409">
        <v>46172.0</v>
      </c>
      <c r="B1985" s="102">
        <v>2026.0</v>
      </c>
      <c r="C1985" s="410" t="s">
        <v>2705</v>
      </c>
      <c r="D1985" s="102" t="s">
        <v>702</v>
      </c>
      <c r="E1985" s="102" t="s">
        <v>465</v>
      </c>
      <c r="F1985" s="102" t="s">
        <v>703</v>
      </c>
      <c r="G1985" s="102" t="s">
        <v>732</v>
      </c>
      <c r="H1985" s="360">
        <v>3000.0</v>
      </c>
      <c r="I1985" s="411" t="b">
        <v>0</v>
      </c>
      <c r="J1985" s="102" t="s">
        <v>2818</v>
      </c>
      <c r="K1985" s="360">
        <v>0.0</v>
      </c>
      <c r="L1985" s="360">
        <v>3000.0</v>
      </c>
      <c r="M1985" s="102" t="s">
        <v>2276</v>
      </c>
      <c r="N1985" s="102" t="s">
        <v>2819</v>
      </c>
    </row>
    <row r="1986">
      <c r="A1986" s="412">
        <v>46173.0</v>
      </c>
      <c r="B1986" s="413">
        <v>2026.0</v>
      </c>
      <c r="C1986" s="414" t="s">
        <v>2705</v>
      </c>
      <c r="D1986" s="413" t="s">
        <v>710</v>
      </c>
      <c r="E1986" s="413" t="s">
        <v>137</v>
      </c>
      <c r="F1986" s="413" t="s">
        <v>703</v>
      </c>
      <c r="G1986" s="413" t="s">
        <v>1657</v>
      </c>
      <c r="H1986" s="415">
        <v>1000.0</v>
      </c>
      <c r="I1986" s="416" t="b">
        <v>0</v>
      </c>
      <c r="J1986" s="413" t="s">
        <v>472</v>
      </c>
      <c r="K1986" s="415">
        <v>0.0</v>
      </c>
      <c r="L1986" s="415">
        <v>1000.0</v>
      </c>
      <c r="M1986" s="413" t="s">
        <v>2276</v>
      </c>
      <c r="N1986" s="413" t="s">
        <v>2820</v>
      </c>
    </row>
    <row r="1987">
      <c r="A1987" s="409">
        <v>46174.0</v>
      </c>
      <c r="B1987" s="102">
        <v>2026.0</v>
      </c>
      <c r="C1987" s="410" t="s">
        <v>2821</v>
      </c>
      <c r="D1987" s="102" t="s">
        <v>723</v>
      </c>
      <c r="E1987" s="102" t="s">
        <v>137</v>
      </c>
      <c r="F1987" s="102" t="s">
        <v>711</v>
      </c>
      <c r="G1987" s="102" t="s">
        <v>767</v>
      </c>
      <c r="H1987" s="360">
        <v>950.0</v>
      </c>
      <c r="I1987" s="411" t="b">
        <v>0</v>
      </c>
      <c r="J1987" s="102" t="s">
        <v>2822</v>
      </c>
      <c r="K1987" s="360">
        <v>0.0</v>
      </c>
      <c r="L1987" s="360">
        <v>950.0</v>
      </c>
      <c r="M1987" s="102" t="s">
        <v>2276</v>
      </c>
      <c r="N1987" s="102" t="s">
        <v>2823</v>
      </c>
    </row>
    <row r="1988">
      <c r="A1988" s="412">
        <v>46174.0</v>
      </c>
      <c r="B1988" s="413">
        <v>2026.0</v>
      </c>
      <c r="C1988" s="414" t="s">
        <v>2821</v>
      </c>
      <c r="D1988" s="413" t="s">
        <v>723</v>
      </c>
      <c r="E1988" s="413" t="s">
        <v>137</v>
      </c>
      <c r="F1988" s="413" t="s">
        <v>711</v>
      </c>
      <c r="G1988" s="413" t="s">
        <v>767</v>
      </c>
      <c r="H1988" s="415">
        <v>950.0</v>
      </c>
      <c r="I1988" s="416" t="b">
        <v>0</v>
      </c>
      <c r="J1988" s="413" t="s">
        <v>1213</v>
      </c>
      <c r="K1988" s="415">
        <v>0.0</v>
      </c>
      <c r="L1988" s="415">
        <v>950.0</v>
      </c>
      <c r="M1988" s="413" t="s">
        <v>2276</v>
      </c>
      <c r="N1988" s="413" t="s">
        <v>2824</v>
      </c>
    </row>
    <row r="1989">
      <c r="A1989" s="409">
        <v>46174.0</v>
      </c>
      <c r="B1989" s="102">
        <v>2026.0</v>
      </c>
      <c r="C1989" s="410" t="s">
        <v>2821</v>
      </c>
      <c r="D1989" s="102" t="s">
        <v>723</v>
      </c>
      <c r="E1989" s="102" t="s">
        <v>137</v>
      </c>
      <c r="F1989" s="102" t="s">
        <v>711</v>
      </c>
      <c r="G1989" s="102" t="s">
        <v>767</v>
      </c>
      <c r="H1989" s="360">
        <v>1500.0</v>
      </c>
      <c r="I1989" s="411" t="b">
        <v>0</v>
      </c>
      <c r="J1989" s="102" t="s">
        <v>2825</v>
      </c>
      <c r="K1989" s="360">
        <v>0.0</v>
      </c>
      <c r="L1989" s="360">
        <v>1500.0</v>
      </c>
      <c r="M1989" s="102" t="s">
        <v>2276</v>
      </c>
      <c r="N1989" s="102" t="s">
        <v>2826</v>
      </c>
    </row>
    <row r="1990">
      <c r="A1990" s="412">
        <v>46174.0</v>
      </c>
      <c r="B1990" s="413">
        <v>2026.0</v>
      </c>
      <c r="C1990" s="414" t="s">
        <v>2821</v>
      </c>
      <c r="D1990" s="413" t="s">
        <v>723</v>
      </c>
      <c r="E1990" s="413" t="s">
        <v>137</v>
      </c>
      <c r="F1990" s="413" t="s">
        <v>711</v>
      </c>
      <c r="G1990" s="413" t="s">
        <v>740</v>
      </c>
      <c r="H1990" s="415">
        <v>10.0</v>
      </c>
      <c r="I1990" s="416" t="b">
        <v>0</v>
      </c>
      <c r="J1990" s="413" t="s">
        <v>472</v>
      </c>
      <c r="K1990" s="415">
        <v>0.0</v>
      </c>
      <c r="L1990" s="415">
        <v>10.0</v>
      </c>
      <c r="M1990" s="413" t="s">
        <v>2276</v>
      </c>
      <c r="N1990" s="413" t="s">
        <v>2827</v>
      </c>
    </row>
    <row r="1991">
      <c r="A1991" s="409">
        <v>46174.0</v>
      </c>
      <c r="B1991" s="102">
        <v>2026.0</v>
      </c>
      <c r="C1991" s="410" t="s">
        <v>2821</v>
      </c>
      <c r="D1991" s="102" t="s">
        <v>723</v>
      </c>
      <c r="E1991" s="102" t="s">
        <v>137</v>
      </c>
      <c r="F1991" s="102" t="s">
        <v>703</v>
      </c>
      <c r="G1991" s="102" t="s">
        <v>724</v>
      </c>
      <c r="H1991" s="360">
        <v>3606.0</v>
      </c>
      <c r="I1991" s="411" t="b">
        <v>1</v>
      </c>
      <c r="J1991" s="102" t="s">
        <v>472</v>
      </c>
      <c r="K1991" s="360">
        <v>0.0</v>
      </c>
      <c r="L1991" s="360">
        <v>0.0</v>
      </c>
      <c r="M1991" s="102" t="s">
        <v>2276</v>
      </c>
      <c r="N1991" s="102" t="s">
        <v>2828</v>
      </c>
    </row>
    <row r="1992">
      <c r="A1992" s="412">
        <v>46174.0</v>
      </c>
      <c r="B1992" s="413">
        <v>2026.0</v>
      </c>
      <c r="C1992" s="414" t="s">
        <v>2821</v>
      </c>
      <c r="D1992" s="413" t="s">
        <v>710</v>
      </c>
      <c r="E1992" s="413" t="s">
        <v>137</v>
      </c>
      <c r="F1992" s="413" t="s">
        <v>711</v>
      </c>
      <c r="G1992" s="413" t="s">
        <v>724</v>
      </c>
      <c r="H1992" s="415">
        <v>3606.0</v>
      </c>
      <c r="I1992" s="416" t="b">
        <v>1</v>
      </c>
      <c r="J1992" s="413" t="s">
        <v>472</v>
      </c>
      <c r="K1992" s="415">
        <v>0.0</v>
      </c>
      <c r="L1992" s="415">
        <v>0.0</v>
      </c>
      <c r="M1992" s="413" t="s">
        <v>2276</v>
      </c>
      <c r="N1992" s="413" t="s">
        <v>2828</v>
      </c>
    </row>
    <row r="1993">
      <c r="A1993" s="409">
        <v>46175.0</v>
      </c>
      <c r="B1993" s="102">
        <v>2026.0</v>
      </c>
      <c r="C1993" s="410" t="s">
        <v>2821</v>
      </c>
      <c r="D1993" s="102" t="s">
        <v>723</v>
      </c>
      <c r="E1993" s="102" t="s">
        <v>137</v>
      </c>
      <c r="F1993" s="102" t="s">
        <v>711</v>
      </c>
      <c r="G1993" s="102" t="s">
        <v>740</v>
      </c>
      <c r="H1993" s="360">
        <v>10.0</v>
      </c>
      <c r="I1993" s="411" t="b">
        <v>0</v>
      </c>
      <c r="J1993" s="102" t="s">
        <v>472</v>
      </c>
      <c r="K1993" s="360">
        <v>0.0</v>
      </c>
      <c r="L1993" s="360">
        <v>10.0</v>
      </c>
      <c r="M1993" s="102" t="s">
        <v>2276</v>
      </c>
      <c r="N1993" s="102" t="s">
        <v>2829</v>
      </c>
    </row>
    <row r="1994">
      <c r="A1994" s="412">
        <v>46175.0</v>
      </c>
      <c r="B1994" s="413">
        <v>2026.0</v>
      </c>
      <c r="C1994" s="414" t="s">
        <v>2821</v>
      </c>
      <c r="D1994" s="413" t="s">
        <v>702</v>
      </c>
      <c r="E1994" s="413" t="s">
        <v>465</v>
      </c>
      <c r="F1994" s="413" t="s">
        <v>711</v>
      </c>
      <c r="G1994" s="413" t="s">
        <v>767</v>
      </c>
      <c r="H1994" s="415">
        <v>950.0</v>
      </c>
      <c r="I1994" s="416" t="b">
        <v>0</v>
      </c>
      <c r="J1994" s="413" t="s">
        <v>1507</v>
      </c>
      <c r="K1994" s="415">
        <v>131.03448275862058</v>
      </c>
      <c r="L1994" s="415">
        <v>818.9655172413794</v>
      </c>
      <c r="M1994" s="413" t="s">
        <v>2276</v>
      </c>
      <c r="N1994" s="413" t="s">
        <v>2830</v>
      </c>
    </row>
    <row r="1995">
      <c r="A1995" s="409">
        <v>46175.0</v>
      </c>
      <c r="B1995" s="102">
        <v>2026.0</v>
      </c>
      <c r="C1995" s="410" t="s">
        <v>2821</v>
      </c>
      <c r="D1995" s="102" t="s">
        <v>702</v>
      </c>
      <c r="E1995" s="102" t="s">
        <v>465</v>
      </c>
      <c r="F1995" s="102" t="s">
        <v>711</v>
      </c>
      <c r="G1995" s="102" t="s">
        <v>767</v>
      </c>
      <c r="H1995" s="360">
        <v>950.0</v>
      </c>
      <c r="I1995" s="411" t="b">
        <v>0</v>
      </c>
      <c r="J1995" s="102" t="s">
        <v>2437</v>
      </c>
      <c r="K1995" s="360">
        <v>131.03448275862058</v>
      </c>
      <c r="L1995" s="360">
        <v>818.9655172413794</v>
      </c>
      <c r="M1995" s="102" t="s">
        <v>2276</v>
      </c>
      <c r="N1995" s="102" t="s">
        <v>2831</v>
      </c>
    </row>
    <row r="1996">
      <c r="A1996" s="412">
        <v>46175.0</v>
      </c>
      <c r="B1996" s="413">
        <v>2026.0</v>
      </c>
      <c r="C1996" s="414" t="s">
        <v>2821</v>
      </c>
      <c r="D1996" s="413" t="s">
        <v>702</v>
      </c>
      <c r="E1996" s="413" t="s">
        <v>465</v>
      </c>
      <c r="F1996" s="413" t="s">
        <v>711</v>
      </c>
      <c r="G1996" s="413" t="s">
        <v>767</v>
      </c>
      <c r="H1996" s="415">
        <v>800.0</v>
      </c>
      <c r="I1996" s="416" t="b">
        <v>0</v>
      </c>
      <c r="J1996" s="413" t="s">
        <v>432</v>
      </c>
      <c r="K1996" s="415">
        <v>110.34482758620686</v>
      </c>
      <c r="L1996" s="415">
        <v>689.6551724137931</v>
      </c>
      <c r="M1996" s="413" t="s">
        <v>2276</v>
      </c>
      <c r="N1996" s="413" t="s">
        <v>2832</v>
      </c>
    </row>
    <row r="1997">
      <c r="A1997" s="409">
        <v>46175.0</v>
      </c>
      <c r="B1997" s="102">
        <v>2026.0</v>
      </c>
      <c r="C1997" s="410" t="s">
        <v>2821</v>
      </c>
      <c r="D1997" s="102" t="s">
        <v>702</v>
      </c>
      <c r="E1997" s="102" t="s">
        <v>465</v>
      </c>
      <c r="F1997" s="102" t="s">
        <v>711</v>
      </c>
      <c r="G1997" s="102" t="s">
        <v>767</v>
      </c>
      <c r="H1997" s="360">
        <v>950.0</v>
      </c>
      <c r="I1997" s="411" t="b">
        <v>0</v>
      </c>
      <c r="J1997" s="102" t="s">
        <v>2411</v>
      </c>
      <c r="K1997" s="360">
        <v>131.03448275862058</v>
      </c>
      <c r="L1997" s="360">
        <v>818.9655172413794</v>
      </c>
      <c r="M1997" s="102" t="s">
        <v>2276</v>
      </c>
      <c r="N1997" s="102" t="s">
        <v>2833</v>
      </c>
    </row>
    <row r="1998">
      <c r="A1998" s="412">
        <v>46175.0</v>
      </c>
      <c r="B1998" s="413">
        <v>2026.0</v>
      </c>
      <c r="C1998" s="414" t="s">
        <v>2821</v>
      </c>
      <c r="D1998" s="413" t="s">
        <v>702</v>
      </c>
      <c r="E1998" s="413" t="s">
        <v>465</v>
      </c>
      <c r="F1998" s="413" t="s">
        <v>711</v>
      </c>
      <c r="G1998" s="413" t="s">
        <v>767</v>
      </c>
      <c r="H1998" s="415">
        <v>550.0</v>
      </c>
      <c r="I1998" s="416" t="b">
        <v>0</v>
      </c>
      <c r="J1998" s="413" t="s">
        <v>1146</v>
      </c>
      <c r="K1998" s="415">
        <v>75.86206896551721</v>
      </c>
      <c r="L1998" s="415">
        <v>474.1379310344828</v>
      </c>
      <c r="M1998" s="413" t="s">
        <v>2276</v>
      </c>
      <c r="N1998" s="413" t="s">
        <v>2834</v>
      </c>
    </row>
    <row r="1999">
      <c r="A1999" s="409">
        <v>46175.0</v>
      </c>
      <c r="B1999" s="102">
        <v>2026.0</v>
      </c>
      <c r="C1999" s="410" t="s">
        <v>2821</v>
      </c>
      <c r="D1999" s="102" t="s">
        <v>723</v>
      </c>
      <c r="E1999" s="102" t="s">
        <v>137</v>
      </c>
      <c r="F1999" s="102" t="s">
        <v>711</v>
      </c>
      <c r="G1999" s="102" t="s">
        <v>767</v>
      </c>
      <c r="H1999" s="360">
        <v>950.0</v>
      </c>
      <c r="I1999" s="411" t="b">
        <v>0</v>
      </c>
      <c r="J1999" s="102" t="s">
        <v>1224</v>
      </c>
      <c r="K1999" s="360">
        <v>0.0</v>
      </c>
      <c r="L1999" s="360">
        <v>950.0</v>
      </c>
      <c r="M1999" s="102" t="s">
        <v>2276</v>
      </c>
      <c r="N1999" s="102" t="s">
        <v>2835</v>
      </c>
    </row>
    <row r="2000">
      <c r="A2000" s="412">
        <v>46175.0</v>
      </c>
      <c r="B2000" s="413">
        <v>2026.0</v>
      </c>
      <c r="C2000" s="414" t="s">
        <v>2821</v>
      </c>
      <c r="D2000" s="413" t="s">
        <v>723</v>
      </c>
      <c r="E2000" s="413" t="s">
        <v>137</v>
      </c>
      <c r="F2000" s="413" t="s">
        <v>711</v>
      </c>
      <c r="G2000" s="413" t="s">
        <v>767</v>
      </c>
      <c r="H2000" s="415">
        <v>950.0</v>
      </c>
      <c r="I2000" s="416" t="b">
        <v>0</v>
      </c>
      <c r="J2000" s="413" t="s">
        <v>2643</v>
      </c>
      <c r="K2000" s="415">
        <v>0.0</v>
      </c>
      <c r="L2000" s="415">
        <v>950.0</v>
      </c>
      <c r="M2000" s="413" t="s">
        <v>2276</v>
      </c>
      <c r="N2000" s="413" t="s">
        <v>2836</v>
      </c>
    </row>
    <row r="2001">
      <c r="A2001" s="409">
        <v>46175.0</v>
      </c>
      <c r="B2001" s="102">
        <v>2026.0</v>
      </c>
      <c r="C2001" s="410" t="s">
        <v>2821</v>
      </c>
      <c r="D2001" s="102" t="s">
        <v>723</v>
      </c>
      <c r="E2001" s="102" t="s">
        <v>137</v>
      </c>
      <c r="F2001" s="102" t="s">
        <v>711</v>
      </c>
      <c r="G2001" s="102" t="s">
        <v>767</v>
      </c>
      <c r="H2001" s="360">
        <v>800.0</v>
      </c>
      <c r="I2001" s="411" t="b">
        <v>0</v>
      </c>
      <c r="J2001" s="102" t="s">
        <v>2088</v>
      </c>
      <c r="K2001" s="360">
        <v>0.0</v>
      </c>
      <c r="L2001" s="360">
        <v>800.0</v>
      </c>
      <c r="M2001" s="102" t="s">
        <v>2276</v>
      </c>
      <c r="N2001" s="102" t="s">
        <v>2837</v>
      </c>
    </row>
    <row r="2002">
      <c r="A2002" s="412">
        <v>46175.0</v>
      </c>
      <c r="B2002" s="413">
        <v>2026.0</v>
      </c>
      <c r="C2002" s="414" t="s">
        <v>2821</v>
      </c>
      <c r="D2002" s="413" t="s">
        <v>723</v>
      </c>
      <c r="E2002" s="413" t="s">
        <v>137</v>
      </c>
      <c r="F2002" s="413" t="s">
        <v>711</v>
      </c>
      <c r="G2002" s="413" t="s">
        <v>767</v>
      </c>
      <c r="H2002" s="415">
        <v>1000.0</v>
      </c>
      <c r="I2002" s="416" t="b">
        <v>0</v>
      </c>
      <c r="J2002" s="413" t="s">
        <v>2838</v>
      </c>
      <c r="K2002" s="415">
        <v>0.0</v>
      </c>
      <c r="L2002" s="415">
        <v>1000.0</v>
      </c>
      <c r="M2002" s="413" t="s">
        <v>2276</v>
      </c>
      <c r="N2002" s="413" t="s">
        <v>2839</v>
      </c>
    </row>
    <row r="2003">
      <c r="A2003" s="409">
        <v>46175.0</v>
      </c>
      <c r="B2003" s="102">
        <v>2026.0</v>
      </c>
      <c r="C2003" s="410" t="s">
        <v>2821</v>
      </c>
      <c r="D2003" s="102" t="s">
        <v>723</v>
      </c>
      <c r="E2003" s="102" t="s">
        <v>137</v>
      </c>
      <c r="F2003" s="102" t="s">
        <v>711</v>
      </c>
      <c r="G2003" s="102" t="s">
        <v>740</v>
      </c>
      <c r="H2003" s="360">
        <v>10.0</v>
      </c>
      <c r="I2003" s="411" t="b">
        <v>0</v>
      </c>
      <c r="J2003" s="102" t="s">
        <v>472</v>
      </c>
      <c r="K2003" s="360">
        <v>0.0</v>
      </c>
      <c r="L2003" s="360">
        <v>10.0</v>
      </c>
      <c r="M2003" s="102" t="s">
        <v>2276</v>
      </c>
      <c r="N2003" s="102" t="s">
        <v>2840</v>
      </c>
    </row>
    <row r="2004">
      <c r="A2004" s="412">
        <v>46175.0</v>
      </c>
      <c r="B2004" s="413">
        <v>2026.0</v>
      </c>
      <c r="C2004" s="414" t="s">
        <v>2821</v>
      </c>
      <c r="D2004" s="413" t="s">
        <v>702</v>
      </c>
      <c r="E2004" s="413" t="s">
        <v>465</v>
      </c>
      <c r="F2004" s="413" t="s">
        <v>711</v>
      </c>
      <c r="G2004" s="413" t="s">
        <v>767</v>
      </c>
      <c r="H2004" s="415">
        <v>1247.0</v>
      </c>
      <c r="I2004" s="416" t="b">
        <v>0</v>
      </c>
      <c r="J2004" s="413" t="s">
        <v>1248</v>
      </c>
      <c r="K2004" s="415">
        <v>172.0</v>
      </c>
      <c r="L2004" s="415">
        <v>1075.0</v>
      </c>
      <c r="M2004" s="413" t="s">
        <v>2276</v>
      </c>
      <c r="N2004" s="413" t="s">
        <v>2841</v>
      </c>
    </row>
    <row r="2005">
      <c r="A2005" s="409">
        <v>46176.0</v>
      </c>
      <c r="B2005" s="102">
        <v>2026.0</v>
      </c>
      <c r="C2005" s="410" t="s">
        <v>2821</v>
      </c>
      <c r="D2005" s="102" t="s">
        <v>723</v>
      </c>
      <c r="E2005" s="102" t="s">
        <v>137</v>
      </c>
      <c r="F2005" s="102" t="s">
        <v>711</v>
      </c>
      <c r="G2005" s="102" t="s">
        <v>767</v>
      </c>
      <c r="H2005" s="360">
        <v>800.0</v>
      </c>
      <c r="I2005" s="411" t="b">
        <v>0</v>
      </c>
      <c r="J2005" s="102" t="s">
        <v>2402</v>
      </c>
      <c r="K2005" s="360">
        <v>0.0</v>
      </c>
      <c r="L2005" s="360">
        <v>800.0</v>
      </c>
      <c r="M2005" s="102" t="s">
        <v>2276</v>
      </c>
      <c r="N2005" s="102" t="s">
        <v>2842</v>
      </c>
    </row>
    <row r="2006">
      <c r="A2006" s="412">
        <v>46176.0</v>
      </c>
      <c r="B2006" s="413">
        <v>2026.0</v>
      </c>
      <c r="C2006" s="414" t="s">
        <v>2821</v>
      </c>
      <c r="D2006" s="413" t="s">
        <v>723</v>
      </c>
      <c r="E2006" s="413" t="s">
        <v>137</v>
      </c>
      <c r="F2006" s="413" t="s">
        <v>711</v>
      </c>
      <c r="G2006" s="413" t="s">
        <v>767</v>
      </c>
      <c r="H2006" s="415">
        <v>800.0</v>
      </c>
      <c r="I2006" s="416" t="b">
        <v>0</v>
      </c>
      <c r="J2006" s="413" t="s">
        <v>2071</v>
      </c>
      <c r="K2006" s="415">
        <v>0.0</v>
      </c>
      <c r="L2006" s="415">
        <v>800.0</v>
      </c>
      <c r="M2006" s="413" t="s">
        <v>2276</v>
      </c>
      <c r="N2006" s="413" t="s">
        <v>2843</v>
      </c>
    </row>
    <row r="2007">
      <c r="A2007" s="409">
        <v>46176.0</v>
      </c>
      <c r="B2007" s="102">
        <v>2026.0</v>
      </c>
      <c r="C2007" s="410" t="s">
        <v>2821</v>
      </c>
      <c r="D2007" s="102" t="s">
        <v>723</v>
      </c>
      <c r="E2007" s="102" t="s">
        <v>137</v>
      </c>
      <c r="F2007" s="102" t="s">
        <v>711</v>
      </c>
      <c r="G2007" s="102" t="s">
        <v>767</v>
      </c>
      <c r="H2007" s="360">
        <v>800.0</v>
      </c>
      <c r="I2007" s="411" t="b">
        <v>0</v>
      </c>
      <c r="J2007" s="102" t="s">
        <v>2637</v>
      </c>
      <c r="K2007" s="360">
        <v>0.0</v>
      </c>
      <c r="L2007" s="360">
        <v>800.0</v>
      </c>
      <c r="M2007" s="102" t="s">
        <v>2276</v>
      </c>
      <c r="N2007" s="102" t="s">
        <v>2844</v>
      </c>
    </row>
    <row r="2008">
      <c r="A2008" s="412">
        <v>46176.0</v>
      </c>
      <c r="B2008" s="413">
        <v>2026.0</v>
      </c>
      <c r="C2008" s="414" t="s">
        <v>2821</v>
      </c>
      <c r="D2008" s="413" t="s">
        <v>702</v>
      </c>
      <c r="E2008" s="413" t="s">
        <v>465</v>
      </c>
      <c r="F2008" s="413" t="s">
        <v>711</v>
      </c>
      <c r="G2008" s="413" t="s">
        <v>767</v>
      </c>
      <c r="H2008" s="415">
        <v>950.0</v>
      </c>
      <c r="I2008" s="416" t="b">
        <v>0</v>
      </c>
      <c r="J2008" s="413" t="s">
        <v>1881</v>
      </c>
      <c r="K2008" s="415">
        <v>131.03448275862058</v>
      </c>
      <c r="L2008" s="415">
        <v>818.9655172413794</v>
      </c>
      <c r="M2008" s="413" t="s">
        <v>2276</v>
      </c>
      <c r="N2008" s="413" t="s">
        <v>2845</v>
      </c>
    </row>
    <row r="2009">
      <c r="A2009" s="409">
        <v>46176.0</v>
      </c>
      <c r="B2009" s="102">
        <v>2026.0</v>
      </c>
      <c r="C2009" s="410" t="s">
        <v>2821</v>
      </c>
      <c r="D2009" s="102" t="s">
        <v>702</v>
      </c>
      <c r="E2009" s="102" t="s">
        <v>465</v>
      </c>
      <c r="F2009" s="102" t="s">
        <v>711</v>
      </c>
      <c r="G2009" s="102" t="s">
        <v>767</v>
      </c>
      <c r="H2009" s="360">
        <v>950.0</v>
      </c>
      <c r="I2009" s="411" t="b">
        <v>0</v>
      </c>
      <c r="J2009" s="102" t="s">
        <v>1415</v>
      </c>
      <c r="K2009" s="360">
        <v>131.03448275862058</v>
      </c>
      <c r="L2009" s="360">
        <v>818.9655172413794</v>
      </c>
      <c r="M2009" s="102" t="s">
        <v>2276</v>
      </c>
      <c r="N2009" s="102" t="s">
        <v>2846</v>
      </c>
    </row>
    <row r="2010">
      <c r="A2010" s="412">
        <v>46177.0</v>
      </c>
      <c r="B2010" s="413">
        <v>2026.0</v>
      </c>
      <c r="C2010" s="414" t="s">
        <v>2821</v>
      </c>
      <c r="D2010" s="413" t="s">
        <v>723</v>
      </c>
      <c r="E2010" s="413" t="s">
        <v>137</v>
      </c>
      <c r="F2010" s="413" t="s">
        <v>711</v>
      </c>
      <c r="G2010" s="413" t="s">
        <v>732</v>
      </c>
      <c r="H2010" s="415">
        <v>200.0</v>
      </c>
      <c r="I2010" s="416" t="b">
        <v>0</v>
      </c>
      <c r="J2010" s="413" t="s">
        <v>2211</v>
      </c>
      <c r="K2010" s="415">
        <v>0.0</v>
      </c>
      <c r="L2010" s="415">
        <v>200.0</v>
      </c>
      <c r="M2010" s="413" t="s">
        <v>2276</v>
      </c>
      <c r="N2010" s="413" t="s">
        <v>2847</v>
      </c>
    </row>
    <row r="2011">
      <c r="A2011" s="409">
        <v>46177.0</v>
      </c>
      <c r="B2011" s="102">
        <v>2026.0</v>
      </c>
      <c r="C2011" s="410" t="s">
        <v>2821</v>
      </c>
      <c r="D2011" s="102" t="s">
        <v>723</v>
      </c>
      <c r="E2011" s="102" t="s">
        <v>137</v>
      </c>
      <c r="F2011" s="102" t="s">
        <v>711</v>
      </c>
      <c r="G2011" s="102" t="s">
        <v>767</v>
      </c>
      <c r="H2011" s="360">
        <v>1200.0</v>
      </c>
      <c r="I2011" s="411" t="b">
        <v>0</v>
      </c>
      <c r="J2011" s="102" t="s">
        <v>2848</v>
      </c>
      <c r="K2011" s="360">
        <v>0.0</v>
      </c>
      <c r="L2011" s="360">
        <v>1200.0</v>
      </c>
      <c r="M2011" s="102" t="s">
        <v>2276</v>
      </c>
      <c r="N2011" s="102" t="s">
        <v>2849</v>
      </c>
    </row>
    <row r="2012">
      <c r="A2012" s="412">
        <v>46177.0</v>
      </c>
      <c r="B2012" s="413">
        <v>2026.0</v>
      </c>
      <c r="C2012" s="414" t="s">
        <v>2821</v>
      </c>
      <c r="D2012" s="413" t="s">
        <v>723</v>
      </c>
      <c r="E2012" s="413" t="s">
        <v>137</v>
      </c>
      <c r="F2012" s="413" t="s">
        <v>711</v>
      </c>
      <c r="G2012" s="413" t="s">
        <v>740</v>
      </c>
      <c r="H2012" s="415">
        <v>10.0</v>
      </c>
      <c r="I2012" s="416" t="b">
        <v>0</v>
      </c>
      <c r="J2012" s="413" t="s">
        <v>472</v>
      </c>
      <c r="K2012" s="415">
        <v>0.0</v>
      </c>
      <c r="L2012" s="415">
        <v>10.0</v>
      </c>
      <c r="M2012" s="413" t="s">
        <v>2276</v>
      </c>
      <c r="N2012" s="413" t="s">
        <v>2850</v>
      </c>
    </row>
    <row r="2013">
      <c r="A2013" s="409">
        <v>46177.0</v>
      </c>
      <c r="B2013" s="102">
        <v>2026.0</v>
      </c>
      <c r="C2013" s="410" t="s">
        <v>2821</v>
      </c>
      <c r="D2013" s="102" t="s">
        <v>723</v>
      </c>
      <c r="E2013" s="102" t="s">
        <v>137</v>
      </c>
      <c r="F2013" s="102" t="s">
        <v>711</v>
      </c>
      <c r="G2013" s="102" t="s">
        <v>740</v>
      </c>
      <c r="H2013" s="360">
        <v>15.0</v>
      </c>
      <c r="I2013" s="411" t="b">
        <v>0</v>
      </c>
      <c r="J2013" s="102" t="s">
        <v>472</v>
      </c>
      <c r="K2013" s="360">
        <v>0.0</v>
      </c>
      <c r="L2013" s="360">
        <v>15.0</v>
      </c>
      <c r="M2013" s="102" t="s">
        <v>2276</v>
      </c>
      <c r="N2013" s="102" t="s">
        <v>2851</v>
      </c>
    </row>
    <row r="2014">
      <c r="A2014" s="412">
        <v>46177.0</v>
      </c>
      <c r="B2014" s="413">
        <v>2026.0</v>
      </c>
      <c r="C2014" s="414" t="s">
        <v>2821</v>
      </c>
      <c r="D2014" s="413" t="s">
        <v>723</v>
      </c>
      <c r="E2014" s="413" t="s">
        <v>137</v>
      </c>
      <c r="F2014" s="413" t="s">
        <v>711</v>
      </c>
      <c r="G2014" s="413" t="s">
        <v>767</v>
      </c>
      <c r="H2014" s="415">
        <v>950.0</v>
      </c>
      <c r="I2014" s="416" t="b">
        <v>0</v>
      </c>
      <c r="J2014" s="413" t="s">
        <v>2758</v>
      </c>
      <c r="K2014" s="415">
        <v>0.0</v>
      </c>
      <c r="L2014" s="415">
        <v>950.0</v>
      </c>
      <c r="M2014" s="413" t="s">
        <v>2276</v>
      </c>
      <c r="N2014" s="413" t="s">
        <v>2852</v>
      </c>
    </row>
    <row r="2015">
      <c r="A2015" s="409">
        <v>46177.0</v>
      </c>
      <c r="B2015" s="102">
        <v>2026.0</v>
      </c>
      <c r="C2015" s="410" t="s">
        <v>2821</v>
      </c>
      <c r="D2015" s="102" t="s">
        <v>702</v>
      </c>
      <c r="E2015" s="102" t="s">
        <v>465</v>
      </c>
      <c r="F2015" s="102" t="s">
        <v>711</v>
      </c>
      <c r="G2015" s="102" t="s">
        <v>767</v>
      </c>
      <c r="H2015" s="360">
        <v>1150.0</v>
      </c>
      <c r="I2015" s="411" t="b">
        <v>0</v>
      </c>
      <c r="J2015" s="102" t="s">
        <v>2573</v>
      </c>
      <c r="K2015" s="360">
        <v>158.62068965517233</v>
      </c>
      <c r="L2015" s="360">
        <v>991.3793103448277</v>
      </c>
      <c r="M2015" s="102" t="s">
        <v>2276</v>
      </c>
      <c r="N2015" s="102" t="s">
        <v>2853</v>
      </c>
    </row>
    <row r="2016">
      <c r="A2016" s="412">
        <v>46177.0</v>
      </c>
      <c r="B2016" s="413">
        <v>2026.0</v>
      </c>
      <c r="C2016" s="414" t="s">
        <v>2821</v>
      </c>
      <c r="D2016" s="413" t="s">
        <v>702</v>
      </c>
      <c r="E2016" s="413" t="s">
        <v>465</v>
      </c>
      <c r="F2016" s="413" t="s">
        <v>711</v>
      </c>
      <c r="G2016" s="413" t="s">
        <v>767</v>
      </c>
      <c r="H2016" s="415">
        <v>950.0</v>
      </c>
      <c r="I2016" s="416" t="b">
        <v>0</v>
      </c>
      <c r="J2016" s="413" t="s">
        <v>1881</v>
      </c>
      <c r="K2016" s="415">
        <v>131.03448275862058</v>
      </c>
      <c r="L2016" s="415">
        <v>818.9655172413794</v>
      </c>
      <c r="M2016" s="413" t="s">
        <v>2276</v>
      </c>
      <c r="N2016" s="413" t="s">
        <v>2854</v>
      </c>
    </row>
    <row r="2017">
      <c r="A2017" s="409">
        <v>46177.0</v>
      </c>
      <c r="B2017" s="102">
        <v>2026.0</v>
      </c>
      <c r="C2017" s="410" t="s">
        <v>2821</v>
      </c>
      <c r="D2017" s="102" t="s">
        <v>702</v>
      </c>
      <c r="E2017" s="102" t="s">
        <v>465</v>
      </c>
      <c r="F2017" s="102" t="s">
        <v>711</v>
      </c>
      <c r="G2017" s="102" t="s">
        <v>767</v>
      </c>
      <c r="H2017" s="360">
        <v>550.0</v>
      </c>
      <c r="I2017" s="411" t="b">
        <v>0</v>
      </c>
      <c r="J2017" s="102" t="s">
        <v>1184</v>
      </c>
      <c r="K2017" s="360">
        <v>75.86206896551721</v>
      </c>
      <c r="L2017" s="360">
        <v>474.1379310344828</v>
      </c>
      <c r="M2017" s="102" t="s">
        <v>2276</v>
      </c>
      <c r="N2017" s="102" t="s">
        <v>2855</v>
      </c>
    </row>
    <row r="2018">
      <c r="A2018" s="412">
        <v>46177.0</v>
      </c>
      <c r="B2018" s="413">
        <v>2026.0</v>
      </c>
      <c r="C2018" s="414" t="s">
        <v>2821</v>
      </c>
      <c r="D2018" s="413" t="s">
        <v>702</v>
      </c>
      <c r="E2018" s="413" t="s">
        <v>465</v>
      </c>
      <c r="F2018" s="413" t="s">
        <v>711</v>
      </c>
      <c r="G2018" s="413" t="s">
        <v>767</v>
      </c>
      <c r="H2018" s="415">
        <v>1600.0</v>
      </c>
      <c r="I2018" s="416" t="b">
        <v>0</v>
      </c>
      <c r="J2018" s="413" t="s">
        <v>2856</v>
      </c>
      <c r="K2018" s="415">
        <v>220.68965517241372</v>
      </c>
      <c r="L2018" s="415">
        <v>1379.3103448275863</v>
      </c>
      <c r="M2018" s="413" t="s">
        <v>2276</v>
      </c>
      <c r="N2018" s="413" t="s">
        <v>2857</v>
      </c>
    </row>
    <row r="2019">
      <c r="A2019" s="409">
        <v>46177.0</v>
      </c>
      <c r="B2019" s="102">
        <v>2026.0</v>
      </c>
      <c r="C2019" s="410" t="s">
        <v>2821</v>
      </c>
      <c r="D2019" s="102" t="s">
        <v>702</v>
      </c>
      <c r="E2019" s="102" t="s">
        <v>465</v>
      </c>
      <c r="F2019" s="102" t="s">
        <v>703</v>
      </c>
      <c r="G2019" s="102" t="s">
        <v>769</v>
      </c>
      <c r="H2019" s="360">
        <v>9280.0</v>
      </c>
      <c r="I2019" s="411" t="b">
        <v>0</v>
      </c>
      <c r="J2019" s="102" t="s">
        <v>472</v>
      </c>
      <c r="K2019" s="360">
        <v>0.0</v>
      </c>
      <c r="L2019" s="360">
        <v>9280.0</v>
      </c>
      <c r="M2019" s="102" t="s">
        <v>2276</v>
      </c>
      <c r="N2019" s="102" t="s">
        <v>2858</v>
      </c>
    </row>
    <row r="2020">
      <c r="A2020" s="412">
        <v>46177.0</v>
      </c>
      <c r="B2020" s="413">
        <v>2026.0</v>
      </c>
      <c r="C2020" s="414" t="s">
        <v>2821</v>
      </c>
      <c r="D2020" s="413" t="s">
        <v>702</v>
      </c>
      <c r="E2020" s="413" t="s">
        <v>465</v>
      </c>
      <c r="F2020" s="413" t="s">
        <v>711</v>
      </c>
      <c r="G2020" s="413" t="s">
        <v>724</v>
      </c>
      <c r="H2020" s="415">
        <v>100.0</v>
      </c>
      <c r="I2020" s="416" t="b">
        <v>1</v>
      </c>
      <c r="J2020" s="413" t="s">
        <v>472</v>
      </c>
      <c r="K2020" s="415">
        <v>0.0</v>
      </c>
      <c r="L2020" s="415">
        <v>0.0</v>
      </c>
      <c r="M2020" s="413" t="s">
        <v>2276</v>
      </c>
      <c r="N2020" s="413" t="s">
        <v>2859</v>
      </c>
    </row>
    <row r="2021">
      <c r="A2021" s="409">
        <v>46177.0</v>
      </c>
      <c r="B2021" s="102">
        <v>2026.0</v>
      </c>
      <c r="C2021" s="410" t="s">
        <v>2821</v>
      </c>
      <c r="D2021" s="102" t="s">
        <v>723</v>
      </c>
      <c r="E2021" s="102" t="s">
        <v>137</v>
      </c>
      <c r="F2021" s="102" t="s">
        <v>703</v>
      </c>
      <c r="G2021" s="102" t="s">
        <v>724</v>
      </c>
      <c r="H2021" s="360">
        <v>100.0</v>
      </c>
      <c r="I2021" s="411" t="b">
        <v>1</v>
      </c>
      <c r="J2021" s="102" t="s">
        <v>472</v>
      </c>
      <c r="K2021" s="360">
        <v>0.0</v>
      </c>
      <c r="L2021" s="360">
        <v>0.0</v>
      </c>
      <c r="M2021" s="102" t="s">
        <v>2276</v>
      </c>
      <c r="N2021" s="102" t="s">
        <v>2859</v>
      </c>
    </row>
    <row r="2022">
      <c r="A2022" s="412">
        <v>46177.0</v>
      </c>
      <c r="B2022" s="413">
        <v>2026.0</v>
      </c>
      <c r="C2022" s="414" t="s">
        <v>2821</v>
      </c>
      <c r="D2022" s="413" t="s">
        <v>723</v>
      </c>
      <c r="E2022" s="413" t="s">
        <v>137</v>
      </c>
      <c r="F2022" s="413" t="s">
        <v>711</v>
      </c>
      <c r="G2022" s="413" t="s">
        <v>767</v>
      </c>
      <c r="H2022" s="415">
        <v>950.0</v>
      </c>
      <c r="I2022" s="416" t="b">
        <v>0</v>
      </c>
      <c r="J2022" s="413" t="s">
        <v>1232</v>
      </c>
      <c r="K2022" s="415">
        <v>0.0</v>
      </c>
      <c r="L2022" s="415">
        <v>950.0</v>
      </c>
      <c r="M2022" s="413" t="s">
        <v>2276</v>
      </c>
      <c r="N2022" s="413" t="s">
        <v>2860</v>
      </c>
    </row>
    <row r="2023">
      <c r="A2023" s="409">
        <v>46177.0</v>
      </c>
      <c r="B2023" s="102">
        <v>2026.0</v>
      </c>
      <c r="C2023" s="410" t="s">
        <v>2821</v>
      </c>
      <c r="D2023" s="102" t="s">
        <v>723</v>
      </c>
      <c r="E2023" s="102" t="s">
        <v>137</v>
      </c>
      <c r="F2023" s="102" t="s">
        <v>711</v>
      </c>
      <c r="G2023" s="102" t="s">
        <v>734</v>
      </c>
      <c r="H2023" s="360">
        <v>180.0</v>
      </c>
      <c r="I2023" s="411" t="b">
        <v>0</v>
      </c>
      <c r="J2023" s="102" t="s">
        <v>472</v>
      </c>
      <c r="K2023" s="360">
        <v>0.0</v>
      </c>
      <c r="L2023" s="360">
        <v>180.0</v>
      </c>
      <c r="M2023" s="102" t="s">
        <v>2276</v>
      </c>
      <c r="N2023" s="102" t="s">
        <v>2861</v>
      </c>
    </row>
    <row r="2024">
      <c r="A2024" s="412">
        <v>46177.0</v>
      </c>
      <c r="B2024" s="413">
        <v>2026.0</v>
      </c>
      <c r="C2024" s="414" t="s">
        <v>2821</v>
      </c>
      <c r="D2024" s="413" t="s">
        <v>723</v>
      </c>
      <c r="E2024" s="413" t="s">
        <v>137</v>
      </c>
      <c r="F2024" s="413" t="s">
        <v>711</v>
      </c>
      <c r="G2024" s="413" t="s">
        <v>767</v>
      </c>
      <c r="H2024" s="415">
        <v>800.0</v>
      </c>
      <c r="I2024" s="416" t="b">
        <v>0</v>
      </c>
      <c r="J2024" s="413" t="s">
        <v>1297</v>
      </c>
      <c r="K2024" s="415">
        <v>0.0</v>
      </c>
      <c r="L2024" s="415">
        <v>800.0</v>
      </c>
      <c r="M2024" s="413" t="s">
        <v>2276</v>
      </c>
      <c r="N2024" s="413" t="s">
        <v>2862</v>
      </c>
    </row>
    <row r="2025">
      <c r="A2025" s="409">
        <v>46177.0</v>
      </c>
      <c r="B2025" s="102">
        <v>2026.0</v>
      </c>
      <c r="C2025" s="410" t="s">
        <v>2821</v>
      </c>
      <c r="D2025" s="102" t="s">
        <v>723</v>
      </c>
      <c r="E2025" s="102" t="s">
        <v>137</v>
      </c>
      <c r="F2025" s="102" t="s">
        <v>703</v>
      </c>
      <c r="G2025" s="102" t="s">
        <v>724</v>
      </c>
      <c r="H2025" s="360">
        <v>13020.0</v>
      </c>
      <c r="I2025" s="411" t="b">
        <v>1</v>
      </c>
      <c r="J2025" s="102" t="s">
        <v>472</v>
      </c>
      <c r="K2025" s="360">
        <v>0.0</v>
      </c>
      <c r="L2025" s="360">
        <v>0.0</v>
      </c>
      <c r="M2025" s="102" t="s">
        <v>2276</v>
      </c>
      <c r="N2025" s="102" t="s">
        <v>2863</v>
      </c>
    </row>
    <row r="2026">
      <c r="A2026" s="412">
        <v>46177.0</v>
      </c>
      <c r="B2026" s="413">
        <v>2026.0</v>
      </c>
      <c r="C2026" s="414" t="s">
        <v>2821</v>
      </c>
      <c r="D2026" s="413" t="s">
        <v>710</v>
      </c>
      <c r="E2026" s="413" t="s">
        <v>137</v>
      </c>
      <c r="F2026" s="413" t="s">
        <v>711</v>
      </c>
      <c r="G2026" s="413" t="s">
        <v>724</v>
      </c>
      <c r="H2026" s="415">
        <v>13020.0</v>
      </c>
      <c r="I2026" s="416" t="b">
        <v>1</v>
      </c>
      <c r="J2026" s="413" t="s">
        <v>472</v>
      </c>
      <c r="K2026" s="415">
        <v>0.0</v>
      </c>
      <c r="L2026" s="415">
        <v>0.0</v>
      </c>
      <c r="M2026" s="413" t="s">
        <v>2276</v>
      </c>
      <c r="N2026" s="413" t="s">
        <v>2863</v>
      </c>
    </row>
    <row r="2027">
      <c r="A2027" s="409">
        <v>46177.0</v>
      </c>
      <c r="B2027" s="102">
        <v>2026.0</v>
      </c>
      <c r="C2027" s="410" t="s">
        <v>2821</v>
      </c>
      <c r="D2027" s="102" t="s">
        <v>723</v>
      </c>
      <c r="E2027" s="102" t="s">
        <v>137</v>
      </c>
      <c r="F2027" s="102" t="s">
        <v>711</v>
      </c>
      <c r="G2027" s="102" t="s">
        <v>740</v>
      </c>
      <c r="H2027" s="360">
        <v>25.0</v>
      </c>
      <c r="I2027" s="411" t="b">
        <v>0</v>
      </c>
      <c r="J2027" s="102" t="s">
        <v>472</v>
      </c>
      <c r="K2027" s="360">
        <v>0.0</v>
      </c>
      <c r="L2027" s="360">
        <v>25.0</v>
      </c>
      <c r="M2027" s="102" t="s">
        <v>2276</v>
      </c>
      <c r="N2027" s="102" t="s">
        <v>2864</v>
      </c>
    </row>
    <row r="2028">
      <c r="A2028" s="412">
        <v>46177.0</v>
      </c>
      <c r="B2028" s="413">
        <v>2026.0</v>
      </c>
      <c r="C2028" s="414" t="s">
        <v>2821</v>
      </c>
      <c r="D2028" s="413" t="s">
        <v>723</v>
      </c>
      <c r="E2028" s="413" t="s">
        <v>137</v>
      </c>
      <c r="F2028" s="413" t="s">
        <v>711</v>
      </c>
      <c r="G2028" s="413" t="s">
        <v>740</v>
      </c>
      <c r="H2028" s="415">
        <v>10.0</v>
      </c>
      <c r="I2028" s="416" t="b">
        <v>0</v>
      </c>
      <c r="J2028" s="413" t="s">
        <v>472</v>
      </c>
      <c r="K2028" s="415">
        <v>0.0</v>
      </c>
      <c r="L2028" s="415">
        <v>10.0</v>
      </c>
      <c r="M2028" s="413" t="s">
        <v>2276</v>
      </c>
      <c r="N2028" s="413" t="s">
        <v>2865</v>
      </c>
    </row>
    <row r="2029">
      <c r="A2029" s="409">
        <v>46178.0</v>
      </c>
      <c r="B2029" s="102">
        <v>2026.0</v>
      </c>
      <c r="C2029" s="410" t="s">
        <v>2821</v>
      </c>
      <c r="D2029" s="102" t="s">
        <v>702</v>
      </c>
      <c r="E2029" s="102" t="s">
        <v>465</v>
      </c>
      <c r="F2029" s="102" t="s">
        <v>711</v>
      </c>
      <c r="G2029" s="102" t="s">
        <v>767</v>
      </c>
      <c r="H2029" s="360">
        <v>1103.0</v>
      </c>
      <c r="I2029" s="411" t="b">
        <v>0</v>
      </c>
      <c r="J2029" s="102" t="s">
        <v>1820</v>
      </c>
      <c r="K2029" s="360">
        <v>152.13793103448268</v>
      </c>
      <c r="L2029" s="360">
        <v>950.8620689655173</v>
      </c>
      <c r="M2029" s="102" t="s">
        <v>2276</v>
      </c>
      <c r="N2029" s="102" t="s">
        <v>2866</v>
      </c>
    </row>
    <row r="2030">
      <c r="A2030" s="412">
        <v>46178.0</v>
      </c>
      <c r="B2030" s="413">
        <v>2026.0</v>
      </c>
      <c r="C2030" s="414" t="s">
        <v>2821</v>
      </c>
      <c r="D2030" s="413" t="s">
        <v>723</v>
      </c>
      <c r="E2030" s="413" t="s">
        <v>137</v>
      </c>
      <c r="F2030" s="413" t="s">
        <v>711</v>
      </c>
      <c r="G2030" s="413" t="s">
        <v>767</v>
      </c>
      <c r="H2030" s="415">
        <v>1150.0</v>
      </c>
      <c r="I2030" s="416" t="b">
        <v>0</v>
      </c>
      <c r="J2030" s="413" t="s">
        <v>2867</v>
      </c>
      <c r="K2030" s="415">
        <v>0.0</v>
      </c>
      <c r="L2030" s="415">
        <v>1150.0</v>
      </c>
      <c r="M2030" s="413" t="s">
        <v>2276</v>
      </c>
      <c r="N2030" s="413" t="s">
        <v>2868</v>
      </c>
    </row>
    <row r="2031">
      <c r="A2031" s="409">
        <v>46178.0</v>
      </c>
      <c r="B2031" s="102">
        <v>2026.0</v>
      </c>
      <c r="C2031" s="410" t="s">
        <v>2821</v>
      </c>
      <c r="D2031" s="102" t="s">
        <v>723</v>
      </c>
      <c r="E2031" s="102" t="s">
        <v>137</v>
      </c>
      <c r="F2031" s="102" t="s">
        <v>711</v>
      </c>
      <c r="G2031" s="102" t="s">
        <v>767</v>
      </c>
      <c r="H2031" s="360">
        <v>1400.0</v>
      </c>
      <c r="I2031" s="411" t="b">
        <v>0</v>
      </c>
      <c r="J2031" s="102" t="s">
        <v>2869</v>
      </c>
      <c r="K2031" s="360">
        <v>0.0</v>
      </c>
      <c r="L2031" s="360">
        <v>1400.0</v>
      </c>
      <c r="M2031" s="102" t="s">
        <v>2276</v>
      </c>
      <c r="N2031" s="102" t="s">
        <v>2870</v>
      </c>
    </row>
    <row r="2032">
      <c r="A2032" s="412">
        <v>46178.0</v>
      </c>
      <c r="B2032" s="413">
        <v>2026.0</v>
      </c>
      <c r="C2032" s="414" t="s">
        <v>2821</v>
      </c>
      <c r="D2032" s="413" t="s">
        <v>723</v>
      </c>
      <c r="E2032" s="413" t="s">
        <v>137</v>
      </c>
      <c r="F2032" s="413" t="s">
        <v>711</v>
      </c>
      <c r="G2032" s="413" t="s">
        <v>732</v>
      </c>
      <c r="H2032" s="415">
        <v>150.0</v>
      </c>
      <c r="I2032" s="416" t="b">
        <v>0</v>
      </c>
      <c r="J2032" s="413" t="s">
        <v>2655</v>
      </c>
      <c r="K2032" s="415">
        <v>0.0</v>
      </c>
      <c r="L2032" s="415">
        <v>150.0</v>
      </c>
      <c r="M2032" s="413" t="s">
        <v>2276</v>
      </c>
      <c r="N2032" s="413" t="s">
        <v>2871</v>
      </c>
    </row>
    <row r="2033">
      <c r="A2033" s="409">
        <v>46178.0</v>
      </c>
      <c r="B2033" s="102">
        <v>2026.0</v>
      </c>
      <c r="C2033" s="410" t="s">
        <v>2821</v>
      </c>
      <c r="D2033" s="102" t="s">
        <v>723</v>
      </c>
      <c r="E2033" s="102" t="s">
        <v>137</v>
      </c>
      <c r="F2033" s="102" t="s">
        <v>711</v>
      </c>
      <c r="G2033" s="102" t="s">
        <v>767</v>
      </c>
      <c r="H2033" s="360">
        <v>950.0</v>
      </c>
      <c r="I2033" s="411" t="b">
        <v>0</v>
      </c>
      <c r="J2033" s="102" t="s">
        <v>1561</v>
      </c>
      <c r="K2033" s="360">
        <v>0.0</v>
      </c>
      <c r="L2033" s="360">
        <v>950.0</v>
      </c>
      <c r="M2033" s="102" t="s">
        <v>2276</v>
      </c>
      <c r="N2033" s="102" t="s">
        <v>2872</v>
      </c>
    </row>
    <row r="2034">
      <c r="A2034" s="412">
        <v>46178.0</v>
      </c>
      <c r="B2034" s="413">
        <v>2026.0</v>
      </c>
      <c r="C2034" s="414" t="s">
        <v>2821</v>
      </c>
      <c r="D2034" s="413" t="s">
        <v>723</v>
      </c>
      <c r="E2034" s="413" t="s">
        <v>137</v>
      </c>
      <c r="F2034" s="413" t="s">
        <v>711</v>
      </c>
      <c r="G2034" s="413" t="s">
        <v>767</v>
      </c>
      <c r="H2034" s="415">
        <v>800.0</v>
      </c>
      <c r="I2034" s="416" t="b">
        <v>0</v>
      </c>
      <c r="J2034" s="413" t="s">
        <v>1148</v>
      </c>
      <c r="K2034" s="415">
        <v>0.0</v>
      </c>
      <c r="L2034" s="415">
        <v>800.0</v>
      </c>
      <c r="M2034" s="413" t="s">
        <v>2276</v>
      </c>
      <c r="N2034" s="413" t="s">
        <v>2873</v>
      </c>
    </row>
    <row r="2035">
      <c r="A2035" s="409">
        <v>46178.0</v>
      </c>
      <c r="B2035" s="102">
        <v>2026.0</v>
      </c>
      <c r="C2035" s="410" t="s">
        <v>2821</v>
      </c>
      <c r="D2035" s="102" t="s">
        <v>723</v>
      </c>
      <c r="E2035" s="102" t="s">
        <v>137</v>
      </c>
      <c r="F2035" s="102" t="s">
        <v>711</v>
      </c>
      <c r="G2035" s="102" t="s">
        <v>740</v>
      </c>
      <c r="H2035" s="360">
        <v>10.0</v>
      </c>
      <c r="I2035" s="411" t="b">
        <v>0</v>
      </c>
      <c r="J2035" s="102" t="s">
        <v>472</v>
      </c>
      <c r="K2035" s="360">
        <v>0.0</v>
      </c>
      <c r="L2035" s="360">
        <v>10.0</v>
      </c>
      <c r="M2035" s="102" t="s">
        <v>2276</v>
      </c>
      <c r="N2035" s="102" t="s">
        <v>2874</v>
      </c>
    </row>
    <row r="2036">
      <c r="A2036" s="412">
        <v>46178.0</v>
      </c>
      <c r="B2036" s="413">
        <v>2026.0</v>
      </c>
      <c r="C2036" s="414" t="s">
        <v>2821</v>
      </c>
      <c r="D2036" s="413" t="s">
        <v>702</v>
      </c>
      <c r="E2036" s="413" t="s">
        <v>465</v>
      </c>
      <c r="F2036" s="413" t="s">
        <v>711</v>
      </c>
      <c r="G2036" s="413" t="s">
        <v>767</v>
      </c>
      <c r="H2036" s="415">
        <v>950.0</v>
      </c>
      <c r="I2036" s="416" t="b">
        <v>0</v>
      </c>
      <c r="J2036" s="413" t="s">
        <v>2875</v>
      </c>
      <c r="K2036" s="415">
        <v>131.03448275862058</v>
      </c>
      <c r="L2036" s="415">
        <v>818.9655172413794</v>
      </c>
      <c r="M2036" s="413" t="s">
        <v>2276</v>
      </c>
      <c r="N2036" s="413" t="s">
        <v>2876</v>
      </c>
    </row>
    <row r="2037">
      <c r="A2037" s="409">
        <v>46178.0</v>
      </c>
      <c r="B2037" s="102">
        <v>2026.0</v>
      </c>
      <c r="C2037" s="410" t="s">
        <v>2821</v>
      </c>
      <c r="D2037" s="102" t="s">
        <v>702</v>
      </c>
      <c r="E2037" s="102" t="s">
        <v>465</v>
      </c>
      <c r="F2037" s="102" t="s">
        <v>711</v>
      </c>
      <c r="G2037" s="102" t="s">
        <v>767</v>
      </c>
      <c r="H2037" s="360">
        <v>911.0</v>
      </c>
      <c r="I2037" s="411" t="b">
        <v>0</v>
      </c>
      <c r="J2037" s="102" t="s">
        <v>2038</v>
      </c>
      <c r="K2037" s="360">
        <v>125.65517241379303</v>
      </c>
      <c r="L2037" s="360">
        <v>785.344827586207</v>
      </c>
      <c r="M2037" s="102" t="s">
        <v>2276</v>
      </c>
      <c r="N2037" s="102" t="s">
        <v>2877</v>
      </c>
    </row>
    <row r="2038">
      <c r="A2038" s="412">
        <v>46178.0</v>
      </c>
      <c r="B2038" s="413">
        <v>2026.0</v>
      </c>
      <c r="C2038" s="414" t="s">
        <v>2821</v>
      </c>
      <c r="D2038" s="413" t="s">
        <v>702</v>
      </c>
      <c r="E2038" s="413" t="s">
        <v>465</v>
      </c>
      <c r="F2038" s="413" t="s">
        <v>711</v>
      </c>
      <c r="G2038" s="413" t="s">
        <v>767</v>
      </c>
      <c r="H2038" s="415">
        <v>800.0</v>
      </c>
      <c r="I2038" s="416" t="b">
        <v>0</v>
      </c>
      <c r="J2038" s="413" t="s">
        <v>1950</v>
      </c>
      <c r="K2038" s="415">
        <v>110.34482758620686</v>
      </c>
      <c r="L2038" s="415">
        <v>689.6551724137931</v>
      </c>
      <c r="M2038" s="413" t="s">
        <v>2276</v>
      </c>
      <c r="N2038" s="413" t="s">
        <v>2878</v>
      </c>
    </row>
    <row r="2039">
      <c r="A2039" s="409">
        <v>46178.0</v>
      </c>
      <c r="B2039" s="102">
        <v>2026.0</v>
      </c>
      <c r="C2039" s="410" t="s">
        <v>2821</v>
      </c>
      <c r="D2039" s="102" t="s">
        <v>702</v>
      </c>
      <c r="E2039" s="102" t="s">
        <v>465</v>
      </c>
      <c r="F2039" s="102" t="s">
        <v>711</v>
      </c>
      <c r="G2039" s="102" t="s">
        <v>767</v>
      </c>
      <c r="H2039" s="360">
        <v>800.0</v>
      </c>
      <c r="I2039" s="411" t="b">
        <v>0</v>
      </c>
      <c r="J2039" s="102" t="s">
        <v>1655</v>
      </c>
      <c r="K2039" s="360">
        <v>110.34482758620686</v>
      </c>
      <c r="L2039" s="360">
        <v>689.6551724137931</v>
      </c>
      <c r="M2039" s="102" t="s">
        <v>2276</v>
      </c>
      <c r="N2039" s="102" t="s">
        <v>2879</v>
      </c>
    </row>
    <row r="2040">
      <c r="A2040" s="412">
        <v>46178.0</v>
      </c>
      <c r="B2040" s="413">
        <v>2026.0</v>
      </c>
      <c r="C2040" s="414" t="s">
        <v>2821</v>
      </c>
      <c r="D2040" s="413" t="s">
        <v>702</v>
      </c>
      <c r="E2040" s="413" t="s">
        <v>465</v>
      </c>
      <c r="F2040" s="413" t="s">
        <v>711</v>
      </c>
      <c r="G2040" s="413" t="s">
        <v>767</v>
      </c>
      <c r="H2040" s="415">
        <v>250.0</v>
      </c>
      <c r="I2040" s="416" t="b">
        <v>0</v>
      </c>
      <c r="J2040" s="413" t="s">
        <v>1655</v>
      </c>
      <c r="K2040" s="415">
        <v>34.48275862068965</v>
      </c>
      <c r="L2040" s="415">
        <v>215.51724137931035</v>
      </c>
      <c r="M2040" s="413" t="s">
        <v>2276</v>
      </c>
      <c r="N2040" s="413" t="s">
        <v>2880</v>
      </c>
    </row>
    <row r="2041">
      <c r="A2041" s="409">
        <v>46178.0</v>
      </c>
      <c r="B2041" s="102">
        <v>2026.0</v>
      </c>
      <c r="C2041" s="410" t="s">
        <v>2821</v>
      </c>
      <c r="D2041" s="102" t="s">
        <v>702</v>
      </c>
      <c r="E2041" s="102" t="s">
        <v>465</v>
      </c>
      <c r="F2041" s="102" t="s">
        <v>703</v>
      </c>
      <c r="G2041" s="102" t="s">
        <v>732</v>
      </c>
      <c r="H2041" s="360">
        <v>4408.0</v>
      </c>
      <c r="I2041" s="411" t="b">
        <v>0</v>
      </c>
      <c r="J2041" s="102" t="s">
        <v>2881</v>
      </c>
      <c r="K2041" s="360">
        <v>0.0</v>
      </c>
      <c r="L2041" s="360">
        <v>4408.0</v>
      </c>
      <c r="M2041" s="102" t="s">
        <v>2276</v>
      </c>
      <c r="N2041" s="102" t="s">
        <v>2882</v>
      </c>
    </row>
    <row r="2042">
      <c r="A2042" s="412">
        <v>46178.0</v>
      </c>
      <c r="B2042" s="413">
        <v>2026.0</v>
      </c>
      <c r="C2042" s="414" t="s">
        <v>2821</v>
      </c>
      <c r="D2042" s="413" t="s">
        <v>702</v>
      </c>
      <c r="E2042" s="413" t="s">
        <v>465</v>
      </c>
      <c r="F2042" s="413" t="s">
        <v>703</v>
      </c>
      <c r="G2042" s="413" t="s">
        <v>601</v>
      </c>
      <c r="H2042" s="415">
        <v>550.0</v>
      </c>
      <c r="I2042" s="416" t="b">
        <v>0</v>
      </c>
      <c r="J2042" s="413" t="s">
        <v>472</v>
      </c>
      <c r="K2042" s="415">
        <v>0.0</v>
      </c>
      <c r="L2042" s="415">
        <v>550.0</v>
      </c>
      <c r="M2042" s="413" t="s">
        <v>2276</v>
      </c>
      <c r="N2042" s="413" t="s">
        <v>2883</v>
      </c>
    </row>
    <row r="2043">
      <c r="A2043" s="409">
        <v>46178.0</v>
      </c>
      <c r="B2043" s="102">
        <v>2026.0</v>
      </c>
      <c r="C2043" s="410" t="s">
        <v>2821</v>
      </c>
      <c r="D2043" s="102" t="s">
        <v>723</v>
      </c>
      <c r="E2043" s="102" t="s">
        <v>137</v>
      </c>
      <c r="F2043" s="102" t="s">
        <v>711</v>
      </c>
      <c r="G2043" s="102" t="s">
        <v>732</v>
      </c>
      <c r="H2043" s="360">
        <v>350.0</v>
      </c>
      <c r="I2043" s="411" t="b">
        <v>0</v>
      </c>
      <c r="J2043" s="102" t="s">
        <v>2211</v>
      </c>
      <c r="K2043" s="360">
        <v>0.0</v>
      </c>
      <c r="L2043" s="360">
        <v>350.0</v>
      </c>
      <c r="M2043" s="102" t="s">
        <v>2276</v>
      </c>
      <c r="N2043" s="102" t="s">
        <v>2884</v>
      </c>
    </row>
    <row r="2044">
      <c r="A2044" s="412">
        <v>46178.0</v>
      </c>
      <c r="B2044" s="413">
        <v>2026.0</v>
      </c>
      <c r="C2044" s="414" t="s">
        <v>2821</v>
      </c>
      <c r="D2044" s="413" t="s">
        <v>723</v>
      </c>
      <c r="E2044" s="413" t="s">
        <v>137</v>
      </c>
      <c r="F2044" s="413" t="s">
        <v>711</v>
      </c>
      <c r="G2044" s="413" t="s">
        <v>740</v>
      </c>
      <c r="H2044" s="415">
        <v>50.0</v>
      </c>
      <c r="I2044" s="416" t="b">
        <v>0</v>
      </c>
      <c r="J2044" s="413" t="s">
        <v>472</v>
      </c>
      <c r="K2044" s="415">
        <v>0.0</v>
      </c>
      <c r="L2044" s="415">
        <v>50.0</v>
      </c>
      <c r="M2044" s="413" t="s">
        <v>2276</v>
      </c>
      <c r="N2044" s="413" t="s">
        <v>2885</v>
      </c>
    </row>
    <row r="2045">
      <c r="A2045" s="409">
        <v>46178.0</v>
      </c>
      <c r="B2045" s="102">
        <v>2026.0</v>
      </c>
      <c r="C2045" s="410" t="s">
        <v>2821</v>
      </c>
      <c r="D2045" s="102" t="s">
        <v>723</v>
      </c>
      <c r="E2045" s="102" t="s">
        <v>137</v>
      </c>
      <c r="F2045" s="102" t="s">
        <v>703</v>
      </c>
      <c r="G2045" s="102" t="s">
        <v>724</v>
      </c>
      <c r="H2045" s="360">
        <v>5401.0</v>
      </c>
      <c r="I2045" s="411" t="b">
        <v>1</v>
      </c>
      <c r="J2045" s="102" t="s">
        <v>472</v>
      </c>
      <c r="K2045" s="360">
        <v>0.0</v>
      </c>
      <c r="L2045" s="360">
        <v>0.0</v>
      </c>
      <c r="M2045" s="102" t="s">
        <v>2276</v>
      </c>
      <c r="N2045" s="102" t="s">
        <v>2886</v>
      </c>
    </row>
    <row r="2046">
      <c r="A2046" s="412">
        <v>46178.0</v>
      </c>
      <c r="B2046" s="413">
        <v>2026.0</v>
      </c>
      <c r="C2046" s="414" t="s">
        <v>2821</v>
      </c>
      <c r="D2046" s="413" t="s">
        <v>710</v>
      </c>
      <c r="E2046" s="413" t="s">
        <v>137</v>
      </c>
      <c r="F2046" s="413" t="s">
        <v>711</v>
      </c>
      <c r="G2046" s="413" t="s">
        <v>724</v>
      </c>
      <c r="H2046" s="415">
        <v>5401.0</v>
      </c>
      <c r="I2046" s="416" t="b">
        <v>1</v>
      </c>
      <c r="J2046" s="413" t="s">
        <v>472</v>
      </c>
      <c r="K2046" s="415">
        <v>0.0</v>
      </c>
      <c r="L2046" s="415">
        <v>0.0</v>
      </c>
      <c r="M2046" s="413" t="s">
        <v>2276</v>
      </c>
      <c r="N2046" s="413" t="s">
        <v>2886</v>
      </c>
    </row>
    <row r="2047">
      <c r="A2047" s="409">
        <v>46178.0</v>
      </c>
      <c r="B2047" s="102">
        <v>2026.0</v>
      </c>
      <c r="C2047" s="410" t="s">
        <v>2821</v>
      </c>
      <c r="D2047" s="102" t="s">
        <v>710</v>
      </c>
      <c r="E2047" s="102" t="s">
        <v>137</v>
      </c>
      <c r="F2047" s="102" t="s">
        <v>703</v>
      </c>
      <c r="G2047" s="102" t="s">
        <v>732</v>
      </c>
      <c r="H2047" s="360">
        <v>432.0</v>
      </c>
      <c r="I2047" s="411" t="b">
        <v>0</v>
      </c>
      <c r="J2047" s="102" t="s">
        <v>2252</v>
      </c>
      <c r="K2047" s="360">
        <v>0.0</v>
      </c>
      <c r="L2047" s="360">
        <v>432.0</v>
      </c>
      <c r="M2047" s="102" t="s">
        <v>2276</v>
      </c>
      <c r="N2047" s="102" t="s">
        <v>2887</v>
      </c>
    </row>
    <row r="2048">
      <c r="A2048" s="412">
        <v>46178.0</v>
      </c>
      <c r="B2048" s="413">
        <v>2026.0</v>
      </c>
      <c r="C2048" s="414" t="s">
        <v>2821</v>
      </c>
      <c r="D2048" s="413" t="s">
        <v>710</v>
      </c>
      <c r="E2048" s="413" t="s">
        <v>137</v>
      </c>
      <c r="F2048" s="413" t="s">
        <v>711</v>
      </c>
      <c r="G2048" s="413" t="s">
        <v>724</v>
      </c>
      <c r="H2048" s="415">
        <v>200.0</v>
      </c>
      <c r="I2048" s="416" t="b">
        <v>1</v>
      </c>
      <c r="J2048" s="413" t="s">
        <v>472</v>
      </c>
      <c r="K2048" s="415">
        <v>0.0</v>
      </c>
      <c r="L2048" s="415">
        <v>0.0</v>
      </c>
      <c r="M2048" s="413" t="s">
        <v>2276</v>
      </c>
      <c r="N2048" s="413" t="s">
        <v>2888</v>
      </c>
    </row>
    <row r="2049">
      <c r="A2049" s="409">
        <v>46178.0</v>
      </c>
      <c r="B2049" s="102">
        <v>2026.0</v>
      </c>
      <c r="C2049" s="410" t="s">
        <v>2821</v>
      </c>
      <c r="D2049" s="102" t="s">
        <v>702</v>
      </c>
      <c r="E2049" s="102" t="s">
        <v>465</v>
      </c>
      <c r="F2049" s="102" t="s">
        <v>703</v>
      </c>
      <c r="G2049" s="102" t="s">
        <v>724</v>
      </c>
      <c r="H2049" s="360">
        <v>200.0</v>
      </c>
      <c r="I2049" s="411" t="b">
        <v>1</v>
      </c>
      <c r="J2049" s="102" t="s">
        <v>472</v>
      </c>
      <c r="K2049" s="360">
        <v>0.0</v>
      </c>
      <c r="L2049" s="360">
        <v>0.0</v>
      </c>
      <c r="M2049" s="102" t="s">
        <v>2276</v>
      </c>
      <c r="N2049" s="102" t="s">
        <v>2888</v>
      </c>
    </row>
    <row r="2050">
      <c r="A2050" s="412">
        <v>46178.0</v>
      </c>
      <c r="B2050" s="413">
        <v>2026.0</v>
      </c>
      <c r="C2050" s="414" t="s">
        <v>2821</v>
      </c>
      <c r="D2050" s="413" t="s">
        <v>702</v>
      </c>
      <c r="E2050" s="413" t="s">
        <v>465</v>
      </c>
      <c r="F2050" s="413" t="s">
        <v>703</v>
      </c>
      <c r="G2050" s="413" t="s">
        <v>732</v>
      </c>
      <c r="H2050" s="415">
        <v>870.0</v>
      </c>
      <c r="I2050" s="416" t="b">
        <v>0</v>
      </c>
      <c r="J2050" s="413" t="s">
        <v>2211</v>
      </c>
      <c r="K2050" s="415">
        <v>0.0</v>
      </c>
      <c r="L2050" s="415">
        <v>870.0</v>
      </c>
      <c r="M2050" s="413" t="s">
        <v>2276</v>
      </c>
      <c r="N2050" s="413" t="s">
        <v>2889</v>
      </c>
    </row>
    <row r="2051">
      <c r="A2051" s="409">
        <v>46179.0</v>
      </c>
      <c r="B2051" s="102">
        <v>2026.0</v>
      </c>
      <c r="C2051" s="410" t="s">
        <v>2821</v>
      </c>
      <c r="D2051" s="102" t="s">
        <v>710</v>
      </c>
      <c r="E2051" s="102" t="s">
        <v>137</v>
      </c>
      <c r="F2051" s="102" t="s">
        <v>703</v>
      </c>
      <c r="G2051" s="102" t="s">
        <v>732</v>
      </c>
      <c r="H2051" s="360">
        <v>37.0</v>
      </c>
      <c r="I2051" s="411" t="b">
        <v>0</v>
      </c>
      <c r="J2051" s="102" t="s">
        <v>472</v>
      </c>
      <c r="K2051" s="360">
        <v>0.0</v>
      </c>
      <c r="L2051" s="360">
        <v>37.0</v>
      </c>
      <c r="M2051" s="102" t="s">
        <v>2276</v>
      </c>
      <c r="N2051" s="102" t="s">
        <v>2890</v>
      </c>
    </row>
    <row r="2052">
      <c r="A2052" s="412">
        <v>46179.0</v>
      </c>
      <c r="B2052" s="413">
        <v>2026.0</v>
      </c>
      <c r="C2052" s="414" t="s">
        <v>2821</v>
      </c>
      <c r="D2052" s="413" t="s">
        <v>702</v>
      </c>
      <c r="E2052" s="413" t="s">
        <v>465</v>
      </c>
      <c r="F2052" s="413" t="s">
        <v>711</v>
      </c>
      <c r="G2052" s="413" t="s">
        <v>767</v>
      </c>
      <c r="H2052" s="415">
        <v>950.0</v>
      </c>
      <c r="I2052" s="416" t="b">
        <v>0</v>
      </c>
      <c r="J2052" s="413" t="s">
        <v>1967</v>
      </c>
      <c r="K2052" s="415">
        <v>131.03448275862058</v>
      </c>
      <c r="L2052" s="415">
        <v>818.9655172413794</v>
      </c>
      <c r="M2052" s="413" t="s">
        <v>2276</v>
      </c>
      <c r="N2052" s="413" t="s">
        <v>2891</v>
      </c>
    </row>
    <row r="2053">
      <c r="A2053" s="409">
        <v>46179.0</v>
      </c>
      <c r="B2053" s="102">
        <v>2026.0</v>
      </c>
      <c r="C2053" s="410" t="s">
        <v>2821</v>
      </c>
      <c r="D2053" s="102" t="s">
        <v>702</v>
      </c>
      <c r="E2053" s="102" t="s">
        <v>465</v>
      </c>
      <c r="F2053" s="102" t="s">
        <v>711</v>
      </c>
      <c r="G2053" s="102" t="s">
        <v>2696</v>
      </c>
      <c r="H2053" s="360">
        <v>49.0</v>
      </c>
      <c r="I2053" s="411" t="b">
        <v>0</v>
      </c>
      <c r="J2053" s="102" t="s">
        <v>472</v>
      </c>
      <c r="K2053" s="360">
        <v>6.758620689655167</v>
      </c>
      <c r="L2053" s="360">
        <v>42.24137931034483</v>
      </c>
      <c r="M2053" s="102" t="s">
        <v>2276</v>
      </c>
      <c r="N2053" s="102" t="s">
        <v>2892</v>
      </c>
    </row>
    <row r="2054">
      <c r="A2054" s="412">
        <v>46179.0</v>
      </c>
      <c r="B2054" s="413">
        <v>2026.0</v>
      </c>
      <c r="C2054" s="414" t="s">
        <v>2821</v>
      </c>
      <c r="D2054" s="413" t="s">
        <v>702</v>
      </c>
      <c r="E2054" s="413" t="s">
        <v>465</v>
      </c>
      <c r="F2054" s="413" t="s">
        <v>703</v>
      </c>
      <c r="G2054" s="413" t="s">
        <v>2893</v>
      </c>
      <c r="H2054" s="415">
        <v>900.0</v>
      </c>
      <c r="I2054" s="416" t="b">
        <v>0</v>
      </c>
      <c r="J2054" s="413" t="s">
        <v>2894</v>
      </c>
      <c r="K2054" s="415">
        <v>0.0</v>
      </c>
      <c r="L2054" s="415">
        <v>900.0</v>
      </c>
      <c r="M2054" s="413" t="s">
        <v>2276</v>
      </c>
      <c r="N2054" s="413" t="s">
        <v>2895</v>
      </c>
    </row>
    <row r="2055">
      <c r="A2055" s="409">
        <v>46188.0</v>
      </c>
      <c r="B2055" s="102">
        <v>2026.0</v>
      </c>
      <c r="C2055" s="410" t="s">
        <v>2821</v>
      </c>
      <c r="D2055" s="102" t="s">
        <v>702</v>
      </c>
      <c r="E2055" s="102" t="s">
        <v>465</v>
      </c>
      <c r="F2055" s="102" t="s">
        <v>711</v>
      </c>
      <c r="G2055" s="102" t="s">
        <v>767</v>
      </c>
      <c r="H2055" s="360">
        <v>1100.0</v>
      </c>
      <c r="I2055" s="411" t="b">
        <v>0</v>
      </c>
      <c r="J2055" s="102" t="s">
        <v>2632</v>
      </c>
      <c r="K2055" s="360">
        <v>151.72413793103442</v>
      </c>
      <c r="L2055" s="360">
        <v>948.2758620689656</v>
      </c>
      <c r="M2055" s="102" t="s">
        <v>2276</v>
      </c>
      <c r="N2055" s="102" t="s">
        <v>2896</v>
      </c>
    </row>
    <row r="2056">
      <c r="A2056" s="412">
        <v>46188.0</v>
      </c>
      <c r="B2056" s="413">
        <v>2026.0</v>
      </c>
      <c r="C2056" s="414" t="s">
        <v>2821</v>
      </c>
      <c r="D2056" s="413" t="s">
        <v>702</v>
      </c>
      <c r="E2056" s="413" t="s">
        <v>465</v>
      </c>
      <c r="F2056" s="413" t="s">
        <v>711</v>
      </c>
      <c r="G2056" s="413" t="s">
        <v>767</v>
      </c>
      <c r="H2056" s="415">
        <v>950.0</v>
      </c>
      <c r="I2056" s="416" t="b">
        <v>0</v>
      </c>
      <c r="J2056" s="413" t="s">
        <v>1788</v>
      </c>
      <c r="K2056" s="415">
        <v>131.03448275862058</v>
      </c>
      <c r="L2056" s="415">
        <v>818.9655172413794</v>
      </c>
      <c r="M2056" s="413" t="s">
        <v>2276</v>
      </c>
      <c r="N2056" s="413" t="s">
        <v>2897</v>
      </c>
    </row>
    <row r="2057">
      <c r="A2057" s="409">
        <v>46188.0</v>
      </c>
      <c r="B2057" s="102">
        <v>2026.0</v>
      </c>
      <c r="C2057" s="410" t="s">
        <v>2821</v>
      </c>
      <c r="D2057" s="102" t="s">
        <v>710</v>
      </c>
      <c r="E2057" s="102" t="s">
        <v>137</v>
      </c>
      <c r="F2057" s="102" t="s">
        <v>703</v>
      </c>
      <c r="G2057" s="102" t="s">
        <v>724</v>
      </c>
      <c r="H2057" s="360">
        <v>8000.0</v>
      </c>
      <c r="I2057" s="411" t="b">
        <v>1</v>
      </c>
      <c r="J2057" s="102" t="s">
        <v>472</v>
      </c>
      <c r="K2057" s="360">
        <v>0.0</v>
      </c>
      <c r="L2057" s="360">
        <v>0.0</v>
      </c>
      <c r="M2057" s="102" t="s">
        <v>2276</v>
      </c>
      <c r="N2057" s="102" t="s">
        <v>2898</v>
      </c>
    </row>
    <row r="2058">
      <c r="A2058" s="412">
        <v>46188.0</v>
      </c>
      <c r="B2058" s="413">
        <v>2026.0</v>
      </c>
      <c r="C2058" s="414" t="s">
        <v>2821</v>
      </c>
      <c r="D2058" s="413" t="s">
        <v>702</v>
      </c>
      <c r="E2058" s="413" t="s">
        <v>465</v>
      </c>
      <c r="F2058" s="413" t="s">
        <v>711</v>
      </c>
      <c r="G2058" s="413" t="s">
        <v>724</v>
      </c>
      <c r="H2058" s="415">
        <v>8000.0</v>
      </c>
      <c r="I2058" s="416" t="b">
        <v>1</v>
      </c>
      <c r="J2058" s="413" t="s">
        <v>472</v>
      </c>
      <c r="K2058" s="415">
        <v>0.0</v>
      </c>
      <c r="L2058" s="415">
        <v>0.0</v>
      </c>
      <c r="M2058" s="413" t="s">
        <v>2276</v>
      </c>
      <c r="N2058" s="413" t="s">
        <v>2898</v>
      </c>
    </row>
    <row r="2059">
      <c r="A2059" s="409">
        <v>46188.0</v>
      </c>
      <c r="B2059" s="102">
        <v>2026.0</v>
      </c>
      <c r="C2059" s="410" t="s">
        <v>2821</v>
      </c>
      <c r="D2059" s="102" t="s">
        <v>702</v>
      </c>
      <c r="E2059" s="102" t="s">
        <v>465</v>
      </c>
      <c r="F2059" s="102" t="s">
        <v>711</v>
      </c>
      <c r="G2059" s="102" t="s">
        <v>730</v>
      </c>
      <c r="H2059" s="360">
        <v>875.0</v>
      </c>
      <c r="I2059" s="411" t="b">
        <v>0</v>
      </c>
      <c r="J2059" s="102" t="s">
        <v>472</v>
      </c>
      <c r="K2059" s="360">
        <v>120.68965517241372</v>
      </c>
      <c r="L2059" s="360">
        <v>754.3103448275863</v>
      </c>
      <c r="M2059" s="102" t="s">
        <v>2276</v>
      </c>
      <c r="N2059" s="102" t="s">
        <v>2899</v>
      </c>
    </row>
    <row r="2060">
      <c r="A2060" s="412">
        <v>46188.0</v>
      </c>
      <c r="B2060" s="413">
        <v>2026.0</v>
      </c>
      <c r="C2060" s="414" t="s">
        <v>2821</v>
      </c>
      <c r="D2060" s="413" t="s">
        <v>710</v>
      </c>
      <c r="E2060" s="413" t="s">
        <v>137</v>
      </c>
      <c r="F2060" s="413" t="s">
        <v>711</v>
      </c>
      <c r="G2060" s="413" t="s">
        <v>724</v>
      </c>
      <c r="H2060" s="415">
        <v>2332.0</v>
      </c>
      <c r="I2060" s="416" t="b">
        <v>1</v>
      </c>
      <c r="J2060" s="413" t="s">
        <v>472</v>
      </c>
      <c r="K2060" s="415">
        <v>0.0</v>
      </c>
      <c r="L2060" s="415">
        <v>0.0</v>
      </c>
      <c r="M2060" s="413" t="s">
        <v>2276</v>
      </c>
      <c r="N2060" s="413" t="s">
        <v>2900</v>
      </c>
    </row>
    <row r="2061">
      <c r="A2061" s="409">
        <v>46188.0</v>
      </c>
      <c r="B2061" s="102">
        <v>2026.0</v>
      </c>
      <c r="C2061" s="410" t="s">
        <v>2821</v>
      </c>
      <c r="D2061" s="102" t="s">
        <v>702</v>
      </c>
      <c r="E2061" s="102" t="s">
        <v>465</v>
      </c>
      <c r="F2061" s="102" t="s">
        <v>703</v>
      </c>
      <c r="G2061" s="102" t="s">
        <v>724</v>
      </c>
      <c r="H2061" s="360">
        <v>2332.0</v>
      </c>
      <c r="I2061" s="411" t="b">
        <v>1</v>
      </c>
      <c r="J2061" s="102" t="s">
        <v>472</v>
      </c>
      <c r="K2061" s="360">
        <v>0.0</v>
      </c>
      <c r="L2061" s="360">
        <v>0.0</v>
      </c>
      <c r="M2061" s="102" t="s">
        <v>2276</v>
      </c>
      <c r="N2061" s="102" t="s">
        <v>2900</v>
      </c>
    </row>
    <row r="2062">
      <c r="A2062" s="412">
        <v>46188.0</v>
      </c>
      <c r="B2062" s="413">
        <v>2026.0</v>
      </c>
      <c r="C2062" s="414" t="s">
        <v>2821</v>
      </c>
      <c r="D2062" s="413" t="s">
        <v>702</v>
      </c>
      <c r="E2062" s="413" t="s">
        <v>465</v>
      </c>
      <c r="F2062" s="413" t="s">
        <v>703</v>
      </c>
      <c r="G2062" s="413" t="s">
        <v>724</v>
      </c>
      <c r="H2062" s="415">
        <v>500.0</v>
      </c>
      <c r="I2062" s="416" t="b">
        <v>1</v>
      </c>
      <c r="J2062" s="413" t="s">
        <v>472</v>
      </c>
      <c r="K2062" s="415">
        <v>0.0</v>
      </c>
      <c r="L2062" s="415">
        <v>0.0</v>
      </c>
      <c r="M2062" s="413" t="s">
        <v>2276</v>
      </c>
      <c r="N2062" s="413" t="s">
        <v>2901</v>
      </c>
    </row>
    <row r="2063">
      <c r="A2063" s="409">
        <v>46188.0</v>
      </c>
      <c r="B2063" s="102">
        <v>2026.0</v>
      </c>
      <c r="C2063" s="410" t="s">
        <v>2821</v>
      </c>
      <c r="D2063" s="102" t="s">
        <v>710</v>
      </c>
      <c r="E2063" s="102" t="s">
        <v>137</v>
      </c>
      <c r="F2063" s="102" t="s">
        <v>711</v>
      </c>
      <c r="G2063" s="102" t="s">
        <v>724</v>
      </c>
      <c r="H2063" s="360">
        <v>500.0</v>
      </c>
      <c r="I2063" s="411" t="b">
        <v>1</v>
      </c>
      <c r="J2063" s="102" t="s">
        <v>472</v>
      </c>
      <c r="K2063" s="360">
        <v>0.0</v>
      </c>
      <c r="L2063" s="360">
        <v>0.0</v>
      </c>
      <c r="M2063" s="102" t="s">
        <v>2276</v>
      </c>
      <c r="N2063" s="102" t="s">
        <v>2901</v>
      </c>
    </row>
    <row r="2064">
      <c r="A2064" s="412">
        <v>46188.0</v>
      </c>
      <c r="B2064" s="413">
        <v>2026.0</v>
      </c>
      <c r="C2064" s="414" t="s">
        <v>2821</v>
      </c>
      <c r="D2064" s="413" t="s">
        <v>710</v>
      </c>
      <c r="E2064" s="413" t="s">
        <v>137</v>
      </c>
      <c r="F2064" s="413" t="s">
        <v>703</v>
      </c>
      <c r="G2064" s="413" t="s">
        <v>747</v>
      </c>
      <c r="H2064" s="415">
        <v>6500.0</v>
      </c>
      <c r="I2064" s="416" t="b">
        <v>0</v>
      </c>
      <c r="J2064" s="413" t="s">
        <v>472</v>
      </c>
      <c r="K2064" s="415">
        <v>0.0</v>
      </c>
      <c r="L2064" s="415">
        <v>6500.0</v>
      </c>
      <c r="M2064" s="413" t="s">
        <v>2276</v>
      </c>
      <c r="N2064" s="413" t="s">
        <v>2902</v>
      </c>
    </row>
    <row r="2065">
      <c r="A2065" s="409">
        <v>46188.0</v>
      </c>
      <c r="B2065" s="102">
        <v>2026.0</v>
      </c>
      <c r="C2065" s="410" t="s">
        <v>2821</v>
      </c>
      <c r="D2065" s="102" t="s">
        <v>710</v>
      </c>
      <c r="E2065" s="102" t="s">
        <v>137</v>
      </c>
      <c r="F2065" s="102" t="s">
        <v>703</v>
      </c>
      <c r="G2065" s="102" t="s">
        <v>747</v>
      </c>
      <c r="H2065" s="360">
        <v>1000.0</v>
      </c>
      <c r="I2065" s="411" t="b">
        <v>0</v>
      </c>
      <c r="J2065" s="102" t="s">
        <v>2903</v>
      </c>
      <c r="K2065" s="360">
        <v>0.0</v>
      </c>
      <c r="L2065" s="360">
        <v>1000.0</v>
      </c>
      <c r="M2065" s="102" t="s">
        <v>2276</v>
      </c>
      <c r="N2065" s="102" t="s">
        <v>2904</v>
      </c>
    </row>
    <row r="2066">
      <c r="A2066" s="412">
        <v>46188.0</v>
      </c>
      <c r="B2066" s="413">
        <v>2026.0</v>
      </c>
      <c r="C2066" s="414" t="s">
        <v>2821</v>
      </c>
      <c r="D2066" s="413" t="s">
        <v>723</v>
      </c>
      <c r="E2066" s="413" t="s">
        <v>137</v>
      </c>
      <c r="F2066" s="413" t="s">
        <v>711</v>
      </c>
      <c r="G2066" s="413" t="s">
        <v>767</v>
      </c>
      <c r="H2066" s="415">
        <v>1100.0</v>
      </c>
      <c r="I2066" s="416" t="b">
        <v>0</v>
      </c>
      <c r="J2066" s="413" t="s">
        <v>2571</v>
      </c>
      <c r="K2066" s="415">
        <v>0.0</v>
      </c>
      <c r="L2066" s="415">
        <v>1100.0</v>
      </c>
      <c r="M2066" s="413" t="s">
        <v>2276</v>
      </c>
      <c r="N2066" s="413" t="s">
        <v>2905</v>
      </c>
    </row>
    <row r="2067">
      <c r="A2067" s="409">
        <v>46188.0</v>
      </c>
      <c r="B2067" s="102">
        <v>2026.0</v>
      </c>
      <c r="C2067" s="410" t="s">
        <v>2821</v>
      </c>
      <c r="D2067" s="102" t="s">
        <v>723</v>
      </c>
      <c r="E2067" s="102" t="s">
        <v>137</v>
      </c>
      <c r="F2067" s="102" t="s">
        <v>711</v>
      </c>
      <c r="G2067" s="102" t="s">
        <v>732</v>
      </c>
      <c r="H2067" s="360">
        <v>250.0</v>
      </c>
      <c r="I2067" s="411" t="b">
        <v>0</v>
      </c>
      <c r="J2067" s="102" t="s">
        <v>2211</v>
      </c>
      <c r="K2067" s="360">
        <v>0.0</v>
      </c>
      <c r="L2067" s="360">
        <v>250.0</v>
      </c>
      <c r="M2067" s="102" t="s">
        <v>2276</v>
      </c>
      <c r="N2067" s="102" t="s">
        <v>2906</v>
      </c>
    </row>
    <row r="2068">
      <c r="A2068" s="412">
        <v>46188.0</v>
      </c>
      <c r="B2068" s="413">
        <v>2026.0</v>
      </c>
      <c r="C2068" s="414" t="s">
        <v>2821</v>
      </c>
      <c r="D2068" s="413" t="s">
        <v>702</v>
      </c>
      <c r="E2068" s="413" t="s">
        <v>465</v>
      </c>
      <c r="F2068" s="413" t="s">
        <v>711</v>
      </c>
      <c r="G2068" s="413" t="s">
        <v>767</v>
      </c>
      <c r="H2068" s="415">
        <v>1295.0</v>
      </c>
      <c r="I2068" s="416" t="b">
        <v>0</v>
      </c>
      <c r="J2068" s="413" t="s">
        <v>2907</v>
      </c>
      <c r="K2068" s="415">
        <v>178.62068965517233</v>
      </c>
      <c r="L2068" s="415">
        <v>1116.3793103448277</v>
      </c>
      <c r="M2068" s="413" t="s">
        <v>2276</v>
      </c>
      <c r="N2068" s="413" t="s">
        <v>2908</v>
      </c>
    </row>
    <row r="2069">
      <c r="A2069" s="409">
        <v>46188.0</v>
      </c>
      <c r="B2069" s="102">
        <v>2026.0</v>
      </c>
      <c r="C2069" s="410" t="s">
        <v>2821</v>
      </c>
      <c r="D2069" s="102" t="s">
        <v>723</v>
      </c>
      <c r="E2069" s="102" t="s">
        <v>137</v>
      </c>
      <c r="F2069" s="102" t="s">
        <v>711</v>
      </c>
      <c r="G2069" s="102" t="s">
        <v>740</v>
      </c>
      <c r="H2069" s="360">
        <v>40.0</v>
      </c>
      <c r="I2069" s="411" t="b">
        <v>0</v>
      </c>
      <c r="J2069" s="102" t="s">
        <v>472</v>
      </c>
      <c r="K2069" s="360">
        <v>0.0</v>
      </c>
      <c r="L2069" s="360">
        <v>40.0</v>
      </c>
      <c r="M2069" s="102" t="s">
        <v>2276</v>
      </c>
      <c r="N2069" s="102" t="s">
        <v>2909</v>
      </c>
    </row>
    <row r="2070">
      <c r="A2070" s="412">
        <v>46191.0</v>
      </c>
      <c r="B2070" s="413">
        <v>2026.0</v>
      </c>
      <c r="C2070" s="414" t="s">
        <v>2821</v>
      </c>
      <c r="D2070" s="413" t="s">
        <v>702</v>
      </c>
      <c r="E2070" s="413" t="s">
        <v>465</v>
      </c>
      <c r="F2070" s="413" t="s">
        <v>711</v>
      </c>
      <c r="G2070" s="413" t="s">
        <v>767</v>
      </c>
      <c r="H2070" s="415">
        <v>1100.0</v>
      </c>
      <c r="I2070" s="416" t="b">
        <v>0</v>
      </c>
      <c r="J2070" s="413" t="s">
        <v>1246</v>
      </c>
      <c r="K2070" s="415">
        <v>151.72413793103442</v>
      </c>
      <c r="L2070" s="415">
        <v>948.2758620689656</v>
      </c>
      <c r="M2070" s="413" t="s">
        <v>2276</v>
      </c>
      <c r="N2070" s="413" t="s">
        <v>2910</v>
      </c>
    </row>
    <row r="2071">
      <c r="A2071" s="409">
        <v>46191.0</v>
      </c>
      <c r="B2071" s="102">
        <v>2026.0</v>
      </c>
      <c r="C2071" s="410" t="s">
        <v>2821</v>
      </c>
      <c r="D2071" s="102" t="s">
        <v>702</v>
      </c>
      <c r="E2071" s="102" t="s">
        <v>465</v>
      </c>
      <c r="F2071" s="102" t="s">
        <v>711</v>
      </c>
      <c r="G2071" s="102" t="s">
        <v>767</v>
      </c>
      <c r="H2071" s="360">
        <v>1300.0</v>
      </c>
      <c r="I2071" s="411" t="b">
        <v>0</v>
      </c>
      <c r="J2071" s="102" t="s">
        <v>1197</v>
      </c>
      <c r="K2071" s="360">
        <v>179.31034482758605</v>
      </c>
      <c r="L2071" s="360">
        <v>1120.689655172414</v>
      </c>
      <c r="M2071" s="102" t="s">
        <v>2276</v>
      </c>
      <c r="N2071" s="102" t="s">
        <v>2911</v>
      </c>
    </row>
    <row r="2072">
      <c r="A2072" s="412">
        <v>46191.0</v>
      </c>
      <c r="B2072" s="413">
        <v>2026.0</v>
      </c>
      <c r="C2072" s="414" t="s">
        <v>2821</v>
      </c>
      <c r="D2072" s="413" t="s">
        <v>723</v>
      </c>
      <c r="E2072" s="413" t="s">
        <v>137</v>
      </c>
      <c r="F2072" s="413" t="s">
        <v>711</v>
      </c>
      <c r="G2072" s="413" t="s">
        <v>732</v>
      </c>
      <c r="H2072" s="415">
        <v>250.0</v>
      </c>
      <c r="I2072" s="416" t="b">
        <v>0</v>
      </c>
      <c r="J2072" s="413" t="s">
        <v>2211</v>
      </c>
      <c r="K2072" s="415">
        <v>0.0</v>
      </c>
      <c r="L2072" s="415">
        <v>250.0</v>
      </c>
      <c r="M2072" s="413" t="s">
        <v>2276</v>
      </c>
      <c r="N2072" s="413" t="s">
        <v>2912</v>
      </c>
    </row>
    <row r="2073">
      <c r="A2073" s="409">
        <v>46195.0</v>
      </c>
      <c r="B2073" s="102">
        <v>2026.0</v>
      </c>
      <c r="C2073" s="410" t="s">
        <v>2821</v>
      </c>
      <c r="D2073" s="102" t="s">
        <v>702</v>
      </c>
      <c r="E2073" s="102" t="s">
        <v>465</v>
      </c>
      <c r="F2073" s="102" t="s">
        <v>711</v>
      </c>
      <c r="G2073" s="102" t="s">
        <v>767</v>
      </c>
      <c r="H2073" s="360">
        <v>1247.0</v>
      </c>
      <c r="I2073" s="411" t="b">
        <v>0</v>
      </c>
      <c r="J2073" s="102" t="s">
        <v>1164</v>
      </c>
      <c r="K2073" s="360">
        <v>172.0</v>
      </c>
      <c r="L2073" s="360">
        <v>1075.0</v>
      </c>
      <c r="M2073" s="102" t="s">
        <v>2276</v>
      </c>
      <c r="N2073" s="102" t="s">
        <v>2913</v>
      </c>
    </row>
    <row r="2074">
      <c r="A2074" s="412">
        <v>46195.0</v>
      </c>
      <c r="B2074" s="413">
        <v>2026.0</v>
      </c>
      <c r="C2074" s="414" t="s">
        <v>2821</v>
      </c>
      <c r="D2074" s="413" t="s">
        <v>702</v>
      </c>
      <c r="E2074" s="413" t="s">
        <v>465</v>
      </c>
      <c r="F2074" s="413" t="s">
        <v>703</v>
      </c>
      <c r="G2074" s="413" t="s">
        <v>1945</v>
      </c>
      <c r="H2074" s="415">
        <v>576.0</v>
      </c>
      <c r="I2074" s="416" t="b">
        <v>0</v>
      </c>
      <c r="J2074" s="413" t="s">
        <v>472</v>
      </c>
      <c r="K2074" s="415">
        <v>0.0</v>
      </c>
      <c r="L2074" s="415">
        <v>576.0</v>
      </c>
      <c r="M2074" s="413" t="s">
        <v>2276</v>
      </c>
      <c r="N2074" s="413" t="s">
        <v>2914</v>
      </c>
    </row>
    <row r="2075">
      <c r="A2075" s="409">
        <v>46195.0</v>
      </c>
      <c r="B2075" s="102">
        <v>2026.0</v>
      </c>
      <c r="C2075" s="410" t="s">
        <v>2821</v>
      </c>
      <c r="D2075" s="102" t="s">
        <v>702</v>
      </c>
      <c r="E2075" s="102" t="s">
        <v>465</v>
      </c>
      <c r="F2075" s="102" t="s">
        <v>711</v>
      </c>
      <c r="G2075" s="102" t="s">
        <v>732</v>
      </c>
      <c r="H2075" s="360">
        <v>361.0</v>
      </c>
      <c r="I2075" s="411" t="b">
        <v>0</v>
      </c>
      <c r="J2075" s="102" t="s">
        <v>472</v>
      </c>
      <c r="K2075" s="360">
        <v>49.793103448275815</v>
      </c>
      <c r="L2075" s="360">
        <v>311.2068965517242</v>
      </c>
      <c r="M2075" s="102" t="s">
        <v>2276</v>
      </c>
      <c r="N2075" s="102" t="s">
        <v>2915</v>
      </c>
    </row>
    <row r="2076">
      <c r="A2076" s="412">
        <v>46195.0</v>
      </c>
      <c r="B2076" s="413">
        <v>2026.0</v>
      </c>
      <c r="C2076" s="414" t="s">
        <v>2821</v>
      </c>
      <c r="D2076" s="413" t="s">
        <v>702</v>
      </c>
      <c r="E2076" s="413" t="s">
        <v>465</v>
      </c>
      <c r="F2076" s="413" t="s">
        <v>703</v>
      </c>
      <c r="G2076" s="413" t="s">
        <v>906</v>
      </c>
      <c r="H2076" s="415">
        <v>2208.61</v>
      </c>
      <c r="I2076" s="416" t="b">
        <v>0</v>
      </c>
      <c r="J2076" s="413" t="s">
        <v>472</v>
      </c>
      <c r="K2076" s="415">
        <v>0.0</v>
      </c>
      <c r="L2076" s="415">
        <v>2208.61</v>
      </c>
      <c r="M2076" s="413" t="s">
        <v>2276</v>
      </c>
      <c r="N2076" s="413" t="s">
        <v>2916</v>
      </c>
    </row>
    <row r="2077">
      <c r="A2077" s="409">
        <v>46195.0</v>
      </c>
      <c r="B2077" s="102">
        <v>2026.0</v>
      </c>
      <c r="C2077" s="410" t="s">
        <v>2821</v>
      </c>
      <c r="D2077" s="102" t="s">
        <v>710</v>
      </c>
      <c r="E2077" s="102" t="s">
        <v>137</v>
      </c>
      <c r="F2077" s="102" t="s">
        <v>703</v>
      </c>
      <c r="G2077" s="102" t="s">
        <v>906</v>
      </c>
      <c r="H2077" s="360">
        <v>3000.0</v>
      </c>
      <c r="I2077" s="411" t="b">
        <v>0</v>
      </c>
      <c r="J2077" s="102" t="s">
        <v>472</v>
      </c>
      <c r="K2077" s="360">
        <v>0.0</v>
      </c>
      <c r="L2077" s="360">
        <v>3000.0</v>
      </c>
      <c r="M2077" s="102" t="s">
        <v>2276</v>
      </c>
      <c r="N2077" s="102" t="s">
        <v>2917</v>
      </c>
    </row>
    <row r="2078">
      <c r="A2078" s="412">
        <v>46195.0</v>
      </c>
      <c r="B2078" s="413">
        <v>2026.0</v>
      </c>
      <c r="C2078" s="414" t="s">
        <v>2821</v>
      </c>
      <c r="D2078" s="413" t="s">
        <v>702</v>
      </c>
      <c r="E2078" s="413" t="s">
        <v>465</v>
      </c>
      <c r="F2078" s="413" t="s">
        <v>703</v>
      </c>
      <c r="G2078" s="413" t="s">
        <v>732</v>
      </c>
      <c r="H2078" s="415">
        <v>278.0</v>
      </c>
      <c r="I2078" s="416" t="b">
        <v>0</v>
      </c>
      <c r="J2078" s="413" t="s">
        <v>602</v>
      </c>
      <c r="K2078" s="415">
        <v>0.0</v>
      </c>
      <c r="L2078" s="415">
        <v>278.0</v>
      </c>
      <c r="M2078" s="413" t="s">
        <v>2276</v>
      </c>
      <c r="N2078" s="413" t="s">
        <v>2918</v>
      </c>
    </row>
    <row r="2079">
      <c r="A2079" s="409">
        <v>46195.0</v>
      </c>
      <c r="B2079" s="102">
        <v>2026.0</v>
      </c>
      <c r="C2079" s="410" t="s">
        <v>2821</v>
      </c>
      <c r="D2079" s="102" t="s">
        <v>723</v>
      </c>
      <c r="E2079" s="102" t="s">
        <v>137</v>
      </c>
      <c r="F2079" s="102" t="s">
        <v>703</v>
      </c>
      <c r="G2079" s="102" t="s">
        <v>732</v>
      </c>
      <c r="H2079" s="360">
        <v>209.0</v>
      </c>
      <c r="I2079" s="411" t="b">
        <v>0</v>
      </c>
      <c r="J2079" s="102" t="s">
        <v>472</v>
      </c>
      <c r="K2079" s="360">
        <v>0.0</v>
      </c>
      <c r="L2079" s="360">
        <v>209.0</v>
      </c>
      <c r="M2079" s="102" t="s">
        <v>2276</v>
      </c>
      <c r="N2079" s="102" t="s">
        <v>2919</v>
      </c>
    </row>
    <row r="2080">
      <c r="A2080" s="412">
        <v>46195.0</v>
      </c>
      <c r="B2080" s="413">
        <v>2026.0</v>
      </c>
      <c r="C2080" s="414" t="s">
        <v>2821</v>
      </c>
      <c r="D2080" s="413" t="s">
        <v>723</v>
      </c>
      <c r="E2080" s="413" t="s">
        <v>137</v>
      </c>
      <c r="F2080" s="413" t="s">
        <v>711</v>
      </c>
      <c r="G2080" s="413" t="s">
        <v>737</v>
      </c>
      <c r="H2080" s="415">
        <v>275.0</v>
      </c>
      <c r="I2080" s="416" t="b">
        <v>0</v>
      </c>
      <c r="J2080" s="413" t="s">
        <v>2869</v>
      </c>
      <c r="K2080" s="415">
        <v>0.0</v>
      </c>
      <c r="L2080" s="415">
        <v>275.0</v>
      </c>
      <c r="M2080" s="413" t="s">
        <v>2276</v>
      </c>
      <c r="N2080" s="413" t="s">
        <v>2920</v>
      </c>
    </row>
    <row r="2081">
      <c r="A2081" s="409">
        <v>46195.0</v>
      </c>
      <c r="B2081" s="102">
        <v>2026.0</v>
      </c>
      <c r="C2081" s="410" t="s">
        <v>2821</v>
      </c>
      <c r="D2081" s="102" t="s">
        <v>723</v>
      </c>
      <c r="E2081" s="102" t="s">
        <v>137</v>
      </c>
      <c r="F2081" s="102" t="s">
        <v>703</v>
      </c>
      <c r="G2081" s="102" t="s">
        <v>724</v>
      </c>
      <c r="H2081" s="360">
        <v>1600.0</v>
      </c>
      <c r="I2081" s="411" t="b">
        <v>1</v>
      </c>
      <c r="J2081" s="102" t="s">
        <v>472</v>
      </c>
      <c r="K2081" s="360">
        <v>0.0</v>
      </c>
      <c r="L2081" s="360">
        <v>0.0</v>
      </c>
      <c r="M2081" s="102" t="s">
        <v>2276</v>
      </c>
      <c r="N2081" s="102" t="s">
        <v>2921</v>
      </c>
    </row>
    <row r="2082">
      <c r="A2082" s="412">
        <v>46195.0</v>
      </c>
      <c r="B2082" s="413">
        <v>2026.0</v>
      </c>
      <c r="C2082" s="414" t="s">
        <v>2821</v>
      </c>
      <c r="D2082" s="413" t="s">
        <v>710</v>
      </c>
      <c r="E2082" s="413" t="s">
        <v>137</v>
      </c>
      <c r="F2082" s="413" t="s">
        <v>711</v>
      </c>
      <c r="G2082" s="413" t="s">
        <v>724</v>
      </c>
      <c r="H2082" s="415">
        <v>1600.0</v>
      </c>
      <c r="I2082" s="416" t="b">
        <v>1</v>
      </c>
      <c r="J2082" s="413" t="s">
        <v>472</v>
      </c>
      <c r="K2082" s="415">
        <v>0.0</v>
      </c>
      <c r="L2082" s="415">
        <v>0.0</v>
      </c>
      <c r="M2082" s="413" t="s">
        <v>2276</v>
      </c>
      <c r="N2082" s="413" t="s">
        <v>2921</v>
      </c>
    </row>
    <row r="2083">
      <c r="A2083" s="409">
        <v>46198.0</v>
      </c>
      <c r="B2083" s="102">
        <v>2026.0</v>
      </c>
      <c r="C2083" s="410" t="s">
        <v>2821</v>
      </c>
      <c r="D2083" s="102" t="s">
        <v>723</v>
      </c>
      <c r="E2083" s="102" t="s">
        <v>137</v>
      </c>
      <c r="F2083" s="102" t="s">
        <v>711</v>
      </c>
      <c r="G2083" s="102" t="s">
        <v>767</v>
      </c>
      <c r="H2083" s="360">
        <v>350.0</v>
      </c>
      <c r="I2083" s="411" t="b">
        <v>0</v>
      </c>
      <c r="J2083" s="102" t="s">
        <v>2922</v>
      </c>
      <c r="K2083" s="360">
        <v>0.0</v>
      </c>
      <c r="L2083" s="360">
        <v>350.0</v>
      </c>
      <c r="M2083" s="102" t="s">
        <v>2276</v>
      </c>
      <c r="N2083" s="102" t="s">
        <v>2923</v>
      </c>
    </row>
    <row r="2084">
      <c r="A2084" s="412">
        <v>46198.0</v>
      </c>
      <c r="B2084" s="413">
        <v>2026.0</v>
      </c>
      <c r="C2084" s="414" t="s">
        <v>2821</v>
      </c>
      <c r="D2084" s="413" t="s">
        <v>723</v>
      </c>
      <c r="E2084" s="413" t="s">
        <v>137</v>
      </c>
      <c r="F2084" s="413" t="s">
        <v>703</v>
      </c>
      <c r="G2084" s="413" t="s">
        <v>740</v>
      </c>
      <c r="H2084" s="415">
        <v>250.0</v>
      </c>
      <c r="I2084" s="416" t="b">
        <v>0</v>
      </c>
      <c r="J2084" s="413" t="s">
        <v>472</v>
      </c>
      <c r="K2084" s="415">
        <v>0.0</v>
      </c>
      <c r="L2084" s="415">
        <v>250.0</v>
      </c>
      <c r="M2084" s="413" t="s">
        <v>2276</v>
      </c>
      <c r="N2084" s="413" t="s">
        <v>2924</v>
      </c>
    </row>
    <row r="2085">
      <c r="A2085" s="409">
        <v>46198.0</v>
      </c>
      <c r="B2085" s="102">
        <v>2026.0</v>
      </c>
      <c r="C2085" s="410" t="s">
        <v>2821</v>
      </c>
      <c r="D2085" s="102" t="s">
        <v>723</v>
      </c>
      <c r="E2085" s="102" t="s">
        <v>137</v>
      </c>
      <c r="F2085" s="102" t="s">
        <v>703</v>
      </c>
      <c r="G2085" s="102" t="s">
        <v>732</v>
      </c>
      <c r="H2085" s="360">
        <v>110.0</v>
      </c>
      <c r="I2085" s="411" t="b">
        <v>0</v>
      </c>
      <c r="J2085" s="102" t="s">
        <v>472</v>
      </c>
      <c r="K2085" s="360">
        <v>0.0</v>
      </c>
      <c r="L2085" s="360">
        <v>110.0</v>
      </c>
      <c r="M2085" s="102" t="s">
        <v>2276</v>
      </c>
      <c r="N2085" s="102" t="s">
        <v>2925</v>
      </c>
    </row>
    <row r="2086">
      <c r="A2086" s="412">
        <v>46198.0</v>
      </c>
      <c r="B2086" s="413">
        <v>2026.0</v>
      </c>
      <c r="C2086" s="414" t="s">
        <v>2821</v>
      </c>
      <c r="D2086" s="413" t="s">
        <v>723</v>
      </c>
      <c r="E2086" s="413" t="s">
        <v>137</v>
      </c>
      <c r="F2086" s="413" t="s">
        <v>711</v>
      </c>
      <c r="G2086" s="413" t="s">
        <v>732</v>
      </c>
      <c r="H2086" s="415">
        <v>160.0</v>
      </c>
      <c r="I2086" s="416" t="b">
        <v>0</v>
      </c>
      <c r="J2086" s="413" t="s">
        <v>2211</v>
      </c>
      <c r="K2086" s="415">
        <v>0.0</v>
      </c>
      <c r="L2086" s="415">
        <v>160.0</v>
      </c>
      <c r="M2086" s="413" t="s">
        <v>2276</v>
      </c>
      <c r="N2086" s="413" t="s">
        <v>2926</v>
      </c>
    </row>
    <row r="2087">
      <c r="A2087" s="409">
        <v>46198.0</v>
      </c>
      <c r="B2087" s="102">
        <v>2026.0</v>
      </c>
      <c r="C2087" s="410" t="s">
        <v>2821</v>
      </c>
      <c r="D2087" s="102" t="s">
        <v>723</v>
      </c>
      <c r="E2087" s="102" t="s">
        <v>137</v>
      </c>
      <c r="F2087" s="102" t="s">
        <v>703</v>
      </c>
      <c r="G2087" s="102" t="s">
        <v>732</v>
      </c>
      <c r="H2087" s="360">
        <v>60.0</v>
      </c>
      <c r="I2087" s="411" t="b">
        <v>0</v>
      </c>
      <c r="J2087" s="102" t="s">
        <v>2927</v>
      </c>
      <c r="K2087" s="360">
        <v>0.0</v>
      </c>
      <c r="L2087" s="360">
        <v>60.0</v>
      </c>
      <c r="M2087" s="102" t="s">
        <v>2276</v>
      </c>
      <c r="N2087" s="102" t="s">
        <v>2928</v>
      </c>
    </row>
    <row r="2088">
      <c r="A2088" s="412">
        <v>46200.0</v>
      </c>
      <c r="B2088" s="413">
        <v>2026.0</v>
      </c>
      <c r="C2088" s="414" t="s">
        <v>2821</v>
      </c>
      <c r="D2088" s="413" t="s">
        <v>723</v>
      </c>
      <c r="E2088" s="413" t="s">
        <v>137</v>
      </c>
      <c r="F2088" s="413" t="s">
        <v>711</v>
      </c>
      <c r="G2088" s="413" t="s">
        <v>767</v>
      </c>
      <c r="H2088" s="415">
        <v>350.0</v>
      </c>
      <c r="I2088" s="416" t="b">
        <v>0</v>
      </c>
      <c r="J2088" s="413" t="s">
        <v>2922</v>
      </c>
      <c r="K2088" s="415">
        <v>0.0</v>
      </c>
      <c r="L2088" s="415">
        <v>350.0</v>
      </c>
      <c r="M2088" s="413" t="s">
        <v>2276</v>
      </c>
      <c r="N2088" s="413" t="s">
        <v>2929</v>
      </c>
    </row>
    <row r="2089">
      <c r="A2089" s="409">
        <v>46200.0</v>
      </c>
      <c r="B2089" s="102">
        <v>2026.0</v>
      </c>
      <c r="C2089" s="410" t="s">
        <v>2821</v>
      </c>
      <c r="D2089" s="102" t="s">
        <v>723</v>
      </c>
      <c r="E2089" s="102" t="s">
        <v>137</v>
      </c>
      <c r="F2089" s="102" t="s">
        <v>711</v>
      </c>
      <c r="G2089" s="102" t="s">
        <v>740</v>
      </c>
      <c r="H2089" s="360">
        <v>86.0</v>
      </c>
      <c r="I2089" s="411" t="b">
        <v>0</v>
      </c>
      <c r="J2089" s="102" t="s">
        <v>472</v>
      </c>
      <c r="K2089" s="360">
        <v>0.0</v>
      </c>
      <c r="L2089" s="360">
        <v>86.0</v>
      </c>
      <c r="M2089" s="102" t="s">
        <v>2276</v>
      </c>
      <c r="N2089" s="102" t="s">
        <v>2930</v>
      </c>
    </row>
    <row r="2090">
      <c r="A2090" s="412">
        <v>46200.0</v>
      </c>
      <c r="B2090" s="413">
        <v>2026.0</v>
      </c>
      <c r="C2090" s="414" t="s">
        <v>2821</v>
      </c>
      <c r="D2090" s="413" t="s">
        <v>723</v>
      </c>
      <c r="E2090" s="413" t="s">
        <v>137</v>
      </c>
      <c r="F2090" s="413" t="s">
        <v>703</v>
      </c>
      <c r="G2090" s="413" t="s">
        <v>724</v>
      </c>
      <c r="H2090" s="415">
        <v>1932.0</v>
      </c>
      <c r="I2090" s="416" t="b">
        <v>1</v>
      </c>
      <c r="J2090" s="413" t="s">
        <v>472</v>
      </c>
      <c r="K2090" s="415">
        <v>0.0</v>
      </c>
      <c r="L2090" s="415">
        <v>0.0</v>
      </c>
      <c r="M2090" s="413" t="s">
        <v>2276</v>
      </c>
      <c r="N2090" s="413" t="s">
        <v>2931</v>
      </c>
    </row>
    <row r="2091">
      <c r="A2091" s="409">
        <v>46200.0</v>
      </c>
      <c r="B2091" s="102">
        <v>2026.0</v>
      </c>
      <c r="C2091" s="410" t="s">
        <v>2821</v>
      </c>
      <c r="D2091" s="102" t="s">
        <v>710</v>
      </c>
      <c r="E2091" s="102" t="s">
        <v>137</v>
      </c>
      <c r="F2091" s="102" t="s">
        <v>711</v>
      </c>
      <c r="G2091" s="102" t="s">
        <v>724</v>
      </c>
      <c r="H2091" s="360">
        <v>1932.0</v>
      </c>
      <c r="I2091" s="411" t="b">
        <v>1</v>
      </c>
      <c r="J2091" s="102" t="s">
        <v>472</v>
      </c>
      <c r="K2091" s="360">
        <v>0.0</v>
      </c>
      <c r="L2091" s="360">
        <v>0.0</v>
      </c>
      <c r="M2091" s="102" t="s">
        <v>2276</v>
      </c>
      <c r="N2091" s="102" t="s">
        <v>2931</v>
      </c>
    </row>
    <row r="2092">
      <c r="A2092" s="412">
        <v>46200.0</v>
      </c>
      <c r="B2092" s="413">
        <v>2026.0</v>
      </c>
      <c r="C2092" s="414" t="s">
        <v>2821</v>
      </c>
      <c r="D2092" s="413" t="s">
        <v>710</v>
      </c>
      <c r="E2092" s="413" t="s">
        <v>137</v>
      </c>
      <c r="F2092" s="413" t="s">
        <v>703</v>
      </c>
      <c r="G2092" s="413" t="s">
        <v>732</v>
      </c>
      <c r="H2092" s="415">
        <v>50.0</v>
      </c>
      <c r="I2092" s="416" t="b">
        <v>0</v>
      </c>
      <c r="J2092" s="413" t="s">
        <v>2932</v>
      </c>
      <c r="K2092" s="415">
        <v>0.0</v>
      </c>
      <c r="L2092" s="415">
        <v>50.0</v>
      </c>
      <c r="M2092" s="413" t="s">
        <v>2276</v>
      </c>
      <c r="N2092" s="413" t="s">
        <v>2933</v>
      </c>
    </row>
    <row r="2093">
      <c r="A2093" s="409">
        <v>46201.0</v>
      </c>
      <c r="B2093" s="102">
        <v>2026.0</v>
      </c>
      <c r="C2093" s="410" t="s">
        <v>2821</v>
      </c>
      <c r="D2093" s="102" t="s">
        <v>710</v>
      </c>
      <c r="E2093" s="102" t="s">
        <v>137</v>
      </c>
      <c r="F2093" s="102" t="s">
        <v>711</v>
      </c>
      <c r="G2093" s="102" t="s">
        <v>740</v>
      </c>
      <c r="H2093" s="360">
        <v>32.0</v>
      </c>
      <c r="I2093" s="411" t="b">
        <v>0</v>
      </c>
      <c r="J2093" s="102" t="s">
        <v>472</v>
      </c>
      <c r="K2093" s="360">
        <v>0.0</v>
      </c>
      <c r="L2093" s="360">
        <v>32.0</v>
      </c>
      <c r="M2093" s="102" t="s">
        <v>2276</v>
      </c>
      <c r="N2093" s="102" t="s">
        <v>2934</v>
      </c>
    </row>
    <row r="2094">
      <c r="A2094" s="412">
        <v>46202.0</v>
      </c>
      <c r="B2094" s="413">
        <v>2026.0</v>
      </c>
      <c r="C2094" s="414" t="s">
        <v>2821</v>
      </c>
      <c r="D2094" s="413" t="s">
        <v>702</v>
      </c>
      <c r="E2094" s="413" t="s">
        <v>465</v>
      </c>
      <c r="F2094" s="413" t="s">
        <v>711</v>
      </c>
      <c r="G2094" s="413" t="s">
        <v>734</v>
      </c>
      <c r="H2094" s="415">
        <v>280.0</v>
      </c>
      <c r="I2094" s="416" t="b">
        <v>0</v>
      </c>
      <c r="J2094" s="413" t="s">
        <v>2681</v>
      </c>
      <c r="K2094" s="415">
        <v>38.620689655172384</v>
      </c>
      <c r="L2094" s="415">
        <v>241.37931034482762</v>
      </c>
      <c r="M2094" s="413" t="s">
        <v>2276</v>
      </c>
      <c r="N2094" s="413" t="s">
        <v>2935</v>
      </c>
    </row>
    <row r="2095">
      <c r="A2095" s="409">
        <v>46202.0</v>
      </c>
      <c r="B2095" s="102">
        <v>2026.0</v>
      </c>
      <c r="C2095" s="410" t="s">
        <v>2821</v>
      </c>
      <c r="D2095" s="102" t="s">
        <v>723</v>
      </c>
      <c r="E2095" s="102" t="s">
        <v>137</v>
      </c>
      <c r="F2095" s="102" t="s">
        <v>711</v>
      </c>
      <c r="G2095" s="102" t="s">
        <v>740</v>
      </c>
      <c r="H2095" s="360">
        <v>30.0</v>
      </c>
      <c r="I2095" s="411" t="b">
        <v>0</v>
      </c>
      <c r="J2095" s="102" t="s">
        <v>472</v>
      </c>
      <c r="K2095" s="360">
        <v>0.0</v>
      </c>
      <c r="L2095" s="360">
        <v>30.0</v>
      </c>
      <c r="M2095" s="102" t="s">
        <v>2276</v>
      </c>
      <c r="N2095" s="102" t="s">
        <v>2936</v>
      </c>
    </row>
    <row r="2096">
      <c r="A2096" s="412">
        <v>46203.0</v>
      </c>
      <c r="B2096" s="413">
        <v>2026.0</v>
      </c>
      <c r="C2096" s="414" t="s">
        <v>2821</v>
      </c>
      <c r="D2096" s="413" t="s">
        <v>723</v>
      </c>
      <c r="E2096" s="413" t="s">
        <v>137</v>
      </c>
      <c r="F2096" s="413" t="s">
        <v>711</v>
      </c>
      <c r="G2096" s="413" t="s">
        <v>767</v>
      </c>
      <c r="H2096" s="415">
        <v>950.0</v>
      </c>
      <c r="I2096" s="416" t="b">
        <v>0</v>
      </c>
      <c r="J2096" s="413" t="s">
        <v>1224</v>
      </c>
      <c r="K2096" s="415">
        <v>0.0</v>
      </c>
      <c r="L2096" s="415">
        <v>950.0</v>
      </c>
      <c r="M2096" s="413" t="s">
        <v>2276</v>
      </c>
      <c r="N2096" s="413" t="s">
        <v>2937</v>
      </c>
    </row>
    <row r="2097">
      <c r="A2097" s="409">
        <v>46203.0</v>
      </c>
      <c r="B2097" s="102">
        <v>2026.0</v>
      </c>
      <c r="C2097" s="410" t="s">
        <v>2821</v>
      </c>
      <c r="D2097" s="102" t="s">
        <v>723</v>
      </c>
      <c r="E2097" s="102" t="s">
        <v>137</v>
      </c>
      <c r="F2097" s="102" t="s">
        <v>711</v>
      </c>
      <c r="G2097" s="102" t="s">
        <v>767</v>
      </c>
      <c r="H2097" s="360">
        <v>950.0</v>
      </c>
      <c r="I2097" s="411" t="b">
        <v>0</v>
      </c>
      <c r="J2097" s="102" t="s">
        <v>2643</v>
      </c>
      <c r="K2097" s="360">
        <v>0.0</v>
      </c>
      <c r="L2097" s="360">
        <v>950.0</v>
      </c>
      <c r="M2097" s="102" t="s">
        <v>2276</v>
      </c>
      <c r="N2097" s="102" t="s">
        <v>2938</v>
      </c>
    </row>
    <row r="2098">
      <c r="A2098" s="412">
        <v>46203.0</v>
      </c>
      <c r="B2098" s="413">
        <v>2026.0</v>
      </c>
      <c r="C2098" s="414" t="s">
        <v>2821</v>
      </c>
      <c r="D2098" s="413" t="s">
        <v>723</v>
      </c>
      <c r="E2098" s="413" t="s">
        <v>137</v>
      </c>
      <c r="F2098" s="413" t="s">
        <v>711</v>
      </c>
      <c r="G2098" s="413" t="s">
        <v>740</v>
      </c>
      <c r="H2098" s="415">
        <v>10.0</v>
      </c>
      <c r="I2098" s="416" t="b">
        <v>0</v>
      </c>
      <c r="J2098" s="413" t="s">
        <v>472</v>
      </c>
      <c r="K2098" s="415">
        <v>0.0</v>
      </c>
      <c r="L2098" s="415">
        <v>10.0</v>
      </c>
      <c r="M2098" s="413" t="s">
        <v>2276</v>
      </c>
      <c r="N2098" s="413" t="s">
        <v>2939</v>
      </c>
    </row>
    <row r="2099">
      <c r="A2099" s="409">
        <v>46203.0</v>
      </c>
      <c r="B2099" s="102">
        <v>2026.0</v>
      </c>
      <c r="C2099" s="410" t="s">
        <v>2821</v>
      </c>
      <c r="D2099" s="102" t="s">
        <v>710</v>
      </c>
      <c r="E2099" s="102" t="s">
        <v>137</v>
      </c>
      <c r="F2099" s="102" t="s">
        <v>703</v>
      </c>
      <c r="G2099" s="102" t="s">
        <v>747</v>
      </c>
      <c r="H2099" s="360">
        <v>6500.0</v>
      </c>
      <c r="I2099" s="411" t="b">
        <v>0</v>
      </c>
      <c r="J2099" s="102" t="s">
        <v>472</v>
      </c>
      <c r="K2099" s="360">
        <v>0.0</v>
      </c>
      <c r="L2099" s="360">
        <v>6500.0</v>
      </c>
      <c r="M2099" s="102" t="s">
        <v>2276</v>
      </c>
      <c r="N2099" s="102" t="s">
        <v>2940</v>
      </c>
    </row>
    <row r="2100">
      <c r="A2100" s="412">
        <v>46203.0</v>
      </c>
      <c r="B2100" s="413">
        <v>2026.0</v>
      </c>
      <c r="C2100" s="414" t="s">
        <v>2821</v>
      </c>
      <c r="D2100" s="413" t="s">
        <v>710</v>
      </c>
      <c r="E2100" s="413" t="s">
        <v>137</v>
      </c>
      <c r="F2100" s="413" t="s">
        <v>703</v>
      </c>
      <c r="G2100" s="413" t="s">
        <v>1657</v>
      </c>
      <c r="H2100" s="415">
        <v>1500.0</v>
      </c>
      <c r="I2100" s="416" t="b">
        <v>0</v>
      </c>
      <c r="J2100" s="413" t="s">
        <v>472</v>
      </c>
      <c r="K2100" s="415">
        <v>0.0</v>
      </c>
      <c r="L2100" s="415">
        <v>1500.0</v>
      </c>
      <c r="M2100" s="413" t="s">
        <v>2276</v>
      </c>
      <c r="N2100" s="413" t="s">
        <v>2941</v>
      </c>
    </row>
    <row r="2101">
      <c r="A2101" s="409">
        <v>46203.0</v>
      </c>
      <c r="B2101" s="102">
        <v>2026.0</v>
      </c>
      <c r="C2101" s="410" t="s">
        <v>2821</v>
      </c>
      <c r="D2101" s="102" t="s">
        <v>702</v>
      </c>
      <c r="E2101" s="102" t="s">
        <v>465</v>
      </c>
      <c r="F2101" s="102" t="s">
        <v>703</v>
      </c>
      <c r="G2101" s="102" t="s">
        <v>2352</v>
      </c>
      <c r="H2101" s="360">
        <v>1903.0</v>
      </c>
      <c r="I2101" s="411" t="b">
        <v>0</v>
      </c>
      <c r="J2101" s="102" t="s">
        <v>472</v>
      </c>
      <c r="K2101" s="360">
        <v>0.0</v>
      </c>
      <c r="L2101" s="360">
        <v>1903.0</v>
      </c>
      <c r="M2101" s="102" t="s">
        <v>2276</v>
      </c>
      <c r="N2101" s="102" t="s">
        <v>2942</v>
      </c>
    </row>
    <row r="2102">
      <c r="A2102" s="412">
        <v>46203.0</v>
      </c>
      <c r="B2102" s="413">
        <v>2026.0</v>
      </c>
      <c r="C2102" s="414" t="s">
        <v>2821</v>
      </c>
      <c r="D2102" s="413" t="s">
        <v>702</v>
      </c>
      <c r="E2102" s="413" t="s">
        <v>465</v>
      </c>
      <c r="F2102" s="413" t="s">
        <v>703</v>
      </c>
      <c r="G2102" s="413" t="s">
        <v>747</v>
      </c>
      <c r="H2102" s="415">
        <v>696.0</v>
      </c>
      <c r="I2102" s="416" t="b">
        <v>0</v>
      </c>
      <c r="J2102" s="413" t="s">
        <v>472</v>
      </c>
      <c r="K2102" s="415">
        <v>0.0</v>
      </c>
      <c r="L2102" s="415">
        <v>696.0</v>
      </c>
      <c r="M2102" s="413" t="s">
        <v>2276</v>
      </c>
      <c r="N2102" s="413" t="s">
        <v>2942</v>
      </c>
    </row>
    <row r="2103">
      <c r="A2103" s="409">
        <v>46203.0</v>
      </c>
      <c r="B2103" s="102">
        <v>2026.0</v>
      </c>
      <c r="C2103" s="410" t="s">
        <v>2821</v>
      </c>
      <c r="D2103" s="102" t="s">
        <v>702</v>
      </c>
      <c r="E2103" s="102" t="s">
        <v>465</v>
      </c>
      <c r="F2103" s="102" t="s">
        <v>711</v>
      </c>
      <c r="G2103" s="102" t="s">
        <v>767</v>
      </c>
      <c r="H2103" s="360">
        <v>700.0</v>
      </c>
      <c r="I2103" s="411" t="b">
        <v>0</v>
      </c>
      <c r="J2103" s="102" t="s">
        <v>2547</v>
      </c>
      <c r="K2103" s="360">
        <v>96.55172413793105</v>
      </c>
      <c r="L2103" s="360">
        <v>603.448275862069</v>
      </c>
      <c r="M2103" s="102" t="s">
        <v>2276</v>
      </c>
      <c r="N2103" s="102" t="s">
        <v>2943</v>
      </c>
    </row>
    <row r="2104">
      <c r="A2104" s="412">
        <v>46203.0</v>
      </c>
      <c r="B2104" s="413">
        <v>2026.0</v>
      </c>
      <c r="C2104" s="414" t="s">
        <v>2821</v>
      </c>
      <c r="D2104" s="413" t="s">
        <v>702</v>
      </c>
      <c r="E2104" s="413" t="s">
        <v>465</v>
      </c>
      <c r="F2104" s="413" t="s">
        <v>711</v>
      </c>
      <c r="G2104" s="413" t="s">
        <v>767</v>
      </c>
      <c r="H2104" s="415">
        <v>911.0</v>
      </c>
      <c r="I2104" s="416" t="b">
        <v>0</v>
      </c>
      <c r="J2104" s="413" t="s">
        <v>2038</v>
      </c>
      <c r="K2104" s="415">
        <v>125.65517241379303</v>
      </c>
      <c r="L2104" s="415">
        <v>785.344827586207</v>
      </c>
      <c r="M2104" s="413" t="s">
        <v>2276</v>
      </c>
      <c r="N2104" s="413" t="s">
        <v>2944</v>
      </c>
    </row>
    <row r="2105">
      <c r="A2105" s="409">
        <v>46203.0</v>
      </c>
      <c r="B2105" s="102">
        <v>2026.0</v>
      </c>
      <c r="C2105" s="410" t="s">
        <v>2821</v>
      </c>
      <c r="D2105" s="102" t="s">
        <v>702</v>
      </c>
      <c r="E2105" s="102" t="s">
        <v>465</v>
      </c>
      <c r="F2105" s="102" t="s">
        <v>711</v>
      </c>
      <c r="G2105" s="102" t="s">
        <v>767</v>
      </c>
      <c r="H2105" s="360">
        <v>911.0</v>
      </c>
      <c r="I2105" s="411" t="b">
        <v>0</v>
      </c>
      <c r="J2105" s="102" t="s">
        <v>1274</v>
      </c>
      <c r="K2105" s="360">
        <v>125.65517241379303</v>
      </c>
      <c r="L2105" s="360">
        <v>785.344827586207</v>
      </c>
      <c r="M2105" s="102" t="s">
        <v>2276</v>
      </c>
      <c r="N2105" s="102" t="s">
        <v>2945</v>
      </c>
    </row>
    <row r="2106">
      <c r="A2106" s="412">
        <v>46203.0</v>
      </c>
      <c r="B2106" s="413">
        <v>2026.0</v>
      </c>
      <c r="C2106" s="414" t="s">
        <v>2821</v>
      </c>
      <c r="D2106" s="413" t="s">
        <v>723</v>
      </c>
      <c r="E2106" s="413" t="s">
        <v>137</v>
      </c>
      <c r="F2106" s="413" t="s">
        <v>711</v>
      </c>
      <c r="G2106" s="413" t="s">
        <v>767</v>
      </c>
      <c r="H2106" s="415">
        <v>200.0</v>
      </c>
      <c r="I2106" s="416" t="b">
        <v>0</v>
      </c>
      <c r="J2106" s="413" t="s">
        <v>1237</v>
      </c>
      <c r="K2106" s="415">
        <v>0.0</v>
      </c>
      <c r="L2106" s="415">
        <v>200.0</v>
      </c>
      <c r="M2106" s="413" t="s">
        <v>2276</v>
      </c>
      <c r="N2106" s="413" t="s">
        <v>2946</v>
      </c>
    </row>
    <row r="2107">
      <c r="A2107" s="409">
        <v>46203.0</v>
      </c>
      <c r="B2107" s="102">
        <v>2026.0</v>
      </c>
      <c r="C2107" s="410" t="s">
        <v>2821</v>
      </c>
      <c r="D2107" s="102" t="s">
        <v>702</v>
      </c>
      <c r="E2107" s="102" t="s">
        <v>465</v>
      </c>
      <c r="F2107" s="102" t="s">
        <v>711</v>
      </c>
      <c r="G2107" s="102" t="s">
        <v>767</v>
      </c>
      <c r="H2107" s="360">
        <v>750.0</v>
      </c>
      <c r="I2107" s="411" t="b">
        <v>0</v>
      </c>
      <c r="J2107" s="102" t="s">
        <v>1237</v>
      </c>
      <c r="K2107" s="360">
        <v>103.44827586206895</v>
      </c>
      <c r="L2107" s="360">
        <v>646.551724137931</v>
      </c>
      <c r="M2107" s="102" t="s">
        <v>2276</v>
      </c>
      <c r="N2107" s="102" t="s">
        <v>2947</v>
      </c>
    </row>
    <row r="2108">
      <c r="A2108" s="412">
        <v>46205.0</v>
      </c>
      <c r="B2108" s="413">
        <v>2026.0</v>
      </c>
      <c r="C2108" s="414" t="s">
        <v>2948</v>
      </c>
      <c r="D2108" s="413" t="s">
        <v>723</v>
      </c>
      <c r="E2108" s="413" t="s">
        <v>137</v>
      </c>
      <c r="F2108" s="413" t="s">
        <v>711</v>
      </c>
      <c r="G2108" s="413" t="s">
        <v>767</v>
      </c>
      <c r="H2108" s="415">
        <v>950.0</v>
      </c>
      <c r="I2108" s="416" t="b">
        <v>0</v>
      </c>
      <c r="J2108" s="413" t="s">
        <v>2758</v>
      </c>
      <c r="K2108" s="415">
        <v>0.0</v>
      </c>
      <c r="L2108" s="415">
        <v>950.0</v>
      </c>
      <c r="M2108" s="413" t="s">
        <v>2276</v>
      </c>
      <c r="N2108" s="413" t="s">
        <v>2949</v>
      </c>
    </row>
    <row r="2109">
      <c r="A2109" s="409">
        <v>46205.0</v>
      </c>
      <c r="B2109" s="102">
        <v>2026.0</v>
      </c>
      <c r="C2109" s="410" t="s">
        <v>2948</v>
      </c>
      <c r="D2109" s="102" t="s">
        <v>702</v>
      </c>
      <c r="E2109" s="102" t="s">
        <v>465</v>
      </c>
      <c r="F2109" s="102" t="s">
        <v>711</v>
      </c>
      <c r="G2109" s="102" t="s">
        <v>767</v>
      </c>
      <c r="H2109" s="360">
        <v>1247.0</v>
      </c>
      <c r="I2109" s="411" t="b">
        <v>0</v>
      </c>
      <c r="J2109" s="102" t="s">
        <v>1248</v>
      </c>
      <c r="K2109" s="360">
        <v>172.0</v>
      </c>
      <c r="L2109" s="360">
        <v>1075.0</v>
      </c>
      <c r="M2109" s="102" t="s">
        <v>2276</v>
      </c>
      <c r="N2109" s="102" t="s">
        <v>2950</v>
      </c>
    </row>
    <row r="2110">
      <c r="A2110" s="412">
        <v>46207.0</v>
      </c>
      <c r="B2110" s="413">
        <v>2026.0</v>
      </c>
      <c r="C2110" s="414" t="s">
        <v>2948</v>
      </c>
      <c r="D2110" s="413" t="s">
        <v>723</v>
      </c>
      <c r="E2110" s="413" t="s">
        <v>137</v>
      </c>
      <c r="F2110" s="413" t="s">
        <v>711</v>
      </c>
      <c r="G2110" s="413" t="s">
        <v>767</v>
      </c>
      <c r="H2110" s="415">
        <v>950.0</v>
      </c>
      <c r="I2110" s="416" t="b">
        <v>0</v>
      </c>
      <c r="J2110" s="413" t="s">
        <v>1232</v>
      </c>
      <c r="K2110" s="415">
        <v>0.0</v>
      </c>
      <c r="L2110" s="415">
        <v>950.0</v>
      </c>
      <c r="M2110" s="413" t="s">
        <v>2276</v>
      </c>
      <c r="N2110" s="413" t="s">
        <v>2951</v>
      </c>
    </row>
    <row r="2111">
      <c r="A2111" s="409">
        <v>46207.0</v>
      </c>
      <c r="B2111" s="102">
        <v>2026.0</v>
      </c>
      <c r="C2111" s="410" t="s">
        <v>2948</v>
      </c>
      <c r="D2111" s="102" t="s">
        <v>723</v>
      </c>
      <c r="E2111" s="102" t="s">
        <v>137</v>
      </c>
      <c r="F2111" s="102" t="s">
        <v>711</v>
      </c>
      <c r="G2111" s="102" t="s">
        <v>767</v>
      </c>
      <c r="H2111" s="360">
        <v>800.0</v>
      </c>
      <c r="I2111" s="411" t="b">
        <v>0</v>
      </c>
      <c r="J2111" s="102" t="s">
        <v>1197</v>
      </c>
      <c r="K2111" s="360">
        <v>0.0</v>
      </c>
      <c r="L2111" s="360">
        <v>800.0</v>
      </c>
      <c r="M2111" s="102" t="s">
        <v>2276</v>
      </c>
      <c r="N2111" s="102" t="s">
        <v>2952</v>
      </c>
    </row>
    <row r="2112">
      <c r="A2112" s="412">
        <v>46207.0</v>
      </c>
      <c r="B2112" s="413">
        <v>2026.0</v>
      </c>
      <c r="C2112" s="414" t="s">
        <v>2948</v>
      </c>
      <c r="D2112" s="413" t="s">
        <v>723</v>
      </c>
      <c r="E2112" s="413" t="s">
        <v>137</v>
      </c>
      <c r="F2112" s="413" t="s">
        <v>711</v>
      </c>
      <c r="G2112" s="413" t="s">
        <v>767</v>
      </c>
      <c r="H2112" s="415">
        <v>800.0</v>
      </c>
      <c r="I2112" s="416" t="b">
        <v>0</v>
      </c>
      <c r="J2112" s="413" t="s">
        <v>1957</v>
      </c>
      <c r="K2112" s="415">
        <v>0.0</v>
      </c>
      <c r="L2112" s="415">
        <v>800.0</v>
      </c>
      <c r="M2112" s="413" t="s">
        <v>2276</v>
      </c>
      <c r="N2112" s="413" t="s">
        <v>2953</v>
      </c>
    </row>
    <row r="2113">
      <c r="A2113" s="409">
        <v>46207.0</v>
      </c>
      <c r="B2113" s="102">
        <v>2026.0</v>
      </c>
      <c r="C2113" s="410" t="s">
        <v>2948</v>
      </c>
      <c r="D2113" s="102" t="s">
        <v>723</v>
      </c>
      <c r="E2113" s="102" t="s">
        <v>137</v>
      </c>
      <c r="F2113" s="102" t="s">
        <v>711</v>
      </c>
      <c r="G2113" s="102" t="s">
        <v>767</v>
      </c>
      <c r="H2113" s="360">
        <v>950.0</v>
      </c>
      <c r="I2113" s="411" t="b">
        <v>0</v>
      </c>
      <c r="J2113" s="102" t="s">
        <v>2825</v>
      </c>
      <c r="K2113" s="360">
        <v>0.0</v>
      </c>
      <c r="L2113" s="360">
        <v>950.0</v>
      </c>
      <c r="M2113" s="102" t="s">
        <v>2276</v>
      </c>
      <c r="N2113" s="102" t="s">
        <v>2954</v>
      </c>
    </row>
    <row r="2114">
      <c r="A2114" s="412">
        <v>46207.0</v>
      </c>
      <c r="B2114" s="413">
        <v>2026.0</v>
      </c>
      <c r="C2114" s="414" t="s">
        <v>2948</v>
      </c>
      <c r="D2114" s="413" t="s">
        <v>723</v>
      </c>
      <c r="E2114" s="413" t="s">
        <v>137</v>
      </c>
      <c r="F2114" s="413" t="s">
        <v>711</v>
      </c>
      <c r="G2114" s="413" t="s">
        <v>767</v>
      </c>
      <c r="H2114" s="415">
        <v>950.0</v>
      </c>
      <c r="I2114" s="416" t="b">
        <v>0</v>
      </c>
      <c r="J2114" s="413" t="s">
        <v>2810</v>
      </c>
      <c r="K2114" s="415">
        <v>0.0</v>
      </c>
      <c r="L2114" s="415">
        <v>950.0</v>
      </c>
      <c r="M2114" s="413" t="s">
        <v>2276</v>
      </c>
      <c r="N2114" s="413" t="s">
        <v>2955</v>
      </c>
    </row>
    <row r="2115">
      <c r="A2115" s="409">
        <v>46207.0</v>
      </c>
      <c r="B2115" s="102">
        <v>2026.0</v>
      </c>
      <c r="C2115" s="410" t="s">
        <v>2948</v>
      </c>
      <c r="D2115" s="102" t="s">
        <v>723</v>
      </c>
      <c r="E2115" s="102" t="s">
        <v>137</v>
      </c>
      <c r="F2115" s="102" t="s">
        <v>711</v>
      </c>
      <c r="G2115" s="102" t="s">
        <v>767</v>
      </c>
      <c r="H2115" s="360">
        <v>1900.0</v>
      </c>
      <c r="I2115" s="411" t="b">
        <v>0</v>
      </c>
      <c r="J2115" s="102" t="s">
        <v>2511</v>
      </c>
      <c r="K2115" s="360">
        <v>0.0</v>
      </c>
      <c r="L2115" s="360">
        <v>1900.0</v>
      </c>
      <c r="M2115" s="102" t="s">
        <v>2276</v>
      </c>
      <c r="N2115" s="102" t="s">
        <v>2956</v>
      </c>
    </row>
    <row r="2116">
      <c r="A2116" s="412">
        <v>46207.0</v>
      </c>
      <c r="B2116" s="413">
        <v>2026.0</v>
      </c>
      <c r="C2116" s="414" t="s">
        <v>2948</v>
      </c>
      <c r="D2116" s="413" t="s">
        <v>723</v>
      </c>
      <c r="E2116" s="413" t="s">
        <v>137</v>
      </c>
      <c r="F2116" s="413" t="s">
        <v>711</v>
      </c>
      <c r="G2116" s="413" t="s">
        <v>767</v>
      </c>
      <c r="H2116" s="415">
        <v>1150.0</v>
      </c>
      <c r="I2116" s="416" t="b">
        <v>0</v>
      </c>
      <c r="J2116" s="413" t="s">
        <v>2867</v>
      </c>
      <c r="K2116" s="415">
        <v>0.0</v>
      </c>
      <c r="L2116" s="415">
        <v>1150.0</v>
      </c>
      <c r="M2116" s="413" t="s">
        <v>2276</v>
      </c>
      <c r="N2116" s="413" t="s">
        <v>2957</v>
      </c>
    </row>
    <row r="2117">
      <c r="A2117" s="409">
        <v>46207.0</v>
      </c>
      <c r="B2117" s="102">
        <v>2026.0</v>
      </c>
      <c r="C2117" s="410" t="s">
        <v>2948</v>
      </c>
      <c r="D2117" s="102" t="s">
        <v>723</v>
      </c>
      <c r="E2117" s="102" t="s">
        <v>137</v>
      </c>
      <c r="F2117" s="102" t="s">
        <v>711</v>
      </c>
      <c r="G2117" s="102" t="s">
        <v>734</v>
      </c>
      <c r="H2117" s="360">
        <v>180.0</v>
      </c>
      <c r="I2117" s="411" t="b">
        <v>0</v>
      </c>
      <c r="J2117" s="102" t="s">
        <v>472</v>
      </c>
      <c r="K2117" s="360">
        <v>0.0</v>
      </c>
      <c r="L2117" s="360">
        <v>180.0</v>
      </c>
      <c r="M2117" s="102" t="s">
        <v>2276</v>
      </c>
      <c r="N2117" s="102" t="s">
        <v>2958</v>
      </c>
    </row>
    <row r="2118">
      <c r="A2118" s="412">
        <v>46207.0</v>
      </c>
      <c r="B2118" s="413">
        <v>2026.0</v>
      </c>
      <c r="C2118" s="414" t="s">
        <v>2948</v>
      </c>
      <c r="D2118" s="413" t="s">
        <v>723</v>
      </c>
      <c r="E2118" s="413" t="s">
        <v>137</v>
      </c>
      <c r="F2118" s="413" t="s">
        <v>711</v>
      </c>
      <c r="G2118" s="413" t="s">
        <v>734</v>
      </c>
      <c r="H2118" s="415">
        <v>180.0</v>
      </c>
      <c r="I2118" s="416" t="b">
        <v>0</v>
      </c>
      <c r="J2118" s="413" t="s">
        <v>472</v>
      </c>
      <c r="K2118" s="415">
        <v>0.0</v>
      </c>
      <c r="L2118" s="415">
        <v>180.0</v>
      </c>
      <c r="M2118" s="413" t="s">
        <v>2276</v>
      </c>
      <c r="N2118" s="413" t="s">
        <v>2959</v>
      </c>
    </row>
    <row r="2119">
      <c r="A2119" s="409">
        <v>46207.0</v>
      </c>
      <c r="B2119" s="102">
        <v>2026.0</v>
      </c>
      <c r="C2119" s="410" t="s">
        <v>2948</v>
      </c>
      <c r="D2119" s="102" t="s">
        <v>723</v>
      </c>
      <c r="E2119" s="102" t="s">
        <v>137</v>
      </c>
      <c r="F2119" s="102" t="s">
        <v>703</v>
      </c>
      <c r="G2119" s="102" t="s">
        <v>724</v>
      </c>
      <c r="H2119" s="360">
        <v>50.0</v>
      </c>
      <c r="I2119" s="411" t="b">
        <v>1</v>
      </c>
      <c r="J2119" s="102" t="s">
        <v>472</v>
      </c>
      <c r="K2119" s="360">
        <v>0.0</v>
      </c>
      <c r="L2119" s="360">
        <v>0.0</v>
      </c>
      <c r="M2119" s="102" t="s">
        <v>2276</v>
      </c>
      <c r="N2119" s="102" t="s">
        <v>2960</v>
      </c>
    </row>
    <row r="2120">
      <c r="A2120" s="412">
        <v>46207.0</v>
      </c>
      <c r="B2120" s="413">
        <v>2026.0</v>
      </c>
      <c r="C2120" s="414" t="s">
        <v>2948</v>
      </c>
      <c r="D2120" s="413" t="s">
        <v>702</v>
      </c>
      <c r="E2120" s="413" t="s">
        <v>465</v>
      </c>
      <c r="F2120" s="413" t="s">
        <v>711</v>
      </c>
      <c r="G2120" s="413" t="s">
        <v>724</v>
      </c>
      <c r="H2120" s="415">
        <v>50.0</v>
      </c>
      <c r="I2120" s="416" t="b">
        <v>1</v>
      </c>
      <c r="J2120" s="413" t="s">
        <v>472</v>
      </c>
      <c r="K2120" s="415">
        <v>0.0</v>
      </c>
      <c r="L2120" s="415">
        <v>0.0</v>
      </c>
      <c r="M2120" s="413" t="s">
        <v>2276</v>
      </c>
      <c r="N2120" s="413" t="s">
        <v>2960</v>
      </c>
    </row>
    <row r="2121">
      <c r="A2121" s="409">
        <v>46207.0</v>
      </c>
      <c r="B2121" s="102">
        <v>2026.0</v>
      </c>
      <c r="C2121" s="410" t="s">
        <v>2948</v>
      </c>
      <c r="D2121" s="102" t="s">
        <v>723</v>
      </c>
      <c r="E2121" s="102" t="s">
        <v>137</v>
      </c>
      <c r="F2121" s="102" t="s">
        <v>711</v>
      </c>
      <c r="G2121" s="102" t="s">
        <v>740</v>
      </c>
      <c r="H2121" s="360">
        <v>117.0</v>
      </c>
      <c r="I2121" s="411" t="b">
        <v>0</v>
      </c>
      <c r="J2121" s="102" t="s">
        <v>472</v>
      </c>
      <c r="K2121" s="360">
        <v>0.0</v>
      </c>
      <c r="L2121" s="360">
        <v>117.0</v>
      </c>
      <c r="M2121" s="102" t="s">
        <v>2276</v>
      </c>
      <c r="N2121" s="102" t="s">
        <v>2961</v>
      </c>
    </row>
    <row r="2122">
      <c r="A2122" s="412">
        <v>46207.0</v>
      </c>
      <c r="B2122" s="413">
        <v>2026.0</v>
      </c>
      <c r="C2122" s="414" t="s">
        <v>2948</v>
      </c>
      <c r="D2122" s="413" t="s">
        <v>710</v>
      </c>
      <c r="E2122" s="413" t="s">
        <v>137</v>
      </c>
      <c r="F2122" s="413" t="s">
        <v>711</v>
      </c>
      <c r="G2122" s="413" t="s">
        <v>724</v>
      </c>
      <c r="H2122" s="415">
        <v>10200.0</v>
      </c>
      <c r="I2122" s="416" t="b">
        <v>1</v>
      </c>
      <c r="J2122" s="413" t="s">
        <v>472</v>
      </c>
      <c r="K2122" s="415">
        <v>0.0</v>
      </c>
      <c r="L2122" s="415">
        <v>0.0</v>
      </c>
      <c r="M2122" s="413" t="s">
        <v>2276</v>
      </c>
      <c r="N2122" s="413" t="s">
        <v>2962</v>
      </c>
    </row>
    <row r="2123">
      <c r="A2123" s="409">
        <v>46207.0</v>
      </c>
      <c r="B2123" s="102">
        <v>2026.0</v>
      </c>
      <c r="C2123" s="410" t="s">
        <v>2948</v>
      </c>
      <c r="D2123" s="102" t="s">
        <v>723</v>
      </c>
      <c r="E2123" s="102" t="s">
        <v>137</v>
      </c>
      <c r="F2123" s="102" t="s">
        <v>703</v>
      </c>
      <c r="G2123" s="102" t="s">
        <v>724</v>
      </c>
      <c r="H2123" s="360">
        <v>10200.0</v>
      </c>
      <c r="I2123" s="411" t="b">
        <v>1</v>
      </c>
      <c r="J2123" s="102" t="s">
        <v>472</v>
      </c>
      <c r="K2123" s="360">
        <v>0.0</v>
      </c>
      <c r="L2123" s="360">
        <v>0.0</v>
      </c>
      <c r="M2123" s="102" t="s">
        <v>2276</v>
      </c>
      <c r="N2123" s="102" t="s">
        <v>2962</v>
      </c>
    </row>
    <row r="2124">
      <c r="A2124" s="412">
        <v>46207.0</v>
      </c>
      <c r="B2124" s="413">
        <v>2026.0</v>
      </c>
      <c r="C2124" s="414" t="s">
        <v>2948</v>
      </c>
      <c r="D2124" s="413" t="s">
        <v>723</v>
      </c>
      <c r="E2124" s="413" t="s">
        <v>137</v>
      </c>
      <c r="F2124" s="413" t="s">
        <v>711</v>
      </c>
      <c r="G2124" s="413" t="s">
        <v>724</v>
      </c>
      <c r="H2124" s="415">
        <v>100.0</v>
      </c>
      <c r="I2124" s="416" t="b">
        <v>1</v>
      </c>
      <c r="J2124" s="413" t="s">
        <v>472</v>
      </c>
      <c r="K2124" s="415">
        <v>0.0</v>
      </c>
      <c r="L2124" s="415">
        <v>0.0</v>
      </c>
      <c r="M2124" s="413" t="s">
        <v>2276</v>
      </c>
      <c r="N2124" s="413" t="s">
        <v>2963</v>
      </c>
    </row>
    <row r="2125">
      <c r="A2125" s="409">
        <v>46207.0</v>
      </c>
      <c r="B2125" s="102">
        <v>2026.0</v>
      </c>
      <c r="C2125" s="410" t="s">
        <v>2948</v>
      </c>
      <c r="D2125" s="102" t="s">
        <v>710</v>
      </c>
      <c r="E2125" s="102" t="s">
        <v>137</v>
      </c>
      <c r="F2125" s="102" t="s">
        <v>703</v>
      </c>
      <c r="G2125" s="102" t="s">
        <v>724</v>
      </c>
      <c r="H2125" s="360">
        <v>100.0</v>
      </c>
      <c r="I2125" s="411" t="b">
        <v>1</v>
      </c>
      <c r="J2125" s="102" t="s">
        <v>472</v>
      </c>
      <c r="K2125" s="360">
        <v>0.0</v>
      </c>
      <c r="L2125" s="360">
        <v>0.0</v>
      </c>
      <c r="M2125" s="102" t="s">
        <v>2276</v>
      </c>
      <c r="N2125" s="102" t="s">
        <v>2963</v>
      </c>
    </row>
    <row r="2126">
      <c r="A2126" s="412">
        <v>46207.0</v>
      </c>
      <c r="B2126" s="413">
        <v>2026.0</v>
      </c>
      <c r="C2126" s="414" t="s">
        <v>2948</v>
      </c>
      <c r="D2126" s="413" t="s">
        <v>710</v>
      </c>
      <c r="E2126" s="413" t="s">
        <v>137</v>
      </c>
      <c r="F2126" s="413" t="s">
        <v>711</v>
      </c>
      <c r="G2126" s="413" t="s">
        <v>724</v>
      </c>
      <c r="H2126" s="415">
        <v>7.0</v>
      </c>
      <c r="I2126" s="416" t="b">
        <v>1</v>
      </c>
      <c r="J2126" s="413" t="s">
        <v>472</v>
      </c>
      <c r="K2126" s="415">
        <v>0.0</v>
      </c>
      <c r="L2126" s="415">
        <v>0.0</v>
      </c>
      <c r="M2126" s="413" t="s">
        <v>2276</v>
      </c>
      <c r="N2126" s="413" t="s">
        <v>2964</v>
      </c>
    </row>
    <row r="2127">
      <c r="A2127" s="409">
        <v>46207.0</v>
      </c>
      <c r="B2127" s="102">
        <v>2026.0</v>
      </c>
      <c r="C2127" s="410" t="s">
        <v>2948</v>
      </c>
      <c r="D2127" s="102" t="s">
        <v>723</v>
      </c>
      <c r="E2127" s="102" t="s">
        <v>137</v>
      </c>
      <c r="F2127" s="102" t="s">
        <v>703</v>
      </c>
      <c r="G2127" s="102" t="s">
        <v>724</v>
      </c>
      <c r="H2127" s="360">
        <v>7.0</v>
      </c>
      <c r="I2127" s="411" t="b">
        <v>1</v>
      </c>
      <c r="J2127" s="102" t="s">
        <v>472</v>
      </c>
      <c r="K2127" s="360">
        <v>0.0</v>
      </c>
      <c r="L2127" s="360">
        <v>0.0</v>
      </c>
      <c r="M2127" s="102" t="s">
        <v>2276</v>
      </c>
      <c r="N2127" s="102" t="s">
        <v>2964</v>
      </c>
    </row>
    <row r="2128">
      <c r="A2128" s="412">
        <v>46207.0</v>
      </c>
      <c r="B2128" s="413">
        <v>2026.0</v>
      </c>
      <c r="C2128" s="414" t="s">
        <v>2948</v>
      </c>
      <c r="D2128" s="413" t="s">
        <v>702</v>
      </c>
      <c r="E2128" s="413" t="s">
        <v>465</v>
      </c>
      <c r="F2128" s="413" t="s">
        <v>711</v>
      </c>
      <c r="G2128" s="413" t="s">
        <v>767</v>
      </c>
      <c r="H2128" s="415">
        <v>950.0</v>
      </c>
      <c r="I2128" s="416" t="b">
        <v>0</v>
      </c>
      <c r="J2128" s="413" t="s">
        <v>2437</v>
      </c>
      <c r="K2128" s="415">
        <v>131.03448275862058</v>
      </c>
      <c r="L2128" s="415">
        <v>818.9655172413794</v>
      </c>
      <c r="M2128" s="413" t="s">
        <v>2276</v>
      </c>
      <c r="N2128" s="413" t="s">
        <v>2965</v>
      </c>
    </row>
    <row r="2129">
      <c r="A2129" s="409">
        <v>46207.0</v>
      </c>
      <c r="B2129" s="102">
        <v>2026.0</v>
      </c>
      <c r="C2129" s="410" t="s">
        <v>2948</v>
      </c>
      <c r="D2129" s="102" t="s">
        <v>702</v>
      </c>
      <c r="E2129" s="102" t="s">
        <v>465</v>
      </c>
      <c r="F2129" s="102" t="s">
        <v>711</v>
      </c>
      <c r="G2129" s="102" t="s">
        <v>767</v>
      </c>
      <c r="H2129" s="360">
        <v>950.0</v>
      </c>
      <c r="I2129" s="411" t="b">
        <v>0</v>
      </c>
      <c r="J2129" s="102" t="s">
        <v>1507</v>
      </c>
      <c r="K2129" s="360">
        <v>131.03448275862058</v>
      </c>
      <c r="L2129" s="360">
        <v>818.9655172413794</v>
      </c>
      <c r="M2129" s="102" t="s">
        <v>2276</v>
      </c>
      <c r="N2129" s="102" t="s">
        <v>2966</v>
      </c>
    </row>
    <row r="2130">
      <c r="A2130" s="412">
        <v>46207.0</v>
      </c>
      <c r="B2130" s="413">
        <v>2026.0</v>
      </c>
      <c r="C2130" s="414" t="s">
        <v>2948</v>
      </c>
      <c r="D2130" s="413" t="s">
        <v>702</v>
      </c>
      <c r="E2130" s="413" t="s">
        <v>465</v>
      </c>
      <c r="F2130" s="413" t="s">
        <v>711</v>
      </c>
      <c r="G2130" s="413" t="s">
        <v>767</v>
      </c>
      <c r="H2130" s="415">
        <v>950.0</v>
      </c>
      <c r="I2130" s="416" t="b">
        <v>0</v>
      </c>
      <c r="J2130" s="413" t="s">
        <v>1881</v>
      </c>
      <c r="K2130" s="415">
        <v>131.03448275862058</v>
      </c>
      <c r="L2130" s="415">
        <v>818.9655172413794</v>
      </c>
      <c r="M2130" s="413" t="s">
        <v>2276</v>
      </c>
      <c r="N2130" s="413" t="s">
        <v>2967</v>
      </c>
    </row>
    <row r="2131">
      <c r="A2131" s="409">
        <v>46207.0</v>
      </c>
      <c r="B2131" s="102">
        <v>2026.0</v>
      </c>
      <c r="C2131" s="410" t="s">
        <v>2948</v>
      </c>
      <c r="D2131" s="102" t="s">
        <v>702</v>
      </c>
      <c r="E2131" s="102" t="s">
        <v>465</v>
      </c>
      <c r="F2131" s="102" t="s">
        <v>711</v>
      </c>
      <c r="G2131" s="102" t="s">
        <v>767</v>
      </c>
      <c r="H2131" s="360">
        <v>1100.0</v>
      </c>
      <c r="I2131" s="411" t="b">
        <v>0</v>
      </c>
      <c r="J2131" s="102" t="s">
        <v>1184</v>
      </c>
      <c r="K2131" s="360">
        <v>151.72413793103442</v>
      </c>
      <c r="L2131" s="360">
        <v>948.2758620689656</v>
      </c>
      <c r="M2131" s="102" t="s">
        <v>2276</v>
      </c>
      <c r="N2131" s="102" t="s">
        <v>2968</v>
      </c>
    </row>
    <row r="2132">
      <c r="A2132" s="412">
        <v>46207.0</v>
      </c>
      <c r="B2132" s="413">
        <v>2026.0</v>
      </c>
      <c r="C2132" s="414" t="s">
        <v>2948</v>
      </c>
      <c r="D2132" s="413" t="s">
        <v>702</v>
      </c>
      <c r="E2132" s="413" t="s">
        <v>465</v>
      </c>
      <c r="F2132" s="413" t="s">
        <v>711</v>
      </c>
      <c r="G2132" s="413" t="s">
        <v>767</v>
      </c>
      <c r="H2132" s="415">
        <v>800.0</v>
      </c>
      <c r="I2132" s="416" t="b">
        <v>0</v>
      </c>
      <c r="J2132" s="413" t="s">
        <v>2088</v>
      </c>
      <c r="K2132" s="415">
        <v>110.34482758620686</v>
      </c>
      <c r="L2132" s="415">
        <v>689.6551724137931</v>
      </c>
      <c r="M2132" s="413" t="s">
        <v>2276</v>
      </c>
      <c r="N2132" s="413" t="s">
        <v>2969</v>
      </c>
    </row>
    <row r="2133">
      <c r="A2133" s="409">
        <v>46207.0</v>
      </c>
      <c r="B2133" s="102">
        <v>2026.0</v>
      </c>
      <c r="C2133" s="410" t="s">
        <v>2948</v>
      </c>
      <c r="D2133" s="102" t="s">
        <v>702</v>
      </c>
      <c r="E2133" s="102" t="s">
        <v>465</v>
      </c>
      <c r="F2133" s="102" t="s">
        <v>711</v>
      </c>
      <c r="G2133" s="102" t="s">
        <v>767</v>
      </c>
      <c r="H2133" s="360">
        <v>800.0</v>
      </c>
      <c r="I2133" s="411" t="b">
        <v>0</v>
      </c>
      <c r="J2133" s="102" t="s">
        <v>2402</v>
      </c>
      <c r="K2133" s="360">
        <v>110.34482758620686</v>
      </c>
      <c r="L2133" s="360">
        <v>689.6551724137931</v>
      </c>
      <c r="M2133" s="102" t="s">
        <v>2276</v>
      </c>
      <c r="N2133" s="102" t="s">
        <v>2970</v>
      </c>
    </row>
    <row r="2134">
      <c r="A2134" s="412">
        <v>46207.0</v>
      </c>
      <c r="B2134" s="413">
        <v>2026.0</v>
      </c>
      <c r="C2134" s="414" t="s">
        <v>2948</v>
      </c>
      <c r="D2134" s="413" t="s">
        <v>702</v>
      </c>
      <c r="E2134" s="413" t="s">
        <v>465</v>
      </c>
      <c r="F2134" s="413" t="s">
        <v>711</v>
      </c>
      <c r="G2134" s="413" t="s">
        <v>767</v>
      </c>
      <c r="H2134" s="415">
        <v>950.0</v>
      </c>
      <c r="I2134" s="416" t="b">
        <v>0</v>
      </c>
      <c r="J2134" s="413" t="s">
        <v>1415</v>
      </c>
      <c r="K2134" s="415">
        <v>131.03448275862058</v>
      </c>
      <c r="L2134" s="415">
        <v>818.9655172413794</v>
      </c>
      <c r="M2134" s="413" t="s">
        <v>2276</v>
      </c>
      <c r="N2134" s="413" t="s">
        <v>2971</v>
      </c>
    </row>
    <row r="2135">
      <c r="A2135" s="409">
        <v>46207.0</v>
      </c>
      <c r="B2135" s="102">
        <v>2026.0</v>
      </c>
      <c r="C2135" s="410" t="s">
        <v>2948</v>
      </c>
      <c r="D2135" s="102" t="s">
        <v>702</v>
      </c>
      <c r="E2135" s="102" t="s">
        <v>465</v>
      </c>
      <c r="F2135" s="102" t="s">
        <v>711</v>
      </c>
      <c r="G2135" s="102" t="s">
        <v>767</v>
      </c>
      <c r="H2135" s="360">
        <v>550.0</v>
      </c>
      <c r="I2135" s="411" t="b">
        <v>0</v>
      </c>
      <c r="J2135" s="102" t="s">
        <v>1326</v>
      </c>
      <c r="K2135" s="360">
        <v>75.86206896551721</v>
      </c>
      <c r="L2135" s="360">
        <v>474.1379310344828</v>
      </c>
      <c r="M2135" s="102" t="s">
        <v>2276</v>
      </c>
      <c r="N2135" s="102" t="s">
        <v>2972</v>
      </c>
    </row>
    <row r="2136">
      <c r="A2136" s="412">
        <v>46207.0</v>
      </c>
      <c r="B2136" s="413">
        <v>2026.0</v>
      </c>
      <c r="C2136" s="414" t="s">
        <v>2948</v>
      </c>
      <c r="D2136" s="413" t="s">
        <v>702</v>
      </c>
      <c r="E2136" s="413" t="s">
        <v>465</v>
      </c>
      <c r="F2136" s="413" t="s">
        <v>711</v>
      </c>
      <c r="G2136" s="413" t="s">
        <v>767</v>
      </c>
      <c r="H2136" s="415">
        <v>800.0</v>
      </c>
      <c r="I2136" s="416" t="b">
        <v>0</v>
      </c>
      <c r="J2136" s="413" t="s">
        <v>1950</v>
      </c>
      <c r="K2136" s="415">
        <v>110.34482758620686</v>
      </c>
      <c r="L2136" s="415">
        <v>689.6551724137931</v>
      </c>
      <c r="M2136" s="413" t="s">
        <v>2276</v>
      </c>
      <c r="N2136" s="413" t="s">
        <v>2973</v>
      </c>
    </row>
    <row r="2137">
      <c r="A2137" s="409">
        <v>46207.0</v>
      </c>
      <c r="B2137" s="102">
        <v>2026.0</v>
      </c>
      <c r="C2137" s="410" t="s">
        <v>2948</v>
      </c>
      <c r="D2137" s="102" t="s">
        <v>702</v>
      </c>
      <c r="E2137" s="102" t="s">
        <v>465</v>
      </c>
      <c r="F2137" s="102" t="s">
        <v>711</v>
      </c>
      <c r="G2137" s="102" t="s">
        <v>767</v>
      </c>
      <c r="H2137" s="360">
        <v>1600.0</v>
      </c>
      <c r="I2137" s="411" t="b">
        <v>0</v>
      </c>
      <c r="J2137" s="102" t="s">
        <v>2635</v>
      </c>
      <c r="K2137" s="360">
        <v>220.68965517241372</v>
      </c>
      <c r="L2137" s="360">
        <v>1379.3103448275863</v>
      </c>
      <c r="M2137" s="102" t="s">
        <v>2276</v>
      </c>
      <c r="N2137" s="102" t="s">
        <v>2974</v>
      </c>
    </row>
    <row r="2138">
      <c r="A2138" s="412">
        <v>46207.0</v>
      </c>
      <c r="B2138" s="413">
        <v>2026.0</v>
      </c>
      <c r="C2138" s="414" t="s">
        <v>2948</v>
      </c>
      <c r="D2138" s="413" t="s">
        <v>702</v>
      </c>
      <c r="E2138" s="413" t="s">
        <v>465</v>
      </c>
      <c r="F2138" s="413" t="s">
        <v>703</v>
      </c>
      <c r="G2138" s="413" t="s">
        <v>732</v>
      </c>
      <c r="H2138" s="415">
        <v>2800.0</v>
      </c>
      <c r="I2138" s="416" t="b">
        <v>0</v>
      </c>
      <c r="J2138" s="413" t="s">
        <v>2579</v>
      </c>
      <c r="K2138" s="415">
        <v>0.0</v>
      </c>
      <c r="L2138" s="415">
        <v>2800.0</v>
      </c>
      <c r="M2138" s="413" t="s">
        <v>2276</v>
      </c>
      <c r="N2138" s="413" t="s">
        <v>2975</v>
      </c>
    </row>
    <row r="2139">
      <c r="A2139" s="409">
        <v>46207.0</v>
      </c>
      <c r="B2139" s="102">
        <v>2026.0</v>
      </c>
      <c r="C2139" s="410" t="s">
        <v>2948</v>
      </c>
      <c r="D2139" s="102" t="s">
        <v>702</v>
      </c>
      <c r="E2139" s="102" t="s">
        <v>465</v>
      </c>
      <c r="F2139" s="102" t="s">
        <v>711</v>
      </c>
      <c r="G2139" s="102" t="s">
        <v>767</v>
      </c>
      <c r="H2139" s="360">
        <v>1150.0</v>
      </c>
      <c r="I2139" s="411" t="b">
        <v>0</v>
      </c>
      <c r="J2139" s="102" t="s">
        <v>1197</v>
      </c>
      <c r="K2139" s="360">
        <v>158.62068965517233</v>
      </c>
      <c r="L2139" s="360">
        <v>991.3793103448277</v>
      </c>
      <c r="M2139" s="102" t="s">
        <v>2276</v>
      </c>
      <c r="N2139" s="102" t="s">
        <v>2976</v>
      </c>
    </row>
    <row r="2140">
      <c r="A2140" s="412">
        <v>46209.0</v>
      </c>
      <c r="B2140" s="413">
        <v>2026.0</v>
      </c>
      <c r="C2140" s="414" t="s">
        <v>2948</v>
      </c>
      <c r="D2140" s="413" t="s">
        <v>702</v>
      </c>
      <c r="E2140" s="413" t="s">
        <v>465</v>
      </c>
      <c r="F2140" s="413" t="s">
        <v>711</v>
      </c>
      <c r="G2140" s="413" t="s">
        <v>767</v>
      </c>
      <c r="H2140" s="415">
        <v>950.0</v>
      </c>
      <c r="I2140" s="416" t="b">
        <v>0</v>
      </c>
      <c r="J2140" s="413" t="s">
        <v>2411</v>
      </c>
      <c r="K2140" s="415">
        <v>131.03448275862058</v>
      </c>
      <c r="L2140" s="415">
        <v>818.9655172413794</v>
      </c>
      <c r="M2140" s="413" t="s">
        <v>2276</v>
      </c>
      <c r="N2140" s="413" t="s">
        <v>2977</v>
      </c>
    </row>
    <row r="2141">
      <c r="A2141" s="409">
        <v>46209.0</v>
      </c>
      <c r="B2141" s="102">
        <v>2026.0</v>
      </c>
      <c r="C2141" s="410" t="s">
        <v>2948</v>
      </c>
      <c r="D2141" s="102" t="s">
        <v>702</v>
      </c>
      <c r="E2141" s="102" t="s">
        <v>465</v>
      </c>
      <c r="F2141" s="102" t="s">
        <v>711</v>
      </c>
      <c r="G2141" s="102" t="s">
        <v>767</v>
      </c>
      <c r="H2141" s="360">
        <v>1150.0</v>
      </c>
      <c r="I2141" s="411" t="b">
        <v>0</v>
      </c>
      <c r="J2141" s="102" t="s">
        <v>2573</v>
      </c>
      <c r="K2141" s="360">
        <v>158.62068965517233</v>
      </c>
      <c r="L2141" s="360">
        <v>991.3793103448277</v>
      </c>
      <c r="M2141" s="102" t="s">
        <v>2276</v>
      </c>
      <c r="N2141" s="102" t="s">
        <v>2978</v>
      </c>
    </row>
    <row r="2142">
      <c r="A2142" s="412">
        <v>46209.0</v>
      </c>
      <c r="B2142" s="413">
        <v>2026.0</v>
      </c>
      <c r="C2142" s="414" t="s">
        <v>2948</v>
      </c>
      <c r="D2142" s="413" t="s">
        <v>702</v>
      </c>
      <c r="E2142" s="413" t="s">
        <v>465</v>
      </c>
      <c r="F2142" s="413" t="s">
        <v>711</v>
      </c>
      <c r="G2142" s="413" t="s">
        <v>767</v>
      </c>
      <c r="H2142" s="415">
        <v>950.0</v>
      </c>
      <c r="I2142" s="416" t="b">
        <v>0</v>
      </c>
      <c r="J2142" s="413" t="s">
        <v>1265</v>
      </c>
      <c r="K2142" s="415">
        <v>131.03448275862058</v>
      </c>
      <c r="L2142" s="415">
        <v>818.9655172413794</v>
      </c>
      <c r="M2142" s="413" t="s">
        <v>2276</v>
      </c>
      <c r="N2142" s="413" t="s">
        <v>2979</v>
      </c>
    </row>
    <row r="2143">
      <c r="A2143" s="409">
        <v>46209.0</v>
      </c>
      <c r="B2143" s="102">
        <v>2026.0</v>
      </c>
      <c r="C2143" s="410" t="s">
        <v>2948</v>
      </c>
      <c r="D2143" s="102" t="s">
        <v>723</v>
      </c>
      <c r="E2143" s="102" t="s">
        <v>137</v>
      </c>
      <c r="F2143" s="102" t="s">
        <v>711</v>
      </c>
      <c r="G2143" s="102" t="s">
        <v>767</v>
      </c>
      <c r="H2143" s="360">
        <v>1300.0</v>
      </c>
      <c r="I2143" s="411" t="b">
        <v>0</v>
      </c>
      <c r="J2143" s="102" t="s">
        <v>2869</v>
      </c>
      <c r="K2143" s="360">
        <v>0.0</v>
      </c>
      <c r="L2143" s="360">
        <v>1300.0</v>
      </c>
      <c r="M2143" s="102" t="s">
        <v>2276</v>
      </c>
      <c r="N2143" s="102" t="s">
        <v>2980</v>
      </c>
    </row>
    <row r="2144">
      <c r="A2144" s="412">
        <v>46209.0</v>
      </c>
      <c r="B2144" s="413">
        <v>2026.0</v>
      </c>
      <c r="C2144" s="414" t="s">
        <v>2948</v>
      </c>
      <c r="D2144" s="413" t="s">
        <v>702</v>
      </c>
      <c r="E2144" s="413" t="s">
        <v>465</v>
      </c>
      <c r="F2144" s="413" t="s">
        <v>711</v>
      </c>
      <c r="G2144" s="413" t="s">
        <v>767</v>
      </c>
      <c r="H2144" s="415">
        <v>1103.0</v>
      </c>
      <c r="I2144" s="416" t="b">
        <v>0</v>
      </c>
      <c r="J2144" s="413" t="s">
        <v>2981</v>
      </c>
      <c r="K2144" s="415">
        <v>152.13793103448268</v>
      </c>
      <c r="L2144" s="415">
        <v>950.8620689655173</v>
      </c>
      <c r="M2144" s="413" t="s">
        <v>2276</v>
      </c>
      <c r="N2144" s="413" t="s">
        <v>2982</v>
      </c>
    </row>
    <row r="2145">
      <c r="A2145" s="409">
        <v>46209.0</v>
      </c>
      <c r="B2145" s="102">
        <v>2026.0</v>
      </c>
      <c r="C2145" s="410" t="s">
        <v>2948</v>
      </c>
      <c r="D2145" s="102" t="s">
        <v>702</v>
      </c>
      <c r="E2145" s="102" t="s">
        <v>465</v>
      </c>
      <c r="F2145" s="102" t="s">
        <v>711</v>
      </c>
      <c r="G2145" s="102" t="s">
        <v>767</v>
      </c>
      <c r="H2145" s="360">
        <v>1247.0</v>
      </c>
      <c r="I2145" s="411" t="b">
        <v>0</v>
      </c>
      <c r="J2145" s="102" t="s">
        <v>1820</v>
      </c>
      <c r="K2145" s="360">
        <v>172.0</v>
      </c>
      <c r="L2145" s="360">
        <v>1075.0</v>
      </c>
      <c r="M2145" s="102" t="s">
        <v>2276</v>
      </c>
      <c r="N2145" s="102" t="s">
        <v>2983</v>
      </c>
    </row>
    <row r="2146">
      <c r="A2146" s="412">
        <v>46209.0</v>
      </c>
      <c r="B2146" s="413">
        <v>2026.0</v>
      </c>
      <c r="C2146" s="414" t="s">
        <v>2948</v>
      </c>
      <c r="D2146" s="413" t="s">
        <v>702</v>
      </c>
      <c r="E2146" s="413" t="s">
        <v>465</v>
      </c>
      <c r="F2146" s="413" t="s">
        <v>703</v>
      </c>
      <c r="G2146" s="413" t="s">
        <v>769</v>
      </c>
      <c r="H2146" s="415">
        <v>9280.0</v>
      </c>
      <c r="I2146" s="416" t="b">
        <v>0</v>
      </c>
      <c r="J2146" s="413" t="s">
        <v>472</v>
      </c>
      <c r="K2146" s="415">
        <v>0.0</v>
      </c>
      <c r="L2146" s="415">
        <v>9280.0</v>
      </c>
      <c r="M2146" s="413" t="s">
        <v>2276</v>
      </c>
      <c r="N2146" s="413" t="s">
        <v>2984</v>
      </c>
    </row>
    <row r="2147">
      <c r="A2147" s="409">
        <v>46209.0</v>
      </c>
      <c r="B2147" s="102">
        <v>2026.0</v>
      </c>
      <c r="C2147" s="410" t="s">
        <v>2948</v>
      </c>
      <c r="D2147" s="102" t="s">
        <v>702</v>
      </c>
      <c r="E2147" s="102" t="s">
        <v>465</v>
      </c>
      <c r="F2147" s="102" t="s">
        <v>711</v>
      </c>
      <c r="G2147" s="102" t="s">
        <v>767</v>
      </c>
      <c r="H2147" s="360">
        <v>500.0</v>
      </c>
      <c r="I2147" s="411" t="b">
        <v>0</v>
      </c>
      <c r="J2147" s="102" t="s">
        <v>1799</v>
      </c>
      <c r="K2147" s="360">
        <v>68.9655172413793</v>
      </c>
      <c r="L2147" s="360">
        <v>431.0344827586207</v>
      </c>
      <c r="M2147" s="102" t="s">
        <v>2276</v>
      </c>
      <c r="N2147" s="102" t="s">
        <v>2985</v>
      </c>
    </row>
    <row r="2148">
      <c r="A2148" s="412">
        <v>46209.0</v>
      </c>
      <c r="B2148" s="413">
        <v>2026.0</v>
      </c>
      <c r="C2148" s="414" t="s">
        <v>2948</v>
      </c>
      <c r="D2148" s="413" t="s">
        <v>702</v>
      </c>
      <c r="E2148" s="413" t="s">
        <v>465</v>
      </c>
      <c r="F2148" s="413" t="s">
        <v>703</v>
      </c>
      <c r="G2148" s="413" t="s">
        <v>601</v>
      </c>
      <c r="H2148" s="415">
        <v>550.0</v>
      </c>
      <c r="I2148" s="416" t="b">
        <v>0</v>
      </c>
      <c r="J2148" s="413" t="s">
        <v>472</v>
      </c>
      <c r="K2148" s="415">
        <v>0.0</v>
      </c>
      <c r="L2148" s="415">
        <v>550.0</v>
      </c>
      <c r="M2148" s="413" t="s">
        <v>2276</v>
      </c>
      <c r="N2148" s="413" t="s">
        <v>2986</v>
      </c>
    </row>
    <row r="2149">
      <c r="A2149" s="409">
        <v>46209.0</v>
      </c>
      <c r="B2149" s="102">
        <v>2026.0</v>
      </c>
      <c r="C2149" s="410" t="s">
        <v>2948</v>
      </c>
      <c r="D2149" s="102" t="s">
        <v>702</v>
      </c>
      <c r="E2149" s="102" t="s">
        <v>465</v>
      </c>
      <c r="F2149" s="102" t="s">
        <v>703</v>
      </c>
      <c r="G2149" s="102" t="s">
        <v>797</v>
      </c>
      <c r="H2149" s="360">
        <v>1069.0</v>
      </c>
      <c r="I2149" s="411" t="b">
        <v>0</v>
      </c>
      <c r="J2149" s="102" t="s">
        <v>472</v>
      </c>
      <c r="K2149" s="360">
        <v>0.0</v>
      </c>
      <c r="L2149" s="360">
        <v>1069.0</v>
      </c>
      <c r="M2149" s="102" t="s">
        <v>2276</v>
      </c>
      <c r="N2149" s="102" t="s">
        <v>2987</v>
      </c>
    </row>
    <row r="2150">
      <c r="A2150" s="412">
        <v>46209.0</v>
      </c>
      <c r="B2150" s="413">
        <v>2026.0</v>
      </c>
      <c r="C2150" s="414" t="s">
        <v>2948</v>
      </c>
      <c r="D2150" s="413" t="s">
        <v>702</v>
      </c>
      <c r="E2150" s="413" t="s">
        <v>465</v>
      </c>
      <c r="F2150" s="413" t="s">
        <v>703</v>
      </c>
      <c r="G2150" s="413" t="s">
        <v>732</v>
      </c>
      <c r="H2150" s="415">
        <v>4322.0</v>
      </c>
      <c r="I2150" s="416" t="b">
        <v>0</v>
      </c>
      <c r="J2150" s="413" t="s">
        <v>2988</v>
      </c>
      <c r="K2150" s="415">
        <v>0.0</v>
      </c>
      <c r="L2150" s="415">
        <v>4322.0</v>
      </c>
      <c r="M2150" s="413" t="s">
        <v>2276</v>
      </c>
      <c r="N2150" s="413" t="s">
        <v>2989</v>
      </c>
    </row>
    <row r="2151">
      <c r="A2151" s="409">
        <v>46211.0</v>
      </c>
      <c r="B2151" s="102">
        <v>2026.0</v>
      </c>
      <c r="C2151" s="410" t="s">
        <v>2948</v>
      </c>
      <c r="D2151" s="102" t="s">
        <v>723</v>
      </c>
      <c r="E2151" s="102" t="s">
        <v>137</v>
      </c>
      <c r="F2151" s="102" t="s">
        <v>711</v>
      </c>
      <c r="G2151" s="102" t="s">
        <v>767</v>
      </c>
      <c r="H2151" s="360">
        <v>950.0</v>
      </c>
      <c r="I2151" s="411" t="b">
        <v>0</v>
      </c>
      <c r="J2151" s="102" t="s">
        <v>2721</v>
      </c>
      <c r="K2151" s="360">
        <v>0.0</v>
      </c>
      <c r="L2151" s="360">
        <v>950.0</v>
      </c>
      <c r="M2151" s="102" t="s">
        <v>2276</v>
      </c>
      <c r="N2151" s="102" t="s">
        <v>2990</v>
      </c>
    </row>
    <row r="2152">
      <c r="A2152" s="412">
        <v>46211.0</v>
      </c>
      <c r="B2152" s="413">
        <v>2026.0</v>
      </c>
      <c r="C2152" s="414" t="s">
        <v>2948</v>
      </c>
      <c r="D2152" s="413" t="s">
        <v>723</v>
      </c>
      <c r="E2152" s="413" t="s">
        <v>137</v>
      </c>
      <c r="F2152" s="413" t="s">
        <v>711</v>
      </c>
      <c r="G2152" s="413" t="s">
        <v>732</v>
      </c>
      <c r="H2152" s="415">
        <v>200.0</v>
      </c>
      <c r="I2152" s="416" t="b">
        <v>0</v>
      </c>
      <c r="J2152" s="413" t="s">
        <v>2655</v>
      </c>
      <c r="K2152" s="415">
        <v>0.0</v>
      </c>
      <c r="L2152" s="415">
        <v>200.0</v>
      </c>
      <c r="M2152" s="413" t="s">
        <v>2276</v>
      </c>
      <c r="N2152" s="413" t="s">
        <v>2991</v>
      </c>
    </row>
    <row r="2153">
      <c r="A2153" s="409">
        <v>46211.0</v>
      </c>
      <c r="B2153" s="102">
        <v>2026.0</v>
      </c>
      <c r="C2153" s="410" t="s">
        <v>2948</v>
      </c>
      <c r="D2153" s="102" t="s">
        <v>702</v>
      </c>
      <c r="E2153" s="102" t="s">
        <v>465</v>
      </c>
      <c r="F2153" s="102" t="s">
        <v>711</v>
      </c>
      <c r="G2153" s="102" t="s">
        <v>767</v>
      </c>
      <c r="H2153" s="360">
        <v>800.0</v>
      </c>
      <c r="I2153" s="411" t="b">
        <v>0</v>
      </c>
      <c r="J2153" s="102" t="s">
        <v>432</v>
      </c>
      <c r="K2153" s="360">
        <v>110.34482758620686</v>
      </c>
      <c r="L2153" s="360">
        <v>689.6551724137931</v>
      </c>
      <c r="M2153" s="102" t="s">
        <v>2276</v>
      </c>
      <c r="N2153" s="102" t="s">
        <v>2992</v>
      </c>
    </row>
    <row r="2154">
      <c r="A2154" s="412">
        <v>46211.0</v>
      </c>
      <c r="B2154" s="413">
        <v>2026.0</v>
      </c>
      <c r="C2154" s="414" t="s">
        <v>2948</v>
      </c>
      <c r="D2154" s="413" t="s">
        <v>702</v>
      </c>
      <c r="E2154" s="413" t="s">
        <v>465</v>
      </c>
      <c r="F2154" s="413" t="s">
        <v>711</v>
      </c>
      <c r="G2154" s="413" t="s">
        <v>767</v>
      </c>
      <c r="H2154" s="415">
        <v>550.0</v>
      </c>
      <c r="I2154" s="416" t="b">
        <v>0</v>
      </c>
      <c r="J2154" s="413" t="s">
        <v>1213</v>
      </c>
      <c r="K2154" s="415">
        <v>75.86206896551721</v>
      </c>
      <c r="L2154" s="415">
        <v>474.1379310344828</v>
      </c>
      <c r="M2154" s="413" t="s">
        <v>2276</v>
      </c>
      <c r="N2154" s="413" t="s">
        <v>2993</v>
      </c>
    </row>
    <row r="2155">
      <c r="A2155" s="409">
        <v>46211.0</v>
      </c>
      <c r="B2155" s="102">
        <v>2026.0</v>
      </c>
      <c r="C2155" s="410" t="s">
        <v>2948</v>
      </c>
      <c r="D2155" s="102" t="s">
        <v>702</v>
      </c>
      <c r="E2155" s="102" t="s">
        <v>465</v>
      </c>
      <c r="F2155" s="102" t="s">
        <v>711</v>
      </c>
      <c r="G2155" s="102" t="s">
        <v>732</v>
      </c>
      <c r="H2155" s="360">
        <v>191.0</v>
      </c>
      <c r="I2155" s="411" t="b">
        <v>0</v>
      </c>
      <c r="J2155" s="102" t="s">
        <v>2655</v>
      </c>
      <c r="K2155" s="360">
        <v>26.34482758620689</v>
      </c>
      <c r="L2155" s="360">
        <v>164.6551724137931</v>
      </c>
      <c r="M2155" s="102" t="s">
        <v>2276</v>
      </c>
      <c r="N2155" s="102" t="s">
        <v>2994</v>
      </c>
    </row>
    <row r="2156">
      <c r="A2156" s="412">
        <v>46211.0</v>
      </c>
      <c r="B2156" s="413">
        <v>2026.0</v>
      </c>
      <c r="C2156" s="414" t="s">
        <v>2948</v>
      </c>
      <c r="D2156" s="413" t="s">
        <v>702</v>
      </c>
      <c r="E2156" s="413" t="s">
        <v>465</v>
      </c>
      <c r="F2156" s="413" t="s">
        <v>703</v>
      </c>
      <c r="G2156" s="413" t="s">
        <v>740</v>
      </c>
      <c r="H2156" s="415">
        <v>191.0</v>
      </c>
      <c r="I2156" s="416" t="b">
        <v>0</v>
      </c>
      <c r="J2156" s="413" t="s">
        <v>2285</v>
      </c>
      <c r="K2156" s="415">
        <v>0.0</v>
      </c>
      <c r="L2156" s="415">
        <v>191.0</v>
      </c>
      <c r="M2156" s="413" t="s">
        <v>2276</v>
      </c>
      <c r="N2156" s="413" t="s">
        <v>2995</v>
      </c>
    </row>
    <row r="2157">
      <c r="A2157" s="409">
        <v>46211.0</v>
      </c>
      <c r="B2157" s="102">
        <v>2026.0</v>
      </c>
      <c r="C2157" s="410" t="s">
        <v>2948</v>
      </c>
      <c r="D2157" s="102" t="s">
        <v>710</v>
      </c>
      <c r="E2157" s="102" t="s">
        <v>137</v>
      </c>
      <c r="F2157" s="102" t="s">
        <v>711</v>
      </c>
      <c r="G2157" s="102" t="s">
        <v>724</v>
      </c>
      <c r="H2157" s="360">
        <v>310.0</v>
      </c>
      <c r="I2157" s="411" t="b">
        <v>1</v>
      </c>
      <c r="J2157" s="102" t="s">
        <v>472</v>
      </c>
      <c r="K2157" s="360">
        <v>0.0</v>
      </c>
      <c r="L2157" s="360">
        <v>0.0</v>
      </c>
      <c r="M2157" s="102" t="s">
        <v>2276</v>
      </c>
      <c r="N2157" s="102" t="s">
        <v>2996</v>
      </c>
    </row>
    <row r="2158">
      <c r="A2158" s="412">
        <v>46211.0</v>
      </c>
      <c r="B2158" s="413">
        <v>2026.0</v>
      </c>
      <c r="C2158" s="414" t="s">
        <v>2948</v>
      </c>
      <c r="D2158" s="413" t="s">
        <v>723</v>
      </c>
      <c r="E2158" s="413" t="s">
        <v>137</v>
      </c>
      <c r="F2158" s="413" t="s">
        <v>703</v>
      </c>
      <c r="G2158" s="413" t="s">
        <v>724</v>
      </c>
      <c r="H2158" s="415">
        <v>310.0</v>
      </c>
      <c r="I2158" s="416" t="b">
        <v>1</v>
      </c>
      <c r="J2158" s="413" t="s">
        <v>472</v>
      </c>
      <c r="K2158" s="415">
        <v>0.0</v>
      </c>
      <c r="L2158" s="415">
        <v>0.0</v>
      </c>
      <c r="M2158" s="413" t="s">
        <v>2276</v>
      </c>
      <c r="N2158" s="413" t="s">
        <v>2996</v>
      </c>
    </row>
    <row r="2159">
      <c r="A2159" s="409">
        <v>46211.0</v>
      </c>
      <c r="B2159" s="102">
        <v>2026.0</v>
      </c>
      <c r="C2159" s="410" t="s">
        <v>2948</v>
      </c>
      <c r="D2159" s="102" t="s">
        <v>710</v>
      </c>
      <c r="E2159" s="102" t="s">
        <v>137</v>
      </c>
      <c r="F2159" s="102" t="s">
        <v>711</v>
      </c>
      <c r="G2159" s="102" t="s">
        <v>724</v>
      </c>
      <c r="H2159" s="360">
        <v>1120.0</v>
      </c>
      <c r="I2159" s="411" t="b">
        <v>1</v>
      </c>
      <c r="J2159" s="102" t="s">
        <v>472</v>
      </c>
      <c r="K2159" s="360">
        <v>0.0</v>
      </c>
      <c r="L2159" s="360">
        <v>0.0</v>
      </c>
      <c r="M2159" s="102" t="s">
        <v>2276</v>
      </c>
      <c r="N2159" s="102" t="s">
        <v>2997</v>
      </c>
    </row>
    <row r="2160">
      <c r="A2160" s="412">
        <v>46211.0</v>
      </c>
      <c r="B2160" s="413">
        <v>2026.0</v>
      </c>
      <c r="C2160" s="414" t="s">
        <v>2948</v>
      </c>
      <c r="D2160" s="413" t="s">
        <v>702</v>
      </c>
      <c r="E2160" s="413" t="s">
        <v>465</v>
      </c>
      <c r="F2160" s="413" t="s">
        <v>703</v>
      </c>
      <c r="G2160" s="413" t="s">
        <v>724</v>
      </c>
      <c r="H2160" s="415">
        <v>1120.0</v>
      </c>
      <c r="I2160" s="416" t="b">
        <v>1</v>
      </c>
      <c r="J2160" s="413" t="s">
        <v>472</v>
      </c>
      <c r="K2160" s="415">
        <v>0.0</v>
      </c>
      <c r="L2160" s="415">
        <v>0.0</v>
      </c>
      <c r="M2160" s="413" t="s">
        <v>2276</v>
      </c>
      <c r="N2160" s="413" t="s">
        <v>2997</v>
      </c>
    </row>
    <row r="2161">
      <c r="A2161" s="409">
        <v>46211.0</v>
      </c>
      <c r="B2161" s="102">
        <v>2026.0</v>
      </c>
      <c r="C2161" s="410" t="s">
        <v>2948</v>
      </c>
      <c r="D2161" s="102" t="s">
        <v>710</v>
      </c>
      <c r="E2161" s="102" t="s">
        <v>137</v>
      </c>
      <c r="F2161" s="102" t="s">
        <v>703</v>
      </c>
      <c r="G2161" s="102" t="s">
        <v>747</v>
      </c>
      <c r="H2161" s="360">
        <v>6500.0</v>
      </c>
      <c r="I2161" s="411" t="b">
        <v>0</v>
      </c>
      <c r="J2161" s="102" t="s">
        <v>2382</v>
      </c>
      <c r="K2161" s="360">
        <v>0.0</v>
      </c>
      <c r="L2161" s="360">
        <v>6500.0</v>
      </c>
      <c r="M2161" s="102" t="s">
        <v>2276</v>
      </c>
      <c r="N2161" s="102" t="s">
        <v>2998</v>
      </c>
    </row>
    <row r="2162">
      <c r="A2162" s="412">
        <v>46212.0</v>
      </c>
      <c r="B2162" s="413">
        <v>2026.0</v>
      </c>
      <c r="C2162" s="414" t="s">
        <v>2948</v>
      </c>
      <c r="D2162" s="413" t="s">
        <v>723</v>
      </c>
      <c r="E2162" s="413" t="s">
        <v>137</v>
      </c>
      <c r="F2162" s="413" t="s">
        <v>711</v>
      </c>
      <c r="G2162" s="413" t="s">
        <v>734</v>
      </c>
      <c r="H2162" s="415">
        <v>180.0</v>
      </c>
      <c r="I2162" s="416" t="b">
        <v>0</v>
      </c>
      <c r="J2162" s="413" t="s">
        <v>472</v>
      </c>
      <c r="K2162" s="415">
        <v>0.0</v>
      </c>
      <c r="L2162" s="415">
        <v>180.0</v>
      </c>
      <c r="M2162" s="413" t="s">
        <v>2276</v>
      </c>
      <c r="N2162" s="413" t="s">
        <v>2999</v>
      </c>
    </row>
    <row r="2163">
      <c r="A2163" s="409">
        <v>46212.0</v>
      </c>
      <c r="B2163" s="102">
        <v>2026.0</v>
      </c>
      <c r="C2163" s="410" t="s">
        <v>2948</v>
      </c>
      <c r="D2163" s="102" t="s">
        <v>702</v>
      </c>
      <c r="E2163" s="102" t="s">
        <v>465</v>
      </c>
      <c r="F2163" s="102" t="s">
        <v>711</v>
      </c>
      <c r="G2163" s="102" t="s">
        <v>734</v>
      </c>
      <c r="H2163" s="360">
        <v>172.0</v>
      </c>
      <c r="I2163" s="411" t="b">
        <v>0</v>
      </c>
      <c r="J2163" s="102" t="s">
        <v>472</v>
      </c>
      <c r="K2163" s="360">
        <v>23.724137931034477</v>
      </c>
      <c r="L2163" s="360">
        <v>148.27586206896552</v>
      </c>
      <c r="M2163" s="102" t="s">
        <v>2276</v>
      </c>
      <c r="N2163" s="102" t="s">
        <v>3000</v>
      </c>
    </row>
    <row r="2164">
      <c r="A2164" s="412">
        <v>46212.0</v>
      </c>
      <c r="B2164" s="413">
        <v>2026.0</v>
      </c>
      <c r="C2164" s="414" t="s">
        <v>2948</v>
      </c>
      <c r="D2164" s="413" t="s">
        <v>723</v>
      </c>
      <c r="E2164" s="413" t="s">
        <v>137</v>
      </c>
      <c r="F2164" s="413" t="s">
        <v>711</v>
      </c>
      <c r="G2164" s="413" t="s">
        <v>767</v>
      </c>
      <c r="H2164" s="415">
        <v>950.0</v>
      </c>
      <c r="I2164" s="416" t="b">
        <v>0</v>
      </c>
      <c r="J2164" s="413" t="s">
        <v>1199</v>
      </c>
      <c r="K2164" s="415">
        <v>0.0</v>
      </c>
      <c r="L2164" s="415">
        <v>950.0</v>
      </c>
      <c r="M2164" s="413" t="s">
        <v>2276</v>
      </c>
      <c r="N2164" s="413" t="s">
        <v>3001</v>
      </c>
    </row>
    <row r="2165">
      <c r="A2165" s="409">
        <v>46212.0</v>
      </c>
      <c r="B2165" s="102">
        <v>2026.0</v>
      </c>
      <c r="C2165" s="410" t="s">
        <v>2948</v>
      </c>
      <c r="D2165" s="102" t="s">
        <v>723</v>
      </c>
      <c r="E2165" s="102" t="s">
        <v>137</v>
      </c>
      <c r="F2165" s="102" t="s">
        <v>711</v>
      </c>
      <c r="G2165" s="102" t="s">
        <v>767</v>
      </c>
      <c r="H2165" s="360">
        <v>950.0</v>
      </c>
      <c r="I2165" s="411" t="b">
        <v>0</v>
      </c>
      <c r="J2165" s="102" t="s">
        <v>2637</v>
      </c>
      <c r="K2165" s="360">
        <v>0.0</v>
      </c>
      <c r="L2165" s="360">
        <v>950.0</v>
      </c>
      <c r="M2165" s="102" t="s">
        <v>2276</v>
      </c>
      <c r="N2165" s="102" t="s">
        <v>3002</v>
      </c>
    </row>
    <row r="2166">
      <c r="A2166" s="412">
        <v>46212.0</v>
      </c>
      <c r="B2166" s="413">
        <v>2026.0</v>
      </c>
      <c r="C2166" s="414" t="s">
        <v>2948</v>
      </c>
      <c r="D2166" s="413" t="s">
        <v>702</v>
      </c>
      <c r="E2166" s="413" t="s">
        <v>465</v>
      </c>
      <c r="F2166" s="413" t="s">
        <v>711</v>
      </c>
      <c r="G2166" s="413" t="s">
        <v>767</v>
      </c>
      <c r="H2166" s="415">
        <v>950.0</v>
      </c>
      <c r="I2166" s="416" t="b">
        <v>0</v>
      </c>
      <c r="J2166" s="413" t="s">
        <v>1967</v>
      </c>
      <c r="K2166" s="415">
        <v>131.03448275862058</v>
      </c>
      <c r="L2166" s="415">
        <v>818.9655172413794</v>
      </c>
      <c r="M2166" s="413" t="s">
        <v>2276</v>
      </c>
      <c r="N2166" s="413" t="s">
        <v>3003</v>
      </c>
    </row>
    <row r="2167">
      <c r="A2167" s="409">
        <v>46212.0</v>
      </c>
      <c r="B2167" s="102">
        <v>2026.0</v>
      </c>
      <c r="C2167" s="410" t="s">
        <v>2948</v>
      </c>
      <c r="D2167" s="102" t="s">
        <v>702</v>
      </c>
      <c r="E2167" s="102" t="s">
        <v>465</v>
      </c>
      <c r="F2167" s="102" t="s">
        <v>711</v>
      </c>
      <c r="G2167" s="102" t="s">
        <v>730</v>
      </c>
      <c r="H2167" s="360">
        <v>59.0</v>
      </c>
      <c r="I2167" s="411" t="b">
        <v>0</v>
      </c>
      <c r="J2167" s="102" t="s">
        <v>472</v>
      </c>
      <c r="K2167" s="360">
        <v>8.137931034482754</v>
      </c>
      <c r="L2167" s="360">
        <v>50.862068965517246</v>
      </c>
      <c r="M2167" s="102" t="s">
        <v>2276</v>
      </c>
      <c r="N2167" s="102" t="s">
        <v>3004</v>
      </c>
    </row>
    <row r="2168">
      <c r="A2168" s="412">
        <v>46213.0</v>
      </c>
      <c r="B2168" s="413">
        <v>2026.0</v>
      </c>
      <c r="C2168" s="414" t="s">
        <v>2948</v>
      </c>
      <c r="D2168" s="413" t="s">
        <v>702</v>
      </c>
      <c r="E2168" s="413" t="s">
        <v>465</v>
      </c>
      <c r="F2168" s="413" t="s">
        <v>711</v>
      </c>
      <c r="G2168" s="413" t="s">
        <v>767</v>
      </c>
      <c r="H2168" s="415">
        <v>1100.0</v>
      </c>
      <c r="I2168" s="416" t="b">
        <v>0</v>
      </c>
      <c r="J2168" s="413" t="s">
        <v>2571</v>
      </c>
      <c r="K2168" s="415">
        <v>151.72413793103442</v>
      </c>
      <c r="L2168" s="415">
        <v>948.2758620689656</v>
      </c>
      <c r="M2168" s="413" t="s">
        <v>2276</v>
      </c>
      <c r="N2168" s="413" t="s">
        <v>3005</v>
      </c>
    </row>
    <row r="2169">
      <c r="A2169" s="409">
        <v>46214.0</v>
      </c>
      <c r="B2169" s="102">
        <v>2026.0</v>
      </c>
      <c r="C2169" s="410" t="s">
        <v>2948</v>
      </c>
      <c r="D2169" s="102" t="s">
        <v>702</v>
      </c>
      <c r="E2169" s="102" t="s">
        <v>465</v>
      </c>
      <c r="F2169" s="102" t="s">
        <v>711</v>
      </c>
      <c r="G2169" s="102" t="s">
        <v>734</v>
      </c>
      <c r="H2169" s="360">
        <v>180.0</v>
      </c>
      <c r="I2169" s="411" t="b">
        <v>0</v>
      </c>
      <c r="J2169" s="102" t="s">
        <v>472</v>
      </c>
      <c r="K2169" s="360">
        <v>24.82758620689654</v>
      </c>
      <c r="L2169" s="360">
        <v>155.17241379310346</v>
      </c>
      <c r="M2169" s="102" t="s">
        <v>2276</v>
      </c>
      <c r="N2169" s="102" t="s">
        <v>3006</v>
      </c>
    </row>
    <row r="2170">
      <c r="A2170" s="412">
        <v>46214.0</v>
      </c>
      <c r="B2170" s="413">
        <v>2026.0</v>
      </c>
      <c r="C2170" s="414" t="s">
        <v>2948</v>
      </c>
      <c r="D2170" s="413" t="s">
        <v>723</v>
      </c>
      <c r="E2170" s="413" t="s">
        <v>137</v>
      </c>
      <c r="F2170" s="413" t="s">
        <v>711</v>
      </c>
      <c r="G2170" s="413" t="s">
        <v>724</v>
      </c>
      <c r="H2170" s="415">
        <v>63.0</v>
      </c>
      <c r="I2170" s="416" t="b">
        <v>1</v>
      </c>
      <c r="J2170" s="413" t="s">
        <v>472</v>
      </c>
      <c r="K2170" s="415">
        <v>0.0</v>
      </c>
      <c r="L2170" s="415">
        <v>0.0</v>
      </c>
      <c r="M2170" s="413" t="s">
        <v>2276</v>
      </c>
      <c r="N2170" s="413" t="s">
        <v>3007</v>
      </c>
    </row>
    <row r="2171">
      <c r="A2171" s="409">
        <v>46214.0</v>
      </c>
      <c r="B2171" s="102">
        <v>2026.0</v>
      </c>
      <c r="C2171" s="410" t="s">
        <v>2948</v>
      </c>
      <c r="D2171" s="102" t="s">
        <v>702</v>
      </c>
      <c r="E2171" s="102" t="s">
        <v>465</v>
      </c>
      <c r="F2171" s="102" t="s">
        <v>703</v>
      </c>
      <c r="G2171" s="102" t="s">
        <v>724</v>
      </c>
      <c r="H2171" s="360">
        <v>63.0</v>
      </c>
      <c r="I2171" s="411" t="b">
        <v>1</v>
      </c>
      <c r="J2171" s="102" t="s">
        <v>472</v>
      </c>
      <c r="K2171" s="360">
        <v>0.0</v>
      </c>
      <c r="L2171" s="360">
        <v>0.0</v>
      </c>
      <c r="M2171" s="102" t="s">
        <v>2276</v>
      </c>
      <c r="N2171" s="102" t="s">
        <v>3007</v>
      </c>
    </row>
    <row r="2172">
      <c r="A2172" s="412">
        <v>46214.0</v>
      </c>
      <c r="B2172" s="413">
        <v>2026.0</v>
      </c>
      <c r="C2172" s="414" t="s">
        <v>2948</v>
      </c>
      <c r="D2172" s="413" t="s">
        <v>723</v>
      </c>
      <c r="E2172" s="413" t="s">
        <v>137</v>
      </c>
      <c r="F2172" s="413" t="s">
        <v>711</v>
      </c>
      <c r="G2172" s="413" t="s">
        <v>732</v>
      </c>
      <c r="H2172" s="415">
        <v>296.0</v>
      </c>
      <c r="I2172" s="416" t="b">
        <v>0</v>
      </c>
      <c r="J2172" s="413" t="s">
        <v>3008</v>
      </c>
      <c r="K2172" s="415">
        <v>0.0</v>
      </c>
      <c r="L2172" s="415">
        <v>296.0</v>
      </c>
      <c r="M2172" s="413" t="s">
        <v>2276</v>
      </c>
      <c r="N2172" s="413" t="s">
        <v>3009</v>
      </c>
    </row>
    <row r="2173">
      <c r="A2173" s="409">
        <v>46214.0</v>
      </c>
      <c r="B2173" s="102">
        <v>2026.0</v>
      </c>
      <c r="C2173" s="410" t="s">
        <v>2948</v>
      </c>
      <c r="D2173" s="102" t="s">
        <v>723</v>
      </c>
      <c r="E2173" s="102" t="s">
        <v>137</v>
      </c>
      <c r="F2173" s="102" t="s">
        <v>703</v>
      </c>
      <c r="G2173" s="102" t="s">
        <v>724</v>
      </c>
      <c r="H2173" s="360">
        <v>4500.0</v>
      </c>
      <c r="I2173" s="411" t="b">
        <v>1</v>
      </c>
      <c r="J2173" s="102" t="s">
        <v>472</v>
      </c>
      <c r="K2173" s="360">
        <v>0.0</v>
      </c>
      <c r="L2173" s="360">
        <v>0.0</v>
      </c>
      <c r="M2173" s="102" t="s">
        <v>2276</v>
      </c>
      <c r="N2173" s="102" t="s">
        <v>3010</v>
      </c>
    </row>
    <row r="2174">
      <c r="A2174" s="412">
        <v>46214.0</v>
      </c>
      <c r="B2174" s="413">
        <v>2026.0</v>
      </c>
      <c r="C2174" s="414" t="s">
        <v>2948</v>
      </c>
      <c r="D2174" s="413" t="s">
        <v>710</v>
      </c>
      <c r="E2174" s="413" t="s">
        <v>137</v>
      </c>
      <c r="F2174" s="413" t="s">
        <v>711</v>
      </c>
      <c r="G2174" s="413" t="s">
        <v>724</v>
      </c>
      <c r="H2174" s="415">
        <v>4500.0</v>
      </c>
      <c r="I2174" s="416" t="b">
        <v>1</v>
      </c>
      <c r="J2174" s="413" t="s">
        <v>472</v>
      </c>
      <c r="K2174" s="415">
        <v>0.0</v>
      </c>
      <c r="L2174" s="415">
        <v>0.0</v>
      </c>
      <c r="M2174" s="413" t="s">
        <v>2276</v>
      </c>
      <c r="N2174" s="413" t="s">
        <v>3010</v>
      </c>
    </row>
    <row r="2175">
      <c r="A2175" s="409">
        <v>46214.0</v>
      </c>
      <c r="B2175" s="102">
        <v>2026.0</v>
      </c>
      <c r="C2175" s="410" t="s">
        <v>2948</v>
      </c>
      <c r="D2175" s="102" t="s">
        <v>710</v>
      </c>
      <c r="E2175" s="102" t="s">
        <v>137</v>
      </c>
      <c r="F2175" s="102" t="s">
        <v>711</v>
      </c>
      <c r="G2175" s="102" t="s">
        <v>750</v>
      </c>
      <c r="H2175" s="360">
        <v>295.0</v>
      </c>
      <c r="I2175" s="411" t="b">
        <v>0</v>
      </c>
      <c r="J2175" s="102" t="s">
        <v>3011</v>
      </c>
      <c r="K2175" s="360">
        <v>0.0</v>
      </c>
      <c r="L2175" s="360">
        <v>295.0</v>
      </c>
      <c r="M2175" s="102" t="s">
        <v>2276</v>
      </c>
      <c r="N2175" s="102" t="s">
        <v>3012</v>
      </c>
    </row>
    <row r="2176">
      <c r="A2176" s="412">
        <v>46214.0</v>
      </c>
      <c r="B2176" s="413">
        <v>2026.0</v>
      </c>
      <c r="C2176" s="414" t="s">
        <v>2948</v>
      </c>
      <c r="D2176" s="413" t="s">
        <v>702</v>
      </c>
      <c r="E2176" s="413" t="s">
        <v>465</v>
      </c>
      <c r="F2176" s="413" t="s">
        <v>711</v>
      </c>
      <c r="G2176" s="413" t="s">
        <v>724</v>
      </c>
      <c r="H2176" s="415">
        <v>504.0</v>
      </c>
      <c r="I2176" s="416" t="b">
        <v>1</v>
      </c>
      <c r="J2176" s="413" t="s">
        <v>472</v>
      </c>
      <c r="K2176" s="415">
        <v>0.0</v>
      </c>
      <c r="L2176" s="415">
        <v>0.0</v>
      </c>
      <c r="M2176" s="413" t="s">
        <v>2276</v>
      </c>
      <c r="N2176" s="413" t="s">
        <v>3013</v>
      </c>
    </row>
    <row r="2177">
      <c r="A2177" s="409">
        <v>46214.0</v>
      </c>
      <c r="B2177" s="102">
        <v>2026.0</v>
      </c>
      <c r="C2177" s="410" t="s">
        <v>2948</v>
      </c>
      <c r="D2177" s="102" t="s">
        <v>710</v>
      </c>
      <c r="E2177" s="102" t="s">
        <v>137</v>
      </c>
      <c r="F2177" s="102" t="s">
        <v>703</v>
      </c>
      <c r="G2177" s="102" t="s">
        <v>724</v>
      </c>
      <c r="H2177" s="360">
        <v>504.0</v>
      </c>
      <c r="I2177" s="411" t="b">
        <v>1</v>
      </c>
      <c r="J2177" s="102" t="s">
        <v>472</v>
      </c>
      <c r="K2177" s="360">
        <v>0.0</v>
      </c>
      <c r="L2177" s="360">
        <v>0.0</v>
      </c>
      <c r="M2177" s="102" t="s">
        <v>2276</v>
      </c>
      <c r="N2177" s="102" t="s">
        <v>3013</v>
      </c>
    </row>
    <row r="2178">
      <c r="A2178" s="412">
        <v>46214.0</v>
      </c>
      <c r="B2178" s="413">
        <v>2026.0</v>
      </c>
      <c r="C2178" s="414" t="s">
        <v>2948</v>
      </c>
      <c r="D2178" s="413" t="s">
        <v>702</v>
      </c>
      <c r="E2178" s="413" t="s">
        <v>465</v>
      </c>
      <c r="F2178" s="413" t="s">
        <v>711</v>
      </c>
      <c r="G2178" s="413" t="s">
        <v>767</v>
      </c>
      <c r="H2178" s="415">
        <v>150.0</v>
      </c>
      <c r="I2178" s="416" t="b">
        <v>0</v>
      </c>
      <c r="J2178" s="413" t="s">
        <v>432</v>
      </c>
      <c r="K2178" s="415">
        <v>20.68965517241378</v>
      </c>
      <c r="L2178" s="415">
        <v>129.31034482758622</v>
      </c>
      <c r="M2178" s="413" t="s">
        <v>2276</v>
      </c>
      <c r="N2178" s="413" t="s">
        <v>3014</v>
      </c>
    </row>
    <row r="2179">
      <c r="A2179" s="409">
        <v>46217.0</v>
      </c>
      <c r="B2179" s="102">
        <v>2026.0</v>
      </c>
      <c r="C2179" s="410" t="s">
        <v>2948</v>
      </c>
      <c r="D2179" s="102" t="s">
        <v>702</v>
      </c>
      <c r="E2179" s="102" t="s">
        <v>465</v>
      </c>
      <c r="F2179" s="102" t="s">
        <v>711</v>
      </c>
      <c r="G2179" s="102" t="s">
        <v>734</v>
      </c>
      <c r="H2179" s="360">
        <v>172.69</v>
      </c>
      <c r="I2179" s="411" t="b">
        <v>0</v>
      </c>
      <c r="J2179" s="102" t="s">
        <v>472</v>
      </c>
      <c r="K2179" s="360">
        <v>23.819310344827585</v>
      </c>
      <c r="L2179" s="360">
        <v>148.8706896551724</v>
      </c>
      <c r="M2179" s="102" t="s">
        <v>2276</v>
      </c>
      <c r="N2179" s="102" t="s">
        <v>3015</v>
      </c>
    </row>
    <row r="2180">
      <c r="A2180" s="412">
        <v>46217.0</v>
      </c>
      <c r="B2180" s="413">
        <v>2026.0</v>
      </c>
      <c r="C2180" s="414" t="s">
        <v>2948</v>
      </c>
      <c r="D2180" s="413" t="s">
        <v>723</v>
      </c>
      <c r="E2180" s="413" t="s">
        <v>137</v>
      </c>
      <c r="F2180" s="413" t="s">
        <v>711</v>
      </c>
      <c r="G2180" s="413" t="s">
        <v>734</v>
      </c>
      <c r="H2180" s="415">
        <v>180.0</v>
      </c>
      <c r="I2180" s="416" t="b">
        <v>0</v>
      </c>
      <c r="J2180" s="413" t="s">
        <v>472</v>
      </c>
      <c r="K2180" s="415">
        <v>0.0</v>
      </c>
      <c r="L2180" s="415">
        <v>180.0</v>
      </c>
      <c r="M2180" s="413" t="s">
        <v>2276</v>
      </c>
      <c r="N2180" s="413" t="s">
        <v>3016</v>
      </c>
    </row>
    <row r="2181">
      <c r="A2181" s="409">
        <v>46218.0</v>
      </c>
      <c r="B2181" s="102">
        <v>2026.0</v>
      </c>
      <c r="C2181" s="410" t="s">
        <v>2948</v>
      </c>
      <c r="D2181" s="102" t="s">
        <v>702</v>
      </c>
      <c r="E2181" s="102" t="s">
        <v>465</v>
      </c>
      <c r="F2181" s="102" t="s">
        <v>711</v>
      </c>
      <c r="G2181" s="102" t="s">
        <v>732</v>
      </c>
      <c r="H2181" s="360">
        <v>250.0</v>
      </c>
      <c r="I2181" s="411" t="b">
        <v>0</v>
      </c>
      <c r="J2181" s="102" t="s">
        <v>2655</v>
      </c>
      <c r="K2181" s="360">
        <v>34.48275862068965</v>
      </c>
      <c r="L2181" s="360">
        <v>215.51724137931035</v>
      </c>
      <c r="M2181" s="102" t="s">
        <v>2276</v>
      </c>
      <c r="N2181" s="102" t="s">
        <v>3017</v>
      </c>
    </row>
    <row r="2182">
      <c r="A2182" s="412">
        <v>46219.0</v>
      </c>
      <c r="B2182" s="413">
        <v>2026.0</v>
      </c>
      <c r="C2182" s="414" t="s">
        <v>2948</v>
      </c>
      <c r="D2182" s="413" t="s">
        <v>702</v>
      </c>
      <c r="E2182" s="413" t="s">
        <v>465</v>
      </c>
      <c r="F2182" s="413" t="s">
        <v>711</v>
      </c>
      <c r="G2182" s="413" t="s">
        <v>767</v>
      </c>
      <c r="H2182" s="415">
        <v>950.0</v>
      </c>
      <c r="I2182" s="416" t="b">
        <v>0</v>
      </c>
      <c r="J2182" s="413" t="s">
        <v>1788</v>
      </c>
      <c r="K2182" s="415">
        <v>131.03448275862058</v>
      </c>
      <c r="L2182" s="415">
        <v>818.9655172413794</v>
      </c>
      <c r="M2182" s="413" t="s">
        <v>2276</v>
      </c>
      <c r="N2182" s="413" t="s">
        <v>3018</v>
      </c>
    </row>
    <row r="2183">
      <c r="A2183" s="409">
        <v>46219.0</v>
      </c>
      <c r="B2183" s="102">
        <v>2026.0</v>
      </c>
      <c r="C2183" s="410" t="s">
        <v>2948</v>
      </c>
      <c r="D2183" s="102" t="s">
        <v>702</v>
      </c>
      <c r="E2183" s="102" t="s">
        <v>465</v>
      </c>
      <c r="F2183" s="102" t="s">
        <v>711</v>
      </c>
      <c r="G2183" s="102" t="s">
        <v>732</v>
      </c>
      <c r="H2183" s="360">
        <v>250.0</v>
      </c>
      <c r="I2183" s="411" t="b">
        <v>0</v>
      </c>
      <c r="J2183" s="102" t="s">
        <v>2655</v>
      </c>
      <c r="K2183" s="360">
        <v>34.48275862068965</v>
      </c>
      <c r="L2183" s="360">
        <v>215.51724137931035</v>
      </c>
      <c r="M2183" s="102" t="s">
        <v>2276</v>
      </c>
      <c r="N2183" s="102" t="s">
        <v>3019</v>
      </c>
    </row>
    <row r="2184">
      <c r="A2184" s="412">
        <v>46219.0</v>
      </c>
      <c r="B2184" s="413">
        <v>2026.0</v>
      </c>
      <c r="C2184" s="414" t="s">
        <v>2948</v>
      </c>
      <c r="D2184" s="413" t="s">
        <v>702</v>
      </c>
      <c r="E2184" s="413" t="s">
        <v>465</v>
      </c>
      <c r="F2184" s="413" t="s">
        <v>711</v>
      </c>
      <c r="G2184" s="413" t="s">
        <v>767</v>
      </c>
      <c r="H2184" s="415">
        <v>280.0</v>
      </c>
      <c r="I2184" s="416" t="b">
        <v>0</v>
      </c>
      <c r="J2184" s="413" t="s">
        <v>432</v>
      </c>
      <c r="K2184" s="415">
        <v>38.620689655172384</v>
      </c>
      <c r="L2184" s="415">
        <v>241.37931034482762</v>
      </c>
      <c r="M2184" s="413" t="s">
        <v>2276</v>
      </c>
      <c r="N2184" s="413" t="s">
        <v>3020</v>
      </c>
    </row>
    <row r="2185">
      <c r="A2185" s="409">
        <v>46220.0</v>
      </c>
      <c r="B2185" s="102">
        <v>2026.0</v>
      </c>
      <c r="C2185" s="410" t="s">
        <v>2948</v>
      </c>
      <c r="D2185" s="102" t="s">
        <v>702</v>
      </c>
      <c r="E2185" s="102" t="s">
        <v>465</v>
      </c>
      <c r="F2185" s="102" t="s">
        <v>711</v>
      </c>
      <c r="G2185" s="102" t="s">
        <v>767</v>
      </c>
      <c r="H2185" s="360">
        <v>950.0</v>
      </c>
      <c r="I2185" s="411" t="b">
        <v>0</v>
      </c>
      <c r="J2185" s="102" t="s">
        <v>1655</v>
      </c>
      <c r="K2185" s="360">
        <v>131.03448275862058</v>
      </c>
      <c r="L2185" s="360">
        <v>818.9655172413794</v>
      </c>
      <c r="M2185" s="102" t="s">
        <v>2276</v>
      </c>
      <c r="N2185" s="102" t="s">
        <v>3021</v>
      </c>
    </row>
    <row r="2186">
      <c r="A2186" s="412">
        <v>46221.0</v>
      </c>
      <c r="B2186" s="413">
        <v>2026.0</v>
      </c>
      <c r="C2186" s="414" t="s">
        <v>2948</v>
      </c>
      <c r="D2186" s="413" t="s">
        <v>723</v>
      </c>
      <c r="E2186" s="413" t="s">
        <v>137</v>
      </c>
      <c r="F2186" s="413" t="s">
        <v>711</v>
      </c>
      <c r="G2186" s="413" t="s">
        <v>732</v>
      </c>
      <c r="H2186" s="415">
        <v>200.0</v>
      </c>
      <c r="I2186" s="416" t="b">
        <v>0</v>
      </c>
      <c r="J2186" s="413" t="s">
        <v>2655</v>
      </c>
      <c r="K2186" s="415">
        <v>0.0</v>
      </c>
      <c r="L2186" s="415">
        <v>200.0</v>
      </c>
      <c r="M2186" s="413" t="s">
        <v>2276</v>
      </c>
      <c r="N2186" s="413" t="s">
        <v>3022</v>
      </c>
    </row>
    <row r="2187">
      <c r="A2187" s="409">
        <v>46221.0</v>
      </c>
      <c r="B2187" s="102">
        <v>2026.0</v>
      </c>
      <c r="C2187" s="410" t="s">
        <v>2948</v>
      </c>
      <c r="D2187" s="102" t="s">
        <v>723</v>
      </c>
      <c r="E2187" s="102" t="s">
        <v>137</v>
      </c>
      <c r="F2187" s="102" t="s">
        <v>711</v>
      </c>
      <c r="G2187" s="102" t="s">
        <v>740</v>
      </c>
      <c r="H2187" s="360">
        <v>30.0</v>
      </c>
      <c r="I2187" s="411" t="b">
        <v>0</v>
      </c>
      <c r="J2187" s="102" t="s">
        <v>472</v>
      </c>
      <c r="K2187" s="360">
        <v>0.0</v>
      </c>
      <c r="L2187" s="360">
        <v>30.0</v>
      </c>
      <c r="M2187" s="102" t="s">
        <v>2276</v>
      </c>
      <c r="N2187" s="102" t="s">
        <v>3023</v>
      </c>
    </row>
    <row r="2188">
      <c r="A2188" s="412">
        <v>46221.0</v>
      </c>
      <c r="B2188" s="413">
        <v>2026.0</v>
      </c>
      <c r="C2188" s="414" t="s">
        <v>2948</v>
      </c>
      <c r="D2188" s="413" t="s">
        <v>702</v>
      </c>
      <c r="E2188" s="413" t="s">
        <v>465</v>
      </c>
      <c r="F2188" s="413" t="s">
        <v>711</v>
      </c>
      <c r="G2188" s="413" t="s">
        <v>724</v>
      </c>
      <c r="H2188" s="415">
        <v>200.0</v>
      </c>
      <c r="I2188" s="416" t="b">
        <v>1</v>
      </c>
      <c r="J2188" s="413" t="s">
        <v>472</v>
      </c>
      <c r="K2188" s="415">
        <v>0.0</v>
      </c>
      <c r="L2188" s="415">
        <v>0.0</v>
      </c>
      <c r="M2188" s="413" t="s">
        <v>2276</v>
      </c>
      <c r="N2188" s="413" t="s">
        <v>3024</v>
      </c>
    </row>
    <row r="2189">
      <c r="A2189" s="409">
        <v>46221.0</v>
      </c>
      <c r="B2189" s="102">
        <v>2026.0</v>
      </c>
      <c r="C2189" s="410" t="s">
        <v>2948</v>
      </c>
      <c r="D2189" s="102" t="s">
        <v>723</v>
      </c>
      <c r="E2189" s="102" t="s">
        <v>137</v>
      </c>
      <c r="F2189" s="102" t="s">
        <v>703</v>
      </c>
      <c r="G2189" s="102" t="s">
        <v>724</v>
      </c>
      <c r="H2189" s="360">
        <v>200.0</v>
      </c>
      <c r="I2189" s="411" t="b">
        <v>1</v>
      </c>
      <c r="J2189" s="102" t="s">
        <v>472</v>
      </c>
      <c r="K2189" s="360">
        <v>0.0</v>
      </c>
      <c r="L2189" s="360">
        <v>0.0</v>
      </c>
      <c r="M2189" s="102" t="s">
        <v>2276</v>
      </c>
      <c r="N2189" s="102" t="s">
        <v>3024</v>
      </c>
    </row>
    <row r="2190">
      <c r="A2190" s="412">
        <v>46221.0</v>
      </c>
      <c r="B2190" s="413">
        <v>2026.0</v>
      </c>
      <c r="C2190" s="414" t="s">
        <v>2948</v>
      </c>
      <c r="D2190" s="413" t="s">
        <v>723</v>
      </c>
      <c r="E2190" s="413" t="s">
        <v>137</v>
      </c>
      <c r="F2190" s="413" t="s">
        <v>703</v>
      </c>
      <c r="G2190" s="413" t="s">
        <v>732</v>
      </c>
      <c r="H2190" s="415">
        <v>76.0</v>
      </c>
      <c r="I2190" s="416" t="b">
        <v>0</v>
      </c>
      <c r="J2190" s="413" t="s">
        <v>3025</v>
      </c>
      <c r="K2190" s="415">
        <v>0.0</v>
      </c>
      <c r="L2190" s="415">
        <v>76.0</v>
      </c>
      <c r="M2190" s="413" t="s">
        <v>2276</v>
      </c>
      <c r="N2190" s="413" t="s">
        <v>3026</v>
      </c>
    </row>
    <row r="2191">
      <c r="A2191" s="409">
        <v>46221.0</v>
      </c>
      <c r="B2191" s="102">
        <v>2026.0</v>
      </c>
      <c r="C2191" s="410" t="s">
        <v>2948</v>
      </c>
      <c r="D2191" s="102" t="s">
        <v>723</v>
      </c>
      <c r="E2191" s="102" t="s">
        <v>137</v>
      </c>
      <c r="F2191" s="102" t="s">
        <v>711</v>
      </c>
      <c r="G2191" s="102" t="s">
        <v>732</v>
      </c>
      <c r="H2191" s="360">
        <v>250.0</v>
      </c>
      <c r="I2191" s="411" t="b">
        <v>0</v>
      </c>
      <c r="J2191" s="102" t="s">
        <v>2655</v>
      </c>
      <c r="K2191" s="360">
        <v>0.0</v>
      </c>
      <c r="L2191" s="360">
        <v>250.0</v>
      </c>
      <c r="M2191" s="102" t="s">
        <v>2276</v>
      </c>
      <c r="N2191" s="102" t="s">
        <v>3027</v>
      </c>
    </row>
    <row r="2192">
      <c r="A2192" s="412">
        <v>46221.0</v>
      </c>
      <c r="B2192" s="413">
        <v>2026.0</v>
      </c>
      <c r="C2192" s="414" t="s">
        <v>2948</v>
      </c>
      <c r="D2192" s="413" t="s">
        <v>723</v>
      </c>
      <c r="E2192" s="413" t="s">
        <v>137</v>
      </c>
      <c r="F2192" s="413" t="s">
        <v>711</v>
      </c>
      <c r="G2192" s="413" t="s">
        <v>740</v>
      </c>
      <c r="H2192" s="415">
        <v>141.0</v>
      </c>
      <c r="I2192" s="416" t="b">
        <v>0</v>
      </c>
      <c r="J2192" s="413" t="s">
        <v>472</v>
      </c>
      <c r="K2192" s="415">
        <v>0.0</v>
      </c>
      <c r="L2192" s="415">
        <v>141.0</v>
      </c>
      <c r="M2192" s="413" t="s">
        <v>2276</v>
      </c>
      <c r="N2192" s="413" t="s">
        <v>3028</v>
      </c>
    </row>
    <row r="2193">
      <c r="A2193" s="409">
        <v>46221.0</v>
      </c>
      <c r="B2193" s="102">
        <v>2026.0</v>
      </c>
      <c r="C2193" s="410" t="s">
        <v>2948</v>
      </c>
      <c r="D2193" s="102" t="s">
        <v>710</v>
      </c>
      <c r="E2193" s="102" t="s">
        <v>137</v>
      </c>
      <c r="F2193" s="102" t="s">
        <v>711</v>
      </c>
      <c r="G2193" s="102" t="s">
        <v>724</v>
      </c>
      <c r="H2193" s="360">
        <v>1000.0</v>
      </c>
      <c r="I2193" s="411" t="b">
        <v>1</v>
      </c>
      <c r="J2193" s="102" t="s">
        <v>472</v>
      </c>
      <c r="K2193" s="360">
        <v>0.0</v>
      </c>
      <c r="L2193" s="360">
        <v>0.0</v>
      </c>
      <c r="M2193" s="102" t="s">
        <v>2276</v>
      </c>
      <c r="N2193" s="102" t="s">
        <v>3029</v>
      </c>
    </row>
    <row r="2194">
      <c r="A2194" s="412">
        <v>46221.0</v>
      </c>
      <c r="B2194" s="413">
        <v>2026.0</v>
      </c>
      <c r="C2194" s="414" t="s">
        <v>2948</v>
      </c>
      <c r="D2194" s="413" t="s">
        <v>723</v>
      </c>
      <c r="E2194" s="413" t="s">
        <v>137</v>
      </c>
      <c r="F2194" s="413" t="s">
        <v>703</v>
      </c>
      <c r="G2194" s="413" t="s">
        <v>724</v>
      </c>
      <c r="H2194" s="415">
        <v>1000.0</v>
      </c>
      <c r="I2194" s="416" t="b">
        <v>1</v>
      </c>
      <c r="J2194" s="413" t="s">
        <v>472</v>
      </c>
      <c r="K2194" s="415">
        <v>0.0</v>
      </c>
      <c r="L2194" s="415">
        <v>0.0</v>
      </c>
      <c r="M2194" s="413" t="s">
        <v>2276</v>
      </c>
      <c r="N2194" s="413" t="s">
        <v>3029</v>
      </c>
    </row>
    <row r="2195">
      <c r="A2195" s="409">
        <v>46221.0</v>
      </c>
      <c r="B2195" s="102">
        <v>2026.0</v>
      </c>
      <c r="C2195" s="410" t="s">
        <v>2948</v>
      </c>
      <c r="D2195" s="102" t="s">
        <v>702</v>
      </c>
      <c r="E2195" s="102" t="s">
        <v>465</v>
      </c>
      <c r="F2195" s="102" t="s">
        <v>711</v>
      </c>
      <c r="G2195" s="102" t="s">
        <v>767</v>
      </c>
      <c r="H2195" s="360">
        <v>1100.0</v>
      </c>
      <c r="I2195" s="411" t="b">
        <v>0</v>
      </c>
      <c r="J2195" s="102" t="s">
        <v>2632</v>
      </c>
      <c r="K2195" s="360">
        <v>151.72413793103442</v>
      </c>
      <c r="L2195" s="360">
        <v>948.2758620689656</v>
      </c>
      <c r="M2195" s="102" t="s">
        <v>2276</v>
      </c>
      <c r="N2195" s="102" t="s">
        <v>3030</v>
      </c>
    </row>
    <row r="2196">
      <c r="A2196" s="412">
        <v>46221.0</v>
      </c>
      <c r="B2196" s="413">
        <v>2026.0</v>
      </c>
      <c r="C2196" s="414" t="s">
        <v>2948</v>
      </c>
      <c r="D2196" s="413" t="s">
        <v>702</v>
      </c>
      <c r="E2196" s="413" t="s">
        <v>465</v>
      </c>
      <c r="F2196" s="413" t="s">
        <v>711</v>
      </c>
      <c r="G2196" s="413" t="s">
        <v>767</v>
      </c>
      <c r="H2196" s="415">
        <v>590.0</v>
      </c>
      <c r="I2196" s="416" t="b">
        <v>0</v>
      </c>
      <c r="J2196" s="413" t="s">
        <v>3031</v>
      </c>
      <c r="K2196" s="415">
        <v>81.37931034482756</v>
      </c>
      <c r="L2196" s="415">
        <v>508.62068965517244</v>
      </c>
      <c r="M2196" s="413" t="s">
        <v>2276</v>
      </c>
      <c r="N2196" s="413" t="s">
        <v>3032</v>
      </c>
    </row>
    <row r="2197">
      <c r="A2197" s="409">
        <v>46221.0</v>
      </c>
      <c r="B2197" s="102">
        <v>2026.0</v>
      </c>
      <c r="C2197" s="410" t="s">
        <v>2948</v>
      </c>
      <c r="D2197" s="102" t="s">
        <v>702</v>
      </c>
      <c r="E2197" s="102" t="s">
        <v>465</v>
      </c>
      <c r="F2197" s="102" t="s">
        <v>703</v>
      </c>
      <c r="G2197" s="102" t="s">
        <v>732</v>
      </c>
      <c r="H2197" s="360">
        <v>1781.0</v>
      </c>
      <c r="I2197" s="411" t="b">
        <v>0</v>
      </c>
      <c r="J2197" s="102" t="s">
        <v>3033</v>
      </c>
      <c r="K2197" s="360">
        <v>0.0</v>
      </c>
      <c r="L2197" s="360">
        <v>1781.0</v>
      </c>
      <c r="M2197" s="102" t="s">
        <v>2276</v>
      </c>
      <c r="N2197" s="102" t="s">
        <v>3034</v>
      </c>
    </row>
    <row r="2198">
      <c r="A2198" s="412">
        <v>46223.0</v>
      </c>
      <c r="B2198" s="413">
        <v>2026.0</v>
      </c>
      <c r="C2198" s="414" t="s">
        <v>2948</v>
      </c>
      <c r="D2198" s="413" t="s">
        <v>723</v>
      </c>
      <c r="E2198" s="413" t="s">
        <v>137</v>
      </c>
      <c r="F2198" s="413" t="s">
        <v>711</v>
      </c>
      <c r="G2198" s="413" t="s">
        <v>767</v>
      </c>
      <c r="H2198" s="415">
        <v>550.0</v>
      </c>
      <c r="I2198" s="416" t="b">
        <v>0</v>
      </c>
      <c r="J2198" s="413" t="s">
        <v>3035</v>
      </c>
      <c r="K2198" s="415">
        <v>0.0</v>
      </c>
      <c r="L2198" s="415">
        <v>550.0</v>
      </c>
      <c r="M2198" s="413" t="s">
        <v>2276</v>
      </c>
      <c r="N2198" s="413" t="s">
        <v>3036</v>
      </c>
    </row>
    <row r="2199">
      <c r="A2199" s="409">
        <v>46223.0</v>
      </c>
      <c r="B2199" s="102">
        <v>2026.0</v>
      </c>
      <c r="C2199" s="410" t="s">
        <v>2948</v>
      </c>
      <c r="D2199" s="102" t="s">
        <v>723</v>
      </c>
      <c r="E2199" s="102" t="s">
        <v>137</v>
      </c>
      <c r="F2199" s="102" t="s">
        <v>711</v>
      </c>
      <c r="G2199" s="102" t="s">
        <v>732</v>
      </c>
      <c r="H2199" s="360">
        <v>200.0</v>
      </c>
      <c r="I2199" s="411" t="b">
        <v>0</v>
      </c>
      <c r="J2199" s="102" t="s">
        <v>2655</v>
      </c>
      <c r="K2199" s="360">
        <v>0.0</v>
      </c>
      <c r="L2199" s="360">
        <v>200.0</v>
      </c>
      <c r="M2199" s="102" t="s">
        <v>2276</v>
      </c>
      <c r="N2199" s="102" t="s">
        <v>3037</v>
      </c>
    </row>
    <row r="2200">
      <c r="A2200" s="412">
        <v>46223.0</v>
      </c>
      <c r="B2200" s="413">
        <v>2026.0</v>
      </c>
      <c r="C2200" s="414" t="s">
        <v>2948</v>
      </c>
      <c r="D2200" s="413" t="s">
        <v>723</v>
      </c>
      <c r="E2200" s="413" t="s">
        <v>137</v>
      </c>
      <c r="F2200" s="413" t="s">
        <v>711</v>
      </c>
      <c r="G2200" s="413" t="s">
        <v>732</v>
      </c>
      <c r="H2200" s="415">
        <v>400.0</v>
      </c>
      <c r="I2200" s="416" t="b">
        <v>0</v>
      </c>
      <c r="J2200" s="413" t="s">
        <v>2655</v>
      </c>
      <c r="K2200" s="415">
        <v>0.0</v>
      </c>
      <c r="L2200" s="415">
        <v>400.0</v>
      </c>
      <c r="M2200" s="413" t="s">
        <v>2276</v>
      </c>
      <c r="N2200" s="413" t="s">
        <v>3038</v>
      </c>
    </row>
    <row r="2201">
      <c r="A2201" s="409">
        <v>46223.0</v>
      </c>
      <c r="B2201" s="102">
        <v>2026.0</v>
      </c>
      <c r="C2201" s="410" t="s">
        <v>2948</v>
      </c>
      <c r="D2201" s="102" t="s">
        <v>723</v>
      </c>
      <c r="E2201" s="102" t="s">
        <v>137</v>
      </c>
      <c r="F2201" s="102" t="s">
        <v>711</v>
      </c>
      <c r="G2201" s="102" t="s">
        <v>740</v>
      </c>
      <c r="H2201" s="360">
        <v>10.0</v>
      </c>
      <c r="I2201" s="411" t="b">
        <v>0</v>
      </c>
      <c r="J2201" s="102" t="s">
        <v>472</v>
      </c>
      <c r="K2201" s="360">
        <v>0.0</v>
      </c>
      <c r="L2201" s="360">
        <v>10.0</v>
      </c>
      <c r="M2201" s="102" t="s">
        <v>2276</v>
      </c>
      <c r="N2201" s="102" t="s">
        <v>3039</v>
      </c>
    </row>
    <row r="2202">
      <c r="A2202" s="412">
        <v>46226.0</v>
      </c>
      <c r="B2202" s="413">
        <v>2026.0</v>
      </c>
      <c r="C2202" s="414" t="s">
        <v>2948</v>
      </c>
      <c r="D2202" s="413" t="s">
        <v>702</v>
      </c>
      <c r="E2202" s="413" t="s">
        <v>465</v>
      </c>
      <c r="F2202" s="413" t="s">
        <v>703</v>
      </c>
      <c r="G2202" s="413" t="s">
        <v>724</v>
      </c>
      <c r="H2202" s="415">
        <v>500.0</v>
      </c>
      <c r="I2202" s="416" t="b">
        <v>1</v>
      </c>
      <c r="J2202" s="413" t="s">
        <v>472</v>
      </c>
      <c r="K2202" s="415">
        <v>0.0</v>
      </c>
      <c r="L2202" s="415">
        <v>0.0</v>
      </c>
      <c r="M2202" s="413" t="s">
        <v>2276</v>
      </c>
      <c r="N2202" s="413" t="s">
        <v>3040</v>
      </c>
    </row>
    <row r="2203">
      <c r="A2203" s="409">
        <v>46226.0</v>
      </c>
      <c r="B2203" s="102">
        <v>2026.0</v>
      </c>
      <c r="C2203" s="410" t="s">
        <v>2948</v>
      </c>
      <c r="D2203" s="102" t="s">
        <v>710</v>
      </c>
      <c r="E2203" s="102" t="s">
        <v>137</v>
      </c>
      <c r="F2203" s="102" t="s">
        <v>711</v>
      </c>
      <c r="G2203" s="102" t="s">
        <v>724</v>
      </c>
      <c r="H2203" s="360">
        <v>500.0</v>
      </c>
      <c r="I2203" s="411" t="b">
        <v>1</v>
      </c>
      <c r="J2203" s="102" t="s">
        <v>472</v>
      </c>
      <c r="K2203" s="360">
        <v>0.0</v>
      </c>
      <c r="L2203" s="360">
        <v>0.0</v>
      </c>
      <c r="M2203" s="102" t="s">
        <v>2276</v>
      </c>
      <c r="N2203" s="102" t="s">
        <v>3040</v>
      </c>
    </row>
    <row r="2204">
      <c r="A2204" s="412">
        <v>46226.0</v>
      </c>
      <c r="B2204" s="413">
        <v>2026.0</v>
      </c>
      <c r="C2204" s="414" t="s">
        <v>2948</v>
      </c>
      <c r="D2204" s="413" t="s">
        <v>723</v>
      </c>
      <c r="E2204" s="413" t="s">
        <v>137</v>
      </c>
      <c r="F2204" s="413" t="s">
        <v>703</v>
      </c>
      <c r="G2204" s="413" t="s">
        <v>724</v>
      </c>
      <c r="H2204" s="415">
        <v>200.0</v>
      </c>
      <c r="I2204" s="416" t="b">
        <v>1</v>
      </c>
      <c r="J2204" s="413" t="s">
        <v>472</v>
      </c>
      <c r="K2204" s="415">
        <v>0.0</v>
      </c>
      <c r="L2204" s="415">
        <v>0.0</v>
      </c>
      <c r="M2204" s="413" t="s">
        <v>2276</v>
      </c>
      <c r="N2204" s="413" t="s">
        <v>3041</v>
      </c>
    </row>
    <row r="2205">
      <c r="A2205" s="409">
        <v>46226.0</v>
      </c>
      <c r="B2205" s="102">
        <v>2026.0</v>
      </c>
      <c r="C2205" s="410" t="s">
        <v>2948</v>
      </c>
      <c r="D2205" s="102" t="s">
        <v>702</v>
      </c>
      <c r="E2205" s="102" t="s">
        <v>465</v>
      </c>
      <c r="F2205" s="102" t="s">
        <v>711</v>
      </c>
      <c r="G2205" s="102" t="s">
        <v>724</v>
      </c>
      <c r="H2205" s="360">
        <v>200.0</v>
      </c>
      <c r="I2205" s="411" t="b">
        <v>1</v>
      </c>
      <c r="J2205" s="102" t="s">
        <v>472</v>
      </c>
      <c r="K2205" s="360">
        <v>0.0</v>
      </c>
      <c r="L2205" s="360">
        <v>0.0</v>
      </c>
      <c r="M2205" s="102" t="s">
        <v>2276</v>
      </c>
      <c r="N2205" s="102" t="s">
        <v>3041</v>
      </c>
    </row>
    <row r="2206">
      <c r="A2206" s="412">
        <v>46226.0</v>
      </c>
      <c r="B2206" s="413">
        <v>2026.0</v>
      </c>
      <c r="C2206" s="414" t="s">
        <v>2948</v>
      </c>
      <c r="D2206" s="413" t="s">
        <v>723</v>
      </c>
      <c r="E2206" s="413" t="s">
        <v>137</v>
      </c>
      <c r="F2206" s="413" t="s">
        <v>711</v>
      </c>
      <c r="G2206" s="413" t="s">
        <v>732</v>
      </c>
      <c r="H2206" s="415">
        <v>250.0</v>
      </c>
      <c r="I2206" s="416" t="b">
        <v>0</v>
      </c>
      <c r="J2206" s="413" t="s">
        <v>472</v>
      </c>
      <c r="K2206" s="415">
        <v>0.0</v>
      </c>
      <c r="L2206" s="415">
        <v>250.0</v>
      </c>
      <c r="M2206" s="413" t="s">
        <v>2276</v>
      </c>
      <c r="N2206" s="413" t="s">
        <v>3042</v>
      </c>
    </row>
    <row r="2207">
      <c r="A2207" s="409">
        <v>46226.0</v>
      </c>
      <c r="B2207" s="102">
        <v>2026.0</v>
      </c>
      <c r="C2207" s="410" t="s">
        <v>2948</v>
      </c>
      <c r="D2207" s="102" t="s">
        <v>723</v>
      </c>
      <c r="E2207" s="102" t="s">
        <v>137</v>
      </c>
      <c r="F2207" s="102" t="s">
        <v>711</v>
      </c>
      <c r="G2207" s="102" t="s">
        <v>734</v>
      </c>
      <c r="H2207" s="360">
        <v>180.0</v>
      </c>
      <c r="I2207" s="411" t="b">
        <v>0</v>
      </c>
      <c r="J2207" s="102" t="s">
        <v>472</v>
      </c>
      <c r="K2207" s="360">
        <v>0.0</v>
      </c>
      <c r="L2207" s="360">
        <v>180.0</v>
      </c>
      <c r="M2207" s="102" t="s">
        <v>2276</v>
      </c>
      <c r="N2207" s="102" t="s">
        <v>3043</v>
      </c>
    </row>
    <row r="2208">
      <c r="A2208" s="412">
        <v>46226.0</v>
      </c>
      <c r="B2208" s="413">
        <v>2026.0</v>
      </c>
      <c r="C2208" s="414" t="s">
        <v>2948</v>
      </c>
      <c r="D2208" s="413" t="s">
        <v>702</v>
      </c>
      <c r="E2208" s="413" t="s">
        <v>465</v>
      </c>
      <c r="F2208" s="413" t="s">
        <v>711</v>
      </c>
      <c r="G2208" s="413" t="s">
        <v>767</v>
      </c>
      <c r="H2208" s="415">
        <v>1247.0</v>
      </c>
      <c r="I2208" s="416" t="b">
        <v>0</v>
      </c>
      <c r="J2208" s="413" t="s">
        <v>1164</v>
      </c>
      <c r="K2208" s="415">
        <v>172.0</v>
      </c>
      <c r="L2208" s="415">
        <v>1075.0</v>
      </c>
      <c r="M2208" s="413" t="s">
        <v>2276</v>
      </c>
      <c r="N2208" s="413" t="s">
        <v>3044</v>
      </c>
    </row>
    <row r="2209">
      <c r="A2209" s="409">
        <v>46226.0</v>
      </c>
      <c r="B2209" s="102">
        <v>2026.0</v>
      </c>
      <c r="C2209" s="410" t="s">
        <v>2948</v>
      </c>
      <c r="D2209" s="102" t="s">
        <v>723</v>
      </c>
      <c r="E2209" s="102" t="s">
        <v>137</v>
      </c>
      <c r="F2209" s="102" t="s">
        <v>711</v>
      </c>
      <c r="G2209" s="102" t="s">
        <v>767</v>
      </c>
      <c r="H2209" s="360">
        <v>950.0</v>
      </c>
      <c r="I2209" s="411" t="b">
        <v>0</v>
      </c>
      <c r="J2209" s="102" t="s">
        <v>1224</v>
      </c>
      <c r="K2209" s="360">
        <v>0.0</v>
      </c>
      <c r="L2209" s="360">
        <v>950.0</v>
      </c>
      <c r="M2209" s="102" t="s">
        <v>2276</v>
      </c>
      <c r="N2209" s="102" t="s">
        <v>3045</v>
      </c>
    </row>
    <row r="2210">
      <c r="A2210" s="412">
        <v>46226.0</v>
      </c>
      <c r="B2210" s="413">
        <v>2026.0</v>
      </c>
      <c r="C2210" s="414" t="s">
        <v>2948</v>
      </c>
      <c r="D2210" s="413" t="s">
        <v>723</v>
      </c>
      <c r="E2210" s="413" t="s">
        <v>137</v>
      </c>
      <c r="F2210" s="413" t="s">
        <v>711</v>
      </c>
      <c r="G2210" s="413" t="s">
        <v>767</v>
      </c>
      <c r="H2210" s="415">
        <v>950.0</v>
      </c>
      <c r="I2210" s="416" t="b">
        <v>0</v>
      </c>
      <c r="J2210" s="413" t="s">
        <v>2643</v>
      </c>
      <c r="K2210" s="415">
        <v>0.0</v>
      </c>
      <c r="L2210" s="415">
        <v>950.0</v>
      </c>
      <c r="M2210" s="413" t="s">
        <v>2276</v>
      </c>
      <c r="N2210" s="413" t="s">
        <v>3046</v>
      </c>
    </row>
    <row r="2211">
      <c r="A2211" s="409">
        <v>46226.0</v>
      </c>
      <c r="B2211" s="102">
        <v>2026.0</v>
      </c>
      <c r="C2211" s="410" t="s">
        <v>2948</v>
      </c>
      <c r="D2211" s="102" t="s">
        <v>710</v>
      </c>
      <c r="E2211" s="102" t="s">
        <v>137</v>
      </c>
      <c r="F2211" s="102" t="s">
        <v>703</v>
      </c>
      <c r="G2211" s="102" t="s">
        <v>724</v>
      </c>
      <c r="H2211" s="360">
        <v>214.0</v>
      </c>
      <c r="I2211" s="411" t="b">
        <v>1</v>
      </c>
      <c r="J2211" s="102" t="s">
        <v>472</v>
      </c>
      <c r="K2211" s="360">
        <v>0.0</v>
      </c>
      <c r="L2211" s="360">
        <v>0.0</v>
      </c>
      <c r="M2211" s="102" t="s">
        <v>2276</v>
      </c>
      <c r="N2211" s="102" t="s">
        <v>3047</v>
      </c>
    </row>
    <row r="2212">
      <c r="A2212" s="412">
        <v>46226.0</v>
      </c>
      <c r="B2212" s="413">
        <v>2026.0</v>
      </c>
      <c r="C2212" s="414" t="s">
        <v>2948</v>
      </c>
      <c r="D2212" s="413" t="s">
        <v>702</v>
      </c>
      <c r="E2212" s="413" t="s">
        <v>465</v>
      </c>
      <c r="F2212" s="413" t="s">
        <v>711</v>
      </c>
      <c r="G2212" s="413" t="s">
        <v>724</v>
      </c>
      <c r="H2212" s="415">
        <v>214.0</v>
      </c>
      <c r="I2212" s="416" t="b">
        <v>1</v>
      </c>
      <c r="J2212" s="413" t="s">
        <v>472</v>
      </c>
      <c r="K2212" s="415">
        <v>0.0</v>
      </c>
      <c r="L2212" s="415">
        <v>0.0</v>
      </c>
      <c r="M2212" s="413" t="s">
        <v>2276</v>
      </c>
      <c r="N2212" s="413" t="s">
        <v>3047</v>
      </c>
    </row>
    <row r="2213">
      <c r="A2213" s="409">
        <v>46226.0</v>
      </c>
      <c r="B2213" s="102">
        <v>2026.0</v>
      </c>
      <c r="C2213" s="410" t="s">
        <v>2948</v>
      </c>
      <c r="D2213" s="102" t="s">
        <v>702</v>
      </c>
      <c r="E2213" s="102" t="s">
        <v>465</v>
      </c>
      <c r="F2213" s="102" t="s">
        <v>711</v>
      </c>
      <c r="G2213" s="102" t="s">
        <v>724</v>
      </c>
      <c r="H2213" s="360">
        <v>998.0</v>
      </c>
      <c r="I2213" s="411" t="b">
        <v>1</v>
      </c>
      <c r="J2213" s="102" t="s">
        <v>472</v>
      </c>
      <c r="K2213" s="360">
        <v>0.0</v>
      </c>
      <c r="L2213" s="360">
        <v>0.0</v>
      </c>
      <c r="M2213" s="102" t="s">
        <v>2276</v>
      </c>
      <c r="N2213" s="102" t="s">
        <v>3048</v>
      </c>
    </row>
    <row r="2214">
      <c r="A2214" s="412">
        <v>46226.0</v>
      </c>
      <c r="B2214" s="413">
        <v>2026.0</v>
      </c>
      <c r="C2214" s="414" t="s">
        <v>2948</v>
      </c>
      <c r="D2214" s="413" t="s">
        <v>710</v>
      </c>
      <c r="E2214" s="413" t="s">
        <v>137</v>
      </c>
      <c r="F2214" s="413" t="s">
        <v>703</v>
      </c>
      <c r="G2214" s="413" t="s">
        <v>724</v>
      </c>
      <c r="H2214" s="415">
        <v>998.0</v>
      </c>
      <c r="I2214" s="416" t="b">
        <v>1</v>
      </c>
      <c r="J2214" s="413" t="s">
        <v>472</v>
      </c>
      <c r="K2214" s="415">
        <v>0.0</v>
      </c>
      <c r="L2214" s="415">
        <v>0.0</v>
      </c>
      <c r="M2214" s="413" t="s">
        <v>2276</v>
      </c>
      <c r="N2214" s="413" t="s">
        <v>3048</v>
      </c>
    </row>
    <row r="2215">
      <c r="A2215" s="409">
        <v>46226.0</v>
      </c>
      <c r="B2215" s="102">
        <v>2026.0</v>
      </c>
      <c r="C2215" s="410" t="s">
        <v>2948</v>
      </c>
      <c r="D2215" s="102" t="s">
        <v>702</v>
      </c>
      <c r="E2215" s="102" t="s">
        <v>465</v>
      </c>
      <c r="F2215" s="102" t="s">
        <v>703</v>
      </c>
      <c r="G2215" s="102" t="s">
        <v>906</v>
      </c>
      <c r="H2215" s="360">
        <v>3882.0</v>
      </c>
      <c r="I2215" s="411" t="b">
        <v>0</v>
      </c>
      <c r="J2215" s="102" t="s">
        <v>472</v>
      </c>
      <c r="K2215" s="360">
        <v>0.0</v>
      </c>
      <c r="L2215" s="360">
        <v>3882.0</v>
      </c>
      <c r="M2215" s="102" t="s">
        <v>2276</v>
      </c>
      <c r="N2215" s="102" t="s">
        <v>3049</v>
      </c>
    </row>
    <row r="2216">
      <c r="A2216" s="412">
        <v>46226.0</v>
      </c>
      <c r="B2216" s="413">
        <v>2026.0</v>
      </c>
      <c r="C2216" s="414" t="s">
        <v>2948</v>
      </c>
      <c r="D2216" s="413" t="s">
        <v>710</v>
      </c>
      <c r="E2216" s="413" t="s">
        <v>137</v>
      </c>
      <c r="F2216" s="413" t="s">
        <v>703</v>
      </c>
      <c r="G2216" s="413" t="s">
        <v>906</v>
      </c>
      <c r="H2216" s="415">
        <v>2910.0</v>
      </c>
      <c r="I2216" s="416" t="b">
        <v>0</v>
      </c>
      <c r="J2216" s="413" t="s">
        <v>472</v>
      </c>
      <c r="K2216" s="415">
        <v>0.0</v>
      </c>
      <c r="L2216" s="415">
        <v>2910.0</v>
      </c>
      <c r="M2216" s="413" t="s">
        <v>2276</v>
      </c>
      <c r="N2216" s="413" t="s">
        <v>3050</v>
      </c>
    </row>
    <row r="2217">
      <c r="A2217" s="409">
        <v>46226.0</v>
      </c>
      <c r="B2217" s="102">
        <v>2026.0</v>
      </c>
      <c r="C2217" s="410" t="s">
        <v>2948</v>
      </c>
      <c r="D2217" s="102" t="s">
        <v>702</v>
      </c>
      <c r="E2217" s="102" t="s">
        <v>465</v>
      </c>
      <c r="F2217" s="102" t="s">
        <v>703</v>
      </c>
      <c r="G2217" s="102" t="s">
        <v>732</v>
      </c>
      <c r="H2217" s="360">
        <v>278.0</v>
      </c>
      <c r="I2217" s="411" t="b">
        <v>0</v>
      </c>
      <c r="J2217" s="102" t="s">
        <v>602</v>
      </c>
      <c r="K2217" s="360">
        <v>0.0</v>
      </c>
      <c r="L2217" s="360">
        <v>278.0</v>
      </c>
      <c r="M2217" s="102" t="s">
        <v>2276</v>
      </c>
      <c r="N2217" s="102" t="s">
        <v>3051</v>
      </c>
    </row>
    <row r="2218">
      <c r="A2218" s="412">
        <v>46226.0</v>
      </c>
      <c r="B2218" s="413">
        <v>2026.0</v>
      </c>
      <c r="C2218" s="414" t="s">
        <v>2948</v>
      </c>
      <c r="D2218" s="413" t="s">
        <v>710</v>
      </c>
      <c r="E2218" s="413" t="s">
        <v>137</v>
      </c>
      <c r="F2218" s="413" t="s">
        <v>703</v>
      </c>
      <c r="G2218" s="413" t="s">
        <v>724</v>
      </c>
      <c r="H2218" s="415">
        <v>1962.0</v>
      </c>
      <c r="I2218" s="416" t="b">
        <v>1</v>
      </c>
      <c r="J2218" s="413" t="s">
        <v>472</v>
      </c>
      <c r="K2218" s="415">
        <v>0.0</v>
      </c>
      <c r="L2218" s="415">
        <v>0.0</v>
      </c>
      <c r="M2218" s="413" t="s">
        <v>2276</v>
      </c>
      <c r="N2218" s="413" t="s">
        <v>3052</v>
      </c>
    </row>
    <row r="2219">
      <c r="A2219" s="409">
        <v>46226.0</v>
      </c>
      <c r="B2219" s="102">
        <v>2026.0</v>
      </c>
      <c r="C2219" s="410" t="s">
        <v>2948</v>
      </c>
      <c r="D2219" s="102" t="s">
        <v>702</v>
      </c>
      <c r="E2219" s="102" t="s">
        <v>465</v>
      </c>
      <c r="F2219" s="102" t="s">
        <v>711</v>
      </c>
      <c r="G2219" s="102" t="s">
        <v>724</v>
      </c>
      <c r="H2219" s="360">
        <v>1962.0</v>
      </c>
      <c r="I2219" s="411" t="b">
        <v>1</v>
      </c>
      <c r="J2219" s="102" t="s">
        <v>472</v>
      </c>
      <c r="K2219" s="360">
        <v>0.0</v>
      </c>
      <c r="L2219" s="360">
        <v>0.0</v>
      </c>
      <c r="M2219" s="102" t="s">
        <v>2276</v>
      </c>
      <c r="N2219" s="102" t="s">
        <v>3052</v>
      </c>
    </row>
    <row r="2220">
      <c r="A2220" s="412">
        <v>46226.0</v>
      </c>
      <c r="B2220" s="413">
        <v>2026.0</v>
      </c>
      <c r="C2220" s="414" t="s">
        <v>2948</v>
      </c>
      <c r="D2220" s="413" t="s">
        <v>702</v>
      </c>
      <c r="E2220" s="413" t="s">
        <v>465</v>
      </c>
      <c r="F2220" s="413" t="s">
        <v>711</v>
      </c>
      <c r="G2220" s="413" t="s">
        <v>730</v>
      </c>
      <c r="H2220" s="415">
        <v>368.0</v>
      </c>
      <c r="I2220" s="416" t="b">
        <v>0</v>
      </c>
      <c r="J2220" s="413" t="s">
        <v>472</v>
      </c>
      <c r="K2220" s="415">
        <v>50.758620689655174</v>
      </c>
      <c r="L2220" s="415">
        <v>317.2413793103448</v>
      </c>
      <c r="M2220" s="413" t="s">
        <v>2276</v>
      </c>
      <c r="N2220" s="413" t="s">
        <v>3053</v>
      </c>
    </row>
    <row r="2221">
      <c r="A2221" s="409">
        <v>46226.0</v>
      </c>
      <c r="B2221" s="102">
        <v>2026.0</v>
      </c>
      <c r="C2221" s="410" t="s">
        <v>2948</v>
      </c>
      <c r="D2221" s="102" t="s">
        <v>723</v>
      </c>
      <c r="E2221" s="102" t="s">
        <v>137</v>
      </c>
      <c r="F2221" s="102" t="s">
        <v>703</v>
      </c>
      <c r="G2221" s="102" t="s">
        <v>724</v>
      </c>
      <c r="H2221" s="360">
        <v>2727.0</v>
      </c>
      <c r="I2221" s="411" t="b">
        <v>1</v>
      </c>
      <c r="J2221" s="102" t="s">
        <v>472</v>
      </c>
      <c r="K2221" s="360">
        <v>0.0</v>
      </c>
      <c r="L2221" s="360">
        <v>0.0</v>
      </c>
      <c r="M2221" s="102" t="s">
        <v>2276</v>
      </c>
      <c r="N2221" s="102" t="s">
        <v>3054</v>
      </c>
    </row>
    <row r="2222">
      <c r="A2222" s="412">
        <v>46226.0</v>
      </c>
      <c r="B2222" s="413">
        <v>2026.0</v>
      </c>
      <c r="C2222" s="414" t="s">
        <v>2948</v>
      </c>
      <c r="D2222" s="413" t="s">
        <v>710</v>
      </c>
      <c r="E2222" s="413" t="s">
        <v>137</v>
      </c>
      <c r="F2222" s="413" t="s">
        <v>711</v>
      </c>
      <c r="G2222" s="413" t="s">
        <v>724</v>
      </c>
      <c r="H2222" s="415">
        <v>2727.0</v>
      </c>
      <c r="I2222" s="416" t="b">
        <v>1</v>
      </c>
      <c r="J2222" s="413" t="s">
        <v>472</v>
      </c>
      <c r="K2222" s="415">
        <v>0.0</v>
      </c>
      <c r="L2222" s="415">
        <v>0.0</v>
      </c>
      <c r="M2222" s="413" t="s">
        <v>2276</v>
      </c>
      <c r="N2222" s="413" t="s">
        <v>3054</v>
      </c>
    </row>
    <row r="2223">
      <c r="A2223" s="409">
        <v>46226.0</v>
      </c>
      <c r="B2223" s="102">
        <v>2026.0</v>
      </c>
      <c r="C2223" s="410" t="s">
        <v>2948</v>
      </c>
      <c r="D2223" s="102" t="s">
        <v>723</v>
      </c>
      <c r="E2223" s="102" t="s">
        <v>137</v>
      </c>
      <c r="F2223" s="102" t="s">
        <v>703</v>
      </c>
      <c r="G2223" s="102" t="s">
        <v>740</v>
      </c>
      <c r="H2223" s="360">
        <v>200.0</v>
      </c>
      <c r="I2223" s="411" t="b">
        <v>0</v>
      </c>
      <c r="J2223" s="102" t="s">
        <v>472</v>
      </c>
      <c r="K2223" s="360">
        <v>0.0</v>
      </c>
      <c r="L2223" s="360">
        <v>200.0</v>
      </c>
      <c r="M2223" s="102" t="s">
        <v>2276</v>
      </c>
      <c r="N2223" s="102" t="s">
        <v>3055</v>
      </c>
    </row>
    <row r="2224">
      <c r="A2224" s="412">
        <v>46228.0</v>
      </c>
      <c r="B2224" s="413">
        <v>2026.0</v>
      </c>
      <c r="C2224" s="414" t="s">
        <v>2948</v>
      </c>
      <c r="D2224" s="413" t="s">
        <v>723</v>
      </c>
      <c r="E2224" s="413" t="s">
        <v>137</v>
      </c>
      <c r="F2224" s="413" t="s">
        <v>711</v>
      </c>
      <c r="G2224" s="413" t="s">
        <v>734</v>
      </c>
      <c r="H2224" s="415">
        <v>180.0</v>
      </c>
      <c r="I2224" s="416" t="b">
        <v>0</v>
      </c>
      <c r="J2224" s="413" t="s">
        <v>472</v>
      </c>
      <c r="K2224" s="415">
        <v>0.0</v>
      </c>
      <c r="L2224" s="415">
        <v>180.0</v>
      </c>
      <c r="M2224" s="413" t="s">
        <v>2276</v>
      </c>
      <c r="N2224" s="413" t="s">
        <v>3056</v>
      </c>
    </row>
    <row r="2225">
      <c r="A2225" s="409">
        <v>46230.0</v>
      </c>
      <c r="B2225" s="102">
        <v>2026.0</v>
      </c>
      <c r="C2225" s="410" t="s">
        <v>2948</v>
      </c>
      <c r="D2225" s="102" t="s">
        <v>723</v>
      </c>
      <c r="E2225" s="102" t="s">
        <v>137</v>
      </c>
      <c r="F2225" s="102" t="s">
        <v>711</v>
      </c>
      <c r="G2225" s="102" t="s">
        <v>732</v>
      </c>
      <c r="H2225" s="360">
        <v>200.0</v>
      </c>
      <c r="I2225" s="411" t="b">
        <v>0</v>
      </c>
      <c r="J2225" s="102" t="s">
        <v>2655</v>
      </c>
      <c r="K2225" s="360">
        <v>0.0</v>
      </c>
      <c r="L2225" s="360">
        <v>200.0</v>
      </c>
      <c r="M2225" s="102" t="s">
        <v>2276</v>
      </c>
      <c r="N2225" s="102" t="s">
        <v>3057</v>
      </c>
    </row>
    <row r="2226">
      <c r="A2226" s="412">
        <v>46230.0</v>
      </c>
      <c r="B2226" s="413">
        <v>2026.0</v>
      </c>
      <c r="C2226" s="414" t="s">
        <v>2948</v>
      </c>
      <c r="D2226" s="413" t="s">
        <v>702</v>
      </c>
      <c r="E2226" s="413" t="s">
        <v>465</v>
      </c>
      <c r="F2226" s="413" t="s">
        <v>711</v>
      </c>
      <c r="G2226" s="413" t="s">
        <v>767</v>
      </c>
      <c r="H2226" s="415">
        <v>950.0</v>
      </c>
      <c r="I2226" s="416" t="b">
        <v>0</v>
      </c>
      <c r="J2226" s="413" t="s">
        <v>1507</v>
      </c>
      <c r="K2226" s="415">
        <v>131.03448275862058</v>
      </c>
      <c r="L2226" s="415">
        <v>818.9655172413794</v>
      </c>
      <c r="M2226" s="413" t="s">
        <v>2276</v>
      </c>
      <c r="N2226" s="413" t="s">
        <v>3058</v>
      </c>
    </row>
    <row r="2227">
      <c r="A2227" s="409">
        <v>46230.0</v>
      </c>
      <c r="B2227" s="102">
        <v>2026.0</v>
      </c>
      <c r="C2227" s="410" t="s">
        <v>2948</v>
      </c>
      <c r="D2227" s="102" t="s">
        <v>702</v>
      </c>
      <c r="E2227" s="102" t="s">
        <v>465</v>
      </c>
      <c r="F2227" s="102" t="s">
        <v>703</v>
      </c>
      <c r="G2227" s="102" t="s">
        <v>732</v>
      </c>
      <c r="H2227" s="360">
        <v>1199.0</v>
      </c>
      <c r="I2227" s="411" t="b">
        <v>0</v>
      </c>
      <c r="J2227" s="102" t="s">
        <v>3059</v>
      </c>
      <c r="K2227" s="360">
        <v>0.0</v>
      </c>
      <c r="L2227" s="360">
        <v>1199.0</v>
      </c>
      <c r="M2227" s="102" t="s">
        <v>2276</v>
      </c>
      <c r="N2227" s="102" t="s">
        <v>3060</v>
      </c>
    </row>
    <row r="2228">
      <c r="A2228" s="412">
        <v>46230.0</v>
      </c>
      <c r="B2228" s="413">
        <v>2026.0</v>
      </c>
      <c r="C2228" s="414" t="s">
        <v>2948</v>
      </c>
      <c r="D2228" s="413" t="s">
        <v>702</v>
      </c>
      <c r="E2228" s="413" t="s">
        <v>465</v>
      </c>
      <c r="F2228" s="413" t="s">
        <v>711</v>
      </c>
      <c r="G2228" s="413" t="s">
        <v>767</v>
      </c>
      <c r="H2228" s="415">
        <v>527.67</v>
      </c>
      <c r="I2228" s="416" t="b">
        <v>0</v>
      </c>
      <c r="J2228" s="413" t="s">
        <v>3061</v>
      </c>
      <c r="K2228" s="415">
        <v>72.78206896551723</v>
      </c>
      <c r="L2228" s="415">
        <v>454.88793103448273</v>
      </c>
      <c r="M2228" s="413" t="s">
        <v>2276</v>
      </c>
      <c r="N2228" s="413" t="s">
        <v>3062</v>
      </c>
    </row>
    <row r="2229">
      <c r="A2229" s="409">
        <v>46230.0</v>
      </c>
      <c r="B2229" s="102">
        <v>2026.0</v>
      </c>
      <c r="C2229" s="410" t="s">
        <v>2948</v>
      </c>
      <c r="D2229" s="102" t="s">
        <v>702</v>
      </c>
      <c r="E2229" s="102" t="s">
        <v>465</v>
      </c>
      <c r="F2229" s="102" t="s">
        <v>711</v>
      </c>
      <c r="G2229" s="102" t="s">
        <v>767</v>
      </c>
      <c r="H2229" s="360">
        <v>911.43</v>
      </c>
      <c r="I2229" s="411" t="b">
        <v>0</v>
      </c>
      <c r="J2229" s="102" t="s">
        <v>2038</v>
      </c>
      <c r="K2229" s="360">
        <v>125.71448275862065</v>
      </c>
      <c r="L2229" s="360">
        <v>785.7155172413793</v>
      </c>
      <c r="M2229" s="102" t="s">
        <v>2276</v>
      </c>
      <c r="N2229" s="102" t="s">
        <v>3063</v>
      </c>
    </row>
    <row r="2230">
      <c r="A2230" s="412">
        <v>46230.0</v>
      </c>
      <c r="B2230" s="413">
        <v>2026.0</v>
      </c>
      <c r="C2230" s="414" t="s">
        <v>2948</v>
      </c>
      <c r="D2230" s="413" t="s">
        <v>710</v>
      </c>
      <c r="E2230" s="413" t="s">
        <v>137</v>
      </c>
      <c r="F2230" s="413" t="s">
        <v>703</v>
      </c>
      <c r="G2230" s="413" t="s">
        <v>747</v>
      </c>
      <c r="H2230" s="415">
        <v>6500.0</v>
      </c>
      <c r="I2230" s="416" t="b">
        <v>0</v>
      </c>
      <c r="J2230" s="413" t="s">
        <v>2382</v>
      </c>
      <c r="K2230" s="415">
        <v>0.0</v>
      </c>
      <c r="L2230" s="415">
        <v>6500.0</v>
      </c>
      <c r="M2230" s="413" t="s">
        <v>2276</v>
      </c>
      <c r="N2230" s="413" t="s">
        <v>3064</v>
      </c>
    </row>
    <row r="2231">
      <c r="A2231" s="409">
        <v>46230.0</v>
      </c>
      <c r="B2231" s="102">
        <v>2026.0</v>
      </c>
      <c r="C2231" s="410" t="s">
        <v>2948</v>
      </c>
      <c r="D2231" s="102" t="s">
        <v>702</v>
      </c>
      <c r="E2231" s="102" t="s">
        <v>465</v>
      </c>
      <c r="F2231" s="102" t="s">
        <v>703</v>
      </c>
      <c r="G2231" s="102" t="s">
        <v>2457</v>
      </c>
      <c r="H2231" s="360">
        <v>700.0</v>
      </c>
      <c r="I2231" s="411" t="b">
        <v>0</v>
      </c>
      <c r="J2231" s="102" t="s">
        <v>3065</v>
      </c>
      <c r="K2231" s="360">
        <v>0.0</v>
      </c>
      <c r="L2231" s="360">
        <v>700.0</v>
      </c>
      <c r="M2231" s="102" t="s">
        <v>2276</v>
      </c>
      <c r="N2231" s="102" t="s">
        <v>3066</v>
      </c>
    </row>
    <row r="2232">
      <c r="A2232" s="412">
        <v>46231.0</v>
      </c>
      <c r="B2232" s="413">
        <v>2026.0</v>
      </c>
      <c r="C2232" s="414" t="s">
        <v>2948</v>
      </c>
      <c r="D2232" s="413" t="s">
        <v>702</v>
      </c>
      <c r="E2232" s="413" t="s">
        <v>465</v>
      </c>
      <c r="F2232" s="413" t="s">
        <v>711</v>
      </c>
      <c r="G2232" s="413" t="s">
        <v>767</v>
      </c>
      <c r="H2232" s="415">
        <v>911.0</v>
      </c>
      <c r="I2232" s="416" t="b">
        <v>0</v>
      </c>
      <c r="J2232" s="413" t="s">
        <v>1274</v>
      </c>
      <c r="K2232" s="415">
        <v>125.65517241379303</v>
      </c>
      <c r="L2232" s="415">
        <v>785.344827586207</v>
      </c>
      <c r="M2232" s="413" t="s">
        <v>2276</v>
      </c>
      <c r="N2232" s="413" t="s">
        <v>3067</v>
      </c>
    </row>
    <row r="2233">
      <c r="A2233" s="409">
        <v>46232.0</v>
      </c>
      <c r="B2233" s="102">
        <v>2026.0</v>
      </c>
      <c r="C2233" s="410" t="s">
        <v>2948</v>
      </c>
      <c r="D2233" s="102" t="s">
        <v>723</v>
      </c>
      <c r="E2233" s="102" t="s">
        <v>137</v>
      </c>
      <c r="F2233" s="102" t="s">
        <v>711</v>
      </c>
      <c r="G2233" s="102" t="s">
        <v>740</v>
      </c>
      <c r="H2233" s="360">
        <v>127.0</v>
      </c>
      <c r="I2233" s="411" t="b">
        <v>0</v>
      </c>
      <c r="J2233" s="102" t="s">
        <v>472</v>
      </c>
      <c r="K2233" s="360">
        <v>0.0</v>
      </c>
      <c r="L2233" s="360">
        <v>127.0</v>
      </c>
      <c r="M2233" s="102" t="s">
        <v>2276</v>
      </c>
      <c r="N2233" s="102" t="s">
        <v>3068</v>
      </c>
    </row>
    <row r="2234">
      <c r="A2234" s="412">
        <v>46233.0</v>
      </c>
      <c r="B2234" s="413">
        <v>2026.0</v>
      </c>
      <c r="C2234" s="414" t="s">
        <v>2948</v>
      </c>
      <c r="D2234" s="413" t="s">
        <v>702</v>
      </c>
      <c r="E2234" s="413" t="s">
        <v>465</v>
      </c>
      <c r="F2234" s="413" t="s">
        <v>711</v>
      </c>
      <c r="G2234" s="413" t="s">
        <v>767</v>
      </c>
      <c r="H2234" s="415">
        <v>300.0</v>
      </c>
      <c r="I2234" s="416" t="b">
        <v>0</v>
      </c>
      <c r="J2234" s="413" t="s">
        <v>3035</v>
      </c>
      <c r="K2234" s="415">
        <v>41.37931034482756</v>
      </c>
      <c r="L2234" s="415">
        <v>258.62068965517244</v>
      </c>
      <c r="M2234" s="413" t="s">
        <v>2276</v>
      </c>
      <c r="N2234" s="413" t="s">
        <v>3069</v>
      </c>
    </row>
    <row r="2235">
      <c r="A2235" s="409">
        <v>46233.0</v>
      </c>
      <c r="B2235" s="102">
        <v>2026.0</v>
      </c>
      <c r="C2235" s="410" t="s">
        <v>2948</v>
      </c>
      <c r="D2235" s="102" t="s">
        <v>702</v>
      </c>
      <c r="E2235" s="102" t="s">
        <v>465</v>
      </c>
      <c r="F2235" s="102" t="s">
        <v>703</v>
      </c>
      <c r="G2235" s="102" t="s">
        <v>2352</v>
      </c>
      <c r="H2235" s="360">
        <v>188.0</v>
      </c>
      <c r="I2235" s="411" t="b">
        <v>0</v>
      </c>
      <c r="J2235" s="102" t="s">
        <v>472</v>
      </c>
      <c r="K2235" s="360">
        <v>0.0</v>
      </c>
      <c r="L2235" s="360">
        <v>188.0</v>
      </c>
      <c r="M2235" s="102" t="s">
        <v>2276</v>
      </c>
      <c r="N2235" s="102" t="s">
        <v>3070</v>
      </c>
    </row>
    <row r="2236">
      <c r="A2236" s="412">
        <v>46234.0</v>
      </c>
      <c r="B2236" s="413">
        <v>2026.0</v>
      </c>
      <c r="C2236" s="414" t="s">
        <v>2948</v>
      </c>
      <c r="D2236" s="413" t="s">
        <v>702</v>
      </c>
      <c r="E2236" s="413" t="s">
        <v>465</v>
      </c>
      <c r="F2236" s="413" t="s">
        <v>711</v>
      </c>
      <c r="G2236" s="413" t="s">
        <v>767</v>
      </c>
      <c r="H2236" s="415">
        <v>1100.0</v>
      </c>
      <c r="I2236" s="416" t="b">
        <v>0</v>
      </c>
      <c r="J2236" s="413" t="s">
        <v>1246</v>
      </c>
      <c r="K2236" s="415">
        <v>151.72413793103442</v>
      </c>
      <c r="L2236" s="415">
        <v>948.2758620689656</v>
      </c>
      <c r="M2236" s="413" t="s">
        <v>2276</v>
      </c>
      <c r="N2236" s="413" t="s">
        <v>3071</v>
      </c>
    </row>
    <row r="2237">
      <c r="A2237" s="409">
        <v>46234.0</v>
      </c>
      <c r="B2237" s="102">
        <v>2026.0</v>
      </c>
      <c r="C2237" s="410" t="s">
        <v>2948</v>
      </c>
      <c r="D2237" s="102" t="s">
        <v>702</v>
      </c>
      <c r="E2237" s="102" t="s">
        <v>465</v>
      </c>
      <c r="F2237" s="102" t="s">
        <v>711</v>
      </c>
      <c r="G2237" s="102" t="s">
        <v>767</v>
      </c>
      <c r="H2237" s="360">
        <v>800.0</v>
      </c>
      <c r="I2237" s="411" t="b">
        <v>0</v>
      </c>
      <c r="J2237" s="102" t="s">
        <v>1237</v>
      </c>
      <c r="K2237" s="360">
        <v>110.34482758620686</v>
      </c>
      <c r="L2237" s="360">
        <v>689.6551724137931</v>
      </c>
      <c r="M2237" s="102" t="s">
        <v>2276</v>
      </c>
      <c r="N2237" s="102" t="s">
        <v>3072</v>
      </c>
    </row>
    <row r="2238">
      <c r="A2238" s="412">
        <v>46234.0</v>
      </c>
      <c r="B2238" s="413">
        <v>2026.0</v>
      </c>
      <c r="C2238" s="414" t="s">
        <v>2948</v>
      </c>
      <c r="D2238" s="413" t="s">
        <v>710</v>
      </c>
      <c r="E2238" s="413" t="s">
        <v>137</v>
      </c>
      <c r="F2238" s="413" t="s">
        <v>703</v>
      </c>
      <c r="G2238" s="413" t="s">
        <v>1657</v>
      </c>
      <c r="H2238" s="415">
        <v>1000.0</v>
      </c>
      <c r="I2238" s="416" t="b">
        <v>0</v>
      </c>
      <c r="J2238" s="413" t="s">
        <v>472</v>
      </c>
      <c r="K2238" s="415">
        <v>0.0</v>
      </c>
      <c r="L2238" s="415">
        <v>1000.0</v>
      </c>
      <c r="M2238" s="413" t="s">
        <v>2276</v>
      </c>
      <c r="N2238" s="413" t="s">
        <v>3073</v>
      </c>
    </row>
    <row r="2239">
      <c r="A2239" s="409">
        <v>46238.0</v>
      </c>
      <c r="B2239" s="102">
        <v>2026.0</v>
      </c>
      <c r="C2239" s="410" t="s">
        <v>3074</v>
      </c>
      <c r="D2239" s="102" t="s">
        <v>723</v>
      </c>
      <c r="E2239" s="102" t="s">
        <v>137</v>
      </c>
      <c r="F2239" s="102" t="s">
        <v>711</v>
      </c>
      <c r="G2239" s="102" t="s">
        <v>767</v>
      </c>
      <c r="H2239" s="360">
        <v>950.0</v>
      </c>
      <c r="I2239" s="411" t="b">
        <v>0</v>
      </c>
      <c r="J2239" s="102" t="s">
        <v>1371</v>
      </c>
      <c r="K2239" s="360">
        <v>0.0</v>
      </c>
      <c r="L2239" s="360">
        <v>950.0</v>
      </c>
      <c r="M2239" s="102" t="s">
        <v>2276</v>
      </c>
      <c r="N2239" s="102" t="s">
        <v>3075</v>
      </c>
    </row>
    <row r="2240">
      <c r="A2240" s="412">
        <v>46238.0</v>
      </c>
      <c r="B2240" s="413">
        <v>2026.0</v>
      </c>
      <c r="C2240" s="414" t="s">
        <v>3074</v>
      </c>
      <c r="D2240" s="413" t="s">
        <v>702</v>
      </c>
      <c r="E2240" s="413" t="s">
        <v>465</v>
      </c>
      <c r="F2240" s="413" t="s">
        <v>711</v>
      </c>
      <c r="G2240" s="413" t="s">
        <v>767</v>
      </c>
      <c r="H2240" s="415">
        <v>800.0</v>
      </c>
      <c r="I2240" s="416" t="b">
        <v>0</v>
      </c>
      <c r="J2240" s="413" t="s">
        <v>1950</v>
      </c>
      <c r="K2240" s="415">
        <v>110.34482758620686</v>
      </c>
      <c r="L2240" s="415">
        <v>689.6551724137931</v>
      </c>
      <c r="M2240" s="413" t="s">
        <v>2276</v>
      </c>
      <c r="N2240" s="413" t="s">
        <v>3076</v>
      </c>
    </row>
    <row r="2241">
      <c r="A2241" s="409">
        <v>46238.0</v>
      </c>
      <c r="B2241" s="102">
        <v>2026.0</v>
      </c>
      <c r="C2241" s="410" t="s">
        <v>3074</v>
      </c>
      <c r="D2241" s="102" t="s">
        <v>702</v>
      </c>
      <c r="E2241" s="102" t="s">
        <v>465</v>
      </c>
      <c r="F2241" s="102" t="s">
        <v>711</v>
      </c>
      <c r="G2241" s="102" t="s">
        <v>767</v>
      </c>
      <c r="H2241" s="360">
        <v>950.0</v>
      </c>
      <c r="I2241" s="411" t="b">
        <v>0</v>
      </c>
      <c r="J2241" s="102" t="s">
        <v>1861</v>
      </c>
      <c r="K2241" s="360">
        <v>131.03448275862058</v>
      </c>
      <c r="L2241" s="360">
        <v>818.9655172413794</v>
      </c>
      <c r="M2241" s="102" t="s">
        <v>2276</v>
      </c>
      <c r="N2241" s="102" t="s">
        <v>3077</v>
      </c>
    </row>
    <row r="2242">
      <c r="A2242" s="412">
        <v>46238.0</v>
      </c>
      <c r="B2242" s="413">
        <v>2026.0</v>
      </c>
      <c r="C2242" s="414" t="s">
        <v>3074</v>
      </c>
      <c r="D2242" s="413" t="s">
        <v>723</v>
      </c>
      <c r="E2242" s="413" t="s">
        <v>137</v>
      </c>
      <c r="F2242" s="413" t="s">
        <v>711</v>
      </c>
      <c r="G2242" s="413" t="s">
        <v>767</v>
      </c>
      <c r="H2242" s="415">
        <v>950.0</v>
      </c>
      <c r="I2242" s="416" t="b">
        <v>0</v>
      </c>
      <c r="J2242" s="413" t="s">
        <v>2825</v>
      </c>
      <c r="K2242" s="415">
        <v>0.0</v>
      </c>
      <c r="L2242" s="415">
        <v>950.0</v>
      </c>
      <c r="M2242" s="413" t="s">
        <v>2276</v>
      </c>
      <c r="N2242" s="413" t="s">
        <v>3078</v>
      </c>
    </row>
    <row r="2243">
      <c r="A2243" s="409">
        <v>46238.0</v>
      </c>
      <c r="B2243" s="102">
        <v>2026.0</v>
      </c>
      <c r="C2243" s="410" t="s">
        <v>3074</v>
      </c>
      <c r="D2243" s="102" t="s">
        <v>702</v>
      </c>
      <c r="E2243" s="102" t="s">
        <v>465</v>
      </c>
      <c r="F2243" s="102" t="s">
        <v>711</v>
      </c>
      <c r="G2243" s="102" t="s">
        <v>767</v>
      </c>
      <c r="H2243" s="360">
        <v>950.0</v>
      </c>
      <c r="I2243" s="411" t="b">
        <v>0</v>
      </c>
      <c r="J2243" s="102" t="s">
        <v>3079</v>
      </c>
      <c r="K2243" s="360">
        <v>131.03448275862058</v>
      </c>
      <c r="L2243" s="360">
        <v>818.9655172413794</v>
      </c>
      <c r="M2243" s="102" t="s">
        <v>2276</v>
      </c>
      <c r="N2243" s="102" t="s">
        <v>3080</v>
      </c>
    </row>
    <row r="2244">
      <c r="A2244" s="412">
        <v>46238.0</v>
      </c>
      <c r="B2244" s="413">
        <v>2026.0</v>
      </c>
      <c r="C2244" s="414" t="s">
        <v>3074</v>
      </c>
      <c r="D2244" s="413" t="s">
        <v>702</v>
      </c>
      <c r="E2244" s="413" t="s">
        <v>465</v>
      </c>
      <c r="F2244" s="413" t="s">
        <v>711</v>
      </c>
      <c r="G2244" s="413" t="s">
        <v>767</v>
      </c>
      <c r="H2244" s="415">
        <v>800.0</v>
      </c>
      <c r="I2244" s="416" t="b">
        <v>0</v>
      </c>
      <c r="J2244" s="413" t="s">
        <v>2157</v>
      </c>
      <c r="K2244" s="415">
        <v>110.34482758620686</v>
      </c>
      <c r="L2244" s="415">
        <v>689.6551724137931</v>
      </c>
      <c r="M2244" s="413" t="s">
        <v>2276</v>
      </c>
      <c r="N2244" s="413" t="s">
        <v>3081</v>
      </c>
    </row>
    <row r="2245">
      <c r="A2245" s="409">
        <v>46238.0</v>
      </c>
      <c r="B2245" s="102">
        <v>2026.0</v>
      </c>
      <c r="C2245" s="410" t="s">
        <v>3074</v>
      </c>
      <c r="D2245" s="102" t="s">
        <v>702</v>
      </c>
      <c r="E2245" s="102" t="s">
        <v>465</v>
      </c>
      <c r="F2245" s="102" t="s">
        <v>711</v>
      </c>
      <c r="G2245" s="102" t="s">
        <v>767</v>
      </c>
      <c r="H2245" s="360">
        <v>800.0</v>
      </c>
      <c r="I2245" s="411" t="b">
        <v>0</v>
      </c>
      <c r="J2245" s="102" t="s">
        <v>1197</v>
      </c>
      <c r="K2245" s="360">
        <v>110.34482758620686</v>
      </c>
      <c r="L2245" s="360">
        <v>689.6551724137931</v>
      </c>
      <c r="M2245" s="102" t="s">
        <v>2276</v>
      </c>
      <c r="N2245" s="102" t="s">
        <v>3082</v>
      </c>
    </row>
    <row r="2246">
      <c r="A2246" s="412">
        <v>46238.0</v>
      </c>
      <c r="B2246" s="413">
        <v>2026.0</v>
      </c>
      <c r="C2246" s="414" t="s">
        <v>3074</v>
      </c>
      <c r="D2246" s="413" t="s">
        <v>702</v>
      </c>
      <c r="E2246" s="413" t="s">
        <v>465</v>
      </c>
      <c r="F2246" s="413" t="s">
        <v>711</v>
      </c>
      <c r="G2246" s="413" t="s">
        <v>767</v>
      </c>
      <c r="H2246" s="415">
        <v>800.0</v>
      </c>
      <c r="I2246" s="416" t="b">
        <v>0</v>
      </c>
      <c r="J2246" s="413" t="s">
        <v>2402</v>
      </c>
      <c r="K2246" s="415">
        <v>110.34482758620686</v>
      </c>
      <c r="L2246" s="415">
        <v>689.6551724137931</v>
      </c>
      <c r="M2246" s="413" t="s">
        <v>2276</v>
      </c>
      <c r="N2246" s="413" t="s">
        <v>3083</v>
      </c>
    </row>
    <row r="2247">
      <c r="A2247" s="409">
        <v>46238.0</v>
      </c>
      <c r="B2247" s="102">
        <v>2026.0</v>
      </c>
      <c r="C2247" s="410" t="s">
        <v>3074</v>
      </c>
      <c r="D2247" s="102" t="s">
        <v>702</v>
      </c>
      <c r="E2247" s="102" t="s">
        <v>465</v>
      </c>
      <c r="F2247" s="102" t="s">
        <v>711</v>
      </c>
      <c r="G2247" s="102" t="s">
        <v>767</v>
      </c>
      <c r="H2247" s="360">
        <v>950.0</v>
      </c>
      <c r="I2247" s="411" t="b">
        <v>0</v>
      </c>
      <c r="J2247" s="102" t="s">
        <v>2437</v>
      </c>
      <c r="K2247" s="360">
        <v>131.03448275862058</v>
      </c>
      <c r="L2247" s="360">
        <v>818.9655172413794</v>
      </c>
      <c r="M2247" s="102" t="s">
        <v>2276</v>
      </c>
      <c r="N2247" s="102" t="s">
        <v>3084</v>
      </c>
    </row>
    <row r="2248">
      <c r="A2248" s="412">
        <v>46238.0</v>
      </c>
      <c r="B2248" s="413">
        <v>2026.0</v>
      </c>
      <c r="C2248" s="414" t="s">
        <v>3074</v>
      </c>
      <c r="D2248" s="413" t="s">
        <v>702</v>
      </c>
      <c r="E2248" s="413" t="s">
        <v>465</v>
      </c>
      <c r="F2248" s="413" t="s">
        <v>703</v>
      </c>
      <c r="G2248" s="413" t="s">
        <v>3085</v>
      </c>
      <c r="H2248" s="415">
        <v>1979.0</v>
      </c>
      <c r="I2248" s="416" t="b">
        <v>0</v>
      </c>
      <c r="J2248" s="413" t="s">
        <v>3086</v>
      </c>
      <c r="K2248" s="415">
        <v>0.0</v>
      </c>
      <c r="L2248" s="415">
        <v>1979.0</v>
      </c>
      <c r="M2248" s="413" t="s">
        <v>2276</v>
      </c>
      <c r="N2248" s="413" t="s">
        <v>3087</v>
      </c>
    </row>
    <row r="2249">
      <c r="A2249" s="409">
        <v>46239.0</v>
      </c>
      <c r="B2249" s="102">
        <v>2026.0</v>
      </c>
      <c r="C2249" s="410" t="s">
        <v>3074</v>
      </c>
      <c r="D2249" s="102" t="s">
        <v>723</v>
      </c>
      <c r="E2249" s="102" t="s">
        <v>137</v>
      </c>
      <c r="F2249" s="102" t="s">
        <v>711</v>
      </c>
      <c r="G2249" s="102" t="s">
        <v>767</v>
      </c>
      <c r="H2249" s="360">
        <v>1300.0</v>
      </c>
      <c r="I2249" s="411" t="b">
        <v>0</v>
      </c>
      <c r="J2249" s="102" t="s">
        <v>1248</v>
      </c>
      <c r="K2249" s="360">
        <v>0.0</v>
      </c>
      <c r="L2249" s="360">
        <v>1300.0</v>
      </c>
      <c r="M2249" s="102" t="s">
        <v>2276</v>
      </c>
      <c r="N2249" s="102" t="s">
        <v>3088</v>
      </c>
    </row>
    <row r="2250">
      <c r="A2250" s="412">
        <v>46239.0</v>
      </c>
      <c r="B2250" s="413">
        <v>2026.0</v>
      </c>
      <c r="C2250" s="414" t="s">
        <v>3074</v>
      </c>
      <c r="D2250" s="413" t="s">
        <v>723</v>
      </c>
      <c r="E2250" s="413" t="s">
        <v>137</v>
      </c>
      <c r="F2250" s="413" t="s">
        <v>711</v>
      </c>
      <c r="G2250" s="413" t="s">
        <v>767</v>
      </c>
      <c r="H2250" s="415">
        <v>1150.0</v>
      </c>
      <c r="I2250" s="416" t="b">
        <v>0</v>
      </c>
      <c r="J2250" s="413" t="s">
        <v>2867</v>
      </c>
      <c r="K2250" s="415">
        <v>0.0</v>
      </c>
      <c r="L2250" s="415">
        <v>1150.0</v>
      </c>
      <c r="M2250" s="413" t="s">
        <v>2276</v>
      </c>
      <c r="N2250" s="413" t="s">
        <v>3089</v>
      </c>
    </row>
    <row r="2251">
      <c r="A2251" s="409">
        <v>46239.0</v>
      </c>
      <c r="B2251" s="102">
        <v>2026.0</v>
      </c>
      <c r="C2251" s="410" t="s">
        <v>3074</v>
      </c>
      <c r="D2251" s="102" t="s">
        <v>702</v>
      </c>
      <c r="E2251" s="102" t="s">
        <v>465</v>
      </c>
      <c r="F2251" s="102" t="s">
        <v>711</v>
      </c>
      <c r="G2251" s="102" t="s">
        <v>767</v>
      </c>
      <c r="H2251" s="360">
        <v>800.0</v>
      </c>
      <c r="I2251" s="411" t="b">
        <v>0</v>
      </c>
      <c r="J2251" s="102" t="s">
        <v>2637</v>
      </c>
      <c r="K2251" s="360">
        <v>110.34482758620686</v>
      </c>
      <c r="L2251" s="360">
        <v>689.6551724137931</v>
      </c>
      <c r="M2251" s="102" t="s">
        <v>2276</v>
      </c>
      <c r="N2251" s="102" t="s">
        <v>3090</v>
      </c>
    </row>
    <row r="2252">
      <c r="A2252" s="412">
        <v>46239.0</v>
      </c>
      <c r="B2252" s="413">
        <v>2026.0</v>
      </c>
      <c r="C2252" s="414" t="s">
        <v>3074</v>
      </c>
      <c r="D2252" s="413" t="s">
        <v>702</v>
      </c>
      <c r="E2252" s="413" t="s">
        <v>465</v>
      </c>
      <c r="F2252" s="413" t="s">
        <v>703</v>
      </c>
      <c r="G2252" s="413" t="s">
        <v>3085</v>
      </c>
      <c r="H2252" s="415">
        <v>3919.0</v>
      </c>
      <c r="I2252" s="416" t="b">
        <v>0</v>
      </c>
      <c r="J2252" s="413" t="s">
        <v>2538</v>
      </c>
      <c r="K2252" s="415">
        <v>0.0</v>
      </c>
      <c r="L2252" s="415">
        <v>3919.0</v>
      </c>
      <c r="M2252" s="413" t="s">
        <v>2276</v>
      </c>
      <c r="N2252" s="413" t="s">
        <v>3091</v>
      </c>
    </row>
    <row r="2253">
      <c r="A2253" s="409">
        <v>46239.0</v>
      </c>
      <c r="B2253" s="102">
        <v>2026.0</v>
      </c>
      <c r="C2253" s="410" t="s">
        <v>3074</v>
      </c>
      <c r="D2253" s="102" t="s">
        <v>702</v>
      </c>
      <c r="E2253" s="102" t="s">
        <v>465</v>
      </c>
      <c r="F2253" s="102" t="s">
        <v>703</v>
      </c>
      <c r="G2253" s="102" t="s">
        <v>3085</v>
      </c>
      <c r="H2253" s="360">
        <v>9280.0</v>
      </c>
      <c r="I2253" s="411" t="b">
        <v>0</v>
      </c>
      <c r="J2253" s="102" t="s">
        <v>599</v>
      </c>
      <c r="K2253" s="360">
        <v>0.0</v>
      </c>
      <c r="L2253" s="360">
        <v>9280.0</v>
      </c>
      <c r="M2253" s="102" t="s">
        <v>2276</v>
      </c>
      <c r="N2253" s="102" t="s">
        <v>3092</v>
      </c>
    </row>
    <row r="2254">
      <c r="A2254" s="412">
        <v>46239.0</v>
      </c>
      <c r="B2254" s="413">
        <v>2026.0</v>
      </c>
      <c r="C2254" s="414" t="s">
        <v>3074</v>
      </c>
      <c r="D2254" s="413" t="s">
        <v>702</v>
      </c>
      <c r="E2254" s="413" t="s">
        <v>465</v>
      </c>
      <c r="F2254" s="413" t="s">
        <v>703</v>
      </c>
      <c r="G2254" s="413" t="s">
        <v>3085</v>
      </c>
      <c r="H2254" s="415">
        <v>550.0</v>
      </c>
      <c r="I2254" s="416" t="b">
        <v>0</v>
      </c>
      <c r="J2254" s="413" t="s">
        <v>601</v>
      </c>
      <c r="K2254" s="415">
        <v>0.0</v>
      </c>
      <c r="L2254" s="415">
        <v>550.0</v>
      </c>
      <c r="M2254" s="413" t="s">
        <v>2276</v>
      </c>
      <c r="N2254" s="413" t="s">
        <v>3093</v>
      </c>
    </row>
    <row r="2255">
      <c r="A2255" s="409">
        <v>46239.0</v>
      </c>
      <c r="B2255" s="102">
        <v>2026.0</v>
      </c>
      <c r="C2255" s="410" t="s">
        <v>3074</v>
      </c>
      <c r="D2255" s="102" t="s">
        <v>702</v>
      </c>
      <c r="E2255" s="102" t="s">
        <v>465</v>
      </c>
      <c r="F2255" s="102" t="s">
        <v>711</v>
      </c>
      <c r="G2255" s="102" t="s">
        <v>767</v>
      </c>
      <c r="H2255" s="360">
        <v>550.0</v>
      </c>
      <c r="I2255" s="411" t="b">
        <v>0</v>
      </c>
      <c r="J2255" s="102" t="s">
        <v>2573</v>
      </c>
      <c r="K2255" s="360">
        <v>75.86206896551721</v>
      </c>
      <c r="L2255" s="360">
        <v>474.1379310344828</v>
      </c>
      <c r="M2255" s="102" t="s">
        <v>2276</v>
      </c>
      <c r="N2255" s="102" t="s">
        <v>3094</v>
      </c>
    </row>
    <row r="2256">
      <c r="A2256" s="412">
        <v>46239.0</v>
      </c>
      <c r="B2256" s="413">
        <v>2026.0</v>
      </c>
      <c r="C2256" s="414" t="s">
        <v>3074</v>
      </c>
      <c r="D2256" s="413" t="s">
        <v>702</v>
      </c>
      <c r="E2256" s="413" t="s">
        <v>465</v>
      </c>
      <c r="F2256" s="413" t="s">
        <v>711</v>
      </c>
      <c r="G2256" s="413" t="s">
        <v>767</v>
      </c>
      <c r="H2256" s="415">
        <v>950.0</v>
      </c>
      <c r="I2256" s="416" t="b">
        <v>0</v>
      </c>
      <c r="J2256" s="413" t="s">
        <v>1265</v>
      </c>
      <c r="K2256" s="415">
        <v>131.03448275862058</v>
      </c>
      <c r="L2256" s="415">
        <v>818.9655172413794</v>
      </c>
      <c r="M2256" s="413" t="s">
        <v>2276</v>
      </c>
      <c r="N2256" s="413" t="s">
        <v>3094</v>
      </c>
    </row>
    <row r="2257">
      <c r="A2257" s="409">
        <v>46240.0</v>
      </c>
      <c r="B2257" s="102">
        <v>2026.0</v>
      </c>
      <c r="C2257" s="410" t="s">
        <v>3074</v>
      </c>
      <c r="D2257" s="102" t="s">
        <v>702</v>
      </c>
      <c r="E2257" s="102" t="s">
        <v>465</v>
      </c>
      <c r="F2257" s="102" t="s">
        <v>711</v>
      </c>
      <c r="G2257" s="102" t="s">
        <v>767</v>
      </c>
      <c r="H2257" s="360">
        <v>950.0</v>
      </c>
      <c r="I2257" s="411" t="b">
        <v>0</v>
      </c>
      <c r="J2257" s="102" t="s">
        <v>1863</v>
      </c>
      <c r="K2257" s="360">
        <v>131.03448275862058</v>
      </c>
      <c r="L2257" s="360">
        <v>818.9655172413794</v>
      </c>
      <c r="M2257" s="102" t="s">
        <v>2276</v>
      </c>
      <c r="N2257" s="102" t="s">
        <v>3095</v>
      </c>
    </row>
    <row r="2258">
      <c r="A2258" s="412">
        <v>46240.0</v>
      </c>
      <c r="B2258" s="413">
        <v>2026.0</v>
      </c>
      <c r="C2258" s="414" t="s">
        <v>3074</v>
      </c>
      <c r="D2258" s="413" t="s">
        <v>702</v>
      </c>
      <c r="E2258" s="413" t="s">
        <v>465</v>
      </c>
      <c r="F2258" s="413" t="s">
        <v>711</v>
      </c>
      <c r="G2258" s="413" t="s">
        <v>767</v>
      </c>
      <c r="H2258" s="415">
        <v>1350.0</v>
      </c>
      <c r="I2258" s="416" t="b">
        <v>0</v>
      </c>
      <c r="J2258" s="413" t="s">
        <v>1148</v>
      </c>
      <c r="K2258" s="415">
        <v>186.20689655172396</v>
      </c>
      <c r="L2258" s="415">
        <v>1163.793103448276</v>
      </c>
      <c r="M2258" s="413" t="s">
        <v>2276</v>
      </c>
      <c r="N2258" s="413" t="s">
        <v>3096</v>
      </c>
    </row>
    <row r="2259">
      <c r="A2259" s="409">
        <v>46240.0</v>
      </c>
      <c r="B2259" s="102">
        <v>2026.0</v>
      </c>
      <c r="C2259" s="410" t="s">
        <v>3074</v>
      </c>
      <c r="D2259" s="102" t="s">
        <v>702</v>
      </c>
      <c r="E2259" s="102" t="s">
        <v>465</v>
      </c>
      <c r="F2259" s="102" t="s">
        <v>711</v>
      </c>
      <c r="G2259" s="102" t="s">
        <v>767</v>
      </c>
      <c r="H2259" s="360">
        <v>800.0</v>
      </c>
      <c r="I2259" s="411" t="b">
        <v>0</v>
      </c>
      <c r="J2259" s="102" t="s">
        <v>2088</v>
      </c>
      <c r="K2259" s="360">
        <v>110.34482758620686</v>
      </c>
      <c r="L2259" s="360">
        <v>689.6551724137931</v>
      </c>
      <c r="M2259" s="102" t="s">
        <v>2276</v>
      </c>
      <c r="N2259" s="102" t="s">
        <v>3097</v>
      </c>
    </row>
    <row r="2260">
      <c r="A2260" s="412">
        <v>46240.0</v>
      </c>
      <c r="B2260" s="413">
        <v>2026.0</v>
      </c>
      <c r="C2260" s="414" t="s">
        <v>3074</v>
      </c>
      <c r="D2260" s="413" t="s">
        <v>702</v>
      </c>
      <c r="E2260" s="413" t="s">
        <v>465</v>
      </c>
      <c r="F2260" s="413" t="s">
        <v>711</v>
      </c>
      <c r="G2260" s="413" t="s">
        <v>767</v>
      </c>
      <c r="H2260" s="415">
        <v>950.0</v>
      </c>
      <c r="I2260" s="416" t="b">
        <v>0</v>
      </c>
      <c r="J2260" s="413" t="s">
        <v>1881</v>
      </c>
      <c r="K2260" s="415">
        <v>131.03448275862058</v>
      </c>
      <c r="L2260" s="415">
        <v>818.9655172413794</v>
      </c>
      <c r="M2260" s="413" t="s">
        <v>2276</v>
      </c>
      <c r="N2260" s="413" t="s">
        <v>3098</v>
      </c>
    </row>
    <row r="2261">
      <c r="A2261" s="409">
        <v>46240.0</v>
      </c>
      <c r="B2261" s="102">
        <v>2026.0</v>
      </c>
      <c r="C2261" s="410" t="s">
        <v>3074</v>
      </c>
      <c r="D2261" s="102" t="s">
        <v>702</v>
      </c>
      <c r="E2261" s="102" t="s">
        <v>465</v>
      </c>
      <c r="F2261" s="102" t="s">
        <v>711</v>
      </c>
      <c r="G2261" s="102" t="s">
        <v>767</v>
      </c>
      <c r="H2261" s="360">
        <v>950.0</v>
      </c>
      <c r="I2261" s="411" t="b">
        <v>0</v>
      </c>
      <c r="J2261" s="102" t="s">
        <v>1967</v>
      </c>
      <c r="K2261" s="360">
        <v>131.03448275862058</v>
      </c>
      <c r="L2261" s="360">
        <v>818.9655172413794</v>
      </c>
      <c r="M2261" s="102" t="s">
        <v>2276</v>
      </c>
      <c r="N2261" s="102" t="s">
        <v>3099</v>
      </c>
    </row>
    <row r="2262">
      <c r="A2262" s="412">
        <v>46240.0</v>
      </c>
      <c r="B2262" s="413">
        <v>2026.0</v>
      </c>
      <c r="C2262" s="414" t="s">
        <v>3074</v>
      </c>
      <c r="D2262" s="413" t="s">
        <v>702</v>
      </c>
      <c r="E2262" s="413" t="s">
        <v>465</v>
      </c>
      <c r="F2262" s="413" t="s">
        <v>711</v>
      </c>
      <c r="G2262" s="413" t="s">
        <v>767</v>
      </c>
      <c r="H2262" s="415">
        <v>950.0</v>
      </c>
      <c r="I2262" s="416" t="b">
        <v>0</v>
      </c>
      <c r="J2262" s="413" t="s">
        <v>1415</v>
      </c>
      <c r="K2262" s="415">
        <v>131.03448275862058</v>
      </c>
      <c r="L2262" s="415">
        <v>818.9655172413794</v>
      </c>
      <c r="M2262" s="413" t="s">
        <v>2276</v>
      </c>
      <c r="N2262" s="413" t="s">
        <v>3100</v>
      </c>
    </row>
    <row r="2263">
      <c r="A2263" s="409">
        <v>46240.0</v>
      </c>
      <c r="B2263" s="102">
        <v>2026.0</v>
      </c>
      <c r="C2263" s="410" t="s">
        <v>3074</v>
      </c>
      <c r="D2263" s="102" t="s">
        <v>702</v>
      </c>
      <c r="E2263" s="102" t="s">
        <v>465</v>
      </c>
      <c r="F2263" s="102" t="s">
        <v>711</v>
      </c>
      <c r="G2263" s="102" t="s">
        <v>767</v>
      </c>
      <c r="H2263" s="360">
        <v>1900.0</v>
      </c>
      <c r="I2263" s="411" t="b">
        <v>0</v>
      </c>
      <c r="J2263" s="102" t="s">
        <v>2652</v>
      </c>
      <c r="K2263" s="360">
        <v>262.06896551724117</v>
      </c>
      <c r="L2263" s="360">
        <v>1637.9310344827588</v>
      </c>
      <c r="M2263" s="102" t="s">
        <v>2276</v>
      </c>
      <c r="N2263" s="102" t="s">
        <v>3101</v>
      </c>
    </row>
    <row r="2264">
      <c r="A2264" s="412">
        <v>46240.0</v>
      </c>
      <c r="B2264" s="413">
        <v>2026.0</v>
      </c>
      <c r="C2264" s="414" t="s">
        <v>3074</v>
      </c>
      <c r="D2264" s="413" t="s">
        <v>702</v>
      </c>
      <c r="E2264" s="413" t="s">
        <v>465</v>
      </c>
      <c r="F2264" s="413" t="s">
        <v>711</v>
      </c>
      <c r="G2264" s="413" t="s">
        <v>767</v>
      </c>
      <c r="H2264" s="415">
        <v>950.0</v>
      </c>
      <c r="I2264" s="416" t="b">
        <v>0</v>
      </c>
      <c r="J2264" s="413" t="s">
        <v>2571</v>
      </c>
      <c r="K2264" s="415">
        <v>131.03448275862058</v>
      </c>
      <c r="L2264" s="415">
        <v>818.9655172413794</v>
      </c>
      <c r="M2264" s="413" t="s">
        <v>2276</v>
      </c>
      <c r="N2264" s="413" t="s">
        <v>3102</v>
      </c>
    </row>
    <row r="2265">
      <c r="A2265" s="409">
        <v>46240.0</v>
      </c>
      <c r="B2265" s="102">
        <v>2026.0</v>
      </c>
      <c r="C2265" s="410" t="s">
        <v>3074</v>
      </c>
      <c r="D2265" s="102" t="s">
        <v>702</v>
      </c>
      <c r="E2265" s="102" t="s">
        <v>465</v>
      </c>
      <c r="F2265" s="102" t="s">
        <v>711</v>
      </c>
      <c r="G2265" s="102" t="s">
        <v>767</v>
      </c>
      <c r="H2265" s="360">
        <v>1600.0</v>
      </c>
      <c r="I2265" s="411" t="b">
        <v>0</v>
      </c>
      <c r="J2265" s="102" t="s">
        <v>2736</v>
      </c>
      <c r="K2265" s="360">
        <v>220.68965517241372</v>
      </c>
      <c r="L2265" s="360">
        <v>1379.3103448275863</v>
      </c>
      <c r="M2265" s="102" t="s">
        <v>2276</v>
      </c>
      <c r="N2265" s="102" t="s">
        <v>3103</v>
      </c>
    </row>
    <row r="2266">
      <c r="A2266" s="412">
        <v>46240.0</v>
      </c>
      <c r="B2266" s="413">
        <v>2026.0</v>
      </c>
      <c r="C2266" s="414" t="s">
        <v>3074</v>
      </c>
      <c r="D2266" s="413" t="s">
        <v>702</v>
      </c>
      <c r="E2266" s="413" t="s">
        <v>465</v>
      </c>
      <c r="F2266" s="413" t="s">
        <v>711</v>
      </c>
      <c r="G2266" s="413" t="s">
        <v>767</v>
      </c>
      <c r="H2266" s="415">
        <v>950.0</v>
      </c>
      <c r="I2266" s="416" t="b">
        <v>0</v>
      </c>
      <c r="J2266" s="413" t="s">
        <v>3104</v>
      </c>
      <c r="K2266" s="415">
        <v>131.03448275862058</v>
      </c>
      <c r="L2266" s="415">
        <v>818.9655172413794</v>
      </c>
      <c r="M2266" s="413" t="s">
        <v>2276</v>
      </c>
      <c r="N2266" s="413" t="s">
        <v>3105</v>
      </c>
    </row>
    <row r="2267">
      <c r="A2267" s="409">
        <v>46240.0</v>
      </c>
      <c r="B2267" s="102">
        <v>2026.0</v>
      </c>
      <c r="C2267" s="410" t="s">
        <v>3074</v>
      </c>
      <c r="D2267" s="102" t="s">
        <v>702</v>
      </c>
      <c r="E2267" s="102" t="s">
        <v>465</v>
      </c>
      <c r="F2267" s="102" t="s">
        <v>711</v>
      </c>
      <c r="G2267" s="102" t="s">
        <v>767</v>
      </c>
      <c r="H2267" s="360">
        <v>800.0</v>
      </c>
      <c r="I2267" s="411" t="b">
        <v>0</v>
      </c>
      <c r="J2267" s="102" t="s">
        <v>3031</v>
      </c>
      <c r="K2267" s="360">
        <v>110.34482758620686</v>
      </c>
      <c r="L2267" s="360">
        <v>689.6551724137931</v>
      </c>
      <c r="M2267" s="102" t="s">
        <v>2276</v>
      </c>
      <c r="N2267" s="102" t="s">
        <v>3106</v>
      </c>
    </row>
    <row r="2268">
      <c r="A2268" s="412">
        <v>46243.0</v>
      </c>
      <c r="B2268" s="413">
        <v>2026.0</v>
      </c>
      <c r="C2268" s="414" t="s">
        <v>3074</v>
      </c>
      <c r="D2268" s="413" t="s">
        <v>702</v>
      </c>
      <c r="E2268" s="413" t="s">
        <v>465</v>
      </c>
      <c r="F2268" s="413" t="s">
        <v>711</v>
      </c>
      <c r="G2268" s="413" t="s">
        <v>732</v>
      </c>
      <c r="H2268" s="415">
        <v>3907.0</v>
      </c>
      <c r="I2268" s="416" t="b">
        <v>0</v>
      </c>
      <c r="J2268" s="413" t="s">
        <v>1779</v>
      </c>
      <c r="K2268" s="415">
        <v>538.8965517241377</v>
      </c>
      <c r="L2268" s="415">
        <v>3368.1034482758623</v>
      </c>
      <c r="M2268" s="413" t="s">
        <v>2276</v>
      </c>
      <c r="N2268" s="413" t="s">
        <v>3107</v>
      </c>
    </row>
    <row r="2269">
      <c r="A2269" s="409">
        <v>46243.0</v>
      </c>
      <c r="B2269" s="102">
        <v>2026.0</v>
      </c>
      <c r="C2269" s="410" t="s">
        <v>3074</v>
      </c>
      <c r="D2269" s="102" t="s">
        <v>723</v>
      </c>
      <c r="E2269" s="102" t="s">
        <v>137</v>
      </c>
      <c r="F2269" s="102" t="s">
        <v>703</v>
      </c>
      <c r="G2269" s="102" t="s">
        <v>740</v>
      </c>
      <c r="H2269" s="360">
        <v>41.0</v>
      </c>
      <c r="I2269" s="411" t="b">
        <v>0</v>
      </c>
      <c r="J2269" s="102" t="s">
        <v>472</v>
      </c>
      <c r="K2269" s="360">
        <v>0.0</v>
      </c>
      <c r="L2269" s="360">
        <v>41.0</v>
      </c>
      <c r="M2269" s="102" t="s">
        <v>2276</v>
      </c>
      <c r="N2269" s="102" t="s">
        <v>3108</v>
      </c>
    </row>
    <row r="2270">
      <c r="A2270" s="412">
        <v>46243.0</v>
      </c>
      <c r="B2270" s="413">
        <v>2026.0</v>
      </c>
      <c r="C2270" s="414" t="s">
        <v>3074</v>
      </c>
      <c r="D2270" s="413" t="s">
        <v>710</v>
      </c>
      <c r="E2270" s="413" t="s">
        <v>137</v>
      </c>
      <c r="F2270" s="413" t="s">
        <v>711</v>
      </c>
      <c r="G2270" s="413" t="s">
        <v>750</v>
      </c>
      <c r="H2270" s="415">
        <v>423.0</v>
      </c>
      <c r="I2270" s="416" t="b">
        <v>0</v>
      </c>
      <c r="J2270" s="413" t="s">
        <v>3109</v>
      </c>
      <c r="K2270" s="415">
        <v>0.0</v>
      </c>
      <c r="L2270" s="415">
        <v>423.0</v>
      </c>
      <c r="M2270" s="413" t="s">
        <v>2276</v>
      </c>
      <c r="N2270" s="413" t="s">
        <v>3110</v>
      </c>
    </row>
    <row r="2271">
      <c r="A2271" s="409">
        <v>46243.0</v>
      </c>
      <c r="B2271" s="102">
        <v>2026.0</v>
      </c>
      <c r="C2271" s="410" t="s">
        <v>3074</v>
      </c>
      <c r="D2271" s="102" t="s">
        <v>710</v>
      </c>
      <c r="E2271" s="102" t="s">
        <v>137</v>
      </c>
      <c r="F2271" s="102" t="s">
        <v>711</v>
      </c>
      <c r="G2271" s="102" t="s">
        <v>724</v>
      </c>
      <c r="H2271" s="360">
        <v>5693.0</v>
      </c>
      <c r="I2271" s="411" t="b">
        <v>1</v>
      </c>
      <c r="J2271" s="102" t="s">
        <v>472</v>
      </c>
      <c r="K2271" s="360">
        <v>0.0</v>
      </c>
      <c r="L2271" s="360">
        <v>0.0</v>
      </c>
      <c r="M2271" s="102" t="s">
        <v>2276</v>
      </c>
      <c r="N2271" s="102" t="s">
        <v>3111</v>
      </c>
    </row>
    <row r="2272">
      <c r="A2272" s="412">
        <v>46243.0</v>
      </c>
      <c r="B2272" s="413">
        <v>2026.0</v>
      </c>
      <c r="C2272" s="414" t="s">
        <v>3074</v>
      </c>
      <c r="D2272" s="413" t="s">
        <v>723</v>
      </c>
      <c r="E2272" s="413" t="s">
        <v>137</v>
      </c>
      <c r="F2272" s="413" t="s">
        <v>703</v>
      </c>
      <c r="G2272" s="413" t="s">
        <v>724</v>
      </c>
      <c r="H2272" s="415">
        <v>5693.0</v>
      </c>
      <c r="I2272" s="416" t="b">
        <v>1</v>
      </c>
      <c r="J2272" s="413" t="s">
        <v>472</v>
      </c>
      <c r="K2272" s="415">
        <v>0.0</v>
      </c>
      <c r="L2272" s="415">
        <v>0.0</v>
      </c>
      <c r="M2272" s="413" t="s">
        <v>2276</v>
      </c>
      <c r="N2272" s="413" t="s">
        <v>3111</v>
      </c>
    </row>
    <row r="2273">
      <c r="A2273" s="409">
        <v>46243.0</v>
      </c>
      <c r="B2273" s="102">
        <v>2026.0</v>
      </c>
      <c r="C2273" s="410" t="s">
        <v>3074</v>
      </c>
      <c r="D2273" s="102" t="s">
        <v>702</v>
      </c>
      <c r="E2273" s="102" t="s">
        <v>465</v>
      </c>
      <c r="F2273" s="102" t="s">
        <v>711</v>
      </c>
      <c r="G2273" s="102" t="s">
        <v>767</v>
      </c>
      <c r="H2273" s="360">
        <v>1100.0</v>
      </c>
      <c r="I2273" s="411" t="b">
        <v>0</v>
      </c>
      <c r="J2273" s="102" t="s">
        <v>3112</v>
      </c>
      <c r="K2273" s="360">
        <v>151.72413793103442</v>
      </c>
      <c r="L2273" s="360">
        <v>948.2758620689656</v>
      </c>
      <c r="M2273" s="102" t="s">
        <v>2276</v>
      </c>
      <c r="N2273" s="102" t="s">
        <v>3113</v>
      </c>
    </row>
    <row r="2274">
      <c r="A2274" s="412">
        <v>46243.0</v>
      </c>
      <c r="B2274" s="413">
        <v>2026.0</v>
      </c>
      <c r="C2274" s="414" t="s">
        <v>3074</v>
      </c>
      <c r="D2274" s="413" t="s">
        <v>702</v>
      </c>
      <c r="E2274" s="413" t="s">
        <v>465</v>
      </c>
      <c r="F2274" s="413" t="s">
        <v>711</v>
      </c>
      <c r="G2274" s="413" t="s">
        <v>767</v>
      </c>
      <c r="H2274" s="415">
        <v>1055.34</v>
      </c>
      <c r="I2274" s="416" t="b">
        <v>0</v>
      </c>
      <c r="J2274" s="413" t="s">
        <v>3114</v>
      </c>
      <c r="K2274" s="415">
        <v>145.56413793103445</v>
      </c>
      <c r="L2274" s="415">
        <v>909.7758620689655</v>
      </c>
      <c r="M2274" s="413" t="s">
        <v>2276</v>
      </c>
      <c r="N2274" s="413" t="s">
        <v>3115</v>
      </c>
    </row>
    <row r="2275">
      <c r="A2275" s="409">
        <v>46243.0</v>
      </c>
      <c r="B2275" s="102">
        <v>2026.0</v>
      </c>
      <c r="C2275" s="410" t="s">
        <v>3074</v>
      </c>
      <c r="D2275" s="102" t="s">
        <v>702</v>
      </c>
      <c r="E2275" s="102" t="s">
        <v>465</v>
      </c>
      <c r="F2275" s="102" t="s">
        <v>711</v>
      </c>
      <c r="G2275" s="102" t="s">
        <v>767</v>
      </c>
      <c r="H2275" s="360">
        <v>800.0</v>
      </c>
      <c r="I2275" s="411" t="b">
        <v>0</v>
      </c>
      <c r="J2275" s="102" t="s">
        <v>3116</v>
      </c>
      <c r="K2275" s="360">
        <v>110.34482758620686</v>
      </c>
      <c r="L2275" s="360">
        <v>689.6551724137931</v>
      </c>
      <c r="M2275" s="102" t="s">
        <v>2276</v>
      </c>
      <c r="N2275" s="102" t="s">
        <v>3117</v>
      </c>
    </row>
    <row r="2276">
      <c r="A2276" s="412">
        <v>46243.0</v>
      </c>
      <c r="B2276" s="413">
        <v>2026.0</v>
      </c>
      <c r="C2276" s="414" t="s">
        <v>3074</v>
      </c>
      <c r="D2276" s="413" t="s">
        <v>702</v>
      </c>
      <c r="E2276" s="413" t="s">
        <v>465</v>
      </c>
      <c r="F2276" s="413" t="s">
        <v>711</v>
      </c>
      <c r="G2276" s="413" t="s">
        <v>724</v>
      </c>
      <c r="H2276" s="415">
        <v>250.0</v>
      </c>
      <c r="I2276" s="416" t="b">
        <v>1</v>
      </c>
      <c r="J2276" s="413" t="s">
        <v>472</v>
      </c>
      <c r="K2276" s="415">
        <v>0.0</v>
      </c>
      <c r="L2276" s="415">
        <v>0.0</v>
      </c>
      <c r="M2276" s="413" t="s">
        <v>2276</v>
      </c>
      <c r="N2276" s="413" t="s">
        <v>3118</v>
      </c>
    </row>
    <row r="2277">
      <c r="A2277" s="409">
        <v>46243.0</v>
      </c>
      <c r="B2277" s="102">
        <v>2026.0</v>
      </c>
      <c r="C2277" s="410" t="s">
        <v>3074</v>
      </c>
      <c r="D2277" s="102" t="s">
        <v>710</v>
      </c>
      <c r="E2277" s="102" t="s">
        <v>137</v>
      </c>
      <c r="F2277" s="102" t="s">
        <v>703</v>
      </c>
      <c r="G2277" s="102" t="s">
        <v>724</v>
      </c>
      <c r="H2277" s="360">
        <v>250.0</v>
      </c>
      <c r="I2277" s="411" t="b">
        <v>1</v>
      </c>
      <c r="J2277" s="102" t="s">
        <v>472</v>
      </c>
      <c r="K2277" s="360">
        <v>0.0</v>
      </c>
      <c r="L2277" s="360">
        <v>0.0</v>
      </c>
      <c r="M2277" s="102" t="s">
        <v>2276</v>
      </c>
      <c r="N2277" s="102" t="s">
        <v>3118</v>
      </c>
    </row>
    <row r="2278">
      <c r="A2278" s="412">
        <v>46244.0</v>
      </c>
      <c r="B2278" s="413">
        <v>2026.0</v>
      </c>
      <c r="C2278" s="414" t="s">
        <v>3074</v>
      </c>
      <c r="D2278" s="413" t="s">
        <v>710</v>
      </c>
      <c r="E2278" s="413" t="s">
        <v>137</v>
      </c>
      <c r="F2278" s="413" t="s">
        <v>711</v>
      </c>
      <c r="G2278" s="413" t="s">
        <v>724</v>
      </c>
      <c r="H2278" s="415">
        <v>2178.0</v>
      </c>
      <c r="I2278" s="416" t="b">
        <v>1</v>
      </c>
      <c r="J2278" s="413" t="s">
        <v>472</v>
      </c>
      <c r="K2278" s="415">
        <v>0.0</v>
      </c>
      <c r="L2278" s="415">
        <v>0.0</v>
      </c>
      <c r="M2278" s="413" t="s">
        <v>2276</v>
      </c>
      <c r="N2278" s="413" t="s">
        <v>3119</v>
      </c>
    </row>
    <row r="2279">
      <c r="A2279" s="409">
        <v>46244.0</v>
      </c>
      <c r="B2279" s="102">
        <v>2026.0</v>
      </c>
      <c r="C2279" s="410" t="s">
        <v>3074</v>
      </c>
      <c r="D2279" s="102" t="s">
        <v>702</v>
      </c>
      <c r="E2279" s="102" t="s">
        <v>465</v>
      </c>
      <c r="F2279" s="102" t="s">
        <v>703</v>
      </c>
      <c r="G2279" s="102" t="s">
        <v>724</v>
      </c>
      <c r="H2279" s="360">
        <v>2178.0</v>
      </c>
      <c r="I2279" s="411" t="b">
        <v>1</v>
      </c>
      <c r="J2279" s="102" t="s">
        <v>472</v>
      </c>
      <c r="K2279" s="360">
        <v>0.0</v>
      </c>
      <c r="L2279" s="360">
        <v>0.0</v>
      </c>
      <c r="M2279" s="102" t="s">
        <v>2276</v>
      </c>
      <c r="N2279" s="102" t="s">
        <v>3119</v>
      </c>
    </row>
    <row r="2280">
      <c r="A2280" s="412">
        <v>46244.0</v>
      </c>
      <c r="B2280" s="413">
        <v>2026.0</v>
      </c>
      <c r="C2280" s="414" t="s">
        <v>3074</v>
      </c>
      <c r="D2280" s="413" t="s">
        <v>710</v>
      </c>
      <c r="E2280" s="413" t="s">
        <v>137</v>
      </c>
      <c r="F2280" s="413" t="s">
        <v>711</v>
      </c>
      <c r="G2280" s="413" t="s">
        <v>724</v>
      </c>
      <c r="H2280" s="415">
        <v>170.0</v>
      </c>
      <c r="I2280" s="416" t="b">
        <v>1</v>
      </c>
      <c r="J2280" s="413" t="s">
        <v>472</v>
      </c>
      <c r="K2280" s="415">
        <v>0.0</v>
      </c>
      <c r="L2280" s="415">
        <v>0.0</v>
      </c>
      <c r="M2280" s="413" t="s">
        <v>2276</v>
      </c>
      <c r="N2280" s="413" t="s">
        <v>3120</v>
      </c>
    </row>
    <row r="2281">
      <c r="A2281" s="409">
        <v>46244.0</v>
      </c>
      <c r="B2281" s="102">
        <v>2026.0</v>
      </c>
      <c r="C2281" s="410" t="s">
        <v>3074</v>
      </c>
      <c r="D2281" s="102" t="s">
        <v>702</v>
      </c>
      <c r="E2281" s="102" t="s">
        <v>465</v>
      </c>
      <c r="F2281" s="102" t="s">
        <v>703</v>
      </c>
      <c r="G2281" s="102" t="s">
        <v>724</v>
      </c>
      <c r="H2281" s="360">
        <v>170.0</v>
      </c>
      <c r="I2281" s="411" t="b">
        <v>1</v>
      </c>
      <c r="J2281" s="102" t="s">
        <v>472</v>
      </c>
      <c r="K2281" s="360">
        <v>0.0</v>
      </c>
      <c r="L2281" s="360">
        <v>0.0</v>
      </c>
      <c r="M2281" s="102" t="s">
        <v>2276</v>
      </c>
      <c r="N2281" s="102" t="s">
        <v>3120</v>
      </c>
    </row>
    <row r="2282">
      <c r="A2282" s="412">
        <v>46244.0</v>
      </c>
      <c r="B2282" s="413">
        <v>2026.0</v>
      </c>
      <c r="C2282" s="414" t="s">
        <v>3074</v>
      </c>
      <c r="D2282" s="413" t="s">
        <v>702</v>
      </c>
      <c r="E2282" s="413" t="s">
        <v>465</v>
      </c>
      <c r="F2282" s="413" t="s">
        <v>703</v>
      </c>
      <c r="G2282" s="413" t="s">
        <v>732</v>
      </c>
      <c r="H2282" s="415">
        <v>54.0</v>
      </c>
      <c r="I2282" s="416" t="b">
        <v>0</v>
      </c>
      <c r="J2282" s="413" t="s">
        <v>3121</v>
      </c>
      <c r="K2282" s="415">
        <v>0.0</v>
      </c>
      <c r="L2282" s="415">
        <v>54.0</v>
      </c>
      <c r="M2282" s="413" t="s">
        <v>2276</v>
      </c>
      <c r="N2282" s="413" t="s">
        <v>3122</v>
      </c>
    </row>
    <row r="2283">
      <c r="A2283" s="409">
        <v>46244.0</v>
      </c>
      <c r="B2283" s="102">
        <v>2026.0</v>
      </c>
      <c r="C2283" s="410" t="s">
        <v>3074</v>
      </c>
      <c r="D2283" s="102" t="s">
        <v>702</v>
      </c>
      <c r="E2283" s="102" t="s">
        <v>465</v>
      </c>
      <c r="F2283" s="102" t="s">
        <v>711</v>
      </c>
      <c r="G2283" s="102" t="s">
        <v>767</v>
      </c>
      <c r="H2283" s="360">
        <v>1100.0</v>
      </c>
      <c r="I2283" s="411" t="b">
        <v>0</v>
      </c>
      <c r="J2283" s="102" t="s">
        <v>3123</v>
      </c>
      <c r="K2283" s="360">
        <v>151.72413793103442</v>
      </c>
      <c r="L2283" s="360">
        <v>948.2758620689656</v>
      </c>
      <c r="M2283" s="102" t="s">
        <v>2276</v>
      </c>
      <c r="N2283" s="102" t="s">
        <v>3124</v>
      </c>
    </row>
    <row r="2284">
      <c r="A2284" s="412">
        <v>46244.0</v>
      </c>
      <c r="B2284" s="413">
        <v>2026.0</v>
      </c>
      <c r="C2284" s="414" t="s">
        <v>3074</v>
      </c>
      <c r="D2284" s="413" t="s">
        <v>702</v>
      </c>
      <c r="E2284" s="413" t="s">
        <v>465</v>
      </c>
      <c r="F2284" s="413" t="s">
        <v>711</v>
      </c>
      <c r="G2284" s="413" t="s">
        <v>767</v>
      </c>
      <c r="H2284" s="415">
        <v>1055.0</v>
      </c>
      <c r="I2284" s="416" t="b">
        <v>0</v>
      </c>
      <c r="J2284" s="413" t="s">
        <v>3125</v>
      </c>
      <c r="K2284" s="415">
        <v>145.51724137931024</v>
      </c>
      <c r="L2284" s="415">
        <v>909.4827586206898</v>
      </c>
      <c r="M2284" s="413" t="s">
        <v>2276</v>
      </c>
      <c r="N2284" s="413" t="s">
        <v>3126</v>
      </c>
    </row>
    <row r="2285">
      <c r="A2285" s="409">
        <v>46244.0</v>
      </c>
      <c r="B2285" s="102">
        <v>2026.0</v>
      </c>
      <c r="C2285" s="410" t="s">
        <v>3074</v>
      </c>
      <c r="D2285" s="102" t="s">
        <v>723</v>
      </c>
      <c r="E2285" s="102" t="s">
        <v>137</v>
      </c>
      <c r="F2285" s="102" t="s">
        <v>711</v>
      </c>
      <c r="G2285" s="102" t="s">
        <v>767</v>
      </c>
      <c r="H2285" s="360">
        <v>1500.0</v>
      </c>
      <c r="I2285" s="411" t="b">
        <v>0</v>
      </c>
      <c r="J2285" s="102" t="s">
        <v>2797</v>
      </c>
      <c r="K2285" s="360">
        <v>0.0</v>
      </c>
      <c r="L2285" s="360">
        <v>1500.0</v>
      </c>
      <c r="M2285" s="102" t="s">
        <v>2276</v>
      </c>
      <c r="N2285" s="102" t="s">
        <v>3127</v>
      </c>
    </row>
    <row r="2286">
      <c r="A2286" s="412">
        <v>46244.0</v>
      </c>
      <c r="B2286" s="413">
        <v>2026.0</v>
      </c>
      <c r="C2286" s="414" t="s">
        <v>3074</v>
      </c>
      <c r="D2286" s="413" t="s">
        <v>702</v>
      </c>
      <c r="E2286" s="413" t="s">
        <v>465</v>
      </c>
      <c r="F2286" s="413" t="s">
        <v>711</v>
      </c>
      <c r="G2286" s="413" t="s">
        <v>767</v>
      </c>
      <c r="H2286" s="415">
        <v>1055.0</v>
      </c>
      <c r="I2286" s="416" t="b">
        <v>0</v>
      </c>
      <c r="J2286" s="413" t="s">
        <v>1799</v>
      </c>
      <c r="K2286" s="415">
        <v>145.51724137931024</v>
      </c>
      <c r="L2286" s="415">
        <v>909.4827586206898</v>
      </c>
      <c r="M2286" s="413" t="s">
        <v>2276</v>
      </c>
      <c r="N2286" s="413" t="s">
        <v>3128</v>
      </c>
    </row>
    <row r="2287">
      <c r="A2287" s="409">
        <v>46244.0</v>
      </c>
      <c r="B2287" s="102">
        <v>2026.0</v>
      </c>
      <c r="C2287" s="410" t="s">
        <v>3074</v>
      </c>
      <c r="D2287" s="102" t="s">
        <v>702</v>
      </c>
      <c r="E2287" s="102" t="s">
        <v>465</v>
      </c>
      <c r="F2287" s="102" t="s">
        <v>711</v>
      </c>
      <c r="G2287" s="102" t="s">
        <v>767</v>
      </c>
      <c r="H2287" s="360">
        <v>1247.0</v>
      </c>
      <c r="I2287" s="411" t="b">
        <v>0</v>
      </c>
      <c r="J2287" s="102" t="s">
        <v>1820</v>
      </c>
      <c r="K2287" s="360">
        <v>172.0</v>
      </c>
      <c r="L2287" s="360">
        <v>1075.0</v>
      </c>
      <c r="M2287" s="102" t="s">
        <v>2276</v>
      </c>
      <c r="N2287" s="102" t="s">
        <v>3129</v>
      </c>
    </row>
    <row r="2288">
      <c r="A2288" s="412">
        <v>46245.0</v>
      </c>
      <c r="B2288" s="413">
        <v>2026.0</v>
      </c>
      <c r="C2288" s="414" t="s">
        <v>3074</v>
      </c>
      <c r="D2288" s="413" t="s">
        <v>723</v>
      </c>
      <c r="E2288" s="413" t="s">
        <v>137</v>
      </c>
      <c r="F2288" s="413" t="s">
        <v>711</v>
      </c>
      <c r="G2288" s="413" t="s">
        <v>767</v>
      </c>
      <c r="H2288" s="415">
        <v>1100.0</v>
      </c>
      <c r="I2288" s="416" t="b">
        <v>0</v>
      </c>
      <c r="J2288" s="413" t="s">
        <v>1232</v>
      </c>
      <c r="K2288" s="415">
        <v>0.0</v>
      </c>
      <c r="L2288" s="415">
        <v>1100.0</v>
      </c>
      <c r="M2288" s="413" t="s">
        <v>2276</v>
      </c>
      <c r="N2288" s="413" t="s">
        <v>3130</v>
      </c>
    </row>
    <row r="2289">
      <c r="A2289" s="409">
        <v>46245.0</v>
      </c>
      <c r="B2289" s="102">
        <v>2026.0</v>
      </c>
      <c r="C2289" s="410" t="s">
        <v>3074</v>
      </c>
      <c r="D2289" s="102" t="s">
        <v>723</v>
      </c>
      <c r="E2289" s="102" t="s">
        <v>137</v>
      </c>
      <c r="F2289" s="102" t="s">
        <v>711</v>
      </c>
      <c r="G2289" s="102" t="s">
        <v>732</v>
      </c>
      <c r="H2289" s="360">
        <v>250.0</v>
      </c>
      <c r="I2289" s="411" t="b">
        <v>0</v>
      </c>
      <c r="J2289" s="102" t="s">
        <v>2655</v>
      </c>
      <c r="K2289" s="360">
        <v>0.0</v>
      </c>
      <c r="L2289" s="360">
        <v>250.0</v>
      </c>
      <c r="M2289" s="102" t="s">
        <v>2276</v>
      </c>
      <c r="N2289" s="102" t="s">
        <v>3131</v>
      </c>
    </row>
    <row r="2290">
      <c r="A2290" s="412">
        <v>46245.0</v>
      </c>
      <c r="B2290" s="413">
        <v>2026.0</v>
      </c>
      <c r="C2290" s="414" t="s">
        <v>3074</v>
      </c>
      <c r="D2290" s="413" t="s">
        <v>723</v>
      </c>
      <c r="E2290" s="413" t="s">
        <v>137</v>
      </c>
      <c r="F2290" s="413" t="s">
        <v>711</v>
      </c>
      <c r="G2290" s="413" t="s">
        <v>732</v>
      </c>
      <c r="H2290" s="415">
        <v>250.0</v>
      </c>
      <c r="I2290" s="416" t="b">
        <v>0</v>
      </c>
      <c r="J2290" s="413" t="s">
        <v>2655</v>
      </c>
      <c r="K2290" s="415">
        <v>0.0</v>
      </c>
      <c r="L2290" s="415">
        <v>250.0</v>
      </c>
      <c r="M2290" s="413" t="s">
        <v>2276</v>
      </c>
      <c r="N2290" s="413" t="s">
        <v>3132</v>
      </c>
    </row>
    <row r="2291">
      <c r="A2291" s="409">
        <v>46245.0</v>
      </c>
      <c r="B2291" s="102">
        <v>2026.0</v>
      </c>
      <c r="C2291" s="410" t="s">
        <v>3074</v>
      </c>
      <c r="D2291" s="102" t="s">
        <v>723</v>
      </c>
      <c r="E2291" s="102" t="s">
        <v>137</v>
      </c>
      <c r="F2291" s="102" t="s">
        <v>711</v>
      </c>
      <c r="G2291" s="102" t="s">
        <v>724</v>
      </c>
      <c r="H2291" s="360">
        <v>895.0</v>
      </c>
      <c r="I2291" s="411" t="b">
        <v>1</v>
      </c>
      <c r="J2291" s="102" t="s">
        <v>472</v>
      </c>
      <c r="K2291" s="360">
        <v>0.0</v>
      </c>
      <c r="L2291" s="360">
        <v>0.0</v>
      </c>
      <c r="M2291" s="102" t="s">
        <v>2276</v>
      </c>
      <c r="N2291" s="102" t="s">
        <v>3133</v>
      </c>
    </row>
    <row r="2292">
      <c r="A2292" s="412">
        <v>46245.0</v>
      </c>
      <c r="B2292" s="413">
        <v>2026.0</v>
      </c>
      <c r="C2292" s="414" t="s">
        <v>3074</v>
      </c>
      <c r="D2292" s="413" t="s">
        <v>710</v>
      </c>
      <c r="E2292" s="413" t="s">
        <v>137</v>
      </c>
      <c r="F2292" s="413" t="s">
        <v>703</v>
      </c>
      <c r="G2292" s="413" t="s">
        <v>724</v>
      </c>
      <c r="H2292" s="415">
        <v>895.0</v>
      </c>
      <c r="I2292" s="416" t="b">
        <v>1</v>
      </c>
      <c r="J2292" s="413" t="s">
        <v>472</v>
      </c>
      <c r="K2292" s="415">
        <v>0.0</v>
      </c>
      <c r="L2292" s="415">
        <v>0.0</v>
      </c>
      <c r="M2292" s="413" t="s">
        <v>2276</v>
      </c>
      <c r="N2292" s="413" t="s">
        <v>3133</v>
      </c>
    </row>
    <row r="2293">
      <c r="A2293" s="409">
        <v>46245.0</v>
      </c>
      <c r="B2293" s="102">
        <v>2026.0</v>
      </c>
      <c r="C2293" s="410" t="s">
        <v>3074</v>
      </c>
      <c r="D2293" s="102" t="s">
        <v>723</v>
      </c>
      <c r="E2293" s="102" t="s">
        <v>137</v>
      </c>
      <c r="F2293" s="102" t="s">
        <v>711</v>
      </c>
      <c r="G2293" s="102" t="s">
        <v>740</v>
      </c>
      <c r="H2293" s="360">
        <v>10.0</v>
      </c>
      <c r="I2293" s="411" t="b">
        <v>0</v>
      </c>
      <c r="J2293" s="102" t="s">
        <v>472</v>
      </c>
      <c r="K2293" s="360">
        <v>0.0</v>
      </c>
      <c r="L2293" s="360">
        <v>10.0</v>
      </c>
      <c r="M2293" s="102" t="s">
        <v>2276</v>
      </c>
      <c r="N2293" s="102" t="s">
        <v>3134</v>
      </c>
    </row>
    <row r="2294">
      <c r="A2294" s="412">
        <v>46245.0</v>
      </c>
      <c r="B2294" s="413">
        <v>2026.0</v>
      </c>
      <c r="C2294" s="414" t="s">
        <v>3074</v>
      </c>
      <c r="D2294" s="413" t="s">
        <v>723</v>
      </c>
      <c r="E2294" s="413" t="s">
        <v>137</v>
      </c>
      <c r="F2294" s="413" t="s">
        <v>711</v>
      </c>
      <c r="G2294" s="413" t="s">
        <v>737</v>
      </c>
      <c r="H2294" s="415">
        <v>550.0</v>
      </c>
      <c r="I2294" s="416" t="b">
        <v>0</v>
      </c>
      <c r="J2294" s="413" t="s">
        <v>2157</v>
      </c>
      <c r="K2294" s="415">
        <v>0.0</v>
      </c>
      <c r="L2294" s="415">
        <v>550.0</v>
      </c>
      <c r="M2294" s="413" t="s">
        <v>2276</v>
      </c>
      <c r="N2294" s="413" t="s">
        <v>3135</v>
      </c>
    </row>
    <row r="2295">
      <c r="A2295" s="409">
        <v>46245.0</v>
      </c>
      <c r="B2295" s="102">
        <v>2026.0</v>
      </c>
      <c r="C2295" s="410" t="s">
        <v>3074</v>
      </c>
      <c r="D2295" s="102" t="s">
        <v>702</v>
      </c>
      <c r="E2295" s="102" t="s">
        <v>465</v>
      </c>
      <c r="F2295" s="102" t="s">
        <v>703</v>
      </c>
      <c r="G2295" s="102" t="s">
        <v>2352</v>
      </c>
      <c r="H2295" s="360">
        <v>118.0</v>
      </c>
      <c r="I2295" s="411" t="b">
        <v>0</v>
      </c>
      <c r="J2295" s="102" t="s">
        <v>472</v>
      </c>
      <c r="K2295" s="360">
        <v>0.0</v>
      </c>
      <c r="L2295" s="360">
        <v>118.0</v>
      </c>
      <c r="M2295" s="102" t="s">
        <v>2276</v>
      </c>
      <c r="N2295" s="102" t="s">
        <v>3136</v>
      </c>
    </row>
    <row r="2296">
      <c r="A2296" s="412">
        <v>46245.0</v>
      </c>
      <c r="B2296" s="413">
        <v>2026.0</v>
      </c>
      <c r="C2296" s="414" t="s">
        <v>3074</v>
      </c>
      <c r="D2296" s="413" t="s">
        <v>723</v>
      </c>
      <c r="E2296" s="413" t="s">
        <v>137</v>
      </c>
      <c r="F2296" s="413" t="s">
        <v>711</v>
      </c>
      <c r="G2296" s="413" t="s">
        <v>737</v>
      </c>
      <c r="H2296" s="415">
        <v>550.0</v>
      </c>
      <c r="I2296" s="416" t="b">
        <v>0</v>
      </c>
      <c r="J2296" s="413" t="s">
        <v>3137</v>
      </c>
      <c r="K2296" s="415">
        <v>0.0</v>
      </c>
      <c r="L2296" s="415">
        <v>550.0</v>
      </c>
      <c r="M2296" s="413" t="s">
        <v>2276</v>
      </c>
      <c r="N2296" s="413" t="s">
        <v>3138</v>
      </c>
    </row>
    <row r="2297">
      <c r="A2297" s="409">
        <v>46245.0</v>
      </c>
      <c r="B2297" s="102">
        <v>2026.0</v>
      </c>
      <c r="C2297" s="410" t="s">
        <v>3074</v>
      </c>
      <c r="D2297" s="102" t="s">
        <v>723</v>
      </c>
      <c r="E2297" s="102" t="s">
        <v>137</v>
      </c>
      <c r="F2297" s="102" t="s">
        <v>711</v>
      </c>
      <c r="G2297" s="102" t="s">
        <v>767</v>
      </c>
      <c r="H2297" s="360">
        <v>950.0</v>
      </c>
      <c r="I2297" s="411" t="b">
        <v>0</v>
      </c>
      <c r="J2297" s="102" t="s">
        <v>2496</v>
      </c>
      <c r="K2297" s="360">
        <v>0.0</v>
      </c>
      <c r="L2297" s="360">
        <v>950.0</v>
      </c>
      <c r="M2297" s="102" t="s">
        <v>2276</v>
      </c>
      <c r="N2297" s="102" t="s">
        <v>3139</v>
      </c>
    </row>
    <row r="2298">
      <c r="A2298" s="412">
        <v>46246.0</v>
      </c>
      <c r="B2298" s="413">
        <v>2026.0</v>
      </c>
      <c r="C2298" s="414" t="s">
        <v>3074</v>
      </c>
      <c r="D2298" s="413" t="s">
        <v>723</v>
      </c>
      <c r="E2298" s="413" t="s">
        <v>137</v>
      </c>
      <c r="F2298" s="413" t="s">
        <v>711</v>
      </c>
      <c r="G2298" s="413" t="s">
        <v>732</v>
      </c>
      <c r="H2298" s="415">
        <v>200.0</v>
      </c>
      <c r="I2298" s="416" t="b">
        <v>0</v>
      </c>
      <c r="J2298" s="413" t="s">
        <v>2655</v>
      </c>
      <c r="K2298" s="415">
        <v>0.0</v>
      </c>
      <c r="L2298" s="415">
        <v>200.0</v>
      </c>
      <c r="M2298" s="413" t="s">
        <v>2276</v>
      </c>
      <c r="N2298" s="413" t="s">
        <v>3140</v>
      </c>
    </row>
    <row r="2299">
      <c r="A2299" s="409">
        <v>46246.0</v>
      </c>
      <c r="B2299" s="102">
        <v>2026.0</v>
      </c>
      <c r="C2299" s="410" t="s">
        <v>3074</v>
      </c>
      <c r="D2299" s="102" t="s">
        <v>702</v>
      </c>
      <c r="E2299" s="102" t="s">
        <v>465</v>
      </c>
      <c r="F2299" s="102" t="s">
        <v>711</v>
      </c>
      <c r="G2299" s="102" t="s">
        <v>767</v>
      </c>
      <c r="H2299" s="360">
        <v>1100.0</v>
      </c>
      <c r="I2299" s="411" t="b">
        <v>0</v>
      </c>
      <c r="J2299" s="102" t="s">
        <v>2632</v>
      </c>
      <c r="K2299" s="360">
        <v>151.72413793103442</v>
      </c>
      <c r="L2299" s="360">
        <v>948.2758620689656</v>
      </c>
      <c r="M2299" s="102" t="s">
        <v>2276</v>
      </c>
      <c r="N2299" s="102" t="s">
        <v>3141</v>
      </c>
    </row>
    <row r="2300">
      <c r="A2300" s="412">
        <v>46246.0</v>
      </c>
      <c r="B2300" s="413">
        <v>2026.0</v>
      </c>
      <c r="C2300" s="414" t="s">
        <v>3074</v>
      </c>
      <c r="D2300" s="413" t="s">
        <v>702</v>
      </c>
      <c r="E2300" s="413" t="s">
        <v>465</v>
      </c>
      <c r="F2300" s="413" t="s">
        <v>711</v>
      </c>
      <c r="G2300" s="413" t="s">
        <v>767</v>
      </c>
      <c r="H2300" s="415">
        <v>550.0</v>
      </c>
      <c r="I2300" s="416" t="b">
        <v>0</v>
      </c>
      <c r="J2300" s="413" t="s">
        <v>1326</v>
      </c>
      <c r="K2300" s="415">
        <v>75.86206896551721</v>
      </c>
      <c r="L2300" s="415">
        <v>474.1379310344828</v>
      </c>
      <c r="M2300" s="413" t="s">
        <v>2276</v>
      </c>
      <c r="N2300" s="413" t="s">
        <v>3142</v>
      </c>
    </row>
    <row r="2301">
      <c r="A2301" s="409">
        <v>46246.0</v>
      </c>
      <c r="B2301" s="102">
        <v>2026.0</v>
      </c>
      <c r="C2301" s="410" t="s">
        <v>3074</v>
      </c>
      <c r="D2301" s="102" t="s">
        <v>702</v>
      </c>
      <c r="E2301" s="102" t="s">
        <v>465</v>
      </c>
      <c r="F2301" s="102" t="s">
        <v>703</v>
      </c>
      <c r="G2301" s="102" t="s">
        <v>732</v>
      </c>
      <c r="H2301" s="360">
        <v>538.0</v>
      </c>
      <c r="I2301" s="411" t="b">
        <v>0</v>
      </c>
      <c r="J2301" s="102" t="s">
        <v>3143</v>
      </c>
      <c r="K2301" s="360">
        <v>0.0</v>
      </c>
      <c r="L2301" s="360">
        <v>538.0</v>
      </c>
      <c r="M2301" s="102" t="s">
        <v>2276</v>
      </c>
      <c r="N2301" s="102" t="s">
        <v>3144</v>
      </c>
    </row>
    <row r="2302">
      <c r="A2302" s="412">
        <v>46247.0</v>
      </c>
      <c r="B2302" s="413">
        <v>2026.0</v>
      </c>
      <c r="C2302" s="414" t="s">
        <v>3074</v>
      </c>
      <c r="D2302" s="413" t="s">
        <v>723</v>
      </c>
      <c r="E2302" s="413" t="s">
        <v>137</v>
      </c>
      <c r="F2302" s="413" t="s">
        <v>711</v>
      </c>
      <c r="G2302" s="413" t="s">
        <v>732</v>
      </c>
      <c r="H2302" s="415">
        <v>200.0</v>
      </c>
      <c r="I2302" s="416" t="b">
        <v>0</v>
      </c>
      <c r="J2302" s="413" t="s">
        <v>2655</v>
      </c>
      <c r="K2302" s="415">
        <v>0.0</v>
      </c>
      <c r="L2302" s="415">
        <v>200.0</v>
      </c>
      <c r="M2302" s="413" t="s">
        <v>2276</v>
      </c>
      <c r="N2302" s="413" t="s">
        <v>3145</v>
      </c>
    </row>
    <row r="2303">
      <c r="A2303" s="409">
        <v>46249.0</v>
      </c>
      <c r="B2303" s="102">
        <v>2026.0</v>
      </c>
      <c r="C2303" s="410" t="s">
        <v>3074</v>
      </c>
      <c r="D2303" s="102" t="s">
        <v>723</v>
      </c>
      <c r="E2303" s="102" t="s">
        <v>137</v>
      </c>
      <c r="F2303" s="102" t="s">
        <v>711</v>
      </c>
      <c r="G2303" s="102" t="s">
        <v>767</v>
      </c>
      <c r="H2303" s="360">
        <v>700.0</v>
      </c>
      <c r="I2303" s="411" t="b">
        <v>0</v>
      </c>
      <c r="J2303" s="102" t="s">
        <v>1213</v>
      </c>
      <c r="K2303" s="360">
        <v>0.0</v>
      </c>
      <c r="L2303" s="360">
        <v>700.0</v>
      </c>
      <c r="M2303" s="102" t="s">
        <v>2276</v>
      </c>
      <c r="N2303" s="102" t="s">
        <v>3146</v>
      </c>
    </row>
    <row r="2304">
      <c r="A2304" s="412">
        <v>46249.0</v>
      </c>
      <c r="B2304" s="413">
        <v>2026.0</v>
      </c>
      <c r="C2304" s="414" t="s">
        <v>3074</v>
      </c>
      <c r="D2304" s="413" t="s">
        <v>723</v>
      </c>
      <c r="E2304" s="413" t="s">
        <v>137</v>
      </c>
      <c r="F2304" s="413" t="s">
        <v>711</v>
      </c>
      <c r="G2304" s="413" t="s">
        <v>737</v>
      </c>
      <c r="H2304" s="415">
        <v>550.0</v>
      </c>
      <c r="I2304" s="416" t="b">
        <v>0</v>
      </c>
      <c r="J2304" s="413" t="s">
        <v>3147</v>
      </c>
      <c r="K2304" s="415">
        <v>0.0</v>
      </c>
      <c r="L2304" s="415">
        <v>550.0</v>
      </c>
      <c r="M2304" s="413" t="s">
        <v>2276</v>
      </c>
      <c r="N2304" s="413" t="s">
        <v>3148</v>
      </c>
    </row>
    <row r="2305">
      <c r="A2305" s="409">
        <v>46252.0</v>
      </c>
      <c r="B2305" s="102">
        <v>2026.0</v>
      </c>
      <c r="C2305" s="410" t="s">
        <v>3074</v>
      </c>
      <c r="D2305" s="102" t="s">
        <v>723</v>
      </c>
      <c r="E2305" s="102" t="s">
        <v>137</v>
      </c>
      <c r="F2305" s="102" t="s">
        <v>711</v>
      </c>
      <c r="G2305" s="102" t="s">
        <v>767</v>
      </c>
      <c r="H2305" s="360">
        <v>950.0</v>
      </c>
      <c r="I2305" s="411" t="b">
        <v>0</v>
      </c>
      <c r="J2305" s="102" t="s">
        <v>2752</v>
      </c>
      <c r="K2305" s="360">
        <v>0.0</v>
      </c>
      <c r="L2305" s="360">
        <v>950.0</v>
      </c>
      <c r="M2305" s="102" t="s">
        <v>2276</v>
      </c>
      <c r="N2305" s="102" t="s">
        <v>3149</v>
      </c>
    </row>
    <row r="2306">
      <c r="A2306" s="412">
        <v>46252.0</v>
      </c>
      <c r="B2306" s="413">
        <v>2026.0</v>
      </c>
      <c r="C2306" s="414" t="s">
        <v>3074</v>
      </c>
      <c r="D2306" s="413" t="s">
        <v>723</v>
      </c>
      <c r="E2306" s="413" t="s">
        <v>137</v>
      </c>
      <c r="F2306" s="413" t="s">
        <v>711</v>
      </c>
      <c r="G2306" s="413" t="s">
        <v>767</v>
      </c>
      <c r="H2306" s="415">
        <v>100.0</v>
      </c>
      <c r="I2306" s="416" t="b">
        <v>0</v>
      </c>
      <c r="J2306" s="413" t="s">
        <v>3150</v>
      </c>
      <c r="K2306" s="415">
        <v>0.0</v>
      </c>
      <c r="L2306" s="415">
        <v>100.0</v>
      </c>
      <c r="M2306" s="413" t="s">
        <v>2276</v>
      </c>
      <c r="N2306" s="413" t="s">
        <v>3151</v>
      </c>
    </row>
    <row r="2307">
      <c r="A2307" s="409">
        <v>46252.0</v>
      </c>
      <c r="B2307" s="102">
        <v>2026.0</v>
      </c>
      <c r="C2307" s="410" t="s">
        <v>3074</v>
      </c>
      <c r="D2307" s="102" t="s">
        <v>710</v>
      </c>
      <c r="E2307" s="102" t="s">
        <v>137</v>
      </c>
      <c r="F2307" s="102" t="s">
        <v>703</v>
      </c>
      <c r="G2307" s="102" t="s">
        <v>747</v>
      </c>
      <c r="H2307" s="360">
        <v>5850.0</v>
      </c>
      <c r="I2307" s="411" t="b">
        <v>0</v>
      </c>
      <c r="J2307" s="102" t="s">
        <v>2382</v>
      </c>
      <c r="K2307" s="360">
        <v>0.0</v>
      </c>
      <c r="L2307" s="360">
        <v>5850.0</v>
      </c>
      <c r="M2307" s="102" t="s">
        <v>2276</v>
      </c>
      <c r="N2307" s="102" t="s">
        <v>3152</v>
      </c>
    </row>
    <row r="2308">
      <c r="A2308" s="412">
        <v>46252.0</v>
      </c>
      <c r="B2308" s="413">
        <v>2026.0</v>
      </c>
      <c r="C2308" s="414" t="s">
        <v>3074</v>
      </c>
      <c r="D2308" s="413" t="s">
        <v>710</v>
      </c>
      <c r="E2308" s="413" t="s">
        <v>137</v>
      </c>
      <c r="F2308" s="413" t="s">
        <v>703</v>
      </c>
      <c r="G2308" s="413" t="s">
        <v>747</v>
      </c>
      <c r="H2308" s="415">
        <v>950.0</v>
      </c>
      <c r="I2308" s="416" t="b">
        <v>0</v>
      </c>
      <c r="J2308" s="413" t="s">
        <v>2382</v>
      </c>
      <c r="K2308" s="415">
        <v>0.0</v>
      </c>
      <c r="L2308" s="415">
        <v>950.0</v>
      </c>
      <c r="M2308" s="413" t="s">
        <v>2276</v>
      </c>
      <c r="N2308" s="413" t="s">
        <v>3153</v>
      </c>
    </row>
    <row r="2309">
      <c r="A2309" s="409">
        <v>46252.0</v>
      </c>
      <c r="B2309" s="102">
        <v>2026.0</v>
      </c>
      <c r="C2309" s="410" t="s">
        <v>3074</v>
      </c>
      <c r="D2309" s="102" t="s">
        <v>723</v>
      </c>
      <c r="E2309" s="102" t="s">
        <v>137</v>
      </c>
      <c r="F2309" s="102" t="s">
        <v>711</v>
      </c>
      <c r="G2309" s="102" t="s">
        <v>732</v>
      </c>
      <c r="H2309" s="360">
        <v>400.0</v>
      </c>
      <c r="I2309" s="411" t="b">
        <v>0</v>
      </c>
      <c r="J2309" s="102" t="s">
        <v>2577</v>
      </c>
      <c r="K2309" s="360">
        <v>0.0</v>
      </c>
      <c r="L2309" s="360">
        <v>400.0</v>
      </c>
      <c r="M2309" s="102" t="s">
        <v>2276</v>
      </c>
      <c r="N2309" s="102" t="s">
        <v>3154</v>
      </c>
    </row>
    <row r="2310">
      <c r="A2310" s="412">
        <v>46252.0</v>
      </c>
      <c r="B2310" s="413">
        <v>2026.0</v>
      </c>
      <c r="C2310" s="414" t="s">
        <v>3074</v>
      </c>
      <c r="D2310" s="413" t="s">
        <v>723</v>
      </c>
      <c r="E2310" s="413" t="s">
        <v>137</v>
      </c>
      <c r="F2310" s="413" t="s">
        <v>711</v>
      </c>
      <c r="G2310" s="413" t="s">
        <v>740</v>
      </c>
      <c r="H2310" s="415">
        <v>20.0</v>
      </c>
      <c r="I2310" s="416" t="b">
        <v>0</v>
      </c>
      <c r="J2310" s="413" t="s">
        <v>472</v>
      </c>
      <c r="K2310" s="415">
        <v>0.0</v>
      </c>
      <c r="L2310" s="415">
        <v>20.0</v>
      </c>
      <c r="M2310" s="413" t="s">
        <v>2276</v>
      </c>
      <c r="N2310" s="413" t="s">
        <v>3155</v>
      </c>
    </row>
    <row r="2311">
      <c r="A2311" s="409">
        <v>46252.0</v>
      </c>
      <c r="B2311" s="102">
        <v>2026.0</v>
      </c>
      <c r="C2311" s="410" t="s">
        <v>3074</v>
      </c>
      <c r="D2311" s="102" t="s">
        <v>723</v>
      </c>
      <c r="E2311" s="102" t="s">
        <v>137</v>
      </c>
      <c r="F2311" s="102" t="s">
        <v>703</v>
      </c>
      <c r="G2311" s="102" t="s">
        <v>2270</v>
      </c>
      <c r="H2311" s="360">
        <v>50.0</v>
      </c>
      <c r="I2311" s="411" t="b">
        <v>0</v>
      </c>
      <c r="J2311" s="102" t="s">
        <v>3156</v>
      </c>
      <c r="K2311" s="360">
        <v>0.0</v>
      </c>
      <c r="L2311" s="360">
        <v>50.0</v>
      </c>
      <c r="M2311" s="102" t="s">
        <v>2276</v>
      </c>
      <c r="N2311" s="102" t="s">
        <v>3157</v>
      </c>
    </row>
    <row r="2312">
      <c r="A2312" s="412">
        <v>46252.0</v>
      </c>
      <c r="B2312" s="413">
        <v>2026.0</v>
      </c>
      <c r="C2312" s="414" t="s">
        <v>3074</v>
      </c>
      <c r="D2312" s="413" t="s">
        <v>723</v>
      </c>
      <c r="E2312" s="413" t="s">
        <v>137</v>
      </c>
      <c r="F2312" s="413" t="s">
        <v>703</v>
      </c>
      <c r="G2312" s="413" t="s">
        <v>3158</v>
      </c>
      <c r="H2312" s="415">
        <v>328.0</v>
      </c>
      <c r="I2312" s="416" t="b">
        <v>0</v>
      </c>
      <c r="J2312" s="413" t="s">
        <v>3159</v>
      </c>
      <c r="K2312" s="415">
        <v>0.0</v>
      </c>
      <c r="L2312" s="415">
        <v>328.0</v>
      </c>
      <c r="M2312" s="413" t="s">
        <v>2276</v>
      </c>
      <c r="N2312" s="413" t="s">
        <v>3160</v>
      </c>
    </row>
    <row r="2313">
      <c r="A2313" s="409">
        <v>46252.0</v>
      </c>
      <c r="B2313" s="102">
        <v>2026.0</v>
      </c>
      <c r="C2313" s="410" t="s">
        <v>3074</v>
      </c>
      <c r="D2313" s="102" t="s">
        <v>723</v>
      </c>
      <c r="E2313" s="102" t="s">
        <v>137</v>
      </c>
      <c r="F2313" s="102" t="s">
        <v>711</v>
      </c>
      <c r="G2313" s="102" t="s">
        <v>740</v>
      </c>
      <c r="H2313" s="360">
        <v>109.0</v>
      </c>
      <c r="I2313" s="411" t="b">
        <v>0</v>
      </c>
      <c r="J2313" s="102" t="s">
        <v>472</v>
      </c>
      <c r="K2313" s="360">
        <v>0.0</v>
      </c>
      <c r="L2313" s="360">
        <v>109.0</v>
      </c>
      <c r="M2313" s="102" t="s">
        <v>2276</v>
      </c>
      <c r="N2313" s="102" t="s">
        <v>3161</v>
      </c>
    </row>
    <row r="2314">
      <c r="A2314" s="412">
        <v>46252.0</v>
      </c>
      <c r="B2314" s="413">
        <v>2026.0</v>
      </c>
      <c r="C2314" s="414" t="s">
        <v>3074</v>
      </c>
      <c r="D2314" s="413" t="s">
        <v>702</v>
      </c>
      <c r="E2314" s="413" t="s">
        <v>465</v>
      </c>
      <c r="F2314" s="413" t="s">
        <v>703</v>
      </c>
      <c r="G2314" s="413" t="s">
        <v>3085</v>
      </c>
      <c r="H2314" s="415">
        <v>179.0</v>
      </c>
      <c r="I2314" s="416" t="b">
        <v>0</v>
      </c>
      <c r="J2314" s="413" t="s">
        <v>3162</v>
      </c>
      <c r="K2314" s="415">
        <v>0.0</v>
      </c>
      <c r="L2314" s="415">
        <v>179.0</v>
      </c>
      <c r="M2314" s="413" t="s">
        <v>2276</v>
      </c>
      <c r="N2314" s="413" t="s">
        <v>3163</v>
      </c>
    </row>
    <row r="2315">
      <c r="A2315" s="409">
        <v>46252.0</v>
      </c>
      <c r="B2315" s="102">
        <v>2026.0</v>
      </c>
      <c r="C2315" s="410" t="s">
        <v>3074</v>
      </c>
      <c r="D2315" s="102" t="s">
        <v>702</v>
      </c>
      <c r="E2315" s="102" t="s">
        <v>465</v>
      </c>
      <c r="F2315" s="102" t="s">
        <v>703</v>
      </c>
      <c r="G2315" s="102" t="s">
        <v>732</v>
      </c>
      <c r="H2315" s="360">
        <v>997.0</v>
      </c>
      <c r="I2315" s="411" t="b">
        <v>0</v>
      </c>
      <c r="J2315" s="102" t="s">
        <v>3164</v>
      </c>
      <c r="K2315" s="360">
        <v>0.0</v>
      </c>
      <c r="L2315" s="360">
        <v>997.0</v>
      </c>
      <c r="M2315" s="102" t="s">
        <v>2276</v>
      </c>
      <c r="N2315" s="102" t="s">
        <v>3165</v>
      </c>
    </row>
    <row r="2316">
      <c r="A2316" s="412">
        <v>46252.0</v>
      </c>
      <c r="B2316" s="413">
        <v>2026.0</v>
      </c>
      <c r="C2316" s="414" t="s">
        <v>3074</v>
      </c>
      <c r="D2316" s="413" t="s">
        <v>702</v>
      </c>
      <c r="E2316" s="413" t="s">
        <v>465</v>
      </c>
      <c r="F2316" s="413" t="s">
        <v>703</v>
      </c>
      <c r="G2316" s="413" t="s">
        <v>3085</v>
      </c>
      <c r="H2316" s="415">
        <v>395.0</v>
      </c>
      <c r="I2316" s="416" t="b">
        <v>0</v>
      </c>
      <c r="J2316" s="413" t="s">
        <v>3166</v>
      </c>
      <c r="K2316" s="415">
        <v>0.0</v>
      </c>
      <c r="L2316" s="415">
        <v>395.0</v>
      </c>
      <c r="M2316" s="413" t="s">
        <v>2276</v>
      </c>
      <c r="N2316" s="413" t="s">
        <v>3167</v>
      </c>
    </row>
    <row r="2317">
      <c r="A2317" s="409">
        <v>46252.0</v>
      </c>
      <c r="B2317" s="102">
        <v>2026.0</v>
      </c>
      <c r="C2317" s="410" t="s">
        <v>3074</v>
      </c>
      <c r="D2317" s="102" t="s">
        <v>702</v>
      </c>
      <c r="E2317" s="102" t="s">
        <v>465</v>
      </c>
      <c r="F2317" s="102" t="s">
        <v>703</v>
      </c>
      <c r="G2317" s="102" t="s">
        <v>3085</v>
      </c>
      <c r="H2317" s="360">
        <v>1734.0</v>
      </c>
      <c r="I2317" s="411" t="b">
        <v>0</v>
      </c>
      <c r="J2317" s="102" t="s">
        <v>3168</v>
      </c>
      <c r="K2317" s="360">
        <v>0.0</v>
      </c>
      <c r="L2317" s="360">
        <v>1734.0</v>
      </c>
      <c r="M2317" s="102" t="s">
        <v>2276</v>
      </c>
      <c r="N2317" s="102" t="s">
        <v>3169</v>
      </c>
    </row>
    <row r="2318">
      <c r="A2318" s="412">
        <v>46252.0</v>
      </c>
      <c r="B2318" s="413">
        <v>2026.0</v>
      </c>
      <c r="C2318" s="414" t="s">
        <v>3074</v>
      </c>
      <c r="D2318" s="413" t="s">
        <v>723</v>
      </c>
      <c r="E2318" s="413" t="s">
        <v>137</v>
      </c>
      <c r="F2318" s="413" t="s">
        <v>711</v>
      </c>
      <c r="G2318" s="413" t="s">
        <v>740</v>
      </c>
      <c r="H2318" s="415">
        <v>30.0</v>
      </c>
      <c r="I2318" s="416" t="b">
        <v>0</v>
      </c>
      <c r="J2318" s="413" t="s">
        <v>472</v>
      </c>
      <c r="K2318" s="415">
        <v>0.0</v>
      </c>
      <c r="L2318" s="415">
        <v>30.0</v>
      </c>
      <c r="M2318" s="413" t="s">
        <v>2276</v>
      </c>
      <c r="N2318" s="413" t="s">
        <v>3170</v>
      </c>
    </row>
    <row r="2319">
      <c r="A2319" s="409">
        <v>46252.0</v>
      </c>
      <c r="B2319" s="102">
        <v>2026.0</v>
      </c>
      <c r="C2319" s="410" t="s">
        <v>3074</v>
      </c>
      <c r="D2319" s="102" t="s">
        <v>702</v>
      </c>
      <c r="E2319" s="102" t="s">
        <v>465</v>
      </c>
      <c r="F2319" s="102" t="s">
        <v>703</v>
      </c>
      <c r="G2319" s="102" t="s">
        <v>3085</v>
      </c>
      <c r="H2319" s="360">
        <v>270.0</v>
      </c>
      <c r="I2319" s="411" t="b">
        <v>0</v>
      </c>
      <c r="J2319" s="102" t="s">
        <v>2252</v>
      </c>
      <c r="K2319" s="360">
        <v>0.0</v>
      </c>
      <c r="L2319" s="360">
        <v>270.0</v>
      </c>
      <c r="M2319" s="102" t="s">
        <v>2276</v>
      </c>
      <c r="N2319" s="102" t="s">
        <v>3171</v>
      </c>
    </row>
    <row r="2320">
      <c r="A2320" s="412">
        <v>46252.0</v>
      </c>
      <c r="B2320" s="413">
        <v>2026.0</v>
      </c>
      <c r="C2320" s="414" t="s">
        <v>3074</v>
      </c>
      <c r="D2320" s="413" t="s">
        <v>723</v>
      </c>
      <c r="E2320" s="413" t="s">
        <v>137</v>
      </c>
      <c r="F2320" s="413" t="s">
        <v>711</v>
      </c>
      <c r="G2320" s="413" t="s">
        <v>740</v>
      </c>
      <c r="H2320" s="415">
        <v>20.0</v>
      </c>
      <c r="I2320" s="416" t="b">
        <v>0</v>
      </c>
      <c r="J2320" s="413" t="s">
        <v>472</v>
      </c>
      <c r="K2320" s="415">
        <v>0.0</v>
      </c>
      <c r="L2320" s="415">
        <v>20.0</v>
      </c>
      <c r="M2320" s="413" t="s">
        <v>2276</v>
      </c>
      <c r="N2320" s="413" t="s">
        <v>3172</v>
      </c>
    </row>
    <row r="2321">
      <c r="A2321" s="409">
        <v>46252.0</v>
      </c>
      <c r="B2321" s="102">
        <v>2026.0</v>
      </c>
      <c r="C2321" s="410" t="s">
        <v>3074</v>
      </c>
      <c r="D2321" s="102" t="s">
        <v>723</v>
      </c>
      <c r="E2321" s="102" t="s">
        <v>137</v>
      </c>
      <c r="F2321" s="102" t="s">
        <v>711</v>
      </c>
      <c r="G2321" s="102" t="s">
        <v>734</v>
      </c>
      <c r="H2321" s="360">
        <v>180.0</v>
      </c>
      <c r="I2321" s="411" t="b">
        <v>0</v>
      </c>
      <c r="J2321" s="102" t="s">
        <v>472</v>
      </c>
      <c r="K2321" s="360">
        <v>0.0</v>
      </c>
      <c r="L2321" s="360">
        <v>180.0</v>
      </c>
      <c r="M2321" s="102" t="s">
        <v>2276</v>
      </c>
      <c r="N2321" s="102" t="s">
        <v>3173</v>
      </c>
    </row>
    <row r="2322">
      <c r="A2322" s="412">
        <v>46253.0</v>
      </c>
      <c r="B2322" s="413">
        <v>2026.0</v>
      </c>
      <c r="C2322" s="414" t="s">
        <v>3074</v>
      </c>
      <c r="D2322" s="413" t="s">
        <v>723</v>
      </c>
      <c r="E2322" s="413" t="s">
        <v>137</v>
      </c>
      <c r="F2322" s="413" t="s">
        <v>703</v>
      </c>
      <c r="G2322" s="413" t="s">
        <v>724</v>
      </c>
      <c r="H2322" s="415">
        <v>7900.0</v>
      </c>
      <c r="I2322" s="416" t="b">
        <v>1</v>
      </c>
      <c r="J2322" s="413" t="s">
        <v>472</v>
      </c>
      <c r="K2322" s="415">
        <v>0.0</v>
      </c>
      <c r="L2322" s="415">
        <v>0.0</v>
      </c>
      <c r="M2322" s="413" t="s">
        <v>2276</v>
      </c>
      <c r="N2322" s="413" t="s">
        <v>3174</v>
      </c>
    </row>
    <row r="2323">
      <c r="A2323" s="409">
        <v>46253.0</v>
      </c>
      <c r="B2323" s="102">
        <v>2026.0</v>
      </c>
      <c r="C2323" s="410" t="s">
        <v>3074</v>
      </c>
      <c r="D2323" s="102" t="s">
        <v>710</v>
      </c>
      <c r="E2323" s="102" t="s">
        <v>137</v>
      </c>
      <c r="F2323" s="102" t="s">
        <v>711</v>
      </c>
      <c r="G2323" s="102" t="s">
        <v>724</v>
      </c>
      <c r="H2323" s="360">
        <v>7900.0</v>
      </c>
      <c r="I2323" s="411" t="b">
        <v>1</v>
      </c>
      <c r="J2323" s="102" t="s">
        <v>472</v>
      </c>
      <c r="K2323" s="360">
        <v>0.0</v>
      </c>
      <c r="L2323" s="360">
        <v>0.0</v>
      </c>
      <c r="M2323" s="102" t="s">
        <v>2276</v>
      </c>
      <c r="N2323" s="102" t="s">
        <v>3174</v>
      </c>
    </row>
    <row r="2324">
      <c r="A2324" s="412">
        <v>46253.0</v>
      </c>
      <c r="B2324" s="413">
        <v>2026.0</v>
      </c>
      <c r="C2324" s="414" t="s">
        <v>3074</v>
      </c>
      <c r="D2324" s="413" t="s">
        <v>702</v>
      </c>
      <c r="E2324" s="413" t="s">
        <v>465</v>
      </c>
      <c r="F2324" s="413" t="s">
        <v>703</v>
      </c>
      <c r="G2324" s="413" t="s">
        <v>724</v>
      </c>
      <c r="H2324" s="415">
        <v>231.0</v>
      </c>
      <c r="I2324" s="416" t="b">
        <v>1</v>
      </c>
      <c r="J2324" s="413" t="s">
        <v>472</v>
      </c>
      <c r="K2324" s="415">
        <v>0.0</v>
      </c>
      <c r="L2324" s="415">
        <v>0.0</v>
      </c>
      <c r="M2324" s="413" t="s">
        <v>2276</v>
      </c>
      <c r="N2324" s="413" t="s">
        <v>3175</v>
      </c>
    </row>
    <row r="2325">
      <c r="A2325" s="409">
        <v>46253.0</v>
      </c>
      <c r="B2325" s="102">
        <v>2026.0</v>
      </c>
      <c r="C2325" s="410" t="s">
        <v>3074</v>
      </c>
      <c r="D2325" s="102" t="s">
        <v>710</v>
      </c>
      <c r="E2325" s="102" t="s">
        <v>137</v>
      </c>
      <c r="F2325" s="102" t="s">
        <v>711</v>
      </c>
      <c r="G2325" s="102" t="s">
        <v>724</v>
      </c>
      <c r="H2325" s="360">
        <v>231.0</v>
      </c>
      <c r="I2325" s="411" t="b">
        <v>1</v>
      </c>
      <c r="J2325" s="102" t="s">
        <v>472</v>
      </c>
      <c r="K2325" s="360">
        <v>0.0</v>
      </c>
      <c r="L2325" s="360">
        <v>0.0</v>
      </c>
      <c r="M2325" s="102" t="s">
        <v>2276</v>
      </c>
      <c r="N2325" s="102" t="s">
        <v>3175</v>
      </c>
    </row>
    <row r="2326">
      <c r="A2326" s="412">
        <v>46253.0</v>
      </c>
      <c r="B2326" s="413">
        <v>2026.0</v>
      </c>
      <c r="C2326" s="414" t="s">
        <v>3074</v>
      </c>
      <c r="D2326" s="413" t="s">
        <v>702</v>
      </c>
      <c r="E2326" s="413" t="s">
        <v>465</v>
      </c>
      <c r="F2326" s="413" t="s">
        <v>703</v>
      </c>
      <c r="G2326" s="413" t="s">
        <v>2352</v>
      </c>
      <c r="H2326" s="415">
        <v>4577.0</v>
      </c>
      <c r="I2326" s="416" t="b">
        <v>0</v>
      </c>
      <c r="J2326" s="413" t="s">
        <v>472</v>
      </c>
      <c r="K2326" s="415">
        <v>0.0</v>
      </c>
      <c r="L2326" s="415">
        <v>4577.0</v>
      </c>
      <c r="M2326" s="413" t="s">
        <v>2276</v>
      </c>
      <c r="N2326" s="413" t="s">
        <v>3176</v>
      </c>
    </row>
    <row r="2327">
      <c r="A2327" s="409">
        <v>46253.0</v>
      </c>
      <c r="B2327" s="102">
        <v>2026.0</v>
      </c>
      <c r="C2327" s="410" t="s">
        <v>3074</v>
      </c>
      <c r="D2327" s="102" t="s">
        <v>702</v>
      </c>
      <c r="E2327" s="102" t="s">
        <v>465</v>
      </c>
      <c r="F2327" s="102" t="s">
        <v>711</v>
      </c>
      <c r="G2327" s="102" t="s">
        <v>737</v>
      </c>
      <c r="H2327" s="360">
        <v>550.0</v>
      </c>
      <c r="I2327" s="411" t="b">
        <v>0</v>
      </c>
      <c r="J2327" s="102" t="s">
        <v>3116</v>
      </c>
      <c r="K2327" s="360">
        <v>75.86206896551721</v>
      </c>
      <c r="L2327" s="360">
        <v>474.1379310344828</v>
      </c>
      <c r="M2327" s="102" t="s">
        <v>2276</v>
      </c>
      <c r="N2327" s="102" t="s">
        <v>3177</v>
      </c>
    </row>
    <row r="2328">
      <c r="A2328" s="412">
        <v>46253.0</v>
      </c>
      <c r="B2328" s="413">
        <v>2026.0</v>
      </c>
      <c r="C2328" s="414" t="s">
        <v>3074</v>
      </c>
      <c r="D2328" s="413" t="s">
        <v>723</v>
      </c>
      <c r="E2328" s="413" t="s">
        <v>137</v>
      </c>
      <c r="F2328" s="413" t="s">
        <v>711</v>
      </c>
      <c r="G2328" s="413" t="s">
        <v>737</v>
      </c>
      <c r="H2328" s="415">
        <v>550.0</v>
      </c>
      <c r="I2328" s="416" t="b">
        <v>0</v>
      </c>
      <c r="J2328" s="413" t="s">
        <v>3178</v>
      </c>
      <c r="K2328" s="415">
        <v>0.0</v>
      </c>
      <c r="L2328" s="415">
        <v>550.0</v>
      </c>
      <c r="M2328" s="413" t="s">
        <v>2276</v>
      </c>
      <c r="N2328" s="413" t="s">
        <v>3179</v>
      </c>
    </row>
    <row r="2329">
      <c r="A2329" s="409">
        <v>46254.0</v>
      </c>
      <c r="B2329" s="102">
        <v>2026.0</v>
      </c>
      <c r="C2329" s="410" t="s">
        <v>3074</v>
      </c>
      <c r="D2329" s="102" t="s">
        <v>702</v>
      </c>
      <c r="E2329" s="102" t="s">
        <v>465</v>
      </c>
      <c r="F2329" s="102" t="s">
        <v>711</v>
      </c>
      <c r="G2329" s="102" t="s">
        <v>737</v>
      </c>
      <c r="H2329" s="360">
        <v>527.67</v>
      </c>
      <c r="I2329" s="411" t="b">
        <v>0</v>
      </c>
      <c r="J2329" s="102" t="s">
        <v>3180</v>
      </c>
      <c r="K2329" s="360">
        <v>72.78206896551723</v>
      </c>
      <c r="L2329" s="360">
        <v>454.88793103448273</v>
      </c>
      <c r="M2329" s="102" t="s">
        <v>2276</v>
      </c>
      <c r="N2329" s="102" t="s">
        <v>3181</v>
      </c>
    </row>
    <row r="2330">
      <c r="A2330" s="412">
        <v>46254.0</v>
      </c>
      <c r="B2330" s="413">
        <v>2026.0</v>
      </c>
      <c r="C2330" s="414" t="s">
        <v>3074</v>
      </c>
      <c r="D2330" s="413" t="s">
        <v>723</v>
      </c>
      <c r="E2330" s="413" t="s">
        <v>137</v>
      </c>
      <c r="F2330" s="413" t="s">
        <v>711</v>
      </c>
      <c r="G2330" s="413" t="s">
        <v>732</v>
      </c>
      <c r="H2330" s="415">
        <v>200.0</v>
      </c>
      <c r="I2330" s="416" t="b">
        <v>0</v>
      </c>
      <c r="J2330" s="413" t="s">
        <v>2655</v>
      </c>
      <c r="K2330" s="415">
        <v>0.0</v>
      </c>
      <c r="L2330" s="415">
        <v>200.0</v>
      </c>
      <c r="M2330" s="413" t="s">
        <v>2276</v>
      </c>
      <c r="N2330" s="413" t="s">
        <v>3182</v>
      </c>
    </row>
    <row r="2331">
      <c r="A2331" s="409">
        <v>46254.0</v>
      </c>
      <c r="B2331" s="102">
        <v>2026.0</v>
      </c>
      <c r="C2331" s="410" t="s">
        <v>3074</v>
      </c>
      <c r="D2331" s="102" t="s">
        <v>723</v>
      </c>
      <c r="E2331" s="102" t="s">
        <v>137</v>
      </c>
      <c r="F2331" s="102" t="s">
        <v>711</v>
      </c>
      <c r="G2331" s="102" t="s">
        <v>732</v>
      </c>
      <c r="H2331" s="360">
        <v>50.0</v>
      </c>
      <c r="I2331" s="411" t="b">
        <v>0</v>
      </c>
      <c r="J2331" s="102" t="s">
        <v>2655</v>
      </c>
      <c r="K2331" s="360">
        <v>0.0</v>
      </c>
      <c r="L2331" s="360">
        <v>50.0</v>
      </c>
      <c r="M2331" s="102" t="s">
        <v>2276</v>
      </c>
      <c r="N2331" s="102" t="s">
        <v>3183</v>
      </c>
    </row>
    <row r="2332">
      <c r="A2332" s="412">
        <v>46254.0</v>
      </c>
      <c r="B2332" s="413">
        <v>2026.0</v>
      </c>
      <c r="C2332" s="414" t="s">
        <v>3074</v>
      </c>
      <c r="D2332" s="413" t="s">
        <v>723</v>
      </c>
      <c r="E2332" s="413" t="s">
        <v>137</v>
      </c>
      <c r="F2332" s="413" t="s">
        <v>711</v>
      </c>
      <c r="G2332" s="413" t="s">
        <v>740</v>
      </c>
      <c r="H2332" s="415">
        <v>45.0</v>
      </c>
      <c r="I2332" s="416" t="b">
        <v>0</v>
      </c>
      <c r="J2332" s="413" t="s">
        <v>472</v>
      </c>
      <c r="K2332" s="415">
        <v>0.0</v>
      </c>
      <c r="L2332" s="415">
        <v>45.0</v>
      </c>
      <c r="M2332" s="413" t="s">
        <v>2276</v>
      </c>
      <c r="N2332" s="413" t="s">
        <v>3184</v>
      </c>
    </row>
    <row r="2333">
      <c r="A2333" s="409">
        <v>46254.0</v>
      </c>
      <c r="B2333" s="102">
        <v>2026.0</v>
      </c>
      <c r="C2333" s="410" t="s">
        <v>3074</v>
      </c>
      <c r="D2333" s="102" t="s">
        <v>723</v>
      </c>
      <c r="E2333" s="102" t="s">
        <v>137</v>
      </c>
      <c r="F2333" s="102" t="s">
        <v>703</v>
      </c>
      <c r="G2333" s="102" t="s">
        <v>740</v>
      </c>
      <c r="H2333" s="360">
        <v>260.0</v>
      </c>
      <c r="I2333" s="411" t="b">
        <v>0</v>
      </c>
      <c r="J2333" s="102" t="s">
        <v>472</v>
      </c>
      <c r="K2333" s="360">
        <v>0.0</v>
      </c>
      <c r="L2333" s="360">
        <v>260.0</v>
      </c>
      <c r="M2333" s="102" t="s">
        <v>2276</v>
      </c>
      <c r="N2333" s="102" t="s">
        <v>3185</v>
      </c>
    </row>
    <row r="2334">
      <c r="A2334" s="412">
        <v>46258.0</v>
      </c>
      <c r="B2334" s="413">
        <v>2026.0</v>
      </c>
      <c r="C2334" s="414" t="s">
        <v>3074</v>
      </c>
      <c r="D2334" s="413" t="s">
        <v>723</v>
      </c>
      <c r="E2334" s="413" t="s">
        <v>137</v>
      </c>
      <c r="F2334" s="413" t="s">
        <v>711</v>
      </c>
      <c r="G2334" s="413" t="s">
        <v>767</v>
      </c>
      <c r="H2334" s="415">
        <v>950.0</v>
      </c>
      <c r="I2334" s="416" t="b">
        <v>0</v>
      </c>
      <c r="J2334" s="413" t="s">
        <v>3186</v>
      </c>
      <c r="K2334" s="415">
        <v>0.0</v>
      </c>
      <c r="L2334" s="415">
        <v>950.0</v>
      </c>
      <c r="M2334" s="413" t="s">
        <v>2276</v>
      </c>
      <c r="N2334" s="413" t="s">
        <v>3187</v>
      </c>
    </row>
    <row r="2335">
      <c r="A2335" s="409">
        <v>46258.0</v>
      </c>
      <c r="B2335" s="102">
        <v>2026.0</v>
      </c>
      <c r="C2335" s="410" t="s">
        <v>3074</v>
      </c>
      <c r="D2335" s="102" t="s">
        <v>702</v>
      </c>
      <c r="E2335" s="102" t="s">
        <v>465</v>
      </c>
      <c r="F2335" s="102" t="s">
        <v>711</v>
      </c>
      <c r="G2335" s="102" t="s">
        <v>767</v>
      </c>
      <c r="H2335" s="360">
        <v>1100.0</v>
      </c>
      <c r="I2335" s="411" t="b">
        <v>0</v>
      </c>
      <c r="J2335" s="102" t="s">
        <v>1197</v>
      </c>
      <c r="K2335" s="360">
        <v>151.72413793103442</v>
      </c>
      <c r="L2335" s="360">
        <v>948.2758620689656</v>
      </c>
      <c r="M2335" s="102" t="s">
        <v>2276</v>
      </c>
      <c r="N2335" s="102" t="s">
        <v>3188</v>
      </c>
    </row>
    <row r="2336">
      <c r="A2336" s="412">
        <v>46259.0</v>
      </c>
      <c r="B2336" s="413">
        <v>2026.0</v>
      </c>
      <c r="C2336" s="414" t="s">
        <v>3074</v>
      </c>
      <c r="D2336" s="413" t="s">
        <v>710</v>
      </c>
      <c r="E2336" s="413" t="s">
        <v>137</v>
      </c>
      <c r="F2336" s="413" t="s">
        <v>703</v>
      </c>
      <c r="G2336" s="413" t="s">
        <v>747</v>
      </c>
      <c r="H2336" s="415">
        <v>6300.0</v>
      </c>
      <c r="I2336" s="416" t="b">
        <v>0</v>
      </c>
      <c r="J2336" s="413" t="s">
        <v>2382</v>
      </c>
      <c r="K2336" s="415">
        <v>0.0</v>
      </c>
      <c r="L2336" s="415">
        <v>6300.0</v>
      </c>
      <c r="M2336" s="413" t="s">
        <v>2276</v>
      </c>
      <c r="N2336" s="413" t="s">
        <v>3189</v>
      </c>
    </row>
    <row r="2337">
      <c r="A2337" s="409">
        <v>46259.0</v>
      </c>
      <c r="B2337" s="102">
        <v>2026.0</v>
      </c>
      <c r="C2337" s="410" t="s">
        <v>3074</v>
      </c>
      <c r="D2337" s="102" t="s">
        <v>702</v>
      </c>
      <c r="E2337" s="102" t="s">
        <v>465</v>
      </c>
      <c r="F2337" s="102" t="s">
        <v>711</v>
      </c>
      <c r="G2337" s="102" t="s">
        <v>767</v>
      </c>
      <c r="H2337" s="360">
        <v>950.0</v>
      </c>
      <c r="I2337" s="411" t="b">
        <v>0</v>
      </c>
      <c r="J2337" s="102" t="s">
        <v>3190</v>
      </c>
      <c r="K2337" s="360">
        <v>131.03448275862058</v>
      </c>
      <c r="L2337" s="360">
        <v>818.9655172413794</v>
      </c>
      <c r="M2337" s="102" t="s">
        <v>2276</v>
      </c>
      <c r="N2337" s="102" t="s">
        <v>3191</v>
      </c>
    </row>
    <row r="2338">
      <c r="A2338" s="412">
        <v>46259.0</v>
      </c>
      <c r="B2338" s="413">
        <v>2026.0</v>
      </c>
      <c r="C2338" s="414" t="s">
        <v>3074</v>
      </c>
      <c r="D2338" s="413" t="s">
        <v>702</v>
      </c>
      <c r="E2338" s="413" t="s">
        <v>465</v>
      </c>
      <c r="F2338" s="413" t="s">
        <v>711</v>
      </c>
      <c r="G2338" s="413" t="s">
        <v>767</v>
      </c>
      <c r="H2338" s="415">
        <v>911.43</v>
      </c>
      <c r="I2338" s="416" t="b">
        <v>0</v>
      </c>
      <c r="J2338" s="413" t="s">
        <v>2721</v>
      </c>
      <c r="K2338" s="415">
        <v>125.71448275862065</v>
      </c>
      <c r="L2338" s="415">
        <v>785.7155172413793</v>
      </c>
      <c r="M2338" s="413" t="s">
        <v>2276</v>
      </c>
      <c r="N2338" s="413" t="s">
        <v>3192</v>
      </c>
    </row>
    <row r="2339">
      <c r="A2339" s="409">
        <v>46259.0</v>
      </c>
      <c r="B2339" s="102">
        <v>2026.0</v>
      </c>
      <c r="C2339" s="410" t="s">
        <v>3074</v>
      </c>
      <c r="D2339" s="102" t="s">
        <v>723</v>
      </c>
      <c r="E2339" s="102" t="s">
        <v>137</v>
      </c>
      <c r="F2339" s="102" t="s">
        <v>703</v>
      </c>
      <c r="G2339" s="102" t="s">
        <v>747</v>
      </c>
      <c r="H2339" s="360">
        <v>200.0</v>
      </c>
      <c r="I2339" s="411" t="b">
        <v>0</v>
      </c>
      <c r="J2339" s="102" t="s">
        <v>2382</v>
      </c>
      <c r="K2339" s="360">
        <v>0.0</v>
      </c>
      <c r="L2339" s="360">
        <v>200.0</v>
      </c>
      <c r="M2339" s="102" t="s">
        <v>2276</v>
      </c>
      <c r="N2339" s="102" t="s">
        <v>3193</v>
      </c>
    </row>
    <row r="2340">
      <c r="A2340" s="412">
        <v>46259.0</v>
      </c>
      <c r="B2340" s="413">
        <v>2026.0</v>
      </c>
      <c r="C2340" s="414" t="s">
        <v>3074</v>
      </c>
      <c r="D2340" s="413" t="s">
        <v>723</v>
      </c>
      <c r="E2340" s="413" t="s">
        <v>137</v>
      </c>
      <c r="F2340" s="413" t="s">
        <v>711</v>
      </c>
      <c r="G2340" s="413" t="s">
        <v>734</v>
      </c>
      <c r="H2340" s="415">
        <v>280.0</v>
      </c>
      <c r="I2340" s="416" t="b">
        <v>0</v>
      </c>
      <c r="J2340" s="413" t="s">
        <v>472</v>
      </c>
      <c r="K2340" s="415">
        <v>0.0</v>
      </c>
      <c r="L2340" s="415">
        <v>280.0</v>
      </c>
      <c r="M2340" s="413" t="s">
        <v>2276</v>
      </c>
      <c r="N2340" s="413" t="s">
        <v>3194</v>
      </c>
    </row>
    <row r="2341">
      <c r="A2341" s="409">
        <v>46259.0</v>
      </c>
      <c r="B2341" s="102">
        <v>2026.0</v>
      </c>
      <c r="C2341" s="410" t="s">
        <v>3074</v>
      </c>
      <c r="D2341" s="102" t="s">
        <v>723</v>
      </c>
      <c r="E2341" s="102" t="s">
        <v>137</v>
      </c>
      <c r="F2341" s="102" t="s">
        <v>711</v>
      </c>
      <c r="G2341" s="102" t="s">
        <v>740</v>
      </c>
      <c r="H2341" s="360">
        <v>40.0</v>
      </c>
      <c r="I2341" s="411" t="b">
        <v>0</v>
      </c>
      <c r="J2341" s="102" t="s">
        <v>472</v>
      </c>
      <c r="K2341" s="360">
        <v>0.0</v>
      </c>
      <c r="L2341" s="360">
        <v>40.0</v>
      </c>
      <c r="M2341" s="102" t="s">
        <v>2276</v>
      </c>
      <c r="N2341" s="102" t="s">
        <v>3195</v>
      </c>
    </row>
    <row r="2342">
      <c r="A2342" s="412">
        <v>46260.0</v>
      </c>
      <c r="B2342" s="413">
        <v>2026.0</v>
      </c>
      <c r="C2342" s="414" t="s">
        <v>3074</v>
      </c>
      <c r="D2342" s="413" t="s">
        <v>723</v>
      </c>
      <c r="E2342" s="413" t="s">
        <v>137</v>
      </c>
      <c r="F2342" s="413" t="s">
        <v>711</v>
      </c>
      <c r="G2342" s="413" t="s">
        <v>734</v>
      </c>
      <c r="H2342" s="415">
        <v>230.0</v>
      </c>
      <c r="I2342" s="416" t="b">
        <v>0</v>
      </c>
      <c r="J2342" s="413" t="s">
        <v>472</v>
      </c>
      <c r="K2342" s="415">
        <v>0.0</v>
      </c>
      <c r="L2342" s="415">
        <v>230.0</v>
      </c>
      <c r="M2342" s="413" t="s">
        <v>2276</v>
      </c>
      <c r="N2342" s="413" t="s">
        <v>3196</v>
      </c>
    </row>
    <row r="2343">
      <c r="A2343" s="409">
        <v>46260.0</v>
      </c>
      <c r="B2343" s="102">
        <v>2026.0</v>
      </c>
      <c r="C2343" s="410" t="s">
        <v>3074</v>
      </c>
      <c r="D2343" s="102" t="s">
        <v>723</v>
      </c>
      <c r="E2343" s="102" t="s">
        <v>137</v>
      </c>
      <c r="F2343" s="102" t="s">
        <v>711</v>
      </c>
      <c r="G2343" s="102" t="s">
        <v>767</v>
      </c>
      <c r="H2343" s="360">
        <v>550.0</v>
      </c>
      <c r="I2343" s="411" t="b">
        <v>0</v>
      </c>
      <c r="J2343" s="102" t="s">
        <v>3197</v>
      </c>
      <c r="K2343" s="360">
        <v>0.0</v>
      </c>
      <c r="L2343" s="360">
        <v>550.0</v>
      </c>
      <c r="M2343" s="102" t="s">
        <v>2276</v>
      </c>
      <c r="N2343" s="102" t="s">
        <v>3198</v>
      </c>
    </row>
    <row r="2344">
      <c r="A2344" s="412">
        <v>46260.0</v>
      </c>
      <c r="B2344" s="413">
        <v>2026.0</v>
      </c>
      <c r="C2344" s="414" t="s">
        <v>3074</v>
      </c>
      <c r="D2344" s="413" t="s">
        <v>723</v>
      </c>
      <c r="E2344" s="413" t="s">
        <v>137</v>
      </c>
      <c r="F2344" s="413" t="s">
        <v>711</v>
      </c>
      <c r="G2344" s="413" t="s">
        <v>740</v>
      </c>
      <c r="H2344" s="415">
        <v>15.0</v>
      </c>
      <c r="I2344" s="416" t="b">
        <v>0</v>
      </c>
      <c r="J2344" s="413" t="s">
        <v>472</v>
      </c>
      <c r="K2344" s="415">
        <v>0.0</v>
      </c>
      <c r="L2344" s="415">
        <v>15.0</v>
      </c>
      <c r="M2344" s="413" t="s">
        <v>2276</v>
      </c>
      <c r="N2344" s="413" t="s">
        <v>3199</v>
      </c>
    </row>
    <row r="2345">
      <c r="A2345" s="409">
        <v>46260.0</v>
      </c>
      <c r="B2345" s="102">
        <v>2026.0</v>
      </c>
      <c r="C2345" s="410" t="s">
        <v>3074</v>
      </c>
      <c r="D2345" s="102" t="s">
        <v>710</v>
      </c>
      <c r="E2345" s="102" t="s">
        <v>137</v>
      </c>
      <c r="F2345" s="102" t="s">
        <v>703</v>
      </c>
      <c r="G2345" s="102" t="s">
        <v>747</v>
      </c>
      <c r="H2345" s="360">
        <v>696.0</v>
      </c>
      <c r="I2345" s="411" t="b">
        <v>0</v>
      </c>
      <c r="J2345" s="102" t="s">
        <v>3200</v>
      </c>
      <c r="K2345" s="360">
        <v>0.0</v>
      </c>
      <c r="L2345" s="360">
        <v>696.0</v>
      </c>
      <c r="M2345" s="102" t="s">
        <v>2276</v>
      </c>
      <c r="N2345" s="102" t="s">
        <v>3201</v>
      </c>
    </row>
    <row r="2346">
      <c r="A2346" s="412">
        <v>46261.0</v>
      </c>
      <c r="B2346" s="413">
        <v>2026.0</v>
      </c>
      <c r="C2346" s="414" t="s">
        <v>3074</v>
      </c>
      <c r="D2346" s="413" t="s">
        <v>723</v>
      </c>
      <c r="E2346" s="413" t="s">
        <v>137</v>
      </c>
      <c r="F2346" s="413" t="s">
        <v>711</v>
      </c>
      <c r="G2346" s="413" t="s">
        <v>767</v>
      </c>
      <c r="H2346" s="415">
        <v>950.0</v>
      </c>
      <c r="I2346" s="416" t="b">
        <v>0</v>
      </c>
      <c r="J2346" s="413" t="s">
        <v>2643</v>
      </c>
      <c r="K2346" s="415">
        <v>0.0</v>
      </c>
      <c r="L2346" s="415">
        <v>950.0</v>
      </c>
      <c r="M2346" s="413" t="s">
        <v>2276</v>
      </c>
      <c r="N2346" s="413" t="s">
        <v>3202</v>
      </c>
    </row>
    <row r="2347">
      <c r="A2347" s="409">
        <v>46261.0</v>
      </c>
      <c r="B2347" s="102">
        <v>2026.0</v>
      </c>
      <c r="C2347" s="410" t="s">
        <v>3074</v>
      </c>
      <c r="D2347" s="102" t="s">
        <v>723</v>
      </c>
      <c r="E2347" s="102" t="s">
        <v>137</v>
      </c>
      <c r="F2347" s="102" t="s">
        <v>711</v>
      </c>
      <c r="G2347" s="102" t="s">
        <v>767</v>
      </c>
      <c r="H2347" s="360">
        <v>1350.0</v>
      </c>
      <c r="I2347" s="411" t="b">
        <v>0</v>
      </c>
      <c r="J2347" s="102" t="s">
        <v>3203</v>
      </c>
      <c r="K2347" s="360">
        <v>0.0</v>
      </c>
      <c r="L2347" s="360">
        <v>1350.0</v>
      </c>
      <c r="M2347" s="102" t="s">
        <v>2276</v>
      </c>
      <c r="N2347" s="102" t="s">
        <v>3204</v>
      </c>
    </row>
    <row r="2348">
      <c r="A2348" s="412">
        <v>46261.0</v>
      </c>
      <c r="B2348" s="413">
        <v>2026.0</v>
      </c>
      <c r="C2348" s="414" t="s">
        <v>3074</v>
      </c>
      <c r="D2348" s="413" t="s">
        <v>702</v>
      </c>
      <c r="E2348" s="413" t="s">
        <v>465</v>
      </c>
      <c r="F2348" s="413" t="s">
        <v>703</v>
      </c>
      <c r="G2348" s="413" t="s">
        <v>3085</v>
      </c>
      <c r="H2348" s="415">
        <v>905.0</v>
      </c>
      <c r="I2348" s="416" t="b">
        <v>0</v>
      </c>
      <c r="J2348" s="413" t="s">
        <v>3168</v>
      </c>
      <c r="K2348" s="415">
        <v>0.0</v>
      </c>
      <c r="L2348" s="415">
        <v>905.0</v>
      </c>
      <c r="M2348" s="413" t="s">
        <v>2276</v>
      </c>
      <c r="N2348" s="413" t="s">
        <v>3205</v>
      </c>
    </row>
    <row r="2349">
      <c r="A2349" s="409">
        <v>46261.0</v>
      </c>
      <c r="B2349" s="102">
        <v>2026.0</v>
      </c>
      <c r="C2349" s="410" t="s">
        <v>3074</v>
      </c>
      <c r="D2349" s="102" t="s">
        <v>710</v>
      </c>
      <c r="E2349" s="102" t="s">
        <v>137</v>
      </c>
      <c r="F2349" s="102" t="s">
        <v>703</v>
      </c>
      <c r="G2349" s="102" t="s">
        <v>3206</v>
      </c>
      <c r="H2349" s="360">
        <v>2400.0</v>
      </c>
      <c r="I2349" s="411" t="b">
        <v>0</v>
      </c>
      <c r="J2349" s="102" t="s">
        <v>3207</v>
      </c>
      <c r="K2349" s="360">
        <v>0.0</v>
      </c>
      <c r="L2349" s="360">
        <v>2400.0</v>
      </c>
      <c r="M2349" s="102" t="s">
        <v>2276</v>
      </c>
      <c r="N2349" s="102" t="s">
        <v>3208</v>
      </c>
    </row>
    <row r="2350">
      <c r="A2350" s="412">
        <v>46261.0</v>
      </c>
      <c r="B2350" s="413">
        <v>2026.0</v>
      </c>
      <c r="C2350" s="414" t="s">
        <v>3074</v>
      </c>
      <c r="D2350" s="413" t="s">
        <v>723</v>
      </c>
      <c r="E2350" s="413" t="s">
        <v>137</v>
      </c>
      <c r="F2350" s="413" t="s">
        <v>711</v>
      </c>
      <c r="G2350" s="413" t="s">
        <v>740</v>
      </c>
      <c r="H2350" s="415">
        <v>10.0</v>
      </c>
      <c r="I2350" s="416" t="b">
        <v>0</v>
      </c>
      <c r="J2350" s="413" t="s">
        <v>472</v>
      </c>
      <c r="K2350" s="415">
        <v>0.0</v>
      </c>
      <c r="L2350" s="415">
        <v>10.0</v>
      </c>
      <c r="M2350" s="413" t="s">
        <v>2276</v>
      </c>
      <c r="N2350" s="413" t="s">
        <v>3209</v>
      </c>
    </row>
    <row r="2351">
      <c r="A2351" s="409">
        <v>46261.0</v>
      </c>
      <c r="B2351" s="102">
        <v>2026.0</v>
      </c>
      <c r="C2351" s="410" t="s">
        <v>3074</v>
      </c>
      <c r="D2351" s="102" t="s">
        <v>723</v>
      </c>
      <c r="E2351" s="102" t="s">
        <v>137</v>
      </c>
      <c r="F2351" s="102" t="s">
        <v>711</v>
      </c>
      <c r="G2351" s="102" t="s">
        <v>767</v>
      </c>
      <c r="H2351" s="360">
        <v>1100.0</v>
      </c>
      <c r="I2351" s="411" t="b">
        <v>0</v>
      </c>
      <c r="J2351" s="102" t="s">
        <v>1146</v>
      </c>
      <c r="K2351" s="360">
        <v>0.0</v>
      </c>
      <c r="L2351" s="360">
        <v>1100.0</v>
      </c>
      <c r="M2351" s="102" t="s">
        <v>2276</v>
      </c>
      <c r="N2351" s="102" t="s">
        <v>3210</v>
      </c>
    </row>
    <row r="2352">
      <c r="A2352" s="412">
        <v>46261.0</v>
      </c>
      <c r="B2352" s="413">
        <v>2026.0</v>
      </c>
      <c r="C2352" s="414" t="s">
        <v>3074</v>
      </c>
      <c r="D2352" s="413" t="s">
        <v>723</v>
      </c>
      <c r="E2352" s="413" t="s">
        <v>137</v>
      </c>
      <c r="F2352" s="413" t="s">
        <v>711</v>
      </c>
      <c r="G2352" s="413" t="s">
        <v>740</v>
      </c>
      <c r="H2352" s="415">
        <v>170.0</v>
      </c>
      <c r="I2352" s="416" t="b">
        <v>0</v>
      </c>
      <c r="J2352" s="413" t="s">
        <v>472</v>
      </c>
      <c r="K2352" s="415">
        <v>0.0</v>
      </c>
      <c r="L2352" s="415">
        <v>170.0</v>
      </c>
      <c r="M2352" s="413" t="s">
        <v>2276</v>
      </c>
      <c r="N2352" s="413" t="s">
        <v>3211</v>
      </c>
    </row>
    <row r="2353">
      <c r="A2353" s="409">
        <v>46261.0</v>
      </c>
      <c r="B2353" s="102">
        <v>2026.0</v>
      </c>
      <c r="C2353" s="410" t="s">
        <v>3074</v>
      </c>
      <c r="D2353" s="102" t="s">
        <v>702</v>
      </c>
      <c r="E2353" s="102" t="s">
        <v>465</v>
      </c>
      <c r="F2353" s="102" t="s">
        <v>703</v>
      </c>
      <c r="G2353" s="102" t="s">
        <v>732</v>
      </c>
      <c r="H2353" s="360">
        <v>399.0</v>
      </c>
      <c r="I2353" s="411" t="b">
        <v>0</v>
      </c>
      <c r="J2353" s="102" t="s">
        <v>3212</v>
      </c>
      <c r="K2353" s="360">
        <v>0.0</v>
      </c>
      <c r="L2353" s="360">
        <v>399.0</v>
      </c>
      <c r="M2353" s="102" t="s">
        <v>2276</v>
      </c>
      <c r="N2353" s="102" t="s">
        <v>3213</v>
      </c>
    </row>
    <row r="2354">
      <c r="A2354" s="412">
        <v>46261.0</v>
      </c>
      <c r="B2354" s="413">
        <v>2026.0</v>
      </c>
      <c r="C2354" s="414" t="s">
        <v>3074</v>
      </c>
      <c r="D2354" s="413" t="s">
        <v>702</v>
      </c>
      <c r="E2354" s="413" t="s">
        <v>465</v>
      </c>
      <c r="F2354" s="413" t="s">
        <v>703</v>
      </c>
      <c r="G2354" s="413" t="s">
        <v>1603</v>
      </c>
      <c r="H2354" s="415">
        <v>50.0</v>
      </c>
      <c r="I2354" s="416" t="b">
        <v>0</v>
      </c>
      <c r="J2354" s="413" t="s">
        <v>472</v>
      </c>
      <c r="K2354" s="415">
        <v>0.0</v>
      </c>
      <c r="L2354" s="415">
        <v>50.0</v>
      </c>
      <c r="M2354" s="413" t="s">
        <v>2276</v>
      </c>
      <c r="N2354" s="413" t="s">
        <v>3214</v>
      </c>
    </row>
    <row r="2355">
      <c r="A2355" s="409">
        <v>46261.0</v>
      </c>
      <c r="B2355" s="102">
        <v>2026.0</v>
      </c>
      <c r="C2355" s="410" t="s">
        <v>3074</v>
      </c>
      <c r="D2355" s="102" t="s">
        <v>702</v>
      </c>
      <c r="E2355" s="102" t="s">
        <v>465</v>
      </c>
      <c r="F2355" s="102" t="s">
        <v>703</v>
      </c>
      <c r="G2355" s="102" t="s">
        <v>724</v>
      </c>
      <c r="H2355" s="360">
        <v>300.0</v>
      </c>
      <c r="I2355" s="411" t="b">
        <v>1</v>
      </c>
      <c r="J2355" s="102" t="s">
        <v>3215</v>
      </c>
      <c r="K2355" s="360">
        <v>0.0</v>
      </c>
      <c r="L2355" s="360">
        <v>0.0</v>
      </c>
      <c r="M2355" s="102" t="s">
        <v>2276</v>
      </c>
      <c r="N2355" s="102" t="s">
        <v>3216</v>
      </c>
    </row>
    <row r="2356">
      <c r="A2356" s="412">
        <v>46261.0</v>
      </c>
      <c r="B2356" s="413">
        <v>2026.0</v>
      </c>
      <c r="C2356" s="414" t="s">
        <v>3074</v>
      </c>
      <c r="D2356" s="413" t="s">
        <v>710</v>
      </c>
      <c r="E2356" s="413" t="s">
        <v>137</v>
      </c>
      <c r="F2356" s="413" t="s">
        <v>711</v>
      </c>
      <c r="G2356" s="413" t="s">
        <v>724</v>
      </c>
      <c r="H2356" s="415">
        <v>300.0</v>
      </c>
      <c r="I2356" s="416" t="b">
        <v>1</v>
      </c>
      <c r="J2356" s="413" t="s">
        <v>3215</v>
      </c>
      <c r="K2356" s="415">
        <v>0.0</v>
      </c>
      <c r="L2356" s="415">
        <v>0.0</v>
      </c>
      <c r="M2356" s="413" t="s">
        <v>2276</v>
      </c>
      <c r="N2356" s="413" t="s">
        <v>3216</v>
      </c>
    </row>
    <row r="2357">
      <c r="A2357" s="409">
        <v>46261.0</v>
      </c>
      <c r="B2357" s="102">
        <v>2026.0</v>
      </c>
      <c r="C2357" s="410" t="s">
        <v>3074</v>
      </c>
      <c r="D2357" s="102" t="s">
        <v>702</v>
      </c>
      <c r="E2357" s="102" t="s">
        <v>465</v>
      </c>
      <c r="F2357" s="102" t="s">
        <v>711</v>
      </c>
      <c r="G2357" s="102" t="s">
        <v>730</v>
      </c>
      <c r="H2357" s="360">
        <v>146.0</v>
      </c>
      <c r="I2357" s="411" t="b">
        <v>0</v>
      </c>
      <c r="J2357" s="102" t="s">
        <v>472</v>
      </c>
      <c r="K2357" s="360">
        <v>20.137931034482747</v>
      </c>
      <c r="L2357" s="360">
        <v>125.86206896551725</v>
      </c>
      <c r="M2357" s="102" t="s">
        <v>2276</v>
      </c>
      <c r="N2357" s="102" t="s">
        <v>3217</v>
      </c>
    </row>
    <row r="2358">
      <c r="A2358" s="412">
        <v>46262.0</v>
      </c>
      <c r="B2358" s="413">
        <v>2026.0</v>
      </c>
      <c r="C2358" s="414" t="s">
        <v>3074</v>
      </c>
      <c r="D2358" s="413" t="s">
        <v>723</v>
      </c>
      <c r="E2358" s="413" t="s">
        <v>137</v>
      </c>
      <c r="F2358" s="413" t="s">
        <v>703</v>
      </c>
      <c r="G2358" s="413" t="s">
        <v>724</v>
      </c>
      <c r="H2358" s="415">
        <v>6240.0</v>
      </c>
      <c r="I2358" s="416" t="b">
        <v>1</v>
      </c>
      <c r="J2358" s="413" t="s">
        <v>472</v>
      </c>
      <c r="K2358" s="415">
        <v>0.0</v>
      </c>
      <c r="L2358" s="415">
        <v>0.0</v>
      </c>
      <c r="M2358" s="413" t="s">
        <v>2276</v>
      </c>
      <c r="N2358" s="413" t="s">
        <v>3218</v>
      </c>
    </row>
    <row r="2359">
      <c r="A2359" s="409">
        <v>46262.0</v>
      </c>
      <c r="B2359" s="102">
        <v>2026.0</v>
      </c>
      <c r="C2359" s="410" t="s">
        <v>3074</v>
      </c>
      <c r="D2359" s="102" t="s">
        <v>710</v>
      </c>
      <c r="E2359" s="102" t="s">
        <v>137</v>
      </c>
      <c r="F2359" s="102" t="s">
        <v>711</v>
      </c>
      <c r="G2359" s="102" t="s">
        <v>724</v>
      </c>
      <c r="H2359" s="360">
        <v>6240.0</v>
      </c>
      <c r="I2359" s="411" t="b">
        <v>1</v>
      </c>
      <c r="J2359" s="102" t="s">
        <v>472</v>
      </c>
      <c r="K2359" s="360">
        <v>0.0</v>
      </c>
      <c r="L2359" s="360">
        <v>0.0</v>
      </c>
      <c r="M2359" s="102" t="s">
        <v>2276</v>
      </c>
      <c r="N2359" s="102" t="s">
        <v>3218</v>
      </c>
    </row>
    <row r="2360">
      <c r="A2360" s="412">
        <v>46262.0</v>
      </c>
      <c r="B2360" s="413">
        <v>2026.0</v>
      </c>
      <c r="C2360" s="414" t="s">
        <v>3074</v>
      </c>
      <c r="D2360" s="413" t="s">
        <v>702</v>
      </c>
      <c r="E2360" s="413" t="s">
        <v>465</v>
      </c>
      <c r="F2360" s="413" t="s">
        <v>711</v>
      </c>
      <c r="G2360" s="413" t="s">
        <v>767</v>
      </c>
      <c r="H2360" s="415">
        <v>911.43</v>
      </c>
      <c r="I2360" s="416" t="b">
        <v>0</v>
      </c>
      <c r="J2360" s="413" t="s">
        <v>2038</v>
      </c>
      <c r="K2360" s="415">
        <v>125.71448275862065</v>
      </c>
      <c r="L2360" s="415">
        <v>785.7155172413793</v>
      </c>
      <c r="M2360" s="413" t="s">
        <v>2276</v>
      </c>
      <c r="N2360" s="413" t="s">
        <v>3219</v>
      </c>
    </row>
    <row r="2361">
      <c r="A2361" s="409">
        <v>46262.0</v>
      </c>
      <c r="B2361" s="102">
        <v>2026.0</v>
      </c>
      <c r="C2361" s="410" t="s">
        <v>3074</v>
      </c>
      <c r="D2361" s="102" t="s">
        <v>723</v>
      </c>
      <c r="E2361" s="102" t="s">
        <v>137</v>
      </c>
      <c r="F2361" s="102" t="s">
        <v>711</v>
      </c>
      <c r="G2361" s="102" t="s">
        <v>740</v>
      </c>
      <c r="H2361" s="360">
        <v>30.0</v>
      </c>
      <c r="I2361" s="411" t="b">
        <v>0</v>
      </c>
      <c r="J2361" s="102" t="s">
        <v>472</v>
      </c>
      <c r="K2361" s="360">
        <v>0.0</v>
      </c>
      <c r="L2361" s="360">
        <v>30.0</v>
      </c>
      <c r="M2361" s="102" t="s">
        <v>2276</v>
      </c>
      <c r="N2361" s="102" t="s">
        <v>3220</v>
      </c>
    </row>
    <row r="2362">
      <c r="A2362" s="412">
        <v>46262.0</v>
      </c>
      <c r="B2362" s="413">
        <v>2026.0</v>
      </c>
      <c r="C2362" s="414" t="s">
        <v>3074</v>
      </c>
      <c r="D2362" s="413" t="s">
        <v>702</v>
      </c>
      <c r="E2362" s="413" t="s">
        <v>465</v>
      </c>
      <c r="F2362" s="413" t="s">
        <v>711</v>
      </c>
      <c r="G2362" s="413" t="s">
        <v>767</v>
      </c>
      <c r="H2362" s="415">
        <v>911.43</v>
      </c>
      <c r="I2362" s="416" t="b">
        <v>0</v>
      </c>
      <c r="J2362" s="413" t="s">
        <v>2810</v>
      </c>
      <c r="K2362" s="415">
        <v>125.71448275862065</v>
      </c>
      <c r="L2362" s="415">
        <v>785.7155172413793</v>
      </c>
      <c r="M2362" s="413" t="s">
        <v>2276</v>
      </c>
      <c r="N2362" s="413" t="s">
        <v>3221</v>
      </c>
    </row>
    <row r="2363">
      <c r="A2363" s="409">
        <v>46263.0</v>
      </c>
      <c r="B2363" s="102">
        <v>2026.0</v>
      </c>
      <c r="C2363" s="410" t="s">
        <v>3074</v>
      </c>
      <c r="D2363" s="102" t="s">
        <v>723</v>
      </c>
      <c r="E2363" s="102" t="s">
        <v>137</v>
      </c>
      <c r="F2363" s="102" t="s">
        <v>711</v>
      </c>
      <c r="G2363" s="102" t="s">
        <v>767</v>
      </c>
      <c r="H2363" s="360">
        <v>1150.0</v>
      </c>
      <c r="I2363" s="411" t="b">
        <v>0</v>
      </c>
      <c r="J2363" s="102" t="s">
        <v>3222</v>
      </c>
      <c r="K2363" s="360">
        <v>0.0</v>
      </c>
      <c r="L2363" s="360">
        <v>1150.0</v>
      </c>
      <c r="M2363" s="102" t="s">
        <v>2276</v>
      </c>
      <c r="N2363" s="102" t="s">
        <v>3223</v>
      </c>
    </row>
    <row r="2364">
      <c r="A2364" s="412">
        <v>46263.0</v>
      </c>
      <c r="B2364" s="413">
        <v>2026.0</v>
      </c>
      <c r="C2364" s="414" t="s">
        <v>3074</v>
      </c>
      <c r="D2364" s="413" t="s">
        <v>702</v>
      </c>
      <c r="E2364" s="413" t="s">
        <v>465</v>
      </c>
      <c r="F2364" s="413" t="s">
        <v>703</v>
      </c>
      <c r="G2364" s="413" t="s">
        <v>3224</v>
      </c>
      <c r="H2364" s="415">
        <v>150.0</v>
      </c>
      <c r="I2364" s="416" t="b">
        <v>0</v>
      </c>
      <c r="J2364" s="413" t="s">
        <v>2803</v>
      </c>
      <c r="K2364" s="415">
        <v>0.0</v>
      </c>
      <c r="L2364" s="415">
        <v>150.0</v>
      </c>
      <c r="M2364" s="413" t="s">
        <v>2276</v>
      </c>
      <c r="N2364" s="413" t="s">
        <v>3225</v>
      </c>
    </row>
    <row r="2365">
      <c r="A2365" s="409">
        <v>46263.0</v>
      </c>
      <c r="B2365" s="102">
        <v>2026.0</v>
      </c>
      <c r="C2365" s="410" t="s">
        <v>3074</v>
      </c>
      <c r="D2365" s="102" t="s">
        <v>702</v>
      </c>
      <c r="E2365" s="102" t="s">
        <v>465</v>
      </c>
      <c r="F2365" s="102" t="s">
        <v>711</v>
      </c>
      <c r="G2365" s="102" t="s">
        <v>767</v>
      </c>
      <c r="H2365" s="360">
        <v>200.0</v>
      </c>
      <c r="I2365" s="411" t="b">
        <v>0</v>
      </c>
      <c r="J2365" s="102" t="s">
        <v>1197</v>
      </c>
      <c r="K2365" s="360">
        <v>27.586206896551715</v>
      </c>
      <c r="L2365" s="360">
        <v>172.41379310344828</v>
      </c>
      <c r="M2365" s="102" t="s">
        <v>2276</v>
      </c>
      <c r="N2365" s="102" t="s">
        <v>3226</v>
      </c>
    </row>
    <row r="2366">
      <c r="A2366" s="412">
        <v>46265.0</v>
      </c>
      <c r="B2366" s="413">
        <v>2026.0</v>
      </c>
      <c r="C2366" s="414" t="s">
        <v>3074</v>
      </c>
      <c r="D2366" s="413" t="s">
        <v>702</v>
      </c>
      <c r="E2366" s="413" t="s">
        <v>465</v>
      </c>
      <c r="F2366" s="413" t="s">
        <v>711</v>
      </c>
      <c r="G2366" s="413" t="s">
        <v>767</v>
      </c>
      <c r="H2366" s="415">
        <v>950.0</v>
      </c>
      <c r="I2366" s="416" t="b">
        <v>0</v>
      </c>
      <c r="J2366" s="413" t="s">
        <v>3227</v>
      </c>
      <c r="K2366" s="415">
        <v>131.03448275862058</v>
      </c>
      <c r="L2366" s="415">
        <v>818.9655172413794</v>
      </c>
      <c r="M2366" s="413" t="s">
        <v>2276</v>
      </c>
      <c r="N2366" s="413" t="s">
        <v>3228</v>
      </c>
    </row>
    <row r="2367">
      <c r="A2367" s="409">
        <v>46265.0</v>
      </c>
      <c r="B2367" s="102">
        <v>2026.0</v>
      </c>
      <c r="C2367" s="410" t="s">
        <v>3074</v>
      </c>
      <c r="D2367" s="102" t="s">
        <v>702</v>
      </c>
      <c r="E2367" s="102" t="s">
        <v>465</v>
      </c>
      <c r="F2367" s="102" t="s">
        <v>703</v>
      </c>
      <c r="G2367" s="102" t="s">
        <v>732</v>
      </c>
      <c r="H2367" s="360">
        <v>1940.0</v>
      </c>
      <c r="I2367" s="411" t="b">
        <v>0</v>
      </c>
      <c r="J2367" s="102" t="s">
        <v>3229</v>
      </c>
      <c r="K2367" s="360">
        <v>0.0</v>
      </c>
      <c r="L2367" s="360">
        <v>1940.0</v>
      </c>
      <c r="M2367" s="102" t="s">
        <v>2276</v>
      </c>
      <c r="N2367" s="102" t="s">
        <v>3230</v>
      </c>
    </row>
    <row r="2368">
      <c r="A2368" s="412">
        <v>46265.0</v>
      </c>
      <c r="B2368" s="413">
        <v>2026.0</v>
      </c>
      <c r="C2368" s="414" t="s">
        <v>3074</v>
      </c>
      <c r="D2368" s="413" t="s">
        <v>702</v>
      </c>
      <c r="E2368" s="413" t="s">
        <v>465</v>
      </c>
      <c r="F2368" s="413" t="s">
        <v>703</v>
      </c>
      <c r="G2368" s="413" t="s">
        <v>2352</v>
      </c>
      <c r="H2368" s="415">
        <v>1270.0</v>
      </c>
      <c r="I2368" s="416" t="b">
        <v>0</v>
      </c>
      <c r="J2368" s="413" t="s">
        <v>472</v>
      </c>
      <c r="K2368" s="415">
        <v>0.0</v>
      </c>
      <c r="L2368" s="415">
        <v>1270.0</v>
      </c>
      <c r="M2368" s="413" t="s">
        <v>2276</v>
      </c>
      <c r="N2368" s="413" t="s">
        <v>3231</v>
      </c>
    </row>
    <row r="2369">
      <c r="A2369" s="409">
        <v>46265.0</v>
      </c>
      <c r="B2369" s="102">
        <v>2026.0</v>
      </c>
      <c r="C2369" s="410" t="s">
        <v>3074</v>
      </c>
      <c r="D2369" s="102" t="s">
        <v>702</v>
      </c>
      <c r="E2369" s="102" t="s">
        <v>465</v>
      </c>
      <c r="F2369" s="102" t="s">
        <v>703</v>
      </c>
      <c r="G2369" s="102" t="s">
        <v>747</v>
      </c>
      <c r="H2369" s="360">
        <v>6960.0</v>
      </c>
      <c r="I2369" s="411" t="b">
        <v>0</v>
      </c>
      <c r="J2369" s="102" t="s">
        <v>1235</v>
      </c>
      <c r="K2369" s="360">
        <v>0.0</v>
      </c>
      <c r="L2369" s="360">
        <v>6960.0</v>
      </c>
      <c r="M2369" s="102" t="s">
        <v>2276</v>
      </c>
      <c r="N2369" s="102" t="s">
        <v>3232</v>
      </c>
    </row>
    <row r="2370">
      <c r="A2370" s="412">
        <v>46265.0</v>
      </c>
      <c r="B2370" s="413">
        <v>2026.0</v>
      </c>
      <c r="C2370" s="414" t="s">
        <v>3074</v>
      </c>
      <c r="D2370" s="413" t="s">
        <v>710</v>
      </c>
      <c r="E2370" s="413" t="s">
        <v>137</v>
      </c>
      <c r="F2370" s="413" t="s">
        <v>703</v>
      </c>
      <c r="G2370" s="413" t="s">
        <v>1657</v>
      </c>
      <c r="H2370" s="415">
        <v>1500.0</v>
      </c>
      <c r="I2370" s="416" t="b">
        <v>0</v>
      </c>
      <c r="J2370" s="413" t="s">
        <v>472</v>
      </c>
      <c r="K2370" s="415">
        <v>0.0</v>
      </c>
      <c r="L2370" s="415">
        <v>1500.0</v>
      </c>
      <c r="M2370" s="413" t="s">
        <v>2276</v>
      </c>
      <c r="N2370" s="413" t="s">
        <v>3232</v>
      </c>
    </row>
    <row r="2371">
      <c r="A2371" s="409">
        <v>46265.0</v>
      </c>
      <c r="B2371" s="102">
        <v>2026.0</v>
      </c>
      <c r="C2371" s="410" t="s">
        <v>3074</v>
      </c>
      <c r="D2371" s="102" t="s">
        <v>702</v>
      </c>
      <c r="E2371" s="102" t="s">
        <v>465</v>
      </c>
      <c r="F2371" s="102" t="s">
        <v>711</v>
      </c>
      <c r="G2371" s="102" t="s">
        <v>767</v>
      </c>
      <c r="H2371" s="360">
        <v>1100.0</v>
      </c>
      <c r="I2371" s="411" t="b">
        <v>0</v>
      </c>
      <c r="J2371" s="102" t="s">
        <v>1246</v>
      </c>
      <c r="K2371" s="360">
        <v>151.72413793103442</v>
      </c>
      <c r="L2371" s="360">
        <v>948.2758620689656</v>
      </c>
      <c r="M2371" s="102" t="s">
        <v>2276</v>
      </c>
      <c r="N2371" s="102" t="s">
        <v>3233</v>
      </c>
    </row>
    <row r="2372">
      <c r="A2372" s="412">
        <v>46265.0</v>
      </c>
      <c r="B2372" s="413">
        <v>2026.0</v>
      </c>
      <c r="C2372" s="414" t="s">
        <v>3074</v>
      </c>
      <c r="D2372" s="413" t="s">
        <v>702</v>
      </c>
      <c r="E2372" s="413" t="s">
        <v>465</v>
      </c>
      <c r="F2372" s="413" t="s">
        <v>711</v>
      </c>
      <c r="G2372" s="413" t="s">
        <v>767</v>
      </c>
      <c r="H2372" s="415">
        <v>800.0</v>
      </c>
      <c r="I2372" s="416" t="b">
        <v>0</v>
      </c>
      <c r="J2372" s="413" t="s">
        <v>2797</v>
      </c>
      <c r="K2372" s="415">
        <v>110.34482758620686</v>
      </c>
      <c r="L2372" s="415">
        <v>689.6551724137931</v>
      </c>
      <c r="M2372" s="413" t="s">
        <v>2276</v>
      </c>
      <c r="N2372" s="413" t="s">
        <v>3234</v>
      </c>
    </row>
    <row r="2373">
      <c r="A2373" s="409">
        <v>46265.0</v>
      </c>
      <c r="B2373" s="102">
        <v>2026.0</v>
      </c>
      <c r="C2373" s="410" t="s">
        <v>3074</v>
      </c>
      <c r="D2373" s="102" t="s">
        <v>702</v>
      </c>
      <c r="E2373" s="102" t="s">
        <v>465</v>
      </c>
      <c r="F2373" s="102" t="s">
        <v>711</v>
      </c>
      <c r="G2373" s="102" t="s">
        <v>767</v>
      </c>
      <c r="H2373" s="360">
        <v>1247.0</v>
      </c>
      <c r="I2373" s="411" t="b">
        <v>0</v>
      </c>
      <c r="J2373" s="102" t="s">
        <v>1164</v>
      </c>
      <c r="K2373" s="360">
        <v>172.0</v>
      </c>
      <c r="L2373" s="360">
        <v>1075.0</v>
      </c>
      <c r="M2373" s="102" t="s">
        <v>2276</v>
      </c>
      <c r="N2373" s="102" t="s">
        <v>3235</v>
      </c>
    </row>
    <row r="2374">
      <c r="A2374" s="412">
        <v>46265.0</v>
      </c>
      <c r="B2374" s="413">
        <v>2026.0</v>
      </c>
      <c r="C2374" s="414" t="s">
        <v>3074</v>
      </c>
      <c r="D2374" s="413" t="s">
        <v>702</v>
      </c>
      <c r="E2374" s="413" t="s">
        <v>465</v>
      </c>
      <c r="F2374" s="413" t="s">
        <v>711</v>
      </c>
      <c r="G2374" s="413" t="s">
        <v>767</v>
      </c>
      <c r="H2374" s="415">
        <v>950.0</v>
      </c>
      <c r="I2374" s="416" t="b">
        <v>0</v>
      </c>
      <c r="J2374" s="413" t="s">
        <v>1274</v>
      </c>
      <c r="K2374" s="415">
        <v>131.03448275862058</v>
      </c>
      <c r="L2374" s="415">
        <v>818.9655172413794</v>
      </c>
      <c r="M2374" s="413" t="s">
        <v>2276</v>
      </c>
      <c r="N2374" s="413" t="s">
        <v>3236</v>
      </c>
    </row>
    <row r="2375">
      <c r="A2375" s="409">
        <v>46265.0</v>
      </c>
      <c r="B2375" s="102">
        <v>2026.0</v>
      </c>
      <c r="C2375" s="410" t="s">
        <v>3074</v>
      </c>
      <c r="D2375" s="102" t="s">
        <v>723</v>
      </c>
      <c r="E2375" s="102" t="s">
        <v>137</v>
      </c>
      <c r="F2375" s="102" t="s">
        <v>711</v>
      </c>
      <c r="G2375" s="102" t="s">
        <v>740</v>
      </c>
      <c r="H2375" s="360">
        <v>30.0</v>
      </c>
      <c r="I2375" s="411" t="b">
        <v>0</v>
      </c>
      <c r="J2375" s="102" t="s">
        <v>472</v>
      </c>
      <c r="K2375" s="360">
        <v>0.0</v>
      </c>
      <c r="L2375" s="360">
        <v>30.0</v>
      </c>
      <c r="M2375" s="102" t="s">
        <v>2276</v>
      </c>
      <c r="N2375" s="102" t="s">
        <v>3237</v>
      </c>
    </row>
  </sheetData>
  <autoFilter ref="$A$4:$N$2375"/>
  <mergeCells count="2">
    <mergeCell ref="A1:N1"/>
    <mergeCell ref="A2:N2"/>
  </mergeCells>
  <conditionalFormatting sqref="A5:N2375">
    <cfRule type="expression" dxfId="20" priority="1" stopIfTrue="1">
      <formula>$I5=TRUE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2" width="12.89"/>
    <col customWidth="1" min="3" max="3" width="29.78"/>
    <col customWidth="1" min="4" max="4" width="19.0"/>
    <col customWidth="1" min="5" max="5" width="15.67"/>
    <col customWidth="1" min="6" max="6" width="14.0"/>
    <col customWidth="1" min="7" max="7" width="27.33"/>
    <col customWidth="1" min="8" max="8" width="15.67"/>
  </cols>
  <sheetData>
    <row r="1" ht="24.0" customHeight="1">
      <c r="A1" s="417" t="s">
        <v>772</v>
      </c>
    </row>
    <row r="2" ht="33.0" customHeight="1">
      <c r="A2" s="418" t="s">
        <v>774</v>
      </c>
    </row>
    <row r="4">
      <c r="A4" s="419" t="s">
        <v>776</v>
      </c>
      <c r="B4" s="419" t="s">
        <v>777</v>
      </c>
      <c r="C4" s="419" t="s">
        <v>37</v>
      </c>
      <c r="D4" s="419" t="s">
        <v>779</v>
      </c>
      <c r="E4" s="419" t="s">
        <v>41</v>
      </c>
      <c r="F4" s="419" t="s">
        <v>780</v>
      </c>
      <c r="G4" s="419" t="s">
        <v>116</v>
      </c>
      <c r="H4" s="419" t="s">
        <v>781</v>
      </c>
    </row>
    <row r="5">
      <c r="A5" s="338">
        <v>46265.0</v>
      </c>
      <c r="B5" s="51" t="str">
        <f t="shared" ref="B5:B500" si="1">IF(A5="","",UPPER(TEXT(A5,"MMMM")))</f>
        <v>AGOSTO</v>
      </c>
      <c r="C5" s="216" t="s">
        <v>293</v>
      </c>
      <c r="D5" s="420">
        <v>46266.0</v>
      </c>
      <c r="E5" s="216" t="s">
        <v>137</v>
      </c>
      <c r="F5" s="336">
        <v>550.0</v>
      </c>
      <c r="G5" s="216" t="s">
        <v>787</v>
      </c>
      <c r="H5" s="62">
        <f t="shared" ref="H5:H500" si="2">IF(OR(C5="",D5=""),"",SUMIFS($F$5:$F$500,$C$5:$C$500,C5,$D$5:$D$500,D5))</f>
        <v>950</v>
      </c>
    </row>
    <row r="6">
      <c r="A6" s="338">
        <v>46266.0</v>
      </c>
      <c r="B6" s="51" t="str">
        <f t="shared" si="1"/>
        <v>SEPTIEMBRE</v>
      </c>
      <c r="C6" s="216" t="s">
        <v>293</v>
      </c>
      <c r="D6" s="420">
        <v>46266.0</v>
      </c>
      <c r="E6" s="216" t="s">
        <v>137</v>
      </c>
      <c r="F6" s="336">
        <v>400.0</v>
      </c>
      <c r="G6" s="216" t="s">
        <v>790</v>
      </c>
      <c r="H6" s="62">
        <f t="shared" si="2"/>
        <v>950</v>
      </c>
    </row>
    <row r="7">
      <c r="A7" s="338">
        <v>46302.0</v>
      </c>
      <c r="B7" s="51" t="str">
        <f t="shared" si="1"/>
        <v>OCTUBRE</v>
      </c>
      <c r="C7" s="216" t="s">
        <v>28</v>
      </c>
      <c r="D7" s="420">
        <v>46296.0</v>
      </c>
      <c r="E7" s="216" t="s">
        <v>128</v>
      </c>
      <c r="F7" s="336">
        <v>400.0</v>
      </c>
      <c r="G7" s="216" t="s">
        <v>793</v>
      </c>
      <c r="H7" s="62">
        <f t="shared" si="2"/>
        <v>400</v>
      </c>
    </row>
    <row r="8">
      <c r="A8" s="338">
        <v>46303.0</v>
      </c>
      <c r="B8" s="51" t="str">
        <f t="shared" si="1"/>
        <v>OCTUBRE</v>
      </c>
      <c r="C8" s="216" t="s">
        <v>367</v>
      </c>
      <c r="D8" s="420">
        <v>46296.0</v>
      </c>
      <c r="E8" s="216" t="s">
        <v>128</v>
      </c>
      <c r="F8" s="336">
        <v>1150.0</v>
      </c>
      <c r="G8" s="216" t="s">
        <v>794</v>
      </c>
      <c r="H8" s="62">
        <f t="shared" si="2"/>
        <v>1150</v>
      </c>
    </row>
    <row r="9">
      <c r="A9" s="338">
        <v>46304.0</v>
      </c>
      <c r="B9" s="51" t="str">
        <f t="shared" si="1"/>
        <v>OCTUBRE</v>
      </c>
      <c r="C9" s="216" t="s">
        <v>327</v>
      </c>
      <c r="D9" s="420">
        <v>46296.0</v>
      </c>
      <c r="E9" s="216" t="s">
        <v>137</v>
      </c>
      <c r="F9" s="336">
        <v>1100.0</v>
      </c>
      <c r="G9" s="216" t="s">
        <v>796</v>
      </c>
      <c r="H9" s="62">
        <f t="shared" si="2"/>
        <v>1300</v>
      </c>
    </row>
    <row r="10">
      <c r="A10" s="338">
        <v>46304.0</v>
      </c>
      <c r="B10" s="51" t="str">
        <f t="shared" si="1"/>
        <v>OCTUBRE</v>
      </c>
      <c r="C10" s="216" t="s">
        <v>238</v>
      </c>
      <c r="D10" s="420">
        <v>46296.0</v>
      </c>
      <c r="E10" s="216" t="s">
        <v>128</v>
      </c>
      <c r="F10" s="336">
        <v>800.0</v>
      </c>
      <c r="G10" s="216" t="s">
        <v>798</v>
      </c>
      <c r="H10" s="62">
        <f t="shared" si="2"/>
        <v>950</v>
      </c>
    </row>
    <row r="11">
      <c r="A11" s="338">
        <v>46304.0</v>
      </c>
      <c r="B11" s="51" t="str">
        <f t="shared" si="1"/>
        <v>OCTUBRE</v>
      </c>
      <c r="C11" s="216" t="s">
        <v>241</v>
      </c>
      <c r="D11" s="420">
        <v>46296.0</v>
      </c>
      <c r="E11" s="216" t="s">
        <v>128</v>
      </c>
      <c r="F11" s="336">
        <v>800.0</v>
      </c>
      <c r="G11" s="216" t="s">
        <v>798</v>
      </c>
      <c r="H11" s="62">
        <f t="shared" si="2"/>
        <v>950</v>
      </c>
    </row>
    <row r="12">
      <c r="A12" s="338">
        <v>46305.0</v>
      </c>
      <c r="B12" s="51" t="str">
        <f t="shared" si="1"/>
        <v>OCTUBRE</v>
      </c>
      <c r="C12" s="216" t="s">
        <v>327</v>
      </c>
      <c r="D12" s="420">
        <v>46296.0</v>
      </c>
      <c r="E12" s="216" t="s">
        <v>137</v>
      </c>
      <c r="F12" s="336">
        <v>200.0</v>
      </c>
      <c r="G12" s="216" t="s">
        <v>801</v>
      </c>
      <c r="H12" s="62">
        <f t="shared" si="2"/>
        <v>1300</v>
      </c>
    </row>
    <row r="13">
      <c r="A13" s="338">
        <v>46301.0</v>
      </c>
      <c r="B13" s="51" t="str">
        <f t="shared" si="1"/>
        <v>OCTUBRE</v>
      </c>
      <c r="C13" s="216" t="s">
        <v>168</v>
      </c>
      <c r="D13" s="420">
        <v>46296.0</v>
      </c>
      <c r="E13" s="216" t="s">
        <v>128</v>
      </c>
      <c r="F13" s="336">
        <v>800.0</v>
      </c>
      <c r="G13" s="216" t="s">
        <v>802</v>
      </c>
      <c r="H13" s="62">
        <f t="shared" si="2"/>
        <v>800</v>
      </c>
    </row>
    <row r="14">
      <c r="A14" s="338">
        <v>46308.0</v>
      </c>
      <c r="B14" s="51" t="str">
        <f t="shared" si="1"/>
        <v>OCTUBRE</v>
      </c>
      <c r="C14" s="216" t="s">
        <v>238</v>
      </c>
      <c r="D14" s="420">
        <v>46296.0</v>
      </c>
      <c r="E14" s="216" t="s">
        <v>137</v>
      </c>
      <c r="F14" s="336">
        <v>150.0</v>
      </c>
      <c r="G14" s="216" t="s">
        <v>804</v>
      </c>
      <c r="H14" s="62">
        <f t="shared" si="2"/>
        <v>950</v>
      </c>
    </row>
    <row r="15">
      <c r="A15" s="338">
        <v>46308.0</v>
      </c>
      <c r="B15" s="51" t="str">
        <f t="shared" si="1"/>
        <v>OCTUBRE</v>
      </c>
      <c r="C15" s="216" t="s">
        <v>241</v>
      </c>
      <c r="D15" s="420">
        <v>46296.0</v>
      </c>
      <c r="E15" s="216" t="s">
        <v>137</v>
      </c>
      <c r="F15" s="336">
        <v>150.0</v>
      </c>
      <c r="G15" s="216" t="s">
        <v>804</v>
      </c>
      <c r="H15" s="62">
        <f t="shared" si="2"/>
        <v>950</v>
      </c>
    </row>
    <row r="16">
      <c r="A16" s="338">
        <v>46309.0</v>
      </c>
      <c r="B16" s="51" t="str">
        <f t="shared" si="1"/>
        <v>OCTUBRE</v>
      </c>
      <c r="C16" s="216" t="s">
        <v>225</v>
      </c>
      <c r="D16" s="420">
        <v>46327.0</v>
      </c>
      <c r="E16" s="216" t="s">
        <v>128</v>
      </c>
      <c r="F16" s="336">
        <v>50.0</v>
      </c>
      <c r="G16" s="216" t="s">
        <v>808</v>
      </c>
      <c r="H16" s="62">
        <f t="shared" si="2"/>
        <v>50</v>
      </c>
    </row>
    <row r="17">
      <c r="A17" s="338">
        <v>46317.0</v>
      </c>
      <c r="B17" s="51" t="str">
        <f t="shared" si="1"/>
        <v>OCTUBRE</v>
      </c>
      <c r="C17" s="216" t="s">
        <v>355</v>
      </c>
      <c r="D17" s="420">
        <v>46296.0</v>
      </c>
      <c r="E17" s="216" t="s">
        <v>137</v>
      </c>
      <c r="F17" s="336">
        <v>1000.0</v>
      </c>
      <c r="G17" s="216" t="s">
        <v>809</v>
      </c>
      <c r="H17" s="62">
        <f t="shared" si="2"/>
        <v>1000</v>
      </c>
    </row>
    <row r="18">
      <c r="A18" s="339"/>
      <c r="B18" s="51" t="str">
        <f t="shared" si="1"/>
        <v/>
      </c>
      <c r="D18" s="421"/>
      <c r="E18" s="51"/>
      <c r="F18" s="62"/>
      <c r="H18" s="62" t="str">
        <f t="shared" si="2"/>
        <v/>
      </c>
    </row>
    <row r="19">
      <c r="A19" s="339"/>
      <c r="B19" s="51" t="str">
        <f t="shared" si="1"/>
        <v/>
      </c>
      <c r="D19" s="421"/>
      <c r="E19" s="51"/>
      <c r="F19" s="62"/>
      <c r="H19" s="62" t="str">
        <f t="shared" si="2"/>
        <v/>
      </c>
    </row>
    <row r="20">
      <c r="A20" s="339"/>
      <c r="B20" s="51" t="str">
        <f t="shared" si="1"/>
        <v/>
      </c>
      <c r="D20" s="421"/>
      <c r="E20" s="51"/>
      <c r="F20" s="62"/>
      <c r="H20" s="62" t="str">
        <f t="shared" si="2"/>
        <v/>
      </c>
    </row>
    <row r="21">
      <c r="A21" s="339"/>
      <c r="B21" s="51" t="str">
        <f t="shared" si="1"/>
        <v/>
      </c>
      <c r="D21" s="421"/>
      <c r="E21" s="51"/>
      <c r="F21" s="62"/>
      <c r="H21" s="62" t="str">
        <f t="shared" si="2"/>
        <v/>
      </c>
    </row>
    <row r="22">
      <c r="A22" s="339"/>
      <c r="B22" s="51" t="str">
        <f t="shared" si="1"/>
        <v/>
      </c>
      <c r="D22" s="421"/>
      <c r="E22" s="51"/>
      <c r="F22" s="62"/>
      <c r="H22" s="62" t="str">
        <f t="shared" si="2"/>
        <v/>
      </c>
    </row>
    <row r="23">
      <c r="A23" s="339"/>
      <c r="B23" s="51" t="str">
        <f t="shared" si="1"/>
        <v/>
      </c>
      <c r="D23" s="421"/>
      <c r="E23" s="51"/>
      <c r="F23" s="62"/>
      <c r="H23" s="62" t="str">
        <f t="shared" si="2"/>
        <v/>
      </c>
    </row>
    <row r="24">
      <c r="A24" s="339"/>
      <c r="B24" s="51" t="str">
        <f t="shared" si="1"/>
        <v/>
      </c>
      <c r="D24" s="421"/>
      <c r="E24" s="51"/>
      <c r="F24" s="62"/>
      <c r="H24" s="62" t="str">
        <f t="shared" si="2"/>
        <v/>
      </c>
    </row>
    <row r="25">
      <c r="A25" s="339"/>
      <c r="B25" s="51" t="str">
        <f t="shared" si="1"/>
        <v/>
      </c>
      <c r="D25" s="421"/>
      <c r="E25" s="51"/>
      <c r="F25" s="62"/>
      <c r="H25" s="62" t="str">
        <f t="shared" si="2"/>
        <v/>
      </c>
    </row>
    <row r="26">
      <c r="A26" s="339"/>
      <c r="B26" s="51" t="str">
        <f t="shared" si="1"/>
        <v/>
      </c>
      <c r="D26" s="421"/>
      <c r="E26" s="51"/>
      <c r="F26" s="62"/>
      <c r="H26" s="62" t="str">
        <f t="shared" si="2"/>
        <v/>
      </c>
    </row>
    <row r="27">
      <c r="A27" s="339"/>
      <c r="B27" s="51" t="str">
        <f t="shared" si="1"/>
        <v/>
      </c>
      <c r="D27" s="421"/>
      <c r="E27" s="51"/>
      <c r="F27" s="62"/>
      <c r="H27" s="62" t="str">
        <f t="shared" si="2"/>
        <v/>
      </c>
    </row>
    <row r="28">
      <c r="A28" s="339"/>
      <c r="B28" s="51" t="str">
        <f t="shared" si="1"/>
        <v/>
      </c>
      <c r="D28" s="421"/>
      <c r="E28" s="51"/>
      <c r="F28" s="62"/>
      <c r="H28" s="62" t="str">
        <f t="shared" si="2"/>
        <v/>
      </c>
    </row>
    <row r="29">
      <c r="A29" s="339"/>
      <c r="B29" s="51" t="str">
        <f t="shared" si="1"/>
        <v/>
      </c>
      <c r="D29" s="421"/>
      <c r="E29" s="51"/>
      <c r="F29" s="62"/>
      <c r="H29" s="62" t="str">
        <f t="shared" si="2"/>
        <v/>
      </c>
    </row>
    <row r="30">
      <c r="A30" s="339"/>
      <c r="B30" s="51" t="str">
        <f t="shared" si="1"/>
        <v/>
      </c>
      <c r="D30" s="421"/>
      <c r="E30" s="51"/>
      <c r="F30" s="62"/>
      <c r="H30" s="62" t="str">
        <f t="shared" si="2"/>
        <v/>
      </c>
    </row>
    <row r="31">
      <c r="A31" s="339"/>
      <c r="B31" s="51" t="str">
        <f t="shared" si="1"/>
        <v/>
      </c>
      <c r="D31" s="421"/>
      <c r="E31" s="51"/>
      <c r="F31" s="62"/>
      <c r="H31" s="62" t="str">
        <f t="shared" si="2"/>
        <v/>
      </c>
    </row>
    <row r="32">
      <c r="A32" s="339"/>
      <c r="B32" s="51" t="str">
        <f t="shared" si="1"/>
        <v/>
      </c>
      <c r="D32" s="421"/>
      <c r="E32" s="51"/>
      <c r="F32" s="62"/>
      <c r="H32" s="62" t="str">
        <f t="shared" si="2"/>
        <v/>
      </c>
    </row>
    <row r="33">
      <c r="A33" s="339"/>
      <c r="B33" s="51" t="str">
        <f t="shared" si="1"/>
        <v/>
      </c>
      <c r="D33" s="421"/>
      <c r="E33" s="51"/>
      <c r="F33" s="62"/>
      <c r="H33" s="62" t="str">
        <f t="shared" si="2"/>
        <v/>
      </c>
    </row>
    <row r="34">
      <c r="A34" s="339"/>
      <c r="B34" s="51" t="str">
        <f t="shared" si="1"/>
        <v/>
      </c>
      <c r="D34" s="421"/>
      <c r="E34" s="51"/>
      <c r="F34" s="62"/>
      <c r="H34" s="62" t="str">
        <f t="shared" si="2"/>
        <v/>
      </c>
    </row>
    <row r="35">
      <c r="A35" s="339"/>
      <c r="B35" s="51" t="str">
        <f t="shared" si="1"/>
        <v/>
      </c>
      <c r="D35" s="421"/>
      <c r="E35" s="51"/>
      <c r="F35" s="62"/>
      <c r="H35" s="62" t="str">
        <f t="shared" si="2"/>
        <v/>
      </c>
    </row>
    <row r="36">
      <c r="A36" s="339"/>
      <c r="B36" s="51" t="str">
        <f t="shared" si="1"/>
        <v/>
      </c>
      <c r="D36" s="421"/>
      <c r="E36" s="51"/>
      <c r="F36" s="62"/>
      <c r="H36" s="62" t="str">
        <f t="shared" si="2"/>
        <v/>
      </c>
    </row>
    <row r="37">
      <c r="A37" s="339"/>
      <c r="B37" s="51" t="str">
        <f t="shared" si="1"/>
        <v/>
      </c>
      <c r="D37" s="421"/>
      <c r="E37" s="51"/>
      <c r="F37" s="62"/>
      <c r="H37" s="62" t="str">
        <f t="shared" si="2"/>
        <v/>
      </c>
    </row>
    <row r="38">
      <c r="A38" s="339"/>
      <c r="B38" s="51" t="str">
        <f t="shared" si="1"/>
        <v/>
      </c>
      <c r="D38" s="421"/>
      <c r="E38" s="51"/>
      <c r="F38" s="62"/>
      <c r="H38" s="62" t="str">
        <f t="shared" si="2"/>
        <v/>
      </c>
    </row>
    <row r="39">
      <c r="A39" s="339"/>
      <c r="B39" s="51" t="str">
        <f t="shared" si="1"/>
        <v/>
      </c>
      <c r="D39" s="421"/>
      <c r="E39" s="51"/>
      <c r="F39" s="62"/>
      <c r="H39" s="62" t="str">
        <f t="shared" si="2"/>
        <v/>
      </c>
    </row>
    <row r="40">
      <c r="A40" s="339"/>
      <c r="B40" s="51" t="str">
        <f t="shared" si="1"/>
        <v/>
      </c>
      <c r="D40" s="421"/>
      <c r="E40" s="51"/>
      <c r="F40" s="62"/>
      <c r="H40" s="62" t="str">
        <f t="shared" si="2"/>
        <v/>
      </c>
    </row>
    <row r="41">
      <c r="A41" s="339"/>
      <c r="B41" s="51" t="str">
        <f t="shared" si="1"/>
        <v/>
      </c>
      <c r="D41" s="421"/>
      <c r="E41" s="51"/>
      <c r="F41" s="62"/>
      <c r="H41" s="62" t="str">
        <f t="shared" si="2"/>
        <v/>
      </c>
    </row>
    <row r="42">
      <c r="A42" s="339"/>
      <c r="B42" s="51" t="str">
        <f t="shared" si="1"/>
        <v/>
      </c>
      <c r="D42" s="421"/>
      <c r="E42" s="51"/>
      <c r="F42" s="62"/>
      <c r="H42" s="62" t="str">
        <f t="shared" si="2"/>
        <v/>
      </c>
    </row>
    <row r="43">
      <c r="A43" s="339"/>
      <c r="B43" s="51" t="str">
        <f t="shared" si="1"/>
        <v/>
      </c>
      <c r="D43" s="421"/>
      <c r="E43" s="51"/>
      <c r="F43" s="62"/>
      <c r="H43" s="62" t="str">
        <f t="shared" si="2"/>
        <v/>
      </c>
    </row>
    <row r="44">
      <c r="A44" s="339"/>
      <c r="B44" s="51" t="str">
        <f t="shared" si="1"/>
        <v/>
      </c>
      <c r="D44" s="421"/>
      <c r="E44" s="51"/>
      <c r="F44" s="62"/>
      <c r="H44" s="62" t="str">
        <f t="shared" si="2"/>
        <v/>
      </c>
    </row>
    <row r="45">
      <c r="A45" s="339"/>
      <c r="B45" s="51" t="str">
        <f t="shared" si="1"/>
        <v/>
      </c>
      <c r="D45" s="421"/>
      <c r="E45" s="51"/>
      <c r="F45" s="62"/>
      <c r="H45" s="62" t="str">
        <f t="shared" si="2"/>
        <v/>
      </c>
    </row>
    <row r="46">
      <c r="A46" s="339"/>
      <c r="B46" s="51" t="str">
        <f t="shared" si="1"/>
        <v/>
      </c>
      <c r="D46" s="421"/>
      <c r="E46" s="51"/>
      <c r="F46" s="62"/>
      <c r="H46" s="62" t="str">
        <f t="shared" si="2"/>
        <v/>
      </c>
    </row>
    <row r="47">
      <c r="A47" s="339"/>
      <c r="B47" s="51" t="str">
        <f t="shared" si="1"/>
        <v/>
      </c>
      <c r="D47" s="421"/>
      <c r="E47" s="51"/>
      <c r="F47" s="62"/>
      <c r="H47" s="62" t="str">
        <f t="shared" si="2"/>
        <v/>
      </c>
    </row>
    <row r="48">
      <c r="A48" s="339"/>
      <c r="B48" s="51" t="str">
        <f t="shared" si="1"/>
        <v/>
      </c>
      <c r="D48" s="421"/>
      <c r="E48" s="51"/>
      <c r="F48" s="62"/>
      <c r="H48" s="62" t="str">
        <f t="shared" si="2"/>
        <v/>
      </c>
    </row>
    <row r="49">
      <c r="A49" s="339"/>
      <c r="B49" s="51" t="str">
        <f t="shared" si="1"/>
        <v/>
      </c>
      <c r="D49" s="421"/>
      <c r="E49" s="51"/>
      <c r="F49" s="62"/>
      <c r="H49" s="62" t="str">
        <f t="shared" si="2"/>
        <v/>
      </c>
    </row>
    <row r="50">
      <c r="A50" s="339"/>
      <c r="B50" s="51" t="str">
        <f t="shared" si="1"/>
        <v/>
      </c>
      <c r="D50" s="421"/>
      <c r="E50" s="51"/>
      <c r="F50" s="62"/>
      <c r="H50" s="62" t="str">
        <f t="shared" si="2"/>
        <v/>
      </c>
    </row>
    <row r="51">
      <c r="A51" s="339"/>
      <c r="B51" s="51" t="str">
        <f t="shared" si="1"/>
        <v/>
      </c>
      <c r="D51" s="421"/>
      <c r="E51" s="51"/>
      <c r="F51" s="62"/>
      <c r="H51" s="62" t="str">
        <f t="shared" si="2"/>
        <v/>
      </c>
    </row>
    <row r="52">
      <c r="A52" s="339"/>
      <c r="B52" s="51" t="str">
        <f t="shared" si="1"/>
        <v/>
      </c>
      <c r="D52" s="421"/>
      <c r="E52" s="51"/>
      <c r="F52" s="62"/>
      <c r="H52" s="62" t="str">
        <f t="shared" si="2"/>
        <v/>
      </c>
    </row>
    <row r="53">
      <c r="A53" s="339"/>
      <c r="B53" s="51" t="str">
        <f t="shared" si="1"/>
        <v/>
      </c>
      <c r="D53" s="421"/>
      <c r="E53" s="51"/>
      <c r="F53" s="62"/>
      <c r="H53" s="62" t="str">
        <f t="shared" si="2"/>
        <v/>
      </c>
    </row>
    <row r="54">
      <c r="A54" s="339"/>
      <c r="B54" s="51" t="str">
        <f t="shared" si="1"/>
        <v/>
      </c>
      <c r="D54" s="421"/>
      <c r="E54" s="51"/>
      <c r="F54" s="62"/>
      <c r="H54" s="62" t="str">
        <f t="shared" si="2"/>
        <v/>
      </c>
    </row>
    <row r="55">
      <c r="A55" s="339"/>
      <c r="B55" s="51" t="str">
        <f t="shared" si="1"/>
        <v/>
      </c>
      <c r="D55" s="421"/>
      <c r="E55" s="51"/>
      <c r="F55" s="62"/>
      <c r="H55" s="62" t="str">
        <f t="shared" si="2"/>
        <v/>
      </c>
    </row>
    <row r="56">
      <c r="A56" s="339"/>
      <c r="B56" s="51" t="str">
        <f t="shared" si="1"/>
        <v/>
      </c>
      <c r="D56" s="421"/>
      <c r="E56" s="51"/>
      <c r="F56" s="62"/>
      <c r="H56" s="62" t="str">
        <f t="shared" si="2"/>
        <v/>
      </c>
    </row>
    <row r="57">
      <c r="A57" s="339"/>
      <c r="B57" s="51" t="str">
        <f t="shared" si="1"/>
        <v/>
      </c>
      <c r="D57" s="421"/>
      <c r="E57" s="51"/>
      <c r="F57" s="62"/>
      <c r="H57" s="62" t="str">
        <f t="shared" si="2"/>
        <v/>
      </c>
    </row>
    <row r="58">
      <c r="A58" s="339"/>
      <c r="B58" s="51" t="str">
        <f t="shared" si="1"/>
        <v/>
      </c>
      <c r="D58" s="421"/>
      <c r="E58" s="51"/>
      <c r="F58" s="62"/>
      <c r="H58" s="62" t="str">
        <f t="shared" si="2"/>
        <v/>
      </c>
    </row>
    <row r="59">
      <c r="A59" s="339"/>
      <c r="B59" s="51" t="str">
        <f t="shared" si="1"/>
        <v/>
      </c>
      <c r="D59" s="421"/>
      <c r="E59" s="51"/>
      <c r="F59" s="62"/>
      <c r="H59" s="62" t="str">
        <f t="shared" si="2"/>
        <v/>
      </c>
    </row>
    <row r="60">
      <c r="A60" s="339"/>
      <c r="B60" s="51" t="str">
        <f t="shared" si="1"/>
        <v/>
      </c>
      <c r="D60" s="421"/>
      <c r="E60" s="51"/>
      <c r="F60" s="62"/>
      <c r="H60" s="62" t="str">
        <f t="shared" si="2"/>
        <v/>
      </c>
    </row>
    <row r="61">
      <c r="A61" s="339"/>
      <c r="B61" s="51" t="str">
        <f t="shared" si="1"/>
        <v/>
      </c>
      <c r="D61" s="421"/>
      <c r="E61" s="51"/>
      <c r="F61" s="62"/>
      <c r="H61" s="62" t="str">
        <f t="shared" si="2"/>
        <v/>
      </c>
    </row>
    <row r="62">
      <c r="A62" s="339"/>
      <c r="B62" s="51" t="str">
        <f t="shared" si="1"/>
        <v/>
      </c>
      <c r="D62" s="421"/>
      <c r="E62" s="51"/>
      <c r="F62" s="62"/>
      <c r="H62" s="62" t="str">
        <f t="shared" si="2"/>
        <v/>
      </c>
    </row>
    <row r="63">
      <c r="A63" s="339"/>
      <c r="B63" s="51" t="str">
        <f t="shared" si="1"/>
        <v/>
      </c>
      <c r="D63" s="421"/>
      <c r="E63" s="51"/>
      <c r="F63" s="62"/>
      <c r="H63" s="62" t="str">
        <f t="shared" si="2"/>
        <v/>
      </c>
    </row>
    <row r="64">
      <c r="A64" s="339"/>
      <c r="B64" s="51" t="str">
        <f t="shared" si="1"/>
        <v/>
      </c>
      <c r="D64" s="421"/>
      <c r="E64" s="51"/>
      <c r="F64" s="62"/>
      <c r="H64" s="62" t="str">
        <f t="shared" si="2"/>
        <v/>
      </c>
    </row>
    <row r="65">
      <c r="A65" s="339"/>
      <c r="B65" s="51" t="str">
        <f t="shared" si="1"/>
        <v/>
      </c>
      <c r="D65" s="421"/>
      <c r="E65" s="51"/>
      <c r="F65" s="62"/>
      <c r="H65" s="62" t="str">
        <f t="shared" si="2"/>
        <v/>
      </c>
    </row>
    <row r="66">
      <c r="A66" s="339"/>
      <c r="B66" s="51" t="str">
        <f t="shared" si="1"/>
        <v/>
      </c>
      <c r="D66" s="421"/>
      <c r="E66" s="51"/>
      <c r="F66" s="62"/>
      <c r="H66" s="62" t="str">
        <f t="shared" si="2"/>
        <v/>
      </c>
    </row>
    <row r="67">
      <c r="A67" s="339"/>
      <c r="B67" s="51" t="str">
        <f t="shared" si="1"/>
        <v/>
      </c>
      <c r="D67" s="421"/>
      <c r="E67" s="51"/>
      <c r="F67" s="62"/>
      <c r="H67" s="62" t="str">
        <f t="shared" si="2"/>
        <v/>
      </c>
    </row>
    <row r="68">
      <c r="A68" s="339"/>
      <c r="B68" s="51" t="str">
        <f t="shared" si="1"/>
        <v/>
      </c>
      <c r="D68" s="421"/>
      <c r="E68" s="51"/>
      <c r="F68" s="62"/>
      <c r="H68" s="62" t="str">
        <f t="shared" si="2"/>
        <v/>
      </c>
    </row>
    <row r="69">
      <c r="A69" s="339"/>
      <c r="B69" s="51" t="str">
        <f t="shared" si="1"/>
        <v/>
      </c>
      <c r="D69" s="421"/>
      <c r="E69" s="51"/>
      <c r="F69" s="62"/>
      <c r="H69" s="62" t="str">
        <f t="shared" si="2"/>
        <v/>
      </c>
    </row>
    <row r="70">
      <c r="A70" s="339"/>
      <c r="B70" s="51" t="str">
        <f t="shared" si="1"/>
        <v/>
      </c>
      <c r="D70" s="421"/>
      <c r="E70" s="51"/>
      <c r="F70" s="62"/>
      <c r="H70" s="62" t="str">
        <f t="shared" si="2"/>
        <v/>
      </c>
    </row>
    <row r="71">
      <c r="A71" s="339"/>
      <c r="B71" s="51" t="str">
        <f t="shared" si="1"/>
        <v/>
      </c>
      <c r="D71" s="421"/>
      <c r="E71" s="51"/>
      <c r="F71" s="62"/>
      <c r="H71" s="62" t="str">
        <f t="shared" si="2"/>
        <v/>
      </c>
    </row>
    <row r="72">
      <c r="A72" s="339"/>
      <c r="B72" s="51" t="str">
        <f t="shared" si="1"/>
        <v/>
      </c>
      <c r="D72" s="421"/>
      <c r="E72" s="51"/>
      <c r="F72" s="62"/>
      <c r="H72" s="62" t="str">
        <f t="shared" si="2"/>
        <v/>
      </c>
    </row>
    <row r="73">
      <c r="A73" s="339"/>
      <c r="B73" s="51" t="str">
        <f t="shared" si="1"/>
        <v/>
      </c>
      <c r="D73" s="421"/>
      <c r="E73" s="51"/>
      <c r="F73" s="62"/>
      <c r="H73" s="62" t="str">
        <f t="shared" si="2"/>
        <v/>
      </c>
    </row>
    <row r="74">
      <c r="A74" s="339"/>
      <c r="B74" s="51" t="str">
        <f t="shared" si="1"/>
        <v/>
      </c>
      <c r="D74" s="421"/>
      <c r="E74" s="51"/>
      <c r="F74" s="62"/>
      <c r="H74" s="62" t="str">
        <f t="shared" si="2"/>
        <v/>
      </c>
    </row>
    <row r="75">
      <c r="A75" s="339"/>
      <c r="B75" s="51" t="str">
        <f t="shared" si="1"/>
        <v/>
      </c>
      <c r="D75" s="421"/>
      <c r="E75" s="51"/>
      <c r="F75" s="62"/>
      <c r="H75" s="62" t="str">
        <f t="shared" si="2"/>
        <v/>
      </c>
    </row>
    <row r="76">
      <c r="A76" s="339"/>
      <c r="B76" s="51" t="str">
        <f t="shared" si="1"/>
        <v/>
      </c>
      <c r="D76" s="421"/>
      <c r="E76" s="51"/>
      <c r="F76" s="62"/>
      <c r="H76" s="62" t="str">
        <f t="shared" si="2"/>
        <v/>
      </c>
    </row>
    <row r="77">
      <c r="A77" s="339"/>
      <c r="B77" s="51" t="str">
        <f t="shared" si="1"/>
        <v/>
      </c>
      <c r="D77" s="421"/>
      <c r="E77" s="51"/>
      <c r="F77" s="62"/>
      <c r="H77" s="62" t="str">
        <f t="shared" si="2"/>
        <v/>
      </c>
    </row>
    <row r="78">
      <c r="A78" s="339"/>
      <c r="B78" s="51" t="str">
        <f t="shared" si="1"/>
        <v/>
      </c>
      <c r="D78" s="421"/>
      <c r="E78" s="51"/>
      <c r="F78" s="62"/>
      <c r="H78" s="62" t="str">
        <f t="shared" si="2"/>
        <v/>
      </c>
    </row>
    <row r="79">
      <c r="A79" s="339"/>
      <c r="B79" s="51" t="str">
        <f t="shared" si="1"/>
        <v/>
      </c>
      <c r="D79" s="421"/>
      <c r="E79" s="51"/>
      <c r="F79" s="62"/>
      <c r="H79" s="62" t="str">
        <f t="shared" si="2"/>
        <v/>
      </c>
    </row>
    <row r="80">
      <c r="A80" s="339"/>
      <c r="B80" s="51" t="str">
        <f t="shared" si="1"/>
        <v/>
      </c>
      <c r="D80" s="421"/>
      <c r="E80" s="51"/>
      <c r="F80" s="62"/>
      <c r="H80" s="62" t="str">
        <f t="shared" si="2"/>
        <v/>
      </c>
    </row>
    <row r="81">
      <c r="A81" s="339"/>
      <c r="B81" s="51" t="str">
        <f t="shared" si="1"/>
        <v/>
      </c>
      <c r="D81" s="421"/>
      <c r="E81" s="51"/>
      <c r="F81" s="62"/>
      <c r="H81" s="62" t="str">
        <f t="shared" si="2"/>
        <v/>
      </c>
    </row>
    <row r="82">
      <c r="A82" s="339"/>
      <c r="B82" s="51" t="str">
        <f t="shared" si="1"/>
        <v/>
      </c>
      <c r="D82" s="421"/>
      <c r="E82" s="51"/>
      <c r="F82" s="62"/>
      <c r="H82" s="62" t="str">
        <f t="shared" si="2"/>
        <v/>
      </c>
    </row>
    <row r="83">
      <c r="A83" s="339"/>
      <c r="B83" s="51" t="str">
        <f t="shared" si="1"/>
        <v/>
      </c>
      <c r="D83" s="421"/>
      <c r="E83" s="51"/>
      <c r="F83" s="62"/>
      <c r="H83" s="62" t="str">
        <f t="shared" si="2"/>
        <v/>
      </c>
    </row>
    <row r="84">
      <c r="A84" s="339"/>
      <c r="B84" s="51" t="str">
        <f t="shared" si="1"/>
        <v/>
      </c>
      <c r="D84" s="421"/>
      <c r="E84" s="51"/>
      <c r="F84" s="62"/>
      <c r="H84" s="62" t="str">
        <f t="shared" si="2"/>
        <v/>
      </c>
    </row>
    <row r="85">
      <c r="A85" s="339"/>
      <c r="B85" s="51" t="str">
        <f t="shared" si="1"/>
        <v/>
      </c>
      <c r="D85" s="421"/>
      <c r="E85" s="51"/>
      <c r="F85" s="62"/>
      <c r="H85" s="62" t="str">
        <f t="shared" si="2"/>
        <v/>
      </c>
    </row>
    <row r="86">
      <c r="A86" s="339"/>
      <c r="B86" s="51" t="str">
        <f t="shared" si="1"/>
        <v/>
      </c>
      <c r="D86" s="421"/>
      <c r="E86" s="51"/>
      <c r="F86" s="62"/>
      <c r="H86" s="62" t="str">
        <f t="shared" si="2"/>
        <v/>
      </c>
    </row>
    <row r="87">
      <c r="A87" s="339"/>
      <c r="B87" s="51" t="str">
        <f t="shared" si="1"/>
        <v/>
      </c>
      <c r="D87" s="421"/>
      <c r="E87" s="51"/>
      <c r="F87" s="62"/>
      <c r="H87" s="62" t="str">
        <f t="shared" si="2"/>
        <v/>
      </c>
    </row>
    <row r="88">
      <c r="A88" s="339"/>
      <c r="B88" s="51" t="str">
        <f t="shared" si="1"/>
        <v/>
      </c>
      <c r="D88" s="421"/>
      <c r="E88" s="51"/>
      <c r="F88" s="62"/>
      <c r="H88" s="62" t="str">
        <f t="shared" si="2"/>
        <v/>
      </c>
    </row>
    <row r="89">
      <c r="A89" s="339"/>
      <c r="B89" s="51" t="str">
        <f t="shared" si="1"/>
        <v/>
      </c>
      <c r="D89" s="421"/>
      <c r="E89" s="51"/>
      <c r="F89" s="62"/>
      <c r="H89" s="62" t="str">
        <f t="shared" si="2"/>
        <v/>
      </c>
    </row>
    <row r="90">
      <c r="A90" s="339"/>
      <c r="B90" s="51" t="str">
        <f t="shared" si="1"/>
        <v/>
      </c>
      <c r="D90" s="421"/>
      <c r="E90" s="51"/>
      <c r="F90" s="62"/>
      <c r="H90" s="62" t="str">
        <f t="shared" si="2"/>
        <v/>
      </c>
    </row>
    <row r="91">
      <c r="A91" s="339"/>
      <c r="B91" s="51" t="str">
        <f t="shared" si="1"/>
        <v/>
      </c>
      <c r="D91" s="421"/>
      <c r="E91" s="51"/>
      <c r="F91" s="62"/>
      <c r="H91" s="62" t="str">
        <f t="shared" si="2"/>
        <v/>
      </c>
    </row>
    <row r="92">
      <c r="A92" s="339"/>
      <c r="B92" s="51" t="str">
        <f t="shared" si="1"/>
        <v/>
      </c>
      <c r="D92" s="421"/>
      <c r="E92" s="51"/>
      <c r="F92" s="62"/>
      <c r="H92" s="62" t="str">
        <f t="shared" si="2"/>
        <v/>
      </c>
    </row>
    <row r="93">
      <c r="A93" s="339"/>
      <c r="B93" s="51" t="str">
        <f t="shared" si="1"/>
        <v/>
      </c>
      <c r="D93" s="421"/>
      <c r="E93" s="51"/>
      <c r="F93" s="62"/>
      <c r="H93" s="62" t="str">
        <f t="shared" si="2"/>
        <v/>
      </c>
    </row>
    <row r="94">
      <c r="A94" s="339"/>
      <c r="B94" s="51" t="str">
        <f t="shared" si="1"/>
        <v/>
      </c>
      <c r="D94" s="421"/>
      <c r="E94" s="51"/>
      <c r="F94" s="62"/>
      <c r="H94" s="62" t="str">
        <f t="shared" si="2"/>
        <v/>
      </c>
    </row>
    <row r="95">
      <c r="A95" s="339"/>
      <c r="B95" s="51" t="str">
        <f t="shared" si="1"/>
        <v/>
      </c>
      <c r="D95" s="421"/>
      <c r="E95" s="51"/>
      <c r="F95" s="62"/>
      <c r="H95" s="62" t="str">
        <f t="shared" si="2"/>
        <v/>
      </c>
    </row>
    <row r="96">
      <c r="A96" s="339"/>
      <c r="B96" s="51" t="str">
        <f t="shared" si="1"/>
        <v/>
      </c>
      <c r="D96" s="421"/>
      <c r="E96" s="51"/>
      <c r="F96" s="62"/>
      <c r="H96" s="62" t="str">
        <f t="shared" si="2"/>
        <v/>
      </c>
    </row>
    <row r="97">
      <c r="A97" s="339"/>
      <c r="B97" s="51" t="str">
        <f t="shared" si="1"/>
        <v/>
      </c>
      <c r="D97" s="421"/>
      <c r="E97" s="51"/>
      <c r="F97" s="62"/>
      <c r="H97" s="62" t="str">
        <f t="shared" si="2"/>
        <v/>
      </c>
    </row>
    <row r="98">
      <c r="A98" s="339"/>
      <c r="B98" s="51" t="str">
        <f t="shared" si="1"/>
        <v/>
      </c>
      <c r="D98" s="421"/>
      <c r="E98" s="51"/>
      <c r="F98" s="62"/>
      <c r="H98" s="62" t="str">
        <f t="shared" si="2"/>
        <v/>
      </c>
    </row>
    <row r="99">
      <c r="A99" s="339"/>
      <c r="B99" s="51" t="str">
        <f t="shared" si="1"/>
        <v/>
      </c>
      <c r="D99" s="421"/>
      <c r="E99" s="51"/>
      <c r="F99" s="62"/>
      <c r="H99" s="62" t="str">
        <f t="shared" si="2"/>
        <v/>
      </c>
    </row>
    <row r="100">
      <c r="A100" s="339"/>
      <c r="B100" s="51" t="str">
        <f t="shared" si="1"/>
        <v/>
      </c>
      <c r="D100" s="421"/>
      <c r="E100" s="51"/>
      <c r="F100" s="62"/>
      <c r="H100" s="62" t="str">
        <f t="shared" si="2"/>
        <v/>
      </c>
    </row>
    <row r="101">
      <c r="A101" s="339"/>
      <c r="B101" s="51" t="str">
        <f t="shared" si="1"/>
        <v/>
      </c>
      <c r="D101" s="421"/>
      <c r="E101" s="51"/>
      <c r="F101" s="62"/>
      <c r="H101" s="62" t="str">
        <f t="shared" si="2"/>
        <v/>
      </c>
    </row>
    <row r="102">
      <c r="A102" s="339"/>
      <c r="B102" s="51" t="str">
        <f t="shared" si="1"/>
        <v/>
      </c>
      <c r="D102" s="421"/>
      <c r="E102" s="51"/>
      <c r="F102" s="62"/>
      <c r="H102" s="62" t="str">
        <f t="shared" si="2"/>
        <v/>
      </c>
    </row>
    <row r="103">
      <c r="A103" s="339"/>
      <c r="B103" s="51" t="str">
        <f t="shared" si="1"/>
        <v/>
      </c>
      <c r="D103" s="421"/>
      <c r="E103" s="51"/>
      <c r="F103" s="62"/>
      <c r="H103" s="62" t="str">
        <f t="shared" si="2"/>
        <v/>
      </c>
    </row>
    <row r="104">
      <c r="A104" s="339"/>
      <c r="B104" s="51" t="str">
        <f t="shared" si="1"/>
        <v/>
      </c>
      <c r="D104" s="421"/>
      <c r="E104" s="51"/>
      <c r="F104" s="62"/>
      <c r="H104" s="62" t="str">
        <f t="shared" si="2"/>
        <v/>
      </c>
    </row>
    <row r="105">
      <c r="A105" s="339"/>
      <c r="B105" s="51" t="str">
        <f t="shared" si="1"/>
        <v/>
      </c>
      <c r="D105" s="421"/>
      <c r="E105" s="51"/>
      <c r="F105" s="62"/>
      <c r="H105" s="62" t="str">
        <f t="shared" si="2"/>
        <v/>
      </c>
    </row>
    <row r="106">
      <c r="A106" s="339"/>
      <c r="B106" s="51" t="str">
        <f t="shared" si="1"/>
        <v/>
      </c>
      <c r="D106" s="421"/>
      <c r="E106" s="51"/>
      <c r="F106" s="62"/>
      <c r="H106" s="62" t="str">
        <f t="shared" si="2"/>
        <v/>
      </c>
    </row>
    <row r="107">
      <c r="A107" s="339"/>
      <c r="B107" s="51" t="str">
        <f t="shared" si="1"/>
        <v/>
      </c>
      <c r="D107" s="421"/>
      <c r="E107" s="51"/>
      <c r="F107" s="62"/>
      <c r="H107" s="62" t="str">
        <f t="shared" si="2"/>
        <v/>
      </c>
    </row>
    <row r="108">
      <c r="A108" s="339"/>
      <c r="B108" s="51" t="str">
        <f t="shared" si="1"/>
        <v/>
      </c>
      <c r="D108" s="421"/>
      <c r="E108" s="51"/>
      <c r="F108" s="62"/>
      <c r="H108" s="62" t="str">
        <f t="shared" si="2"/>
        <v/>
      </c>
    </row>
    <row r="109">
      <c r="A109" s="339"/>
      <c r="B109" s="51" t="str">
        <f t="shared" si="1"/>
        <v/>
      </c>
      <c r="D109" s="421"/>
      <c r="E109" s="51"/>
      <c r="F109" s="62"/>
      <c r="H109" s="62" t="str">
        <f t="shared" si="2"/>
        <v/>
      </c>
    </row>
    <row r="110">
      <c r="A110" s="339"/>
      <c r="B110" s="51" t="str">
        <f t="shared" si="1"/>
        <v/>
      </c>
      <c r="D110" s="421"/>
      <c r="E110" s="51"/>
      <c r="F110" s="62"/>
      <c r="H110" s="62" t="str">
        <f t="shared" si="2"/>
        <v/>
      </c>
    </row>
    <row r="111">
      <c r="A111" s="339"/>
      <c r="B111" s="51" t="str">
        <f t="shared" si="1"/>
        <v/>
      </c>
      <c r="D111" s="421"/>
      <c r="E111" s="51"/>
      <c r="F111" s="62"/>
      <c r="H111" s="62" t="str">
        <f t="shared" si="2"/>
        <v/>
      </c>
    </row>
    <row r="112">
      <c r="A112" s="339"/>
      <c r="B112" s="51" t="str">
        <f t="shared" si="1"/>
        <v/>
      </c>
      <c r="D112" s="421"/>
      <c r="E112" s="51"/>
      <c r="F112" s="62"/>
      <c r="H112" s="62" t="str">
        <f t="shared" si="2"/>
        <v/>
      </c>
    </row>
    <row r="113">
      <c r="A113" s="339"/>
      <c r="B113" s="51" t="str">
        <f t="shared" si="1"/>
        <v/>
      </c>
      <c r="D113" s="421"/>
      <c r="E113" s="51"/>
      <c r="F113" s="62"/>
      <c r="H113" s="62" t="str">
        <f t="shared" si="2"/>
        <v/>
      </c>
    </row>
    <row r="114">
      <c r="A114" s="339"/>
      <c r="B114" s="51" t="str">
        <f t="shared" si="1"/>
        <v/>
      </c>
      <c r="D114" s="421"/>
      <c r="E114" s="51"/>
      <c r="F114" s="62"/>
      <c r="H114" s="62" t="str">
        <f t="shared" si="2"/>
        <v/>
      </c>
    </row>
    <row r="115">
      <c r="A115" s="339"/>
      <c r="B115" s="51" t="str">
        <f t="shared" si="1"/>
        <v/>
      </c>
      <c r="D115" s="421"/>
      <c r="E115" s="51"/>
      <c r="F115" s="62"/>
      <c r="H115" s="62" t="str">
        <f t="shared" si="2"/>
        <v/>
      </c>
    </row>
    <row r="116">
      <c r="A116" s="339"/>
      <c r="B116" s="51" t="str">
        <f t="shared" si="1"/>
        <v/>
      </c>
      <c r="D116" s="421"/>
      <c r="E116" s="51"/>
      <c r="F116" s="62"/>
      <c r="H116" s="62" t="str">
        <f t="shared" si="2"/>
        <v/>
      </c>
    </row>
    <row r="117">
      <c r="A117" s="339"/>
      <c r="B117" s="51" t="str">
        <f t="shared" si="1"/>
        <v/>
      </c>
      <c r="D117" s="421"/>
      <c r="E117" s="51"/>
      <c r="F117" s="62"/>
      <c r="H117" s="62" t="str">
        <f t="shared" si="2"/>
        <v/>
      </c>
    </row>
    <row r="118">
      <c r="A118" s="339"/>
      <c r="B118" s="51" t="str">
        <f t="shared" si="1"/>
        <v/>
      </c>
      <c r="D118" s="421"/>
      <c r="E118" s="51"/>
      <c r="F118" s="62"/>
      <c r="H118" s="62" t="str">
        <f t="shared" si="2"/>
        <v/>
      </c>
    </row>
    <row r="119">
      <c r="A119" s="339"/>
      <c r="B119" s="51" t="str">
        <f t="shared" si="1"/>
        <v/>
      </c>
      <c r="D119" s="421"/>
      <c r="E119" s="51"/>
      <c r="F119" s="62"/>
      <c r="H119" s="62" t="str">
        <f t="shared" si="2"/>
        <v/>
      </c>
    </row>
    <row r="120">
      <c r="A120" s="339"/>
      <c r="B120" s="51" t="str">
        <f t="shared" si="1"/>
        <v/>
      </c>
      <c r="D120" s="421"/>
      <c r="E120" s="51"/>
      <c r="F120" s="62"/>
      <c r="H120" s="62" t="str">
        <f t="shared" si="2"/>
        <v/>
      </c>
    </row>
    <row r="121">
      <c r="A121" s="339"/>
      <c r="B121" s="51" t="str">
        <f t="shared" si="1"/>
        <v/>
      </c>
      <c r="D121" s="421"/>
      <c r="E121" s="51"/>
      <c r="F121" s="62"/>
      <c r="H121" s="62" t="str">
        <f t="shared" si="2"/>
        <v/>
      </c>
    </row>
    <row r="122">
      <c r="A122" s="339"/>
      <c r="B122" s="51" t="str">
        <f t="shared" si="1"/>
        <v/>
      </c>
      <c r="D122" s="421"/>
      <c r="E122" s="51"/>
      <c r="F122" s="62"/>
      <c r="H122" s="62" t="str">
        <f t="shared" si="2"/>
        <v/>
      </c>
    </row>
    <row r="123">
      <c r="A123" s="339"/>
      <c r="B123" s="51" t="str">
        <f t="shared" si="1"/>
        <v/>
      </c>
      <c r="D123" s="421"/>
      <c r="E123" s="51"/>
      <c r="F123" s="62"/>
      <c r="H123" s="62" t="str">
        <f t="shared" si="2"/>
        <v/>
      </c>
    </row>
    <row r="124">
      <c r="A124" s="339"/>
      <c r="B124" s="51" t="str">
        <f t="shared" si="1"/>
        <v/>
      </c>
      <c r="D124" s="421"/>
      <c r="E124" s="51"/>
      <c r="F124" s="62"/>
      <c r="H124" s="62" t="str">
        <f t="shared" si="2"/>
        <v/>
      </c>
    </row>
    <row r="125">
      <c r="A125" s="339"/>
      <c r="B125" s="51" t="str">
        <f t="shared" si="1"/>
        <v/>
      </c>
      <c r="D125" s="421"/>
      <c r="E125" s="51"/>
      <c r="F125" s="62"/>
      <c r="H125" s="62" t="str">
        <f t="shared" si="2"/>
        <v/>
      </c>
    </row>
    <row r="126">
      <c r="A126" s="339"/>
      <c r="B126" s="51" t="str">
        <f t="shared" si="1"/>
        <v/>
      </c>
      <c r="D126" s="421"/>
      <c r="E126" s="51"/>
      <c r="F126" s="62"/>
      <c r="H126" s="62" t="str">
        <f t="shared" si="2"/>
        <v/>
      </c>
    </row>
    <row r="127">
      <c r="A127" s="339"/>
      <c r="B127" s="51" t="str">
        <f t="shared" si="1"/>
        <v/>
      </c>
      <c r="D127" s="421"/>
      <c r="E127" s="51"/>
      <c r="F127" s="62"/>
      <c r="H127" s="62" t="str">
        <f t="shared" si="2"/>
        <v/>
      </c>
    </row>
    <row r="128">
      <c r="A128" s="339"/>
      <c r="B128" s="51" t="str">
        <f t="shared" si="1"/>
        <v/>
      </c>
      <c r="D128" s="421"/>
      <c r="E128" s="51"/>
      <c r="F128" s="62"/>
      <c r="H128" s="62" t="str">
        <f t="shared" si="2"/>
        <v/>
      </c>
    </row>
    <row r="129">
      <c r="A129" s="339"/>
      <c r="B129" s="51" t="str">
        <f t="shared" si="1"/>
        <v/>
      </c>
      <c r="D129" s="421"/>
      <c r="E129" s="51"/>
      <c r="F129" s="62"/>
      <c r="H129" s="62" t="str">
        <f t="shared" si="2"/>
        <v/>
      </c>
    </row>
    <row r="130">
      <c r="A130" s="339"/>
      <c r="B130" s="51" t="str">
        <f t="shared" si="1"/>
        <v/>
      </c>
      <c r="D130" s="421"/>
      <c r="E130" s="51"/>
      <c r="F130" s="62"/>
      <c r="H130" s="62" t="str">
        <f t="shared" si="2"/>
        <v/>
      </c>
    </row>
    <row r="131">
      <c r="A131" s="339"/>
      <c r="B131" s="51" t="str">
        <f t="shared" si="1"/>
        <v/>
      </c>
      <c r="D131" s="421"/>
      <c r="E131" s="51"/>
      <c r="F131" s="62"/>
      <c r="H131" s="62" t="str">
        <f t="shared" si="2"/>
        <v/>
      </c>
    </row>
    <row r="132">
      <c r="A132" s="339"/>
      <c r="B132" s="51" t="str">
        <f t="shared" si="1"/>
        <v/>
      </c>
      <c r="D132" s="421"/>
      <c r="E132" s="51"/>
      <c r="F132" s="62"/>
      <c r="H132" s="62" t="str">
        <f t="shared" si="2"/>
        <v/>
      </c>
    </row>
    <row r="133">
      <c r="A133" s="339"/>
      <c r="B133" s="51" t="str">
        <f t="shared" si="1"/>
        <v/>
      </c>
      <c r="D133" s="421"/>
      <c r="E133" s="51"/>
      <c r="F133" s="62"/>
      <c r="H133" s="62" t="str">
        <f t="shared" si="2"/>
        <v/>
      </c>
    </row>
    <row r="134">
      <c r="A134" s="339"/>
      <c r="B134" s="51" t="str">
        <f t="shared" si="1"/>
        <v/>
      </c>
      <c r="D134" s="421"/>
      <c r="E134" s="51"/>
      <c r="F134" s="62"/>
      <c r="H134" s="62" t="str">
        <f t="shared" si="2"/>
        <v/>
      </c>
    </row>
    <row r="135">
      <c r="A135" s="339"/>
      <c r="B135" s="51" t="str">
        <f t="shared" si="1"/>
        <v/>
      </c>
      <c r="D135" s="421"/>
      <c r="E135" s="51"/>
      <c r="F135" s="62"/>
      <c r="H135" s="62" t="str">
        <f t="shared" si="2"/>
        <v/>
      </c>
    </row>
    <row r="136">
      <c r="A136" s="339"/>
      <c r="B136" s="51" t="str">
        <f t="shared" si="1"/>
        <v/>
      </c>
      <c r="D136" s="421"/>
      <c r="E136" s="51"/>
      <c r="F136" s="62"/>
      <c r="H136" s="62" t="str">
        <f t="shared" si="2"/>
        <v/>
      </c>
    </row>
    <row r="137">
      <c r="A137" s="339"/>
      <c r="B137" s="51" t="str">
        <f t="shared" si="1"/>
        <v/>
      </c>
      <c r="D137" s="421"/>
      <c r="E137" s="51"/>
      <c r="F137" s="62"/>
      <c r="H137" s="62" t="str">
        <f t="shared" si="2"/>
        <v/>
      </c>
    </row>
    <row r="138">
      <c r="A138" s="339"/>
      <c r="B138" s="51" t="str">
        <f t="shared" si="1"/>
        <v/>
      </c>
      <c r="D138" s="421"/>
      <c r="E138" s="51"/>
      <c r="F138" s="62"/>
      <c r="H138" s="62" t="str">
        <f t="shared" si="2"/>
        <v/>
      </c>
    </row>
    <row r="139">
      <c r="A139" s="339"/>
      <c r="B139" s="51" t="str">
        <f t="shared" si="1"/>
        <v/>
      </c>
      <c r="D139" s="421"/>
      <c r="E139" s="51"/>
      <c r="F139" s="62"/>
      <c r="H139" s="62" t="str">
        <f t="shared" si="2"/>
        <v/>
      </c>
    </row>
    <row r="140">
      <c r="A140" s="339"/>
      <c r="B140" s="51" t="str">
        <f t="shared" si="1"/>
        <v/>
      </c>
      <c r="D140" s="421"/>
      <c r="E140" s="51"/>
      <c r="F140" s="62"/>
      <c r="H140" s="62" t="str">
        <f t="shared" si="2"/>
        <v/>
      </c>
    </row>
    <row r="141">
      <c r="A141" s="339"/>
      <c r="B141" s="51" t="str">
        <f t="shared" si="1"/>
        <v/>
      </c>
      <c r="D141" s="421"/>
      <c r="E141" s="51"/>
      <c r="F141" s="62"/>
      <c r="H141" s="62" t="str">
        <f t="shared" si="2"/>
        <v/>
      </c>
    </row>
    <row r="142">
      <c r="A142" s="339"/>
      <c r="B142" s="51" t="str">
        <f t="shared" si="1"/>
        <v/>
      </c>
      <c r="D142" s="421"/>
      <c r="E142" s="51"/>
      <c r="F142" s="62"/>
      <c r="H142" s="62" t="str">
        <f t="shared" si="2"/>
        <v/>
      </c>
    </row>
    <row r="143">
      <c r="A143" s="339"/>
      <c r="B143" s="51" t="str">
        <f t="shared" si="1"/>
        <v/>
      </c>
      <c r="D143" s="421"/>
      <c r="E143" s="51"/>
      <c r="F143" s="62"/>
      <c r="H143" s="62" t="str">
        <f t="shared" si="2"/>
        <v/>
      </c>
    </row>
    <row r="144">
      <c r="A144" s="339"/>
      <c r="B144" s="51" t="str">
        <f t="shared" si="1"/>
        <v/>
      </c>
      <c r="D144" s="421"/>
      <c r="E144" s="51"/>
      <c r="F144" s="62"/>
      <c r="H144" s="62" t="str">
        <f t="shared" si="2"/>
        <v/>
      </c>
    </row>
    <row r="145">
      <c r="A145" s="339"/>
      <c r="B145" s="51" t="str">
        <f t="shared" si="1"/>
        <v/>
      </c>
      <c r="D145" s="421"/>
      <c r="E145" s="51"/>
      <c r="F145" s="62"/>
      <c r="H145" s="62" t="str">
        <f t="shared" si="2"/>
        <v/>
      </c>
    </row>
    <row r="146">
      <c r="A146" s="339"/>
      <c r="B146" s="51" t="str">
        <f t="shared" si="1"/>
        <v/>
      </c>
      <c r="D146" s="421"/>
      <c r="E146" s="51"/>
      <c r="F146" s="62"/>
      <c r="H146" s="62" t="str">
        <f t="shared" si="2"/>
        <v/>
      </c>
    </row>
    <row r="147">
      <c r="A147" s="339"/>
      <c r="B147" s="51" t="str">
        <f t="shared" si="1"/>
        <v/>
      </c>
      <c r="D147" s="421"/>
      <c r="E147" s="51"/>
      <c r="F147" s="62"/>
      <c r="H147" s="62" t="str">
        <f t="shared" si="2"/>
        <v/>
      </c>
    </row>
    <row r="148">
      <c r="A148" s="339"/>
      <c r="B148" s="51" t="str">
        <f t="shared" si="1"/>
        <v/>
      </c>
      <c r="D148" s="421"/>
      <c r="E148" s="51"/>
      <c r="F148" s="62"/>
      <c r="H148" s="62" t="str">
        <f t="shared" si="2"/>
        <v/>
      </c>
    </row>
    <row r="149">
      <c r="A149" s="339"/>
      <c r="B149" s="51" t="str">
        <f t="shared" si="1"/>
        <v/>
      </c>
      <c r="D149" s="421"/>
      <c r="E149" s="51"/>
      <c r="F149" s="62"/>
      <c r="H149" s="62" t="str">
        <f t="shared" si="2"/>
        <v/>
      </c>
    </row>
    <row r="150">
      <c r="A150" s="339"/>
      <c r="B150" s="51" t="str">
        <f t="shared" si="1"/>
        <v/>
      </c>
      <c r="D150" s="421"/>
      <c r="E150" s="51"/>
      <c r="F150" s="62"/>
      <c r="H150" s="62" t="str">
        <f t="shared" si="2"/>
        <v/>
      </c>
    </row>
    <row r="151">
      <c r="A151" s="339"/>
      <c r="B151" s="51" t="str">
        <f t="shared" si="1"/>
        <v/>
      </c>
      <c r="D151" s="421"/>
      <c r="E151" s="51"/>
      <c r="F151" s="62"/>
      <c r="H151" s="62" t="str">
        <f t="shared" si="2"/>
        <v/>
      </c>
    </row>
    <row r="152">
      <c r="A152" s="339"/>
      <c r="B152" s="51" t="str">
        <f t="shared" si="1"/>
        <v/>
      </c>
      <c r="D152" s="421"/>
      <c r="E152" s="51"/>
      <c r="F152" s="62"/>
      <c r="H152" s="62" t="str">
        <f t="shared" si="2"/>
        <v/>
      </c>
    </row>
    <row r="153">
      <c r="A153" s="339"/>
      <c r="B153" s="51" t="str">
        <f t="shared" si="1"/>
        <v/>
      </c>
      <c r="D153" s="421"/>
      <c r="E153" s="51"/>
      <c r="F153" s="62"/>
      <c r="H153" s="62" t="str">
        <f t="shared" si="2"/>
        <v/>
      </c>
    </row>
    <row r="154">
      <c r="A154" s="339"/>
      <c r="B154" s="51" t="str">
        <f t="shared" si="1"/>
        <v/>
      </c>
      <c r="D154" s="421"/>
      <c r="E154" s="51"/>
      <c r="F154" s="62"/>
      <c r="H154" s="62" t="str">
        <f t="shared" si="2"/>
        <v/>
      </c>
    </row>
    <row r="155">
      <c r="A155" s="339"/>
      <c r="B155" s="51" t="str">
        <f t="shared" si="1"/>
        <v/>
      </c>
      <c r="D155" s="421"/>
      <c r="E155" s="51"/>
      <c r="F155" s="62"/>
      <c r="H155" s="62" t="str">
        <f t="shared" si="2"/>
        <v/>
      </c>
    </row>
    <row r="156">
      <c r="A156" s="339"/>
      <c r="B156" s="51" t="str">
        <f t="shared" si="1"/>
        <v/>
      </c>
      <c r="D156" s="421"/>
      <c r="E156" s="51"/>
      <c r="F156" s="62"/>
      <c r="H156" s="62" t="str">
        <f t="shared" si="2"/>
        <v/>
      </c>
    </row>
    <row r="157">
      <c r="A157" s="339"/>
      <c r="B157" s="51" t="str">
        <f t="shared" si="1"/>
        <v/>
      </c>
      <c r="D157" s="421"/>
      <c r="E157" s="51"/>
      <c r="F157" s="62"/>
      <c r="H157" s="62" t="str">
        <f t="shared" si="2"/>
        <v/>
      </c>
    </row>
    <row r="158">
      <c r="A158" s="339"/>
      <c r="B158" s="51" t="str">
        <f t="shared" si="1"/>
        <v/>
      </c>
      <c r="D158" s="421"/>
      <c r="E158" s="51"/>
      <c r="F158" s="62"/>
      <c r="H158" s="62" t="str">
        <f t="shared" si="2"/>
        <v/>
      </c>
    </row>
    <row r="159">
      <c r="A159" s="339"/>
      <c r="B159" s="51" t="str">
        <f t="shared" si="1"/>
        <v/>
      </c>
      <c r="D159" s="421"/>
      <c r="E159" s="51"/>
      <c r="F159" s="62"/>
      <c r="H159" s="62" t="str">
        <f t="shared" si="2"/>
        <v/>
      </c>
    </row>
    <row r="160">
      <c r="A160" s="339"/>
      <c r="B160" s="51" t="str">
        <f t="shared" si="1"/>
        <v/>
      </c>
      <c r="D160" s="421"/>
      <c r="E160" s="51"/>
      <c r="F160" s="62"/>
      <c r="H160" s="62" t="str">
        <f t="shared" si="2"/>
        <v/>
      </c>
    </row>
    <row r="161">
      <c r="A161" s="339"/>
      <c r="B161" s="51" t="str">
        <f t="shared" si="1"/>
        <v/>
      </c>
      <c r="D161" s="421"/>
      <c r="E161" s="51"/>
      <c r="F161" s="62"/>
      <c r="H161" s="62" t="str">
        <f t="shared" si="2"/>
        <v/>
      </c>
    </row>
    <row r="162">
      <c r="A162" s="339"/>
      <c r="B162" s="51" t="str">
        <f t="shared" si="1"/>
        <v/>
      </c>
      <c r="D162" s="421"/>
      <c r="E162" s="51"/>
      <c r="F162" s="62"/>
      <c r="H162" s="62" t="str">
        <f t="shared" si="2"/>
        <v/>
      </c>
    </row>
    <row r="163">
      <c r="A163" s="339"/>
      <c r="B163" s="51" t="str">
        <f t="shared" si="1"/>
        <v/>
      </c>
      <c r="D163" s="421"/>
      <c r="E163" s="51"/>
      <c r="F163" s="62"/>
      <c r="H163" s="62" t="str">
        <f t="shared" si="2"/>
        <v/>
      </c>
    </row>
    <row r="164">
      <c r="A164" s="339"/>
      <c r="B164" s="51" t="str">
        <f t="shared" si="1"/>
        <v/>
      </c>
      <c r="D164" s="421"/>
      <c r="E164" s="51"/>
      <c r="F164" s="62"/>
      <c r="H164" s="62" t="str">
        <f t="shared" si="2"/>
        <v/>
      </c>
    </row>
    <row r="165">
      <c r="A165" s="339"/>
      <c r="B165" s="51" t="str">
        <f t="shared" si="1"/>
        <v/>
      </c>
      <c r="D165" s="421"/>
      <c r="E165" s="51"/>
      <c r="F165" s="62"/>
      <c r="H165" s="62" t="str">
        <f t="shared" si="2"/>
        <v/>
      </c>
    </row>
    <row r="166">
      <c r="A166" s="339"/>
      <c r="B166" s="51" t="str">
        <f t="shared" si="1"/>
        <v/>
      </c>
      <c r="D166" s="421"/>
      <c r="E166" s="51"/>
      <c r="F166" s="62"/>
      <c r="H166" s="62" t="str">
        <f t="shared" si="2"/>
        <v/>
      </c>
    </row>
    <row r="167">
      <c r="A167" s="339"/>
      <c r="B167" s="51" t="str">
        <f t="shared" si="1"/>
        <v/>
      </c>
      <c r="D167" s="421"/>
      <c r="E167" s="51"/>
      <c r="F167" s="62"/>
      <c r="H167" s="62" t="str">
        <f t="shared" si="2"/>
        <v/>
      </c>
    </row>
    <row r="168">
      <c r="A168" s="339"/>
      <c r="B168" s="51" t="str">
        <f t="shared" si="1"/>
        <v/>
      </c>
      <c r="D168" s="421"/>
      <c r="E168" s="51"/>
      <c r="F168" s="62"/>
      <c r="H168" s="62" t="str">
        <f t="shared" si="2"/>
        <v/>
      </c>
    </row>
    <row r="169">
      <c r="A169" s="339"/>
      <c r="B169" s="51" t="str">
        <f t="shared" si="1"/>
        <v/>
      </c>
      <c r="D169" s="421"/>
      <c r="E169" s="51"/>
      <c r="F169" s="62"/>
      <c r="H169" s="62" t="str">
        <f t="shared" si="2"/>
        <v/>
      </c>
    </row>
    <row r="170">
      <c r="A170" s="339"/>
      <c r="B170" s="51" t="str">
        <f t="shared" si="1"/>
        <v/>
      </c>
      <c r="D170" s="421"/>
      <c r="E170" s="51"/>
      <c r="F170" s="62"/>
      <c r="H170" s="62" t="str">
        <f t="shared" si="2"/>
        <v/>
      </c>
    </row>
    <row r="171">
      <c r="A171" s="339"/>
      <c r="B171" s="51" t="str">
        <f t="shared" si="1"/>
        <v/>
      </c>
      <c r="D171" s="421"/>
      <c r="E171" s="51"/>
      <c r="F171" s="62"/>
      <c r="H171" s="62" t="str">
        <f t="shared" si="2"/>
        <v/>
      </c>
    </row>
    <row r="172">
      <c r="A172" s="339"/>
      <c r="B172" s="51" t="str">
        <f t="shared" si="1"/>
        <v/>
      </c>
      <c r="D172" s="421"/>
      <c r="E172" s="51"/>
      <c r="F172" s="62"/>
      <c r="H172" s="62" t="str">
        <f t="shared" si="2"/>
        <v/>
      </c>
    </row>
    <row r="173">
      <c r="A173" s="339"/>
      <c r="B173" s="51" t="str">
        <f t="shared" si="1"/>
        <v/>
      </c>
      <c r="D173" s="421"/>
      <c r="E173" s="51"/>
      <c r="F173" s="62"/>
      <c r="H173" s="62" t="str">
        <f t="shared" si="2"/>
        <v/>
      </c>
    </row>
    <row r="174">
      <c r="A174" s="339"/>
      <c r="B174" s="51" t="str">
        <f t="shared" si="1"/>
        <v/>
      </c>
      <c r="D174" s="421"/>
      <c r="E174" s="51"/>
      <c r="F174" s="62"/>
      <c r="H174" s="62" t="str">
        <f t="shared" si="2"/>
        <v/>
      </c>
    </row>
    <row r="175">
      <c r="A175" s="339"/>
      <c r="B175" s="51" t="str">
        <f t="shared" si="1"/>
        <v/>
      </c>
      <c r="D175" s="421"/>
      <c r="E175" s="51"/>
      <c r="F175" s="62"/>
      <c r="H175" s="62" t="str">
        <f t="shared" si="2"/>
        <v/>
      </c>
    </row>
    <row r="176">
      <c r="A176" s="339"/>
      <c r="B176" s="51" t="str">
        <f t="shared" si="1"/>
        <v/>
      </c>
      <c r="D176" s="421"/>
      <c r="E176" s="51"/>
      <c r="F176" s="62"/>
      <c r="H176" s="62" t="str">
        <f t="shared" si="2"/>
        <v/>
      </c>
    </row>
    <row r="177">
      <c r="A177" s="339"/>
      <c r="B177" s="51" t="str">
        <f t="shared" si="1"/>
        <v/>
      </c>
      <c r="D177" s="421"/>
      <c r="E177" s="51"/>
      <c r="F177" s="62"/>
      <c r="H177" s="62" t="str">
        <f t="shared" si="2"/>
        <v/>
      </c>
    </row>
    <row r="178">
      <c r="A178" s="339"/>
      <c r="B178" s="51" t="str">
        <f t="shared" si="1"/>
        <v/>
      </c>
      <c r="D178" s="421"/>
      <c r="E178" s="51"/>
      <c r="F178" s="62"/>
      <c r="H178" s="62" t="str">
        <f t="shared" si="2"/>
        <v/>
      </c>
    </row>
    <row r="179">
      <c r="A179" s="339"/>
      <c r="B179" s="51" t="str">
        <f t="shared" si="1"/>
        <v/>
      </c>
      <c r="D179" s="421"/>
      <c r="E179" s="51"/>
      <c r="F179" s="62"/>
      <c r="H179" s="62" t="str">
        <f t="shared" si="2"/>
        <v/>
      </c>
    </row>
    <row r="180">
      <c r="A180" s="339"/>
      <c r="B180" s="51" t="str">
        <f t="shared" si="1"/>
        <v/>
      </c>
      <c r="D180" s="421"/>
      <c r="E180" s="51"/>
      <c r="F180" s="62"/>
      <c r="H180" s="62" t="str">
        <f t="shared" si="2"/>
        <v/>
      </c>
    </row>
    <row r="181">
      <c r="A181" s="339"/>
      <c r="B181" s="51" t="str">
        <f t="shared" si="1"/>
        <v/>
      </c>
      <c r="D181" s="421"/>
      <c r="E181" s="51"/>
      <c r="F181" s="62"/>
      <c r="H181" s="62" t="str">
        <f t="shared" si="2"/>
        <v/>
      </c>
    </row>
    <row r="182">
      <c r="A182" s="339"/>
      <c r="B182" s="51" t="str">
        <f t="shared" si="1"/>
        <v/>
      </c>
      <c r="D182" s="421"/>
      <c r="E182" s="51"/>
      <c r="F182" s="62"/>
      <c r="H182" s="62" t="str">
        <f t="shared" si="2"/>
        <v/>
      </c>
    </row>
    <row r="183">
      <c r="A183" s="339"/>
      <c r="B183" s="51" t="str">
        <f t="shared" si="1"/>
        <v/>
      </c>
      <c r="D183" s="421"/>
      <c r="E183" s="51"/>
      <c r="F183" s="62"/>
      <c r="H183" s="62" t="str">
        <f t="shared" si="2"/>
        <v/>
      </c>
    </row>
    <row r="184">
      <c r="A184" s="339"/>
      <c r="B184" s="51" t="str">
        <f t="shared" si="1"/>
        <v/>
      </c>
      <c r="D184" s="421"/>
      <c r="E184" s="51"/>
      <c r="F184" s="62"/>
      <c r="H184" s="62" t="str">
        <f t="shared" si="2"/>
        <v/>
      </c>
    </row>
    <row r="185">
      <c r="A185" s="339"/>
      <c r="B185" s="51" t="str">
        <f t="shared" si="1"/>
        <v/>
      </c>
      <c r="D185" s="421"/>
      <c r="E185" s="51"/>
      <c r="F185" s="62"/>
      <c r="H185" s="62" t="str">
        <f t="shared" si="2"/>
        <v/>
      </c>
    </row>
    <row r="186">
      <c r="A186" s="339"/>
      <c r="B186" s="51" t="str">
        <f t="shared" si="1"/>
        <v/>
      </c>
      <c r="D186" s="421"/>
      <c r="E186" s="51"/>
      <c r="F186" s="62"/>
      <c r="H186" s="62" t="str">
        <f t="shared" si="2"/>
        <v/>
      </c>
    </row>
    <row r="187">
      <c r="A187" s="339"/>
      <c r="B187" s="51" t="str">
        <f t="shared" si="1"/>
        <v/>
      </c>
      <c r="D187" s="421"/>
      <c r="E187" s="51"/>
      <c r="F187" s="62"/>
      <c r="H187" s="62" t="str">
        <f t="shared" si="2"/>
        <v/>
      </c>
    </row>
    <row r="188">
      <c r="A188" s="339"/>
      <c r="B188" s="51" t="str">
        <f t="shared" si="1"/>
        <v/>
      </c>
      <c r="D188" s="421"/>
      <c r="E188" s="51"/>
      <c r="F188" s="62"/>
      <c r="H188" s="62" t="str">
        <f t="shared" si="2"/>
        <v/>
      </c>
    </row>
    <row r="189">
      <c r="A189" s="339"/>
      <c r="B189" s="51" t="str">
        <f t="shared" si="1"/>
        <v/>
      </c>
      <c r="D189" s="421"/>
      <c r="E189" s="51"/>
      <c r="F189" s="62"/>
      <c r="H189" s="62" t="str">
        <f t="shared" si="2"/>
        <v/>
      </c>
    </row>
    <row r="190">
      <c r="A190" s="339"/>
      <c r="B190" s="51" t="str">
        <f t="shared" si="1"/>
        <v/>
      </c>
      <c r="D190" s="421"/>
      <c r="E190" s="51"/>
      <c r="F190" s="62"/>
      <c r="H190" s="62" t="str">
        <f t="shared" si="2"/>
        <v/>
      </c>
    </row>
    <row r="191">
      <c r="A191" s="339"/>
      <c r="B191" s="51" t="str">
        <f t="shared" si="1"/>
        <v/>
      </c>
      <c r="D191" s="421"/>
      <c r="E191" s="51"/>
      <c r="F191" s="62"/>
      <c r="H191" s="62" t="str">
        <f t="shared" si="2"/>
        <v/>
      </c>
    </row>
    <row r="192">
      <c r="A192" s="339"/>
      <c r="B192" s="51" t="str">
        <f t="shared" si="1"/>
        <v/>
      </c>
      <c r="D192" s="421"/>
      <c r="E192" s="51"/>
      <c r="F192" s="62"/>
      <c r="H192" s="62" t="str">
        <f t="shared" si="2"/>
        <v/>
      </c>
    </row>
    <row r="193">
      <c r="A193" s="339"/>
      <c r="B193" s="51" t="str">
        <f t="shared" si="1"/>
        <v/>
      </c>
      <c r="D193" s="421"/>
      <c r="E193" s="51"/>
      <c r="F193" s="62"/>
      <c r="H193" s="62" t="str">
        <f t="shared" si="2"/>
        <v/>
      </c>
    </row>
    <row r="194">
      <c r="A194" s="339"/>
      <c r="B194" s="51" t="str">
        <f t="shared" si="1"/>
        <v/>
      </c>
      <c r="D194" s="421"/>
      <c r="E194" s="51"/>
      <c r="F194" s="62"/>
      <c r="H194" s="62" t="str">
        <f t="shared" si="2"/>
        <v/>
      </c>
    </row>
    <row r="195">
      <c r="A195" s="339"/>
      <c r="B195" s="51" t="str">
        <f t="shared" si="1"/>
        <v/>
      </c>
      <c r="D195" s="421"/>
      <c r="E195" s="51"/>
      <c r="F195" s="62"/>
      <c r="H195" s="62" t="str">
        <f t="shared" si="2"/>
        <v/>
      </c>
    </row>
    <row r="196">
      <c r="A196" s="339"/>
      <c r="B196" s="51" t="str">
        <f t="shared" si="1"/>
        <v/>
      </c>
      <c r="D196" s="421"/>
      <c r="E196" s="51"/>
      <c r="F196" s="62"/>
      <c r="H196" s="62" t="str">
        <f t="shared" si="2"/>
        <v/>
      </c>
    </row>
    <row r="197">
      <c r="A197" s="339"/>
      <c r="B197" s="51" t="str">
        <f t="shared" si="1"/>
        <v/>
      </c>
      <c r="D197" s="421"/>
      <c r="E197" s="51"/>
      <c r="F197" s="62"/>
      <c r="H197" s="62" t="str">
        <f t="shared" si="2"/>
        <v/>
      </c>
    </row>
    <row r="198">
      <c r="A198" s="339"/>
      <c r="B198" s="51" t="str">
        <f t="shared" si="1"/>
        <v/>
      </c>
      <c r="D198" s="421"/>
      <c r="E198" s="51"/>
      <c r="F198" s="62"/>
      <c r="H198" s="62" t="str">
        <f t="shared" si="2"/>
        <v/>
      </c>
    </row>
    <row r="199">
      <c r="A199" s="339"/>
      <c r="B199" s="51" t="str">
        <f t="shared" si="1"/>
        <v/>
      </c>
      <c r="D199" s="421"/>
      <c r="E199" s="51"/>
      <c r="F199" s="62"/>
      <c r="H199" s="62" t="str">
        <f t="shared" si="2"/>
        <v/>
      </c>
    </row>
    <row r="200">
      <c r="A200" s="339"/>
      <c r="B200" s="51" t="str">
        <f t="shared" si="1"/>
        <v/>
      </c>
      <c r="D200" s="421"/>
      <c r="E200" s="51"/>
      <c r="F200" s="62"/>
      <c r="H200" s="62" t="str">
        <f t="shared" si="2"/>
        <v/>
      </c>
    </row>
    <row r="201">
      <c r="A201" s="339"/>
      <c r="B201" s="51" t="str">
        <f t="shared" si="1"/>
        <v/>
      </c>
      <c r="D201" s="421"/>
      <c r="E201" s="51"/>
      <c r="F201" s="62"/>
      <c r="H201" s="62" t="str">
        <f t="shared" si="2"/>
        <v/>
      </c>
    </row>
    <row r="202">
      <c r="A202" s="339"/>
      <c r="B202" s="51" t="str">
        <f t="shared" si="1"/>
        <v/>
      </c>
      <c r="D202" s="421"/>
      <c r="E202" s="51"/>
      <c r="F202" s="62"/>
      <c r="H202" s="62" t="str">
        <f t="shared" si="2"/>
        <v/>
      </c>
    </row>
    <row r="203">
      <c r="A203" s="339"/>
      <c r="B203" s="51" t="str">
        <f t="shared" si="1"/>
        <v/>
      </c>
      <c r="D203" s="421"/>
      <c r="E203" s="51"/>
      <c r="F203" s="62"/>
      <c r="H203" s="62" t="str">
        <f t="shared" si="2"/>
        <v/>
      </c>
    </row>
    <row r="204">
      <c r="A204" s="339"/>
      <c r="B204" s="51" t="str">
        <f t="shared" si="1"/>
        <v/>
      </c>
      <c r="D204" s="421"/>
      <c r="E204" s="51"/>
      <c r="F204" s="62"/>
      <c r="H204" s="62" t="str">
        <f t="shared" si="2"/>
        <v/>
      </c>
    </row>
    <row r="205">
      <c r="A205" s="339"/>
      <c r="B205" s="51" t="str">
        <f t="shared" si="1"/>
        <v/>
      </c>
      <c r="D205" s="421"/>
      <c r="E205" s="51"/>
      <c r="F205" s="62"/>
      <c r="H205" s="62" t="str">
        <f t="shared" si="2"/>
        <v/>
      </c>
    </row>
    <row r="206">
      <c r="A206" s="339"/>
      <c r="B206" s="51" t="str">
        <f t="shared" si="1"/>
        <v/>
      </c>
      <c r="D206" s="421"/>
      <c r="E206" s="51"/>
      <c r="F206" s="62"/>
      <c r="H206" s="62" t="str">
        <f t="shared" si="2"/>
        <v/>
      </c>
    </row>
    <row r="207">
      <c r="A207" s="339"/>
      <c r="B207" s="51" t="str">
        <f t="shared" si="1"/>
        <v/>
      </c>
      <c r="D207" s="421"/>
      <c r="E207" s="51"/>
      <c r="F207" s="62"/>
      <c r="H207" s="62" t="str">
        <f t="shared" si="2"/>
        <v/>
      </c>
    </row>
    <row r="208">
      <c r="A208" s="339"/>
      <c r="B208" s="51" t="str">
        <f t="shared" si="1"/>
        <v/>
      </c>
      <c r="D208" s="421"/>
      <c r="E208" s="51"/>
      <c r="F208" s="62"/>
      <c r="H208" s="62" t="str">
        <f t="shared" si="2"/>
        <v/>
      </c>
    </row>
    <row r="209">
      <c r="A209" s="339"/>
      <c r="B209" s="51" t="str">
        <f t="shared" si="1"/>
        <v/>
      </c>
      <c r="D209" s="421"/>
      <c r="E209" s="51"/>
      <c r="F209" s="62"/>
      <c r="H209" s="62" t="str">
        <f t="shared" si="2"/>
        <v/>
      </c>
    </row>
    <row r="210">
      <c r="A210" s="339"/>
      <c r="B210" s="51" t="str">
        <f t="shared" si="1"/>
        <v/>
      </c>
      <c r="D210" s="421"/>
      <c r="E210" s="51"/>
      <c r="F210" s="62"/>
      <c r="H210" s="62" t="str">
        <f t="shared" si="2"/>
        <v/>
      </c>
    </row>
    <row r="211">
      <c r="A211" s="339"/>
      <c r="B211" s="51" t="str">
        <f t="shared" si="1"/>
        <v/>
      </c>
      <c r="D211" s="421"/>
      <c r="E211" s="51"/>
      <c r="F211" s="62"/>
      <c r="H211" s="62" t="str">
        <f t="shared" si="2"/>
        <v/>
      </c>
    </row>
    <row r="212">
      <c r="A212" s="339"/>
      <c r="B212" s="51" t="str">
        <f t="shared" si="1"/>
        <v/>
      </c>
      <c r="D212" s="421"/>
      <c r="E212" s="51"/>
      <c r="F212" s="62"/>
      <c r="H212" s="62" t="str">
        <f t="shared" si="2"/>
        <v/>
      </c>
    </row>
    <row r="213">
      <c r="A213" s="339"/>
      <c r="B213" s="51" t="str">
        <f t="shared" si="1"/>
        <v/>
      </c>
      <c r="D213" s="421"/>
      <c r="E213" s="51"/>
      <c r="F213" s="62"/>
      <c r="H213" s="62" t="str">
        <f t="shared" si="2"/>
        <v/>
      </c>
    </row>
    <row r="214">
      <c r="A214" s="339"/>
      <c r="B214" s="51" t="str">
        <f t="shared" si="1"/>
        <v/>
      </c>
      <c r="D214" s="421"/>
      <c r="E214" s="51"/>
      <c r="F214" s="62"/>
      <c r="H214" s="62" t="str">
        <f t="shared" si="2"/>
        <v/>
      </c>
    </row>
    <row r="215">
      <c r="A215" s="339"/>
      <c r="B215" s="51" t="str">
        <f t="shared" si="1"/>
        <v/>
      </c>
      <c r="D215" s="421"/>
      <c r="E215" s="51"/>
      <c r="F215" s="62"/>
      <c r="H215" s="62" t="str">
        <f t="shared" si="2"/>
        <v/>
      </c>
    </row>
    <row r="216">
      <c r="A216" s="339"/>
      <c r="B216" s="51" t="str">
        <f t="shared" si="1"/>
        <v/>
      </c>
      <c r="D216" s="421"/>
      <c r="E216" s="51"/>
      <c r="F216" s="62"/>
      <c r="H216" s="62" t="str">
        <f t="shared" si="2"/>
        <v/>
      </c>
    </row>
    <row r="217">
      <c r="A217" s="339"/>
      <c r="B217" s="51" t="str">
        <f t="shared" si="1"/>
        <v/>
      </c>
      <c r="D217" s="421"/>
      <c r="E217" s="51"/>
      <c r="F217" s="62"/>
      <c r="H217" s="62" t="str">
        <f t="shared" si="2"/>
        <v/>
      </c>
    </row>
    <row r="218">
      <c r="A218" s="339"/>
      <c r="B218" s="51" t="str">
        <f t="shared" si="1"/>
        <v/>
      </c>
      <c r="D218" s="421"/>
      <c r="E218" s="51"/>
      <c r="F218" s="62"/>
      <c r="H218" s="62" t="str">
        <f t="shared" si="2"/>
        <v/>
      </c>
    </row>
    <row r="219">
      <c r="A219" s="339"/>
      <c r="B219" s="51" t="str">
        <f t="shared" si="1"/>
        <v/>
      </c>
      <c r="D219" s="421"/>
      <c r="E219" s="51"/>
      <c r="F219" s="62"/>
      <c r="H219" s="62" t="str">
        <f t="shared" si="2"/>
        <v/>
      </c>
    </row>
    <row r="220">
      <c r="A220" s="339"/>
      <c r="B220" s="51" t="str">
        <f t="shared" si="1"/>
        <v/>
      </c>
      <c r="D220" s="421"/>
      <c r="E220" s="51"/>
      <c r="F220" s="62"/>
      <c r="H220" s="62" t="str">
        <f t="shared" si="2"/>
        <v/>
      </c>
    </row>
    <row r="221">
      <c r="A221" s="339"/>
      <c r="B221" s="51" t="str">
        <f t="shared" si="1"/>
        <v/>
      </c>
      <c r="D221" s="421"/>
      <c r="E221" s="51"/>
      <c r="F221" s="62"/>
      <c r="H221" s="62" t="str">
        <f t="shared" si="2"/>
        <v/>
      </c>
    </row>
    <row r="222">
      <c r="A222" s="339"/>
      <c r="B222" s="51" t="str">
        <f t="shared" si="1"/>
        <v/>
      </c>
      <c r="D222" s="421"/>
      <c r="E222" s="51"/>
      <c r="F222" s="62"/>
      <c r="H222" s="62" t="str">
        <f t="shared" si="2"/>
        <v/>
      </c>
    </row>
    <row r="223">
      <c r="A223" s="339"/>
      <c r="B223" s="51" t="str">
        <f t="shared" si="1"/>
        <v/>
      </c>
      <c r="D223" s="421"/>
      <c r="E223" s="51"/>
      <c r="F223" s="62"/>
      <c r="H223" s="62" t="str">
        <f t="shared" si="2"/>
        <v/>
      </c>
    </row>
    <row r="224">
      <c r="A224" s="339"/>
      <c r="B224" s="51" t="str">
        <f t="shared" si="1"/>
        <v/>
      </c>
      <c r="D224" s="421"/>
      <c r="E224" s="51"/>
      <c r="F224" s="62"/>
      <c r="H224" s="62" t="str">
        <f t="shared" si="2"/>
        <v/>
      </c>
    </row>
    <row r="225">
      <c r="A225" s="339"/>
      <c r="B225" s="51" t="str">
        <f t="shared" si="1"/>
        <v/>
      </c>
      <c r="D225" s="421"/>
      <c r="E225" s="51"/>
      <c r="F225" s="62"/>
      <c r="H225" s="62" t="str">
        <f t="shared" si="2"/>
        <v/>
      </c>
    </row>
    <row r="226">
      <c r="A226" s="339"/>
      <c r="B226" s="51" t="str">
        <f t="shared" si="1"/>
        <v/>
      </c>
      <c r="D226" s="421"/>
      <c r="E226" s="51"/>
      <c r="F226" s="62"/>
      <c r="H226" s="62" t="str">
        <f t="shared" si="2"/>
        <v/>
      </c>
    </row>
    <row r="227">
      <c r="A227" s="339"/>
      <c r="B227" s="51" t="str">
        <f t="shared" si="1"/>
        <v/>
      </c>
      <c r="D227" s="421"/>
      <c r="E227" s="51"/>
      <c r="F227" s="62"/>
      <c r="H227" s="62" t="str">
        <f t="shared" si="2"/>
        <v/>
      </c>
    </row>
    <row r="228">
      <c r="A228" s="339"/>
      <c r="B228" s="51" t="str">
        <f t="shared" si="1"/>
        <v/>
      </c>
      <c r="D228" s="421"/>
      <c r="E228" s="51"/>
      <c r="F228" s="62"/>
      <c r="H228" s="62" t="str">
        <f t="shared" si="2"/>
        <v/>
      </c>
    </row>
    <row r="229">
      <c r="A229" s="339"/>
      <c r="B229" s="51" t="str">
        <f t="shared" si="1"/>
        <v/>
      </c>
      <c r="D229" s="421"/>
      <c r="E229" s="51"/>
      <c r="F229" s="62"/>
      <c r="H229" s="62" t="str">
        <f t="shared" si="2"/>
        <v/>
      </c>
    </row>
    <row r="230">
      <c r="A230" s="339"/>
      <c r="B230" s="51" t="str">
        <f t="shared" si="1"/>
        <v/>
      </c>
      <c r="D230" s="421"/>
      <c r="E230" s="51"/>
      <c r="F230" s="62"/>
      <c r="H230" s="62" t="str">
        <f t="shared" si="2"/>
        <v/>
      </c>
    </row>
    <row r="231">
      <c r="A231" s="339"/>
      <c r="B231" s="51" t="str">
        <f t="shared" si="1"/>
        <v/>
      </c>
      <c r="D231" s="421"/>
      <c r="E231" s="51"/>
      <c r="F231" s="62"/>
      <c r="H231" s="62" t="str">
        <f t="shared" si="2"/>
        <v/>
      </c>
    </row>
    <row r="232">
      <c r="A232" s="339"/>
      <c r="B232" s="51" t="str">
        <f t="shared" si="1"/>
        <v/>
      </c>
      <c r="D232" s="421"/>
      <c r="E232" s="51"/>
      <c r="F232" s="62"/>
      <c r="H232" s="62" t="str">
        <f t="shared" si="2"/>
        <v/>
      </c>
    </row>
    <row r="233">
      <c r="A233" s="339"/>
      <c r="B233" s="51" t="str">
        <f t="shared" si="1"/>
        <v/>
      </c>
      <c r="D233" s="421"/>
      <c r="E233" s="51"/>
      <c r="F233" s="62"/>
      <c r="H233" s="62" t="str">
        <f t="shared" si="2"/>
        <v/>
      </c>
    </row>
    <row r="234">
      <c r="A234" s="339"/>
      <c r="B234" s="51" t="str">
        <f t="shared" si="1"/>
        <v/>
      </c>
      <c r="D234" s="421"/>
      <c r="E234" s="51"/>
      <c r="F234" s="62"/>
      <c r="H234" s="62" t="str">
        <f t="shared" si="2"/>
        <v/>
      </c>
    </row>
    <row r="235">
      <c r="A235" s="339"/>
      <c r="B235" s="51" t="str">
        <f t="shared" si="1"/>
        <v/>
      </c>
      <c r="D235" s="421"/>
      <c r="E235" s="51"/>
      <c r="F235" s="62"/>
      <c r="H235" s="62" t="str">
        <f t="shared" si="2"/>
        <v/>
      </c>
    </row>
    <row r="236">
      <c r="A236" s="339"/>
      <c r="B236" s="51" t="str">
        <f t="shared" si="1"/>
        <v/>
      </c>
      <c r="D236" s="421"/>
      <c r="E236" s="51"/>
      <c r="F236" s="62"/>
      <c r="H236" s="62" t="str">
        <f t="shared" si="2"/>
        <v/>
      </c>
    </row>
    <row r="237">
      <c r="A237" s="339"/>
      <c r="B237" s="51" t="str">
        <f t="shared" si="1"/>
        <v/>
      </c>
      <c r="D237" s="421"/>
      <c r="E237" s="51"/>
      <c r="F237" s="62"/>
      <c r="H237" s="62" t="str">
        <f t="shared" si="2"/>
        <v/>
      </c>
    </row>
    <row r="238">
      <c r="A238" s="339"/>
      <c r="B238" s="51" t="str">
        <f t="shared" si="1"/>
        <v/>
      </c>
      <c r="D238" s="421"/>
      <c r="E238" s="51"/>
      <c r="F238" s="62"/>
      <c r="H238" s="62" t="str">
        <f t="shared" si="2"/>
        <v/>
      </c>
    </row>
    <row r="239">
      <c r="A239" s="339"/>
      <c r="B239" s="51" t="str">
        <f t="shared" si="1"/>
        <v/>
      </c>
      <c r="D239" s="421"/>
      <c r="E239" s="51"/>
      <c r="F239" s="62"/>
      <c r="H239" s="62" t="str">
        <f t="shared" si="2"/>
        <v/>
      </c>
    </row>
    <row r="240">
      <c r="A240" s="339"/>
      <c r="B240" s="51" t="str">
        <f t="shared" si="1"/>
        <v/>
      </c>
      <c r="D240" s="421"/>
      <c r="E240" s="51"/>
      <c r="F240" s="62"/>
      <c r="H240" s="62" t="str">
        <f t="shared" si="2"/>
        <v/>
      </c>
    </row>
    <row r="241">
      <c r="A241" s="339"/>
      <c r="B241" s="51" t="str">
        <f t="shared" si="1"/>
        <v/>
      </c>
      <c r="D241" s="421"/>
      <c r="E241" s="51"/>
      <c r="F241" s="62"/>
      <c r="H241" s="62" t="str">
        <f t="shared" si="2"/>
        <v/>
      </c>
    </row>
    <row r="242">
      <c r="A242" s="339"/>
      <c r="B242" s="51" t="str">
        <f t="shared" si="1"/>
        <v/>
      </c>
      <c r="D242" s="421"/>
      <c r="E242" s="51"/>
      <c r="F242" s="62"/>
      <c r="H242" s="62" t="str">
        <f t="shared" si="2"/>
        <v/>
      </c>
    </row>
    <row r="243">
      <c r="A243" s="339"/>
      <c r="B243" s="51" t="str">
        <f t="shared" si="1"/>
        <v/>
      </c>
      <c r="D243" s="421"/>
      <c r="E243" s="51"/>
      <c r="F243" s="62"/>
      <c r="H243" s="62" t="str">
        <f t="shared" si="2"/>
        <v/>
      </c>
    </row>
    <row r="244">
      <c r="A244" s="339"/>
      <c r="B244" s="51" t="str">
        <f t="shared" si="1"/>
        <v/>
      </c>
      <c r="D244" s="421"/>
      <c r="E244" s="51"/>
      <c r="F244" s="62"/>
      <c r="H244" s="62" t="str">
        <f t="shared" si="2"/>
        <v/>
      </c>
    </row>
    <row r="245">
      <c r="A245" s="339"/>
      <c r="B245" s="51" t="str">
        <f t="shared" si="1"/>
        <v/>
      </c>
      <c r="D245" s="421"/>
      <c r="E245" s="51"/>
      <c r="F245" s="62"/>
      <c r="H245" s="62" t="str">
        <f t="shared" si="2"/>
        <v/>
      </c>
    </row>
    <row r="246">
      <c r="A246" s="339"/>
      <c r="B246" s="51" t="str">
        <f t="shared" si="1"/>
        <v/>
      </c>
      <c r="D246" s="421"/>
      <c r="E246" s="51"/>
      <c r="F246" s="62"/>
      <c r="H246" s="62" t="str">
        <f t="shared" si="2"/>
        <v/>
      </c>
    </row>
    <row r="247">
      <c r="A247" s="339"/>
      <c r="B247" s="51" t="str">
        <f t="shared" si="1"/>
        <v/>
      </c>
      <c r="D247" s="421"/>
      <c r="E247" s="51"/>
      <c r="F247" s="62"/>
      <c r="H247" s="62" t="str">
        <f t="shared" si="2"/>
        <v/>
      </c>
    </row>
    <row r="248">
      <c r="A248" s="339"/>
      <c r="B248" s="51" t="str">
        <f t="shared" si="1"/>
        <v/>
      </c>
      <c r="D248" s="421"/>
      <c r="E248" s="51"/>
      <c r="F248" s="62"/>
      <c r="H248" s="62" t="str">
        <f t="shared" si="2"/>
        <v/>
      </c>
    </row>
    <row r="249">
      <c r="A249" s="339"/>
      <c r="B249" s="51" t="str">
        <f t="shared" si="1"/>
        <v/>
      </c>
      <c r="D249" s="421"/>
      <c r="E249" s="51"/>
      <c r="F249" s="62"/>
      <c r="H249" s="62" t="str">
        <f t="shared" si="2"/>
        <v/>
      </c>
    </row>
    <row r="250">
      <c r="A250" s="339"/>
      <c r="B250" s="51" t="str">
        <f t="shared" si="1"/>
        <v/>
      </c>
      <c r="D250" s="421"/>
      <c r="E250" s="51"/>
      <c r="F250" s="62"/>
      <c r="H250" s="62" t="str">
        <f t="shared" si="2"/>
        <v/>
      </c>
    </row>
    <row r="251">
      <c r="A251" s="339"/>
      <c r="B251" s="51" t="str">
        <f t="shared" si="1"/>
        <v/>
      </c>
      <c r="D251" s="421"/>
      <c r="E251" s="51"/>
      <c r="F251" s="62"/>
      <c r="H251" s="62" t="str">
        <f t="shared" si="2"/>
        <v/>
      </c>
    </row>
    <row r="252">
      <c r="A252" s="339"/>
      <c r="B252" s="51" t="str">
        <f t="shared" si="1"/>
        <v/>
      </c>
      <c r="D252" s="421"/>
      <c r="E252" s="51"/>
      <c r="F252" s="62"/>
      <c r="H252" s="62" t="str">
        <f t="shared" si="2"/>
        <v/>
      </c>
    </row>
    <row r="253">
      <c r="A253" s="339"/>
      <c r="B253" s="51" t="str">
        <f t="shared" si="1"/>
        <v/>
      </c>
      <c r="D253" s="421"/>
      <c r="E253" s="51"/>
      <c r="F253" s="62"/>
      <c r="H253" s="62" t="str">
        <f t="shared" si="2"/>
        <v/>
      </c>
    </row>
    <row r="254">
      <c r="A254" s="339"/>
      <c r="B254" s="51" t="str">
        <f t="shared" si="1"/>
        <v/>
      </c>
      <c r="D254" s="421"/>
      <c r="E254" s="51"/>
      <c r="F254" s="62"/>
      <c r="H254" s="62" t="str">
        <f t="shared" si="2"/>
        <v/>
      </c>
    </row>
    <row r="255">
      <c r="A255" s="339"/>
      <c r="B255" s="51" t="str">
        <f t="shared" si="1"/>
        <v/>
      </c>
      <c r="D255" s="421"/>
      <c r="E255" s="51"/>
      <c r="F255" s="62"/>
      <c r="H255" s="62" t="str">
        <f t="shared" si="2"/>
        <v/>
      </c>
    </row>
    <row r="256">
      <c r="A256" s="339"/>
      <c r="B256" s="51" t="str">
        <f t="shared" si="1"/>
        <v/>
      </c>
      <c r="D256" s="421"/>
      <c r="E256" s="51"/>
      <c r="F256" s="62"/>
      <c r="H256" s="62" t="str">
        <f t="shared" si="2"/>
        <v/>
      </c>
    </row>
    <row r="257">
      <c r="A257" s="339"/>
      <c r="B257" s="51" t="str">
        <f t="shared" si="1"/>
        <v/>
      </c>
      <c r="D257" s="421"/>
      <c r="E257" s="51"/>
      <c r="F257" s="62"/>
      <c r="H257" s="62" t="str">
        <f t="shared" si="2"/>
        <v/>
      </c>
    </row>
    <row r="258">
      <c r="A258" s="339"/>
      <c r="B258" s="51" t="str">
        <f t="shared" si="1"/>
        <v/>
      </c>
      <c r="D258" s="421"/>
      <c r="E258" s="51"/>
      <c r="F258" s="62"/>
      <c r="H258" s="62" t="str">
        <f t="shared" si="2"/>
        <v/>
      </c>
    </row>
    <row r="259">
      <c r="A259" s="339"/>
      <c r="B259" s="51" t="str">
        <f t="shared" si="1"/>
        <v/>
      </c>
      <c r="D259" s="421"/>
      <c r="E259" s="51"/>
      <c r="F259" s="62"/>
      <c r="H259" s="62" t="str">
        <f t="shared" si="2"/>
        <v/>
      </c>
    </row>
    <row r="260">
      <c r="A260" s="339"/>
      <c r="B260" s="51" t="str">
        <f t="shared" si="1"/>
        <v/>
      </c>
      <c r="D260" s="421"/>
      <c r="E260" s="51"/>
      <c r="F260" s="62"/>
      <c r="H260" s="62" t="str">
        <f t="shared" si="2"/>
        <v/>
      </c>
    </row>
    <row r="261">
      <c r="A261" s="339"/>
      <c r="B261" s="51" t="str">
        <f t="shared" si="1"/>
        <v/>
      </c>
      <c r="D261" s="421"/>
      <c r="E261" s="51"/>
      <c r="F261" s="62"/>
      <c r="H261" s="62" t="str">
        <f t="shared" si="2"/>
        <v/>
      </c>
    </row>
    <row r="262">
      <c r="A262" s="339"/>
      <c r="B262" s="51" t="str">
        <f t="shared" si="1"/>
        <v/>
      </c>
      <c r="D262" s="421"/>
      <c r="E262" s="51"/>
      <c r="F262" s="62"/>
      <c r="H262" s="62" t="str">
        <f t="shared" si="2"/>
        <v/>
      </c>
    </row>
    <row r="263">
      <c r="A263" s="339"/>
      <c r="B263" s="51" t="str">
        <f t="shared" si="1"/>
        <v/>
      </c>
      <c r="D263" s="421"/>
      <c r="E263" s="51"/>
      <c r="F263" s="62"/>
      <c r="H263" s="62" t="str">
        <f t="shared" si="2"/>
        <v/>
      </c>
    </row>
    <row r="264">
      <c r="A264" s="339"/>
      <c r="B264" s="51" t="str">
        <f t="shared" si="1"/>
        <v/>
      </c>
      <c r="D264" s="421"/>
      <c r="E264" s="51"/>
      <c r="F264" s="62"/>
      <c r="H264" s="62" t="str">
        <f t="shared" si="2"/>
        <v/>
      </c>
    </row>
    <row r="265">
      <c r="A265" s="339"/>
      <c r="B265" s="51" t="str">
        <f t="shared" si="1"/>
        <v/>
      </c>
      <c r="D265" s="421"/>
      <c r="E265" s="51"/>
      <c r="F265" s="62"/>
      <c r="H265" s="62" t="str">
        <f t="shared" si="2"/>
        <v/>
      </c>
    </row>
    <row r="266">
      <c r="A266" s="339"/>
      <c r="B266" s="51" t="str">
        <f t="shared" si="1"/>
        <v/>
      </c>
      <c r="D266" s="421"/>
      <c r="E266" s="51"/>
      <c r="F266" s="62"/>
      <c r="H266" s="62" t="str">
        <f t="shared" si="2"/>
        <v/>
      </c>
    </row>
    <row r="267">
      <c r="A267" s="339"/>
      <c r="B267" s="51" t="str">
        <f t="shared" si="1"/>
        <v/>
      </c>
      <c r="D267" s="421"/>
      <c r="E267" s="51"/>
      <c r="F267" s="62"/>
      <c r="H267" s="62" t="str">
        <f t="shared" si="2"/>
        <v/>
      </c>
    </row>
    <row r="268">
      <c r="A268" s="339"/>
      <c r="B268" s="51" t="str">
        <f t="shared" si="1"/>
        <v/>
      </c>
      <c r="D268" s="421"/>
      <c r="E268" s="51"/>
      <c r="F268" s="62"/>
      <c r="H268" s="62" t="str">
        <f t="shared" si="2"/>
        <v/>
      </c>
    </row>
    <row r="269">
      <c r="A269" s="339"/>
      <c r="B269" s="51" t="str">
        <f t="shared" si="1"/>
        <v/>
      </c>
      <c r="D269" s="421"/>
      <c r="E269" s="51"/>
      <c r="F269" s="62"/>
      <c r="H269" s="62" t="str">
        <f t="shared" si="2"/>
        <v/>
      </c>
    </row>
    <row r="270">
      <c r="A270" s="339"/>
      <c r="B270" s="51" t="str">
        <f t="shared" si="1"/>
        <v/>
      </c>
      <c r="D270" s="421"/>
      <c r="E270" s="51"/>
      <c r="F270" s="62"/>
      <c r="H270" s="62" t="str">
        <f t="shared" si="2"/>
        <v/>
      </c>
    </row>
    <row r="271">
      <c r="A271" s="339"/>
      <c r="B271" s="51" t="str">
        <f t="shared" si="1"/>
        <v/>
      </c>
      <c r="D271" s="421"/>
      <c r="E271" s="51"/>
      <c r="F271" s="62"/>
      <c r="H271" s="62" t="str">
        <f t="shared" si="2"/>
        <v/>
      </c>
    </row>
    <row r="272">
      <c r="A272" s="339"/>
      <c r="B272" s="51" t="str">
        <f t="shared" si="1"/>
        <v/>
      </c>
      <c r="D272" s="421"/>
      <c r="E272" s="51"/>
      <c r="F272" s="62"/>
      <c r="H272" s="62" t="str">
        <f t="shared" si="2"/>
        <v/>
      </c>
    </row>
    <row r="273">
      <c r="A273" s="339"/>
      <c r="B273" s="51" t="str">
        <f t="shared" si="1"/>
        <v/>
      </c>
      <c r="D273" s="421"/>
      <c r="E273" s="51"/>
      <c r="F273" s="62"/>
      <c r="H273" s="62" t="str">
        <f t="shared" si="2"/>
        <v/>
      </c>
    </row>
    <row r="274">
      <c r="A274" s="339"/>
      <c r="B274" s="51" t="str">
        <f t="shared" si="1"/>
        <v/>
      </c>
      <c r="D274" s="421"/>
      <c r="E274" s="51"/>
      <c r="F274" s="62"/>
      <c r="H274" s="62" t="str">
        <f t="shared" si="2"/>
        <v/>
      </c>
    </row>
    <row r="275">
      <c r="A275" s="339"/>
      <c r="B275" s="51" t="str">
        <f t="shared" si="1"/>
        <v/>
      </c>
      <c r="D275" s="421"/>
      <c r="E275" s="51"/>
      <c r="F275" s="62"/>
      <c r="H275" s="62" t="str">
        <f t="shared" si="2"/>
        <v/>
      </c>
    </row>
    <row r="276">
      <c r="A276" s="339"/>
      <c r="B276" s="51" t="str">
        <f t="shared" si="1"/>
        <v/>
      </c>
      <c r="D276" s="421"/>
      <c r="E276" s="51"/>
      <c r="F276" s="62"/>
      <c r="H276" s="62" t="str">
        <f t="shared" si="2"/>
        <v/>
      </c>
    </row>
    <row r="277">
      <c r="A277" s="339"/>
      <c r="B277" s="51" t="str">
        <f t="shared" si="1"/>
        <v/>
      </c>
      <c r="D277" s="421"/>
      <c r="E277" s="51"/>
      <c r="F277" s="62"/>
      <c r="H277" s="62" t="str">
        <f t="shared" si="2"/>
        <v/>
      </c>
    </row>
    <row r="278">
      <c r="A278" s="339"/>
      <c r="B278" s="51" t="str">
        <f t="shared" si="1"/>
        <v/>
      </c>
      <c r="D278" s="421"/>
      <c r="E278" s="51"/>
      <c r="F278" s="62"/>
      <c r="H278" s="62" t="str">
        <f t="shared" si="2"/>
        <v/>
      </c>
    </row>
    <row r="279">
      <c r="A279" s="339"/>
      <c r="B279" s="51" t="str">
        <f t="shared" si="1"/>
        <v/>
      </c>
      <c r="D279" s="421"/>
      <c r="E279" s="51"/>
      <c r="F279" s="62"/>
      <c r="H279" s="62" t="str">
        <f t="shared" si="2"/>
        <v/>
      </c>
    </row>
    <row r="280">
      <c r="A280" s="339"/>
      <c r="B280" s="51" t="str">
        <f t="shared" si="1"/>
        <v/>
      </c>
      <c r="D280" s="421"/>
      <c r="E280" s="51"/>
      <c r="F280" s="62"/>
      <c r="H280" s="62" t="str">
        <f t="shared" si="2"/>
        <v/>
      </c>
    </row>
    <row r="281">
      <c r="A281" s="339"/>
      <c r="B281" s="51" t="str">
        <f t="shared" si="1"/>
        <v/>
      </c>
      <c r="D281" s="421"/>
      <c r="E281" s="51"/>
      <c r="F281" s="62"/>
      <c r="H281" s="62" t="str">
        <f t="shared" si="2"/>
        <v/>
      </c>
    </row>
    <row r="282">
      <c r="A282" s="339"/>
      <c r="B282" s="51" t="str">
        <f t="shared" si="1"/>
        <v/>
      </c>
      <c r="D282" s="421"/>
      <c r="E282" s="51"/>
      <c r="F282" s="62"/>
      <c r="H282" s="62" t="str">
        <f t="shared" si="2"/>
        <v/>
      </c>
    </row>
    <row r="283">
      <c r="A283" s="339"/>
      <c r="B283" s="51" t="str">
        <f t="shared" si="1"/>
        <v/>
      </c>
      <c r="D283" s="421"/>
      <c r="E283" s="51"/>
      <c r="F283" s="62"/>
      <c r="H283" s="62" t="str">
        <f t="shared" si="2"/>
        <v/>
      </c>
    </row>
    <row r="284">
      <c r="A284" s="339"/>
      <c r="B284" s="51" t="str">
        <f t="shared" si="1"/>
        <v/>
      </c>
      <c r="D284" s="421"/>
      <c r="E284" s="51"/>
      <c r="F284" s="62"/>
      <c r="H284" s="62" t="str">
        <f t="shared" si="2"/>
        <v/>
      </c>
    </row>
    <row r="285">
      <c r="A285" s="339"/>
      <c r="B285" s="51" t="str">
        <f t="shared" si="1"/>
        <v/>
      </c>
      <c r="D285" s="421"/>
      <c r="E285" s="51"/>
      <c r="F285" s="62"/>
      <c r="H285" s="62" t="str">
        <f t="shared" si="2"/>
        <v/>
      </c>
    </row>
    <row r="286">
      <c r="A286" s="339"/>
      <c r="B286" s="51" t="str">
        <f t="shared" si="1"/>
        <v/>
      </c>
      <c r="D286" s="421"/>
      <c r="E286" s="51"/>
      <c r="F286" s="62"/>
      <c r="H286" s="62" t="str">
        <f t="shared" si="2"/>
        <v/>
      </c>
    </row>
    <row r="287">
      <c r="A287" s="339"/>
      <c r="B287" s="51" t="str">
        <f t="shared" si="1"/>
        <v/>
      </c>
      <c r="D287" s="421"/>
      <c r="E287" s="51"/>
      <c r="F287" s="62"/>
      <c r="H287" s="62" t="str">
        <f t="shared" si="2"/>
        <v/>
      </c>
    </row>
    <row r="288">
      <c r="A288" s="339"/>
      <c r="B288" s="51" t="str">
        <f t="shared" si="1"/>
        <v/>
      </c>
      <c r="D288" s="421"/>
      <c r="E288" s="51"/>
      <c r="F288" s="62"/>
      <c r="H288" s="62" t="str">
        <f t="shared" si="2"/>
        <v/>
      </c>
    </row>
    <row r="289">
      <c r="A289" s="339"/>
      <c r="B289" s="51" t="str">
        <f t="shared" si="1"/>
        <v/>
      </c>
      <c r="D289" s="421"/>
      <c r="E289" s="51"/>
      <c r="F289" s="62"/>
      <c r="H289" s="62" t="str">
        <f t="shared" si="2"/>
        <v/>
      </c>
    </row>
    <row r="290">
      <c r="A290" s="339"/>
      <c r="B290" s="51" t="str">
        <f t="shared" si="1"/>
        <v/>
      </c>
      <c r="D290" s="421"/>
      <c r="E290" s="51"/>
      <c r="F290" s="62"/>
      <c r="H290" s="62" t="str">
        <f t="shared" si="2"/>
        <v/>
      </c>
    </row>
    <row r="291">
      <c r="A291" s="339"/>
      <c r="B291" s="51" t="str">
        <f t="shared" si="1"/>
        <v/>
      </c>
      <c r="D291" s="421"/>
      <c r="E291" s="51"/>
      <c r="F291" s="62"/>
      <c r="H291" s="62" t="str">
        <f t="shared" si="2"/>
        <v/>
      </c>
    </row>
    <row r="292">
      <c r="A292" s="339"/>
      <c r="B292" s="51" t="str">
        <f t="shared" si="1"/>
        <v/>
      </c>
      <c r="D292" s="421"/>
      <c r="E292" s="51"/>
      <c r="F292" s="62"/>
      <c r="H292" s="62" t="str">
        <f t="shared" si="2"/>
        <v/>
      </c>
    </row>
    <row r="293">
      <c r="A293" s="339"/>
      <c r="B293" s="51" t="str">
        <f t="shared" si="1"/>
        <v/>
      </c>
      <c r="D293" s="421"/>
      <c r="E293" s="51"/>
      <c r="F293" s="62"/>
      <c r="H293" s="62" t="str">
        <f t="shared" si="2"/>
        <v/>
      </c>
    </row>
    <row r="294">
      <c r="A294" s="339"/>
      <c r="B294" s="51" t="str">
        <f t="shared" si="1"/>
        <v/>
      </c>
      <c r="D294" s="421"/>
      <c r="E294" s="51"/>
      <c r="F294" s="62"/>
      <c r="H294" s="62" t="str">
        <f t="shared" si="2"/>
        <v/>
      </c>
    </row>
    <row r="295">
      <c r="A295" s="339"/>
      <c r="B295" s="51" t="str">
        <f t="shared" si="1"/>
        <v/>
      </c>
      <c r="D295" s="421"/>
      <c r="E295" s="51"/>
      <c r="F295" s="62"/>
      <c r="H295" s="62" t="str">
        <f t="shared" si="2"/>
        <v/>
      </c>
    </row>
    <row r="296">
      <c r="A296" s="339"/>
      <c r="B296" s="51" t="str">
        <f t="shared" si="1"/>
        <v/>
      </c>
      <c r="D296" s="421"/>
      <c r="E296" s="51"/>
      <c r="F296" s="62"/>
      <c r="H296" s="62" t="str">
        <f t="shared" si="2"/>
        <v/>
      </c>
    </row>
    <row r="297">
      <c r="A297" s="339"/>
      <c r="B297" s="51" t="str">
        <f t="shared" si="1"/>
        <v/>
      </c>
      <c r="D297" s="421"/>
      <c r="E297" s="51"/>
      <c r="F297" s="62"/>
      <c r="H297" s="62" t="str">
        <f t="shared" si="2"/>
        <v/>
      </c>
    </row>
    <row r="298">
      <c r="A298" s="339"/>
      <c r="B298" s="51" t="str">
        <f t="shared" si="1"/>
        <v/>
      </c>
      <c r="D298" s="421"/>
      <c r="E298" s="51"/>
      <c r="F298" s="62"/>
      <c r="H298" s="62" t="str">
        <f t="shared" si="2"/>
        <v/>
      </c>
    </row>
    <row r="299">
      <c r="A299" s="339"/>
      <c r="B299" s="51" t="str">
        <f t="shared" si="1"/>
        <v/>
      </c>
      <c r="D299" s="421"/>
      <c r="E299" s="51"/>
      <c r="F299" s="62"/>
      <c r="H299" s="62" t="str">
        <f t="shared" si="2"/>
        <v/>
      </c>
    </row>
    <row r="300">
      <c r="A300" s="339"/>
      <c r="B300" s="51" t="str">
        <f t="shared" si="1"/>
        <v/>
      </c>
      <c r="D300" s="421"/>
      <c r="E300" s="51"/>
      <c r="F300" s="62"/>
      <c r="H300" s="62" t="str">
        <f t="shared" si="2"/>
        <v/>
      </c>
    </row>
    <row r="301">
      <c r="A301" s="339"/>
      <c r="B301" s="51" t="str">
        <f t="shared" si="1"/>
        <v/>
      </c>
      <c r="D301" s="421"/>
      <c r="E301" s="51"/>
      <c r="F301" s="62"/>
      <c r="H301" s="62" t="str">
        <f t="shared" si="2"/>
        <v/>
      </c>
    </row>
    <row r="302">
      <c r="A302" s="339"/>
      <c r="B302" s="51" t="str">
        <f t="shared" si="1"/>
        <v/>
      </c>
      <c r="D302" s="421"/>
      <c r="E302" s="51"/>
      <c r="F302" s="62"/>
      <c r="H302" s="62" t="str">
        <f t="shared" si="2"/>
        <v/>
      </c>
    </row>
    <row r="303">
      <c r="A303" s="339"/>
      <c r="B303" s="51" t="str">
        <f t="shared" si="1"/>
        <v/>
      </c>
      <c r="D303" s="421"/>
      <c r="E303" s="51"/>
      <c r="F303" s="62"/>
      <c r="H303" s="62" t="str">
        <f t="shared" si="2"/>
        <v/>
      </c>
    </row>
    <row r="304">
      <c r="A304" s="339"/>
      <c r="B304" s="51" t="str">
        <f t="shared" si="1"/>
        <v/>
      </c>
      <c r="D304" s="421"/>
      <c r="E304" s="51"/>
      <c r="F304" s="62"/>
      <c r="H304" s="62" t="str">
        <f t="shared" si="2"/>
        <v/>
      </c>
    </row>
    <row r="305">
      <c r="A305" s="339"/>
      <c r="B305" s="51" t="str">
        <f t="shared" si="1"/>
        <v/>
      </c>
      <c r="D305" s="421"/>
      <c r="E305" s="51"/>
      <c r="F305" s="62"/>
      <c r="H305" s="62" t="str">
        <f t="shared" si="2"/>
        <v/>
      </c>
    </row>
    <row r="306">
      <c r="A306" s="339"/>
      <c r="B306" s="51" t="str">
        <f t="shared" si="1"/>
        <v/>
      </c>
      <c r="D306" s="421"/>
      <c r="E306" s="51"/>
      <c r="F306" s="62"/>
      <c r="H306" s="62" t="str">
        <f t="shared" si="2"/>
        <v/>
      </c>
    </row>
    <row r="307">
      <c r="A307" s="339"/>
      <c r="B307" s="51" t="str">
        <f t="shared" si="1"/>
        <v/>
      </c>
      <c r="D307" s="421"/>
      <c r="E307" s="51"/>
      <c r="F307" s="62"/>
      <c r="H307" s="62" t="str">
        <f t="shared" si="2"/>
        <v/>
      </c>
    </row>
    <row r="308">
      <c r="A308" s="339"/>
      <c r="B308" s="51" t="str">
        <f t="shared" si="1"/>
        <v/>
      </c>
      <c r="D308" s="421"/>
      <c r="E308" s="51"/>
      <c r="F308" s="62"/>
      <c r="H308" s="62" t="str">
        <f t="shared" si="2"/>
        <v/>
      </c>
    </row>
    <row r="309">
      <c r="A309" s="339"/>
      <c r="B309" s="51" t="str">
        <f t="shared" si="1"/>
        <v/>
      </c>
      <c r="D309" s="421"/>
      <c r="E309" s="51"/>
      <c r="F309" s="62"/>
      <c r="H309" s="62" t="str">
        <f t="shared" si="2"/>
        <v/>
      </c>
    </row>
    <row r="310">
      <c r="A310" s="339"/>
      <c r="B310" s="51" t="str">
        <f t="shared" si="1"/>
        <v/>
      </c>
      <c r="D310" s="421"/>
      <c r="E310" s="51"/>
      <c r="F310" s="62"/>
      <c r="H310" s="62" t="str">
        <f t="shared" si="2"/>
        <v/>
      </c>
    </row>
    <row r="311">
      <c r="A311" s="339"/>
      <c r="B311" s="51" t="str">
        <f t="shared" si="1"/>
        <v/>
      </c>
      <c r="D311" s="421"/>
      <c r="E311" s="51"/>
      <c r="F311" s="62"/>
      <c r="H311" s="62" t="str">
        <f t="shared" si="2"/>
        <v/>
      </c>
    </row>
    <row r="312">
      <c r="A312" s="339"/>
      <c r="B312" s="51" t="str">
        <f t="shared" si="1"/>
        <v/>
      </c>
      <c r="D312" s="421"/>
      <c r="E312" s="51"/>
      <c r="F312" s="62"/>
      <c r="H312" s="62" t="str">
        <f t="shared" si="2"/>
        <v/>
      </c>
    </row>
    <row r="313">
      <c r="A313" s="339"/>
      <c r="B313" s="51" t="str">
        <f t="shared" si="1"/>
        <v/>
      </c>
      <c r="D313" s="421"/>
      <c r="E313" s="51"/>
      <c r="F313" s="62"/>
      <c r="H313" s="62" t="str">
        <f t="shared" si="2"/>
        <v/>
      </c>
    </row>
    <row r="314">
      <c r="A314" s="339"/>
      <c r="B314" s="51" t="str">
        <f t="shared" si="1"/>
        <v/>
      </c>
      <c r="D314" s="421"/>
      <c r="E314" s="51"/>
      <c r="F314" s="62"/>
      <c r="H314" s="62" t="str">
        <f t="shared" si="2"/>
        <v/>
      </c>
    </row>
    <row r="315">
      <c r="A315" s="339"/>
      <c r="B315" s="51" t="str">
        <f t="shared" si="1"/>
        <v/>
      </c>
      <c r="D315" s="421"/>
      <c r="E315" s="51"/>
      <c r="F315" s="62"/>
      <c r="H315" s="62" t="str">
        <f t="shared" si="2"/>
        <v/>
      </c>
    </row>
    <row r="316">
      <c r="A316" s="339"/>
      <c r="B316" s="51" t="str">
        <f t="shared" si="1"/>
        <v/>
      </c>
      <c r="D316" s="421"/>
      <c r="E316" s="51"/>
      <c r="F316" s="62"/>
      <c r="H316" s="62" t="str">
        <f t="shared" si="2"/>
        <v/>
      </c>
    </row>
    <row r="317">
      <c r="A317" s="339"/>
      <c r="B317" s="51" t="str">
        <f t="shared" si="1"/>
        <v/>
      </c>
      <c r="D317" s="421"/>
      <c r="E317" s="51"/>
      <c r="F317" s="62"/>
      <c r="H317" s="62" t="str">
        <f t="shared" si="2"/>
        <v/>
      </c>
    </row>
    <row r="318">
      <c r="A318" s="339"/>
      <c r="B318" s="51" t="str">
        <f t="shared" si="1"/>
        <v/>
      </c>
      <c r="D318" s="421"/>
      <c r="E318" s="51"/>
      <c r="F318" s="62"/>
      <c r="H318" s="62" t="str">
        <f t="shared" si="2"/>
        <v/>
      </c>
    </row>
    <row r="319">
      <c r="A319" s="339"/>
      <c r="B319" s="51" t="str">
        <f t="shared" si="1"/>
        <v/>
      </c>
      <c r="D319" s="421"/>
      <c r="E319" s="51"/>
      <c r="F319" s="62"/>
      <c r="H319" s="62" t="str">
        <f t="shared" si="2"/>
        <v/>
      </c>
    </row>
    <row r="320">
      <c r="A320" s="339"/>
      <c r="B320" s="51" t="str">
        <f t="shared" si="1"/>
        <v/>
      </c>
      <c r="D320" s="421"/>
      <c r="E320" s="51"/>
      <c r="F320" s="62"/>
      <c r="H320" s="62" t="str">
        <f t="shared" si="2"/>
        <v/>
      </c>
    </row>
    <row r="321">
      <c r="A321" s="339"/>
      <c r="B321" s="51" t="str">
        <f t="shared" si="1"/>
        <v/>
      </c>
      <c r="D321" s="421"/>
      <c r="E321" s="51"/>
      <c r="F321" s="62"/>
      <c r="H321" s="62" t="str">
        <f t="shared" si="2"/>
        <v/>
      </c>
    </row>
    <row r="322">
      <c r="A322" s="339"/>
      <c r="B322" s="51" t="str">
        <f t="shared" si="1"/>
        <v/>
      </c>
      <c r="D322" s="421"/>
      <c r="E322" s="51"/>
      <c r="F322" s="62"/>
      <c r="H322" s="62" t="str">
        <f t="shared" si="2"/>
        <v/>
      </c>
    </row>
    <row r="323">
      <c r="A323" s="339"/>
      <c r="B323" s="51" t="str">
        <f t="shared" si="1"/>
        <v/>
      </c>
      <c r="D323" s="421"/>
      <c r="E323" s="51"/>
      <c r="F323" s="62"/>
      <c r="H323" s="62" t="str">
        <f t="shared" si="2"/>
        <v/>
      </c>
    </row>
    <row r="324">
      <c r="A324" s="339"/>
      <c r="B324" s="51" t="str">
        <f t="shared" si="1"/>
        <v/>
      </c>
      <c r="D324" s="421"/>
      <c r="E324" s="51"/>
      <c r="F324" s="62"/>
      <c r="H324" s="62" t="str">
        <f t="shared" si="2"/>
        <v/>
      </c>
    </row>
    <row r="325">
      <c r="A325" s="339"/>
      <c r="B325" s="51" t="str">
        <f t="shared" si="1"/>
        <v/>
      </c>
      <c r="D325" s="421"/>
      <c r="E325" s="51"/>
      <c r="F325" s="62"/>
      <c r="H325" s="62" t="str">
        <f t="shared" si="2"/>
        <v/>
      </c>
    </row>
    <row r="326">
      <c r="A326" s="339"/>
      <c r="B326" s="51" t="str">
        <f t="shared" si="1"/>
        <v/>
      </c>
      <c r="D326" s="421"/>
      <c r="E326" s="51"/>
      <c r="F326" s="62"/>
      <c r="H326" s="62" t="str">
        <f t="shared" si="2"/>
        <v/>
      </c>
    </row>
    <row r="327">
      <c r="A327" s="339"/>
      <c r="B327" s="51" t="str">
        <f t="shared" si="1"/>
        <v/>
      </c>
      <c r="D327" s="421"/>
      <c r="E327" s="51"/>
      <c r="F327" s="62"/>
      <c r="H327" s="62" t="str">
        <f t="shared" si="2"/>
        <v/>
      </c>
    </row>
    <row r="328">
      <c r="A328" s="339"/>
      <c r="B328" s="51" t="str">
        <f t="shared" si="1"/>
        <v/>
      </c>
      <c r="D328" s="421"/>
      <c r="E328" s="51"/>
      <c r="F328" s="62"/>
      <c r="H328" s="62" t="str">
        <f t="shared" si="2"/>
        <v/>
      </c>
    </row>
    <row r="329">
      <c r="A329" s="339"/>
      <c r="B329" s="51" t="str">
        <f t="shared" si="1"/>
        <v/>
      </c>
      <c r="D329" s="421"/>
      <c r="E329" s="51"/>
      <c r="F329" s="62"/>
      <c r="H329" s="62" t="str">
        <f t="shared" si="2"/>
        <v/>
      </c>
    </row>
    <row r="330">
      <c r="A330" s="339"/>
      <c r="B330" s="51" t="str">
        <f t="shared" si="1"/>
        <v/>
      </c>
      <c r="D330" s="421"/>
      <c r="E330" s="51"/>
      <c r="F330" s="62"/>
      <c r="H330" s="62" t="str">
        <f t="shared" si="2"/>
        <v/>
      </c>
    </row>
    <row r="331">
      <c r="A331" s="339"/>
      <c r="B331" s="51" t="str">
        <f t="shared" si="1"/>
        <v/>
      </c>
      <c r="D331" s="421"/>
      <c r="E331" s="51"/>
      <c r="F331" s="62"/>
      <c r="H331" s="62" t="str">
        <f t="shared" si="2"/>
        <v/>
      </c>
    </row>
    <row r="332">
      <c r="A332" s="339"/>
      <c r="B332" s="51" t="str">
        <f t="shared" si="1"/>
        <v/>
      </c>
      <c r="D332" s="421"/>
      <c r="E332" s="51"/>
      <c r="F332" s="62"/>
      <c r="H332" s="62" t="str">
        <f t="shared" si="2"/>
        <v/>
      </c>
    </row>
    <row r="333">
      <c r="A333" s="339"/>
      <c r="B333" s="51" t="str">
        <f t="shared" si="1"/>
        <v/>
      </c>
      <c r="D333" s="421"/>
      <c r="E333" s="51"/>
      <c r="F333" s="62"/>
      <c r="H333" s="62" t="str">
        <f t="shared" si="2"/>
        <v/>
      </c>
    </row>
    <row r="334">
      <c r="A334" s="339"/>
      <c r="B334" s="51" t="str">
        <f t="shared" si="1"/>
        <v/>
      </c>
      <c r="D334" s="421"/>
      <c r="E334" s="51"/>
      <c r="F334" s="62"/>
      <c r="H334" s="62" t="str">
        <f t="shared" si="2"/>
        <v/>
      </c>
    </row>
    <row r="335">
      <c r="A335" s="339"/>
      <c r="B335" s="51" t="str">
        <f t="shared" si="1"/>
        <v/>
      </c>
      <c r="D335" s="421"/>
      <c r="E335" s="51"/>
      <c r="F335" s="62"/>
      <c r="H335" s="62" t="str">
        <f t="shared" si="2"/>
        <v/>
      </c>
    </row>
    <row r="336">
      <c r="A336" s="339"/>
      <c r="B336" s="51" t="str">
        <f t="shared" si="1"/>
        <v/>
      </c>
      <c r="D336" s="421"/>
      <c r="E336" s="51"/>
      <c r="F336" s="62"/>
      <c r="H336" s="62" t="str">
        <f t="shared" si="2"/>
        <v/>
      </c>
    </row>
    <row r="337">
      <c r="A337" s="339"/>
      <c r="B337" s="51" t="str">
        <f t="shared" si="1"/>
        <v/>
      </c>
      <c r="D337" s="421"/>
      <c r="E337" s="51"/>
      <c r="F337" s="62"/>
      <c r="H337" s="62" t="str">
        <f t="shared" si="2"/>
        <v/>
      </c>
    </row>
    <row r="338">
      <c r="A338" s="339"/>
      <c r="B338" s="51" t="str">
        <f t="shared" si="1"/>
        <v/>
      </c>
      <c r="D338" s="421"/>
      <c r="E338" s="51"/>
      <c r="F338" s="62"/>
      <c r="H338" s="62" t="str">
        <f t="shared" si="2"/>
        <v/>
      </c>
    </row>
    <row r="339">
      <c r="A339" s="339"/>
      <c r="B339" s="51" t="str">
        <f t="shared" si="1"/>
        <v/>
      </c>
      <c r="D339" s="421"/>
      <c r="E339" s="51"/>
      <c r="F339" s="62"/>
      <c r="H339" s="62" t="str">
        <f t="shared" si="2"/>
        <v/>
      </c>
    </row>
    <row r="340">
      <c r="A340" s="339"/>
      <c r="B340" s="51" t="str">
        <f t="shared" si="1"/>
        <v/>
      </c>
      <c r="D340" s="421"/>
      <c r="E340" s="51"/>
      <c r="F340" s="62"/>
      <c r="H340" s="62" t="str">
        <f t="shared" si="2"/>
        <v/>
      </c>
    </row>
    <row r="341">
      <c r="A341" s="339"/>
      <c r="B341" s="51" t="str">
        <f t="shared" si="1"/>
        <v/>
      </c>
      <c r="D341" s="421"/>
      <c r="E341" s="51"/>
      <c r="F341" s="62"/>
      <c r="H341" s="62" t="str">
        <f t="shared" si="2"/>
        <v/>
      </c>
    </row>
    <row r="342">
      <c r="A342" s="339"/>
      <c r="B342" s="51" t="str">
        <f t="shared" si="1"/>
        <v/>
      </c>
      <c r="D342" s="421"/>
      <c r="E342" s="51"/>
      <c r="F342" s="62"/>
      <c r="H342" s="62" t="str">
        <f t="shared" si="2"/>
        <v/>
      </c>
    </row>
    <row r="343">
      <c r="A343" s="339"/>
      <c r="B343" s="51" t="str">
        <f t="shared" si="1"/>
        <v/>
      </c>
      <c r="D343" s="421"/>
      <c r="E343" s="51"/>
      <c r="F343" s="62"/>
      <c r="H343" s="62" t="str">
        <f t="shared" si="2"/>
        <v/>
      </c>
    </row>
    <row r="344">
      <c r="A344" s="339"/>
      <c r="B344" s="51" t="str">
        <f t="shared" si="1"/>
        <v/>
      </c>
      <c r="D344" s="421"/>
      <c r="E344" s="51"/>
      <c r="F344" s="62"/>
      <c r="H344" s="62" t="str">
        <f t="shared" si="2"/>
        <v/>
      </c>
    </row>
    <row r="345">
      <c r="A345" s="339"/>
      <c r="B345" s="51" t="str">
        <f t="shared" si="1"/>
        <v/>
      </c>
      <c r="D345" s="421"/>
      <c r="E345" s="51"/>
      <c r="F345" s="62"/>
      <c r="H345" s="62" t="str">
        <f t="shared" si="2"/>
        <v/>
      </c>
    </row>
    <row r="346">
      <c r="A346" s="339"/>
      <c r="B346" s="51" t="str">
        <f t="shared" si="1"/>
        <v/>
      </c>
      <c r="D346" s="421"/>
      <c r="E346" s="51"/>
      <c r="F346" s="62"/>
      <c r="H346" s="62" t="str">
        <f t="shared" si="2"/>
        <v/>
      </c>
    </row>
    <row r="347">
      <c r="A347" s="339"/>
      <c r="B347" s="51" t="str">
        <f t="shared" si="1"/>
        <v/>
      </c>
      <c r="D347" s="421"/>
      <c r="E347" s="51"/>
      <c r="F347" s="62"/>
      <c r="H347" s="62" t="str">
        <f t="shared" si="2"/>
        <v/>
      </c>
    </row>
    <row r="348">
      <c r="A348" s="339"/>
      <c r="B348" s="51" t="str">
        <f t="shared" si="1"/>
        <v/>
      </c>
      <c r="D348" s="421"/>
      <c r="E348" s="51"/>
      <c r="F348" s="62"/>
      <c r="H348" s="62" t="str">
        <f t="shared" si="2"/>
        <v/>
      </c>
    </row>
    <row r="349">
      <c r="A349" s="339"/>
      <c r="B349" s="51" t="str">
        <f t="shared" si="1"/>
        <v/>
      </c>
      <c r="D349" s="421"/>
      <c r="E349" s="51"/>
      <c r="F349" s="62"/>
      <c r="H349" s="62" t="str">
        <f t="shared" si="2"/>
        <v/>
      </c>
    </row>
    <row r="350">
      <c r="A350" s="339"/>
      <c r="B350" s="51" t="str">
        <f t="shared" si="1"/>
        <v/>
      </c>
      <c r="D350" s="421"/>
      <c r="E350" s="51"/>
      <c r="F350" s="62"/>
      <c r="H350" s="62" t="str">
        <f t="shared" si="2"/>
        <v/>
      </c>
    </row>
    <row r="351">
      <c r="A351" s="339"/>
      <c r="B351" s="51" t="str">
        <f t="shared" si="1"/>
        <v/>
      </c>
      <c r="D351" s="421"/>
      <c r="E351" s="51"/>
      <c r="F351" s="62"/>
      <c r="H351" s="62" t="str">
        <f t="shared" si="2"/>
        <v/>
      </c>
    </row>
    <row r="352">
      <c r="A352" s="339"/>
      <c r="B352" s="51" t="str">
        <f t="shared" si="1"/>
        <v/>
      </c>
      <c r="D352" s="421"/>
      <c r="E352" s="51"/>
      <c r="F352" s="62"/>
      <c r="H352" s="62" t="str">
        <f t="shared" si="2"/>
        <v/>
      </c>
    </row>
    <row r="353">
      <c r="A353" s="339"/>
      <c r="B353" s="51" t="str">
        <f t="shared" si="1"/>
        <v/>
      </c>
      <c r="D353" s="421"/>
      <c r="E353" s="51"/>
      <c r="F353" s="62"/>
      <c r="H353" s="62" t="str">
        <f t="shared" si="2"/>
        <v/>
      </c>
    </row>
    <row r="354">
      <c r="A354" s="339"/>
      <c r="B354" s="51" t="str">
        <f t="shared" si="1"/>
        <v/>
      </c>
      <c r="D354" s="421"/>
      <c r="E354" s="51"/>
      <c r="F354" s="62"/>
      <c r="H354" s="62" t="str">
        <f t="shared" si="2"/>
        <v/>
      </c>
    </row>
    <row r="355">
      <c r="A355" s="339"/>
      <c r="B355" s="51" t="str">
        <f t="shared" si="1"/>
        <v/>
      </c>
      <c r="D355" s="421"/>
      <c r="E355" s="51"/>
      <c r="F355" s="62"/>
      <c r="H355" s="62" t="str">
        <f t="shared" si="2"/>
        <v/>
      </c>
    </row>
    <row r="356">
      <c r="A356" s="339"/>
      <c r="B356" s="51" t="str">
        <f t="shared" si="1"/>
        <v/>
      </c>
      <c r="D356" s="421"/>
      <c r="E356" s="51"/>
      <c r="F356" s="62"/>
      <c r="H356" s="62" t="str">
        <f t="shared" si="2"/>
        <v/>
      </c>
    </row>
    <row r="357">
      <c r="A357" s="339"/>
      <c r="B357" s="51" t="str">
        <f t="shared" si="1"/>
        <v/>
      </c>
      <c r="D357" s="421"/>
      <c r="E357" s="51"/>
      <c r="F357" s="62"/>
      <c r="H357" s="62" t="str">
        <f t="shared" si="2"/>
        <v/>
      </c>
    </row>
    <row r="358">
      <c r="A358" s="339"/>
      <c r="B358" s="51" t="str">
        <f t="shared" si="1"/>
        <v/>
      </c>
      <c r="D358" s="421"/>
      <c r="E358" s="51"/>
      <c r="F358" s="62"/>
      <c r="H358" s="62" t="str">
        <f t="shared" si="2"/>
        <v/>
      </c>
    </row>
    <row r="359">
      <c r="A359" s="339"/>
      <c r="B359" s="51" t="str">
        <f t="shared" si="1"/>
        <v/>
      </c>
      <c r="D359" s="421"/>
      <c r="E359" s="51"/>
      <c r="F359" s="62"/>
      <c r="H359" s="62" t="str">
        <f t="shared" si="2"/>
        <v/>
      </c>
    </row>
    <row r="360">
      <c r="A360" s="339"/>
      <c r="B360" s="51" t="str">
        <f t="shared" si="1"/>
        <v/>
      </c>
      <c r="D360" s="421"/>
      <c r="E360" s="51"/>
      <c r="F360" s="62"/>
      <c r="H360" s="62" t="str">
        <f t="shared" si="2"/>
        <v/>
      </c>
    </row>
    <row r="361">
      <c r="A361" s="339"/>
      <c r="B361" s="51" t="str">
        <f t="shared" si="1"/>
        <v/>
      </c>
      <c r="D361" s="421"/>
      <c r="E361" s="51"/>
      <c r="F361" s="62"/>
      <c r="H361" s="62" t="str">
        <f t="shared" si="2"/>
        <v/>
      </c>
    </row>
    <row r="362">
      <c r="A362" s="339"/>
      <c r="B362" s="51" t="str">
        <f t="shared" si="1"/>
        <v/>
      </c>
      <c r="D362" s="421"/>
      <c r="E362" s="51"/>
      <c r="F362" s="62"/>
      <c r="H362" s="62" t="str">
        <f t="shared" si="2"/>
        <v/>
      </c>
    </row>
    <row r="363">
      <c r="A363" s="339"/>
      <c r="B363" s="51" t="str">
        <f t="shared" si="1"/>
        <v/>
      </c>
      <c r="D363" s="421"/>
      <c r="E363" s="51"/>
      <c r="F363" s="62"/>
      <c r="H363" s="62" t="str">
        <f t="shared" si="2"/>
        <v/>
      </c>
    </row>
    <row r="364">
      <c r="A364" s="339"/>
      <c r="B364" s="51" t="str">
        <f t="shared" si="1"/>
        <v/>
      </c>
      <c r="D364" s="421"/>
      <c r="E364" s="51"/>
      <c r="F364" s="62"/>
      <c r="H364" s="62" t="str">
        <f t="shared" si="2"/>
        <v/>
      </c>
    </row>
    <row r="365">
      <c r="A365" s="339"/>
      <c r="B365" s="51" t="str">
        <f t="shared" si="1"/>
        <v/>
      </c>
      <c r="D365" s="421"/>
      <c r="E365" s="51"/>
      <c r="F365" s="62"/>
      <c r="H365" s="62" t="str">
        <f t="shared" si="2"/>
        <v/>
      </c>
    </row>
    <row r="366">
      <c r="A366" s="339"/>
      <c r="B366" s="51" t="str">
        <f t="shared" si="1"/>
        <v/>
      </c>
      <c r="D366" s="421"/>
      <c r="E366" s="51"/>
      <c r="F366" s="62"/>
      <c r="H366" s="62" t="str">
        <f t="shared" si="2"/>
        <v/>
      </c>
    </row>
    <row r="367">
      <c r="A367" s="339"/>
      <c r="B367" s="51" t="str">
        <f t="shared" si="1"/>
        <v/>
      </c>
      <c r="D367" s="421"/>
      <c r="E367" s="51"/>
      <c r="F367" s="62"/>
      <c r="H367" s="62" t="str">
        <f t="shared" si="2"/>
        <v/>
      </c>
    </row>
    <row r="368">
      <c r="A368" s="339"/>
      <c r="B368" s="51" t="str">
        <f t="shared" si="1"/>
        <v/>
      </c>
      <c r="D368" s="421"/>
      <c r="E368" s="51"/>
      <c r="F368" s="62"/>
      <c r="H368" s="62" t="str">
        <f t="shared" si="2"/>
        <v/>
      </c>
    </row>
    <row r="369">
      <c r="A369" s="339"/>
      <c r="B369" s="51" t="str">
        <f t="shared" si="1"/>
        <v/>
      </c>
      <c r="D369" s="421"/>
      <c r="E369" s="51"/>
      <c r="F369" s="62"/>
      <c r="H369" s="62" t="str">
        <f t="shared" si="2"/>
        <v/>
      </c>
    </row>
    <row r="370">
      <c r="A370" s="339"/>
      <c r="B370" s="51" t="str">
        <f t="shared" si="1"/>
        <v/>
      </c>
      <c r="D370" s="421"/>
      <c r="E370" s="51"/>
      <c r="F370" s="62"/>
      <c r="H370" s="62" t="str">
        <f t="shared" si="2"/>
        <v/>
      </c>
    </row>
    <row r="371">
      <c r="A371" s="339"/>
      <c r="B371" s="51" t="str">
        <f t="shared" si="1"/>
        <v/>
      </c>
      <c r="D371" s="421"/>
      <c r="E371" s="51"/>
      <c r="F371" s="62"/>
      <c r="H371" s="62" t="str">
        <f t="shared" si="2"/>
        <v/>
      </c>
    </row>
    <row r="372">
      <c r="A372" s="339"/>
      <c r="B372" s="51" t="str">
        <f t="shared" si="1"/>
        <v/>
      </c>
      <c r="D372" s="421"/>
      <c r="E372" s="51"/>
      <c r="F372" s="62"/>
      <c r="H372" s="62" t="str">
        <f t="shared" si="2"/>
        <v/>
      </c>
    </row>
    <row r="373">
      <c r="A373" s="339"/>
      <c r="B373" s="51" t="str">
        <f t="shared" si="1"/>
        <v/>
      </c>
      <c r="D373" s="421"/>
      <c r="E373" s="51"/>
      <c r="F373" s="62"/>
      <c r="H373" s="62" t="str">
        <f t="shared" si="2"/>
        <v/>
      </c>
    </row>
    <row r="374">
      <c r="A374" s="339"/>
      <c r="B374" s="51" t="str">
        <f t="shared" si="1"/>
        <v/>
      </c>
      <c r="D374" s="421"/>
      <c r="E374" s="51"/>
      <c r="F374" s="62"/>
      <c r="H374" s="62" t="str">
        <f t="shared" si="2"/>
        <v/>
      </c>
    </row>
    <row r="375">
      <c r="A375" s="339"/>
      <c r="B375" s="51" t="str">
        <f t="shared" si="1"/>
        <v/>
      </c>
      <c r="D375" s="421"/>
      <c r="E375" s="51"/>
      <c r="F375" s="62"/>
      <c r="H375" s="62" t="str">
        <f t="shared" si="2"/>
        <v/>
      </c>
    </row>
    <row r="376">
      <c r="A376" s="339"/>
      <c r="B376" s="51" t="str">
        <f t="shared" si="1"/>
        <v/>
      </c>
      <c r="D376" s="421"/>
      <c r="E376" s="51"/>
      <c r="F376" s="62"/>
      <c r="H376" s="62" t="str">
        <f t="shared" si="2"/>
        <v/>
      </c>
    </row>
    <row r="377">
      <c r="A377" s="339"/>
      <c r="B377" s="51" t="str">
        <f t="shared" si="1"/>
        <v/>
      </c>
      <c r="D377" s="421"/>
      <c r="E377" s="51"/>
      <c r="F377" s="62"/>
      <c r="H377" s="62" t="str">
        <f t="shared" si="2"/>
        <v/>
      </c>
    </row>
    <row r="378">
      <c r="A378" s="339"/>
      <c r="B378" s="51" t="str">
        <f t="shared" si="1"/>
        <v/>
      </c>
      <c r="D378" s="421"/>
      <c r="E378" s="51"/>
      <c r="F378" s="62"/>
      <c r="H378" s="62" t="str">
        <f t="shared" si="2"/>
        <v/>
      </c>
    </row>
    <row r="379">
      <c r="A379" s="339"/>
      <c r="B379" s="51" t="str">
        <f t="shared" si="1"/>
        <v/>
      </c>
      <c r="D379" s="421"/>
      <c r="E379" s="51"/>
      <c r="F379" s="62"/>
      <c r="H379" s="62" t="str">
        <f t="shared" si="2"/>
        <v/>
      </c>
    </row>
    <row r="380">
      <c r="A380" s="339"/>
      <c r="B380" s="51" t="str">
        <f t="shared" si="1"/>
        <v/>
      </c>
      <c r="D380" s="421"/>
      <c r="E380" s="51"/>
      <c r="F380" s="62"/>
      <c r="H380" s="62" t="str">
        <f t="shared" si="2"/>
        <v/>
      </c>
    </row>
    <row r="381">
      <c r="A381" s="339"/>
      <c r="B381" s="51" t="str">
        <f t="shared" si="1"/>
        <v/>
      </c>
      <c r="D381" s="421"/>
      <c r="E381" s="51"/>
      <c r="F381" s="62"/>
      <c r="H381" s="62" t="str">
        <f t="shared" si="2"/>
        <v/>
      </c>
    </row>
    <row r="382">
      <c r="A382" s="339"/>
      <c r="B382" s="51" t="str">
        <f t="shared" si="1"/>
        <v/>
      </c>
      <c r="D382" s="421"/>
      <c r="E382" s="51"/>
      <c r="F382" s="62"/>
      <c r="H382" s="62" t="str">
        <f t="shared" si="2"/>
        <v/>
      </c>
    </row>
    <row r="383">
      <c r="A383" s="339"/>
      <c r="B383" s="51" t="str">
        <f t="shared" si="1"/>
        <v/>
      </c>
      <c r="D383" s="421"/>
      <c r="E383" s="51"/>
      <c r="F383" s="62"/>
      <c r="H383" s="62" t="str">
        <f t="shared" si="2"/>
        <v/>
      </c>
    </row>
    <row r="384">
      <c r="A384" s="339"/>
      <c r="B384" s="51" t="str">
        <f t="shared" si="1"/>
        <v/>
      </c>
      <c r="D384" s="421"/>
      <c r="E384" s="51"/>
      <c r="F384" s="62"/>
      <c r="H384" s="62" t="str">
        <f t="shared" si="2"/>
        <v/>
      </c>
    </row>
    <row r="385">
      <c r="A385" s="339"/>
      <c r="B385" s="51" t="str">
        <f t="shared" si="1"/>
        <v/>
      </c>
      <c r="D385" s="421"/>
      <c r="E385" s="51"/>
      <c r="F385" s="62"/>
      <c r="H385" s="62" t="str">
        <f t="shared" si="2"/>
        <v/>
      </c>
    </row>
    <row r="386">
      <c r="A386" s="339"/>
      <c r="B386" s="51" t="str">
        <f t="shared" si="1"/>
        <v/>
      </c>
      <c r="D386" s="421"/>
      <c r="E386" s="51"/>
      <c r="F386" s="62"/>
      <c r="H386" s="62" t="str">
        <f t="shared" si="2"/>
        <v/>
      </c>
    </row>
    <row r="387">
      <c r="A387" s="339"/>
      <c r="B387" s="51" t="str">
        <f t="shared" si="1"/>
        <v/>
      </c>
      <c r="D387" s="421"/>
      <c r="E387" s="51"/>
      <c r="F387" s="62"/>
      <c r="H387" s="62" t="str">
        <f t="shared" si="2"/>
        <v/>
      </c>
    </row>
    <row r="388">
      <c r="A388" s="339"/>
      <c r="B388" s="51" t="str">
        <f t="shared" si="1"/>
        <v/>
      </c>
      <c r="D388" s="421"/>
      <c r="E388" s="51"/>
      <c r="F388" s="62"/>
      <c r="H388" s="62" t="str">
        <f t="shared" si="2"/>
        <v/>
      </c>
    </row>
    <row r="389">
      <c r="A389" s="339"/>
      <c r="B389" s="51" t="str">
        <f t="shared" si="1"/>
        <v/>
      </c>
      <c r="D389" s="421"/>
      <c r="E389" s="51"/>
      <c r="F389" s="62"/>
      <c r="H389" s="62" t="str">
        <f t="shared" si="2"/>
        <v/>
      </c>
    </row>
    <row r="390">
      <c r="A390" s="339"/>
      <c r="B390" s="51" t="str">
        <f t="shared" si="1"/>
        <v/>
      </c>
      <c r="D390" s="421"/>
      <c r="E390" s="51"/>
      <c r="F390" s="62"/>
      <c r="H390" s="62" t="str">
        <f t="shared" si="2"/>
        <v/>
      </c>
    </row>
    <row r="391">
      <c r="A391" s="339"/>
      <c r="B391" s="51" t="str">
        <f t="shared" si="1"/>
        <v/>
      </c>
      <c r="D391" s="421"/>
      <c r="E391" s="51"/>
      <c r="F391" s="62"/>
      <c r="H391" s="62" t="str">
        <f t="shared" si="2"/>
        <v/>
      </c>
    </row>
    <row r="392">
      <c r="A392" s="339"/>
      <c r="B392" s="51" t="str">
        <f t="shared" si="1"/>
        <v/>
      </c>
      <c r="D392" s="421"/>
      <c r="E392" s="51"/>
      <c r="F392" s="62"/>
      <c r="H392" s="62" t="str">
        <f t="shared" si="2"/>
        <v/>
      </c>
    </row>
    <row r="393">
      <c r="A393" s="339"/>
      <c r="B393" s="51" t="str">
        <f t="shared" si="1"/>
        <v/>
      </c>
      <c r="D393" s="421"/>
      <c r="E393" s="51"/>
      <c r="F393" s="62"/>
      <c r="H393" s="62" t="str">
        <f t="shared" si="2"/>
        <v/>
      </c>
    </row>
    <row r="394">
      <c r="A394" s="339"/>
      <c r="B394" s="51" t="str">
        <f t="shared" si="1"/>
        <v/>
      </c>
      <c r="D394" s="421"/>
      <c r="E394" s="51"/>
      <c r="F394" s="62"/>
      <c r="H394" s="62" t="str">
        <f t="shared" si="2"/>
        <v/>
      </c>
    </row>
    <row r="395">
      <c r="A395" s="339"/>
      <c r="B395" s="51" t="str">
        <f t="shared" si="1"/>
        <v/>
      </c>
      <c r="D395" s="421"/>
      <c r="E395" s="51"/>
      <c r="F395" s="62"/>
      <c r="H395" s="62" t="str">
        <f t="shared" si="2"/>
        <v/>
      </c>
    </row>
    <row r="396">
      <c r="A396" s="339"/>
      <c r="B396" s="51" t="str">
        <f t="shared" si="1"/>
        <v/>
      </c>
      <c r="D396" s="421"/>
      <c r="E396" s="51"/>
      <c r="F396" s="62"/>
      <c r="H396" s="62" t="str">
        <f t="shared" si="2"/>
        <v/>
      </c>
    </row>
    <row r="397">
      <c r="A397" s="339"/>
      <c r="B397" s="51" t="str">
        <f t="shared" si="1"/>
        <v/>
      </c>
      <c r="D397" s="421"/>
      <c r="E397" s="51"/>
      <c r="F397" s="62"/>
      <c r="H397" s="62" t="str">
        <f t="shared" si="2"/>
        <v/>
      </c>
    </row>
    <row r="398">
      <c r="A398" s="339"/>
      <c r="B398" s="51" t="str">
        <f t="shared" si="1"/>
        <v/>
      </c>
      <c r="D398" s="421"/>
      <c r="E398" s="51"/>
      <c r="F398" s="62"/>
      <c r="H398" s="62" t="str">
        <f t="shared" si="2"/>
        <v/>
      </c>
    </row>
    <row r="399">
      <c r="A399" s="339"/>
      <c r="B399" s="51" t="str">
        <f t="shared" si="1"/>
        <v/>
      </c>
      <c r="D399" s="421"/>
      <c r="E399" s="51"/>
      <c r="F399" s="62"/>
      <c r="H399" s="62" t="str">
        <f t="shared" si="2"/>
        <v/>
      </c>
    </row>
    <row r="400">
      <c r="A400" s="339"/>
      <c r="B400" s="51" t="str">
        <f t="shared" si="1"/>
        <v/>
      </c>
      <c r="D400" s="421"/>
      <c r="E400" s="51"/>
      <c r="F400" s="62"/>
      <c r="H400" s="62" t="str">
        <f t="shared" si="2"/>
        <v/>
      </c>
    </row>
    <row r="401">
      <c r="A401" s="339"/>
      <c r="B401" s="51" t="str">
        <f t="shared" si="1"/>
        <v/>
      </c>
      <c r="D401" s="421"/>
      <c r="E401" s="51"/>
      <c r="F401" s="62"/>
      <c r="H401" s="62" t="str">
        <f t="shared" si="2"/>
        <v/>
      </c>
    </row>
    <row r="402">
      <c r="A402" s="339"/>
      <c r="B402" s="51" t="str">
        <f t="shared" si="1"/>
        <v/>
      </c>
      <c r="D402" s="421"/>
      <c r="E402" s="51"/>
      <c r="F402" s="62"/>
      <c r="H402" s="62" t="str">
        <f t="shared" si="2"/>
        <v/>
      </c>
    </row>
    <row r="403">
      <c r="A403" s="339"/>
      <c r="B403" s="51" t="str">
        <f t="shared" si="1"/>
        <v/>
      </c>
      <c r="D403" s="421"/>
      <c r="E403" s="51"/>
      <c r="F403" s="62"/>
      <c r="H403" s="62" t="str">
        <f t="shared" si="2"/>
        <v/>
      </c>
    </row>
    <row r="404">
      <c r="A404" s="339"/>
      <c r="B404" s="51" t="str">
        <f t="shared" si="1"/>
        <v/>
      </c>
      <c r="D404" s="421"/>
      <c r="E404" s="51"/>
      <c r="F404" s="62"/>
      <c r="H404" s="62" t="str">
        <f t="shared" si="2"/>
        <v/>
      </c>
    </row>
    <row r="405">
      <c r="A405" s="339"/>
      <c r="B405" s="51" t="str">
        <f t="shared" si="1"/>
        <v/>
      </c>
      <c r="D405" s="421"/>
      <c r="E405" s="51"/>
      <c r="F405" s="62"/>
      <c r="H405" s="62" t="str">
        <f t="shared" si="2"/>
        <v/>
      </c>
    </row>
    <row r="406">
      <c r="A406" s="339"/>
      <c r="B406" s="51" t="str">
        <f t="shared" si="1"/>
        <v/>
      </c>
      <c r="D406" s="421"/>
      <c r="E406" s="51"/>
      <c r="F406" s="62"/>
      <c r="H406" s="62" t="str">
        <f t="shared" si="2"/>
        <v/>
      </c>
    </row>
    <row r="407">
      <c r="A407" s="339"/>
      <c r="B407" s="51" t="str">
        <f t="shared" si="1"/>
        <v/>
      </c>
      <c r="D407" s="421"/>
      <c r="E407" s="51"/>
      <c r="F407" s="62"/>
      <c r="H407" s="62" t="str">
        <f t="shared" si="2"/>
        <v/>
      </c>
    </row>
    <row r="408">
      <c r="A408" s="339"/>
      <c r="B408" s="51" t="str">
        <f t="shared" si="1"/>
        <v/>
      </c>
      <c r="D408" s="421"/>
      <c r="E408" s="51"/>
      <c r="F408" s="62"/>
      <c r="H408" s="62" t="str">
        <f t="shared" si="2"/>
        <v/>
      </c>
    </row>
    <row r="409">
      <c r="A409" s="339"/>
      <c r="B409" s="51" t="str">
        <f t="shared" si="1"/>
        <v/>
      </c>
      <c r="D409" s="421"/>
      <c r="E409" s="51"/>
      <c r="F409" s="62"/>
      <c r="H409" s="62" t="str">
        <f t="shared" si="2"/>
        <v/>
      </c>
    </row>
    <row r="410">
      <c r="A410" s="339"/>
      <c r="B410" s="51" t="str">
        <f t="shared" si="1"/>
        <v/>
      </c>
      <c r="D410" s="421"/>
      <c r="E410" s="51"/>
      <c r="F410" s="62"/>
      <c r="H410" s="62" t="str">
        <f t="shared" si="2"/>
        <v/>
      </c>
    </row>
    <row r="411">
      <c r="A411" s="339"/>
      <c r="B411" s="51" t="str">
        <f t="shared" si="1"/>
        <v/>
      </c>
      <c r="D411" s="421"/>
      <c r="E411" s="51"/>
      <c r="F411" s="62"/>
      <c r="H411" s="62" t="str">
        <f t="shared" si="2"/>
        <v/>
      </c>
    </row>
    <row r="412">
      <c r="A412" s="339"/>
      <c r="B412" s="51" t="str">
        <f t="shared" si="1"/>
        <v/>
      </c>
      <c r="D412" s="421"/>
      <c r="E412" s="51"/>
      <c r="F412" s="62"/>
      <c r="H412" s="62" t="str">
        <f t="shared" si="2"/>
        <v/>
      </c>
    </row>
    <row r="413">
      <c r="A413" s="339"/>
      <c r="B413" s="51" t="str">
        <f t="shared" si="1"/>
        <v/>
      </c>
      <c r="D413" s="421"/>
      <c r="E413" s="51"/>
      <c r="F413" s="62"/>
      <c r="H413" s="62" t="str">
        <f t="shared" si="2"/>
        <v/>
      </c>
    </row>
    <row r="414">
      <c r="A414" s="339"/>
      <c r="B414" s="51" t="str">
        <f t="shared" si="1"/>
        <v/>
      </c>
      <c r="D414" s="421"/>
      <c r="E414" s="51"/>
      <c r="F414" s="62"/>
      <c r="H414" s="62" t="str">
        <f t="shared" si="2"/>
        <v/>
      </c>
    </row>
    <row r="415">
      <c r="A415" s="339"/>
      <c r="B415" s="51" t="str">
        <f t="shared" si="1"/>
        <v/>
      </c>
      <c r="D415" s="421"/>
      <c r="E415" s="51"/>
      <c r="F415" s="62"/>
      <c r="H415" s="62" t="str">
        <f t="shared" si="2"/>
        <v/>
      </c>
    </row>
    <row r="416">
      <c r="A416" s="339"/>
      <c r="B416" s="51" t="str">
        <f t="shared" si="1"/>
        <v/>
      </c>
      <c r="D416" s="421"/>
      <c r="E416" s="51"/>
      <c r="F416" s="62"/>
      <c r="H416" s="62" t="str">
        <f t="shared" si="2"/>
        <v/>
      </c>
    </row>
    <row r="417">
      <c r="A417" s="339"/>
      <c r="B417" s="51" t="str">
        <f t="shared" si="1"/>
        <v/>
      </c>
      <c r="D417" s="421"/>
      <c r="E417" s="51"/>
      <c r="F417" s="62"/>
      <c r="H417" s="62" t="str">
        <f t="shared" si="2"/>
        <v/>
      </c>
    </row>
    <row r="418">
      <c r="A418" s="339"/>
      <c r="B418" s="51" t="str">
        <f t="shared" si="1"/>
        <v/>
      </c>
      <c r="D418" s="421"/>
      <c r="E418" s="51"/>
      <c r="F418" s="62"/>
      <c r="H418" s="62" t="str">
        <f t="shared" si="2"/>
        <v/>
      </c>
    </row>
    <row r="419">
      <c r="A419" s="339"/>
      <c r="B419" s="51" t="str">
        <f t="shared" si="1"/>
        <v/>
      </c>
      <c r="D419" s="421"/>
      <c r="E419" s="51"/>
      <c r="F419" s="62"/>
      <c r="H419" s="62" t="str">
        <f t="shared" si="2"/>
        <v/>
      </c>
    </row>
    <row r="420">
      <c r="A420" s="339"/>
      <c r="B420" s="51" t="str">
        <f t="shared" si="1"/>
        <v/>
      </c>
      <c r="D420" s="421"/>
      <c r="E420" s="51"/>
      <c r="F420" s="62"/>
      <c r="H420" s="62" t="str">
        <f t="shared" si="2"/>
        <v/>
      </c>
    </row>
    <row r="421">
      <c r="A421" s="339"/>
      <c r="B421" s="51" t="str">
        <f t="shared" si="1"/>
        <v/>
      </c>
      <c r="D421" s="421"/>
      <c r="E421" s="51"/>
      <c r="F421" s="62"/>
      <c r="H421" s="62" t="str">
        <f t="shared" si="2"/>
        <v/>
      </c>
    </row>
    <row r="422">
      <c r="A422" s="339"/>
      <c r="B422" s="51" t="str">
        <f t="shared" si="1"/>
        <v/>
      </c>
      <c r="D422" s="421"/>
      <c r="E422" s="51"/>
      <c r="F422" s="62"/>
      <c r="H422" s="62" t="str">
        <f t="shared" si="2"/>
        <v/>
      </c>
    </row>
    <row r="423">
      <c r="A423" s="339"/>
      <c r="B423" s="51" t="str">
        <f t="shared" si="1"/>
        <v/>
      </c>
      <c r="D423" s="421"/>
      <c r="E423" s="51"/>
      <c r="F423" s="62"/>
      <c r="H423" s="62" t="str">
        <f t="shared" si="2"/>
        <v/>
      </c>
    </row>
    <row r="424">
      <c r="A424" s="339"/>
      <c r="B424" s="51" t="str">
        <f t="shared" si="1"/>
        <v/>
      </c>
      <c r="D424" s="421"/>
      <c r="E424" s="51"/>
      <c r="F424" s="62"/>
      <c r="H424" s="62" t="str">
        <f t="shared" si="2"/>
        <v/>
      </c>
    </row>
    <row r="425">
      <c r="A425" s="339"/>
      <c r="B425" s="51" t="str">
        <f t="shared" si="1"/>
        <v/>
      </c>
      <c r="D425" s="421"/>
      <c r="E425" s="51"/>
      <c r="F425" s="62"/>
      <c r="H425" s="62" t="str">
        <f t="shared" si="2"/>
        <v/>
      </c>
    </row>
    <row r="426">
      <c r="A426" s="339"/>
      <c r="B426" s="51" t="str">
        <f t="shared" si="1"/>
        <v/>
      </c>
      <c r="D426" s="421"/>
      <c r="E426" s="51"/>
      <c r="F426" s="62"/>
      <c r="H426" s="62" t="str">
        <f t="shared" si="2"/>
        <v/>
      </c>
    </row>
    <row r="427">
      <c r="A427" s="339"/>
      <c r="B427" s="51" t="str">
        <f t="shared" si="1"/>
        <v/>
      </c>
      <c r="D427" s="421"/>
      <c r="E427" s="51"/>
      <c r="F427" s="62"/>
      <c r="H427" s="62" t="str">
        <f t="shared" si="2"/>
        <v/>
      </c>
    </row>
    <row r="428">
      <c r="A428" s="339"/>
      <c r="B428" s="51" t="str">
        <f t="shared" si="1"/>
        <v/>
      </c>
      <c r="D428" s="421"/>
      <c r="E428" s="51"/>
      <c r="F428" s="62"/>
      <c r="H428" s="62" t="str">
        <f t="shared" si="2"/>
        <v/>
      </c>
    </row>
    <row r="429">
      <c r="A429" s="339"/>
      <c r="B429" s="51" t="str">
        <f t="shared" si="1"/>
        <v/>
      </c>
      <c r="D429" s="421"/>
      <c r="E429" s="51"/>
      <c r="F429" s="62"/>
      <c r="H429" s="62" t="str">
        <f t="shared" si="2"/>
        <v/>
      </c>
    </row>
    <row r="430">
      <c r="A430" s="339"/>
      <c r="B430" s="51" t="str">
        <f t="shared" si="1"/>
        <v/>
      </c>
      <c r="D430" s="421"/>
      <c r="E430" s="51"/>
      <c r="F430" s="62"/>
      <c r="H430" s="62" t="str">
        <f t="shared" si="2"/>
        <v/>
      </c>
    </row>
    <row r="431">
      <c r="A431" s="339"/>
      <c r="B431" s="51" t="str">
        <f t="shared" si="1"/>
        <v/>
      </c>
      <c r="D431" s="421"/>
      <c r="E431" s="51"/>
      <c r="F431" s="62"/>
      <c r="H431" s="62" t="str">
        <f t="shared" si="2"/>
        <v/>
      </c>
    </row>
    <row r="432">
      <c r="A432" s="339"/>
      <c r="B432" s="51" t="str">
        <f t="shared" si="1"/>
        <v/>
      </c>
      <c r="D432" s="421"/>
      <c r="E432" s="51"/>
      <c r="F432" s="62"/>
      <c r="H432" s="62" t="str">
        <f t="shared" si="2"/>
        <v/>
      </c>
    </row>
    <row r="433">
      <c r="A433" s="339"/>
      <c r="B433" s="51" t="str">
        <f t="shared" si="1"/>
        <v/>
      </c>
      <c r="D433" s="421"/>
      <c r="E433" s="51"/>
      <c r="F433" s="62"/>
      <c r="H433" s="62" t="str">
        <f t="shared" si="2"/>
        <v/>
      </c>
    </row>
    <row r="434">
      <c r="A434" s="339"/>
      <c r="B434" s="51" t="str">
        <f t="shared" si="1"/>
        <v/>
      </c>
      <c r="D434" s="421"/>
      <c r="E434" s="51"/>
      <c r="F434" s="62"/>
      <c r="H434" s="62" t="str">
        <f t="shared" si="2"/>
        <v/>
      </c>
    </row>
    <row r="435">
      <c r="A435" s="339"/>
      <c r="B435" s="51" t="str">
        <f t="shared" si="1"/>
        <v/>
      </c>
      <c r="D435" s="421"/>
      <c r="E435" s="51"/>
      <c r="F435" s="62"/>
      <c r="H435" s="62" t="str">
        <f t="shared" si="2"/>
        <v/>
      </c>
    </row>
    <row r="436">
      <c r="A436" s="339"/>
      <c r="B436" s="51" t="str">
        <f t="shared" si="1"/>
        <v/>
      </c>
      <c r="D436" s="421"/>
      <c r="E436" s="51"/>
      <c r="F436" s="62"/>
      <c r="H436" s="62" t="str">
        <f t="shared" si="2"/>
        <v/>
      </c>
    </row>
    <row r="437">
      <c r="A437" s="339"/>
      <c r="B437" s="51" t="str">
        <f t="shared" si="1"/>
        <v/>
      </c>
      <c r="D437" s="421"/>
      <c r="E437" s="51"/>
      <c r="F437" s="62"/>
      <c r="H437" s="62" t="str">
        <f t="shared" si="2"/>
        <v/>
      </c>
    </row>
    <row r="438">
      <c r="A438" s="339"/>
      <c r="B438" s="51" t="str">
        <f t="shared" si="1"/>
        <v/>
      </c>
      <c r="D438" s="421"/>
      <c r="E438" s="51"/>
      <c r="F438" s="62"/>
      <c r="H438" s="62" t="str">
        <f t="shared" si="2"/>
        <v/>
      </c>
    </row>
    <row r="439">
      <c r="A439" s="339"/>
      <c r="B439" s="51" t="str">
        <f t="shared" si="1"/>
        <v/>
      </c>
      <c r="D439" s="421"/>
      <c r="E439" s="51"/>
      <c r="F439" s="62"/>
      <c r="H439" s="62" t="str">
        <f t="shared" si="2"/>
        <v/>
      </c>
    </row>
    <row r="440">
      <c r="A440" s="339"/>
      <c r="B440" s="51" t="str">
        <f t="shared" si="1"/>
        <v/>
      </c>
      <c r="D440" s="421"/>
      <c r="E440" s="51"/>
      <c r="F440" s="62"/>
      <c r="H440" s="62" t="str">
        <f t="shared" si="2"/>
        <v/>
      </c>
    </row>
    <row r="441">
      <c r="A441" s="339"/>
      <c r="B441" s="51" t="str">
        <f t="shared" si="1"/>
        <v/>
      </c>
      <c r="D441" s="421"/>
      <c r="E441" s="51"/>
      <c r="F441" s="62"/>
      <c r="H441" s="62" t="str">
        <f t="shared" si="2"/>
        <v/>
      </c>
    </row>
    <row r="442">
      <c r="A442" s="339"/>
      <c r="B442" s="51" t="str">
        <f t="shared" si="1"/>
        <v/>
      </c>
      <c r="D442" s="421"/>
      <c r="E442" s="51"/>
      <c r="F442" s="62"/>
      <c r="H442" s="62" t="str">
        <f t="shared" si="2"/>
        <v/>
      </c>
    </row>
    <row r="443">
      <c r="A443" s="339"/>
      <c r="B443" s="51" t="str">
        <f t="shared" si="1"/>
        <v/>
      </c>
      <c r="D443" s="421"/>
      <c r="E443" s="51"/>
      <c r="F443" s="62"/>
      <c r="H443" s="62" t="str">
        <f t="shared" si="2"/>
        <v/>
      </c>
    </row>
    <row r="444">
      <c r="A444" s="339"/>
      <c r="B444" s="51" t="str">
        <f t="shared" si="1"/>
        <v/>
      </c>
      <c r="D444" s="421"/>
      <c r="E444" s="51"/>
      <c r="F444" s="62"/>
      <c r="H444" s="62" t="str">
        <f t="shared" si="2"/>
        <v/>
      </c>
    </row>
    <row r="445">
      <c r="A445" s="339"/>
      <c r="B445" s="51" t="str">
        <f t="shared" si="1"/>
        <v/>
      </c>
      <c r="D445" s="421"/>
      <c r="E445" s="51"/>
      <c r="F445" s="62"/>
      <c r="H445" s="62" t="str">
        <f t="shared" si="2"/>
        <v/>
      </c>
    </row>
    <row r="446">
      <c r="A446" s="339"/>
      <c r="B446" s="51" t="str">
        <f t="shared" si="1"/>
        <v/>
      </c>
      <c r="D446" s="421"/>
      <c r="E446" s="51"/>
      <c r="F446" s="62"/>
      <c r="H446" s="62" t="str">
        <f t="shared" si="2"/>
        <v/>
      </c>
    </row>
    <row r="447">
      <c r="A447" s="339"/>
      <c r="B447" s="51" t="str">
        <f t="shared" si="1"/>
        <v/>
      </c>
      <c r="D447" s="421"/>
      <c r="E447" s="51"/>
      <c r="F447" s="62"/>
      <c r="H447" s="62" t="str">
        <f t="shared" si="2"/>
        <v/>
      </c>
    </row>
    <row r="448">
      <c r="A448" s="339"/>
      <c r="B448" s="51" t="str">
        <f t="shared" si="1"/>
        <v/>
      </c>
      <c r="D448" s="421"/>
      <c r="E448" s="51"/>
      <c r="F448" s="62"/>
      <c r="H448" s="62" t="str">
        <f t="shared" si="2"/>
        <v/>
      </c>
    </row>
    <row r="449">
      <c r="A449" s="339"/>
      <c r="B449" s="51" t="str">
        <f t="shared" si="1"/>
        <v/>
      </c>
      <c r="D449" s="421"/>
      <c r="E449" s="51"/>
      <c r="F449" s="62"/>
      <c r="H449" s="62" t="str">
        <f t="shared" si="2"/>
        <v/>
      </c>
    </row>
    <row r="450">
      <c r="A450" s="339"/>
      <c r="B450" s="51" t="str">
        <f t="shared" si="1"/>
        <v/>
      </c>
      <c r="D450" s="421"/>
      <c r="E450" s="51"/>
      <c r="F450" s="62"/>
      <c r="H450" s="62" t="str">
        <f t="shared" si="2"/>
        <v/>
      </c>
    </row>
    <row r="451">
      <c r="A451" s="339"/>
      <c r="B451" s="51" t="str">
        <f t="shared" si="1"/>
        <v/>
      </c>
      <c r="D451" s="421"/>
      <c r="E451" s="51"/>
      <c r="F451" s="62"/>
      <c r="H451" s="62" t="str">
        <f t="shared" si="2"/>
        <v/>
      </c>
    </row>
    <row r="452">
      <c r="A452" s="339"/>
      <c r="B452" s="51" t="str">
        <f t="shared" si="1"/>
        <v/>
      </c>
      <c r="D452" s="421"/>
      <c r="E452" s="51"/>
      <c r="F452" s="62"/>
      <c r="H452" s="62" t="str">
        <f t="shared" si="2"/>
        <v/>
      </c>
    </row>
    <row r="453">
      <c r="A453" s="339"/>
      <c r="B453" s="51" t="str">
        <f t="shared" si="1"/>
        <v/>
      </c>
      <c r="D453" s="421"/>
      <c r="E453" s="51"/>
      <c r="F453" s="62"/>
      <c r="H453" s="62" t="str">
        <f t="shared" si="2"/>
        <v/>
      </c>
    </row>
    <row r="454">
      <c r="A454" s="339"/>
      <c r="B454" s="51" t="str">
        <f t="shared" si="1"/>
        <v/>
      </c>
      <c r="D454" s="421"/>
      <c r="E454" s="51"/>
      <c r="F454" s="62"/>
      <c r="H454" s="62" t="str">
        <f t="shared" si="2"/>
        <v/>
      </c>
    </row>
    <row r="455">
      <c r="A455" s="339"/>
      <c r="B455" s="51" t="str">
        <f t="shared" si="1"/>
        <v/>
      </c>
      <c r="D455" s="421"/>
      <c r="E455" s="51"/>
      <c r="F455" s="62"/>
      <c r="H455" s="62" t="str">
        <f t="shared" si="2"/>
        <v/>
      </c>
    </row>
    <row r="456">
      <c r="A456" s="339"/>
      <c r="B456" s="51" t="str">
        <f t="shared" si="1"/>
        <v/>
      </c>
      <c r="D456" s="421"/>
      <c r="E456" s="51"/>
      <c r="F456" s="62"/>
      <c r="H456" s="62" t="str">
        <f t="shared" si="2"/>
        <v/>
      </c>
    </row>
    <row r="457">
      <c r="A457" s="339"/>
      <c r="B457" s="51" t="str">
        <f t="shared" si="1"/>
        <v/>
      </c>
      <c r="D457" s="421"/>
      <c r="E457" s="51"/>
      <c r="F457" s="62"/>
      <c r="H457" s="62" t="str">
        <f t="shared" si="2"/>
        <v/>
      </c>
    </row>
    <row r="458">
      <c r="A458" s="339"/>
      <c r="B458" s="51" t="str">
        <f t="shared" si="1"/>
        <v/>
      </c>
      <c r="D458" s="421"/>
      <c r="E458" s="51"/>
      <c r="F458" s="62"/>
      <c r="H458" s="62" t="str">
        <f t="shared" si="2"/>
        <v/>
      </c>
    </row>
    <row r="459">
      <c r="A459" s="339"/>
      <c r="B459" s="51" t="str">
        <f t="shared" si="1"/>
        <v/>
      </c>
      <c r="D459" s="421"/>
      <c r="E459" s="51"/>
      <c r="F459" s="62"/>
      <c r="H459" s="62" t="str">
        <f t="shared" si="2"/>
        <v/>
      </c>
    </row>
    <row r="460">
      <c r="A460" s="339"/>
      <c r="B460" s="51" t="str">
        <f t="shared" si="1"/>
        <v/>
      </c>
      <c r="D460" s="421"/>
      <c r="E460" s="51"/>
      <c r="F460" s="62"/>
      <c r="H460" s="62" t="str">
        <f t="shared" si="2"/>
        <v/>
      </c>
    </row>
    <row r="461">
      <c r="A461" s="339"/>
      <c r="B461" s="51" t="str">
        <f t="shared" si="1"/>
        <v/>
      </c>
      <c r="D461" s="421"/>
      <c r="E461" s="51"/>
      <c r="F461" s="62"/>
      <c r="H461" s="62" t="str">
        <f t="shared" si="2"/>
        <v/>
      </c>
    </row>
    <row r="462">
      <c r="A462" s="339"/>
      <c r="B462" s="51" t="str">
        <f t="shared" si="1"/>
        <v/>
      </c>
      <c r="D462" s="421"/>
      <c r="E462" s="51"/>
      <c r="F462" s="62"/>
      <c r="H462" s="62" t="str">
        <f t="shared" si="2"/>
        <v/>
      </c>
    </row>
    <row r="463">
      <c r="A463" s="339"/>
      <c r="B463" s="51" t="str">
        <f t="shared" si="1"/>
        <v/>
      </c>
      <c r="D463" s="421"/>
      <c r="E463" s="51"/>
      <c r="F463" s="62"/>
      <c r="H463" s="62" t="str">
        <f t="shared" si="2"/>
        <v/>
      </c>
    </row>
    <row r="464">
      <c r="A464" s="339"/>
      <c r="B464" s="51" t="str">
        <f t="shared" si="1"/>
        <v/>
      </c>
      <c r="D464" s="421"/>
      <c r="E464" s="51"/>
      <c r="F464" s="62"/>
      <c r="H464" s="62" t="str">
        <f t="shared" si="2"/>
        <v/>
      </c>
    </row>
    <row r="465">
      <c r="A465" s="339"/>
      <c r="B465" s="51" t="str">
        <f t="shared" si="1"/>
        <v/>
      </c>
      <c r="D465" s="421"/>
      <c r="E465" s="51"/>
      <c r="F465" s="62"/>
      <c r="H465" s="62" t="str">
        <f t="shared" si="2"/>
        <v/>
      </c>
    </row>
    <row r="466">
      <c r="A466" s="339"/>
      <c r="B466" s="51" t="str">
        <f t="shared" si="1"/>
        <v/>
      </c>
      <c r="D466" s="421"/>
      <c r="E466" s="51"/>
      <c r="F466" s="62"/>
      <c r="H466" s="62" t="str">
        <f t="shared" si="2"/>
        <v/>
      </c>
    </row>
    <row r="467">
      <c r="A467" s="339"/>
      <c r="B467" s="51" t="str">
        <f t="shared" si="1"/>
        <v/>
      </c>
      <c r="D467" s="421"/>
      <c r="E467" s="51"/>
      <c r="F467" s="62"/>
      <c r="H467" s="62" t="str">
        <f t="shared" si="2"/>
        <v/>
      </c>
    </row>
    <row r="468">
      <c r="A468" s="339"/>
      <c r="B468" s="51" t="str">
        <f t="shared" si="1"/>
        <v/>
      </c>
      <c r="D468" s="421"/>
      <c r="E468" s="51"/>
      <c r="F468" s="62"/>
      <c r="H468" s="62" t="str">
        <f t="shared" si="2"/>
        <v/>
      </c>
    </row>
    <row r="469">
      <c r="A469" s="339"/>
      <c r="B469" s="51" t="str">
        <f t="shared" si="1"/>
        <v/>
      </c>
      <c r="D469" s="421"/>
      <c r="E469" s="51"/>
      <c r="F469" s="62"/>
      <c r="H469" s="62" t="str">
        <f t="shared" si="2"/>
        <v/>
      </c>
    </row>
    <row r="470">
      <c r="A470" s="339"/>
      <c r="B470" s="51" t="str">
        <f t="shared" si="1"/>
        <v/>
      </c>
      <c r="D470" s="421"/>
      <c r="E470" s="51"/>
      <c r="F470" s="62"/>
      <c r="H470" s="62" t="str">
        <f t="shared" si="2"/>
        <v/>
      </c>
    </row>
    <row r="471">
      <c r="A471" s="339"/>
      <c r="B471" s="51" t="str">
        <f t="shared" si="1"/>
        <v/>
      </c>
      <c r="D471" s="421"/>
      <c r="E471" s="51"/>
      <c r="F471" s="62"/>
      <c r="H471" s="62" t="str">
        <f t="shared" si="2"/>
        <v/>
      </c>
    </row>
    <row r="472">
      <c r="A472" s="339"/>
      <c r="B472" s="51" t="str">
        <f t="shared" si="1"/>
        <v/>
      </c>
      <c r="D472" s="421"/>
      <c r="E472" s="51"/>
      <c r="F472" s="62"/>
      <c r="H472" s="62" t="str">
        <f t="shared" si="2"/>
        <v/>
      </c>
    </row>
    <row r="473">
      <c r="A473" s="339"/>
      <c r="B473" s="51" t="str">
        <f t="shared" si="1"/>
        <v/>
      </c>
      <c r="D473" s="421"/>
      <c r="E473" s="51"/>
      <c r="F473" s="62"/>
      <c r="H473" s="62" t="str">
        <f t="shared" si="2"/>
        <v/>
      </c>
    </row>
    <row r="474">
      <c r="A474" s="339"/>
      <c r="B474" s="51" t="str">
        <f t="shared" si="1"/>
        <v/>
      </c>
      <c r="D474" s="421"/>
      <c r="E474" s="51"/>
      <c r="F474" s="62"/>
      <c r="H474" s="62" t="str">
        <f t="shared" si="2"/>
        <v/>
      </c>
    </row>
    <row r="475">
      <c r="A475" s="339"/>
      <c r="B475" s="51" t="str">
        <f t="shared" si="1"/>
        <v/>
      </c>
      <c r="D475" s="421"/>
      <c r="E475" s="51"/>
      <c r="F475" s="62"/>
      <c r="H475" s="62" t="str">
        <f t="shared" si="2"/>
        <v/>
      </c>
    </row>
    <row r="476">
      <c r="A476" s="339"/>
      <c r="B476" s="51" t="str">
        <f t="shared" si="1"/>
        <v/>
      </c>
      <c r="D476" s="421"/>
      <c r="E476" s="51"/>
      <c r="F476" s="62"/>
      <c r="H476" s="62" t="str">
        <f t="shared" si="2"/>
        <v/>
      </c>
    </row>
    <row r="477">
      <c r="A477" s="339"/>
      <c r="B477" s="51" t="str">
        <f t="shared" si="1"/>
        <v/>
      </c>
      <c r="D477" s="421"/>
      <c r="E477" s="51"/>
      <c r="F477" s="62"/>
      <c r="H477" s="62" t="str">
        <f t="shared" si="2"/>
        <v/>
      </c>
    </row>
    <row r="478">
      <c r="A478" s="339"/>
      <c r="B478" s="51" t="str">
        <f t="shared" si="1"/>
        <v/>
      </c>
      <c r="D478" s="421"/>
      <c r="E478" s="51"/>
      <c r="F478" s="62"/>
      <c r="H478" s="62" t="str">
        <f t="shared" si="2"/>
        <v/>
      </c>
    </row>
    <row r="479">
      <c r="A479" s="339"/>
      <c r="B479" s="51" t="str">
        <f t="shared" si="1"/>
        <v/>
      </c>
      <c r="D479" s="421"/>
      <c r="E479" s="51"/>
      <c r="F479" s="62"/>
      <c r="H479" s="62" t="str">
        <f t="shared" si="2"/>
        <v/>
      </c>
    </row>
    <row r="480">
      <c r="A480" s="339"/>
      <c r="B480" s="51" t="str">
        <f t="shared" si="1"/>
        <v/>
      </c>
      <c r="D480" s="421"/>
      <c r="E480" s="51"/>
      <c r="F480" s="62"/>
      <c r="H480" s="62" t="str">
        <f t="shared" si="2"/>
        <v/>
      </c>
    </row>
    <row r="481">
      <c r="A481" s="339"/>
      <c r="B481" s="51" t="str">
        <f t="shared" si="1"/>
        <v/>
      </c>
      <c r="D481" s="421"/>
      <c r="E481" s="51"/>
      <c r="F481" s="62"/>
      <c r="H481" s="62" t="str">
        <f t="shared" si="2"/>
        <v/>
      </c>
    </row>
    <row r="482">
      <c r="A482" s="339"/>
      <c r="B482" s="51" t="str">
        <f t="shared" si="1"/>
        <v/>
      </c>
      <c r="D482" s="421"/>
      <c r="E482" s="51"/>
      <c r="F482" s="62"/>
      <c r="H482" s="62" t="str">
        <f t="shared" si="2"/>
        <v/>
      </c>
    </row>
    <row r="483">
      <c r="A483" s="339"/>
      <c r="B483" s="51" t="str">
        <f t="shared" si="1"/>
        <v/>
      </c>
      <c r="D483" s="421"/>
      <c r="E483" s="51"/>
      <c r="F483" s="62"/>
      <c r="H483" s="62" t="str">
        <f t="shared" si="2"/>
        <v/>
      </c>
    </row>
    <row r="484">
      <c r="A484" s="339"/>
      <c r="B484" s="51" t="str">
        <f t="shared" si="1"/>
        <v/>
      </c>
      <c r="D484" s="421"/>
      <c r="E484" s="51"/>
      <c r="F484" s="62"/>
      <c r="H484" s="62" t="str">
        <f t="shared" si="2"/>
        <v/>
      </c>
    </row>
    <row r="485">
      <c r="A485" s="339"/>
      <c r="B485" s="51" t="str">
        <f t="shared" si="1"/>
        <v/>
      </c>
      <c r="D485" s="421"/>
      <c r="E485" s="51"/>
      <c r="F485" s="62"/>
      <c r="H485" s="62" t="str">
        <f t="shared" si="2"/>
        <v/>
      </c>
    </row>
    <row r="486">
      <c r="A486" s="339"/>
      <c r="B486" s="51" t="str">
        <f t="shared" si="1"/>
        <v/>
      </c>
      <c r="D486" s="421"/>
      <c r="E486" s="51"/>
      <c r="F486" s="62"/>
      <c r="H486" s="62" t="str">
        <f t="shared" si="2"/>
        <v/>
      </c>
    </row>
    <row r="487">
      <c r="A487" s="339"/>
      <c r="B487" s="51" t="str">
        <f t="shared" si="1"/>
        <v/>
      </c>
      <c r="D487" s="421"/>
      <c r="E487" s="51"/>
      <c r="F487" s="62"/>
      <c r="H487" s="62" t="str">
        <f t="shared" si="2"/>
        <v/>
      </c>
    </row>
    <row r="488">
      <c r="A488" s="339"/>
      <c r="B488" s="51" t="str">
        <f t="shared" si="1"/>
        <v/>
      </c>
      <c r="D488" s="421"/>
      <c r="E488" s="51"/>
      <c r="F488" s="62"/>
      <c r="H488" s="62" t="str">
        <f t="shared" si="2"/>
        <v/>
      </c>
    </row>
    <row r="489">
      <c r="A489" s="339"/>
      <c r="B489" s="51" t="str">
        <f t="shared" si="1"/>
        <v/>
      </c>
      <c r="D489" s="421"/>
      <c r="E489" s="51"/>
      <c r="F489" s="62"/>
      <c r="H489" s="62" t="str">
        <f t="shared" si="2"/>
        <v/>
      </c>
    </row>
    <row r="490">
      <c r="A490" s="339"/>
      <c r="B490" s="51" t="str">
        <f t="shared" si="1"/>
        <v/>
      </c>
      <c r="D490" s="421"/>
      <c r="E490" s="51"/>
      <c r="F490" s="62"/>
      <c r="H490" s="62" t="str">
        <f t="shared" si="2"/>
        <v/>
      </c>
    </row>
    <row r="491">
      <c r="A491" s="339"/>
      <c r="B491" s="51" t="str">
        <f t="shared" si="1"/>
        <v/>
      </c>
      <c r="D491" s="421"/>
      <c r="E491" s="51"/>
      <c r="F491" s="62"/>
      <c r="H491" s="62" t="str">
        <f t="shared" si="2"/>
        <v/>
      </c>
    </row>
    <row r="492">
      <c r="A492" s="339"/>
      <c r="B492" s="51" t="str">
        <f t="shared" si="1"/>
        <v/>
      </c>
      <c r="D492" s="421"/>
      <c r="E492" s="51"/>
      <c r="F492" s="62"/>
      <c r="H492" s="62" t="str">
        <f t="shared" si="2"/>
        <v/>
      </c>
    </row>
    <row r="493">
      <c r="A493" s="339"/>
      <c r="B493" s="51" t="str">
        <f t="shared" si="1"/>
        <v/>
      </c>
      <c r="D493" s="421"/>
      <c r="E493" s="51"/>
      <c r="F493" s="62"/>
      <c r="H493" s="62" t="str">
        <f t="shared" si="2"/>
        <v/>
      </c>
    </row>
    <row r="494">
      <c r="A494" s="339"/>
      <c r="B494" s="51" t="str">
        <f t="shared" si="1"/>
        <v/>
      </c>
      <c r="D494" s="421"/>
      <c r="E494" s="51"/>
      <c r="F494" s="62"/>
      <c r="H494" s="62" t="str">
        <f t="shared" si="2"/>
        <v/>
      </c>
    </row>
    <row r="495">
      <c r="A495" s="339"/>
      <c r="B495" s="51" t="str">
        <f t="shared" si="1"/>
        <v/>
      </c>
      <c r="D495" s="421"/>
      <c r="E495" s="51"/>
      <c r="F495" s="62"/>
      <c r="H495" s="62" t="str">
        <f t="shared" si="2"/>
        <v/>
      </c>
    </row>
    <row r="496">
      <c r="A496" s="339"/>
      <c r="B496" s="51" t="str">
        <f t="shared" si="1"/>
        <v/>
      </c>
      <c r="D496" s="421"/>
      <c r="E496" s="51"/>
      <c r="F496" s="62"/>
      <c r="H496" s="62" t="str">
        <f t="shared" si="2"/>
        <v/>
      </c>
    </row>
    <row r="497">
      <c r="A497" s="339"/>
      <c r="B497" s="51" t="str">
        <f t="shared" si="1"/>
        <v/>
      </c>
      <c r="D497" s="421"/>
      <c r="E497" s="51"/>
      <c r="F497" s="62"/>
      <c r="H497" s="62" t="str">
        <f t="shared" si="2"/>
        <v/>
      </c>
    </row>
    <row r="498">
      <c r="A498" s="339"/>
      <c r="B498" s="51" t="str">
        <f t="shared" si="1"/>
        <v/>
      </c>
      <c r="D498" s="421"/>
      <c r="E498" s="51"/>
      <c r="F498" s="62"/>
      <c r="H498" s="62" t="str">
        <f t="shared" si="2"/>
        <v/>
      </c>
    </row>
    <row r="499">
      <c r="A499" s="339"/>
      <c r="B499" s="51" t="str">
        <f t="shared" si="1"/>
        <v/>
      </c>
      <c r="D499" s="421"/>
      <c r="E499" s="51"/>
      <c r="F499" s="62"/>
      <c r="H499" s="62" t="str">
        <f t="shared" si="2"/>
        <v/>
      </c>
    </row>
    <row r="500">
      <c r="A500" s="339"/>
      <c r="B500" s="51" t="str">
        <f t="shared" si="1"/>
        <v/>
      </c>
      <c r="D500" s="421"/>
      <c r="E500" s="51"/>
      <c r="F500" s="62"/>
      <c r="H500" s="62" t="str">
        <f t="shared" si="2"/>
        <v/>
      </c>
    </row>
  </sheetData>
  <autoFilter ref="$A$4:$H$500"/>
  <mergeCells count="2">
    <mergeCell ref="A1:H1"/>
    <mergeCell ref="A2:H2"/>
  </mergeCells>
  <dataValidations>
    <dataValidation type="list" allowBlank="1" showErrorMessage="1" sqref="E5:E500">
      <formula1>"EFECTIVO,TRANSFERENCIA,TERMINAL"</formula1>
    </dataValidation>
    <dataValidation type="custom" allowBlank="1" showErrorMessage="1" sqref="A5:A500 D5:D500">
      <formula1>OR(NOT(ISERROR(DATEVALUE(A5))), AND(ISNUMBER(A5), LEFT(CELL("format", A5))="D"))</formula1>
    </dataValidation>
  </dataValidation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32.33"/>
    <col customWidth="1" min="2" max="2" width="14.0"/>
    <col customWidth="1" min="3" max="3" width="30.11"/>
    <col customWidth="1" min="4" max="4" width="12.33"/>
  </cols>
  <sheetData>
    <row r="1" ht="27.0" customHeight="1">
      <c r="A1" s="422" t="s">
        <v>970</v>
      </c>
    </row>
    <row r="2" ht="33.0" customHeight="1">
      <c r="A2" s="423" t="s">
        <v>971</v>
      </c>
    </row>
    <row r="4" ht="24.0" customHeight="1">
      <c r="A4" s="424" t="s">
        <v>37</v>
      </c>
      <c r="B4" s="424" t="s">
        <v>972</v>
      </c>
      <c r="C4" s="424" t="s">
        <v>973</v>
      </c>
      <c r="D4" s="424" t="s">
        <v>974</v>
      </c>
    </row>
    <row r="5">
      <c r="A5" s="216" t="s">
        <v>251</v>
      </c>
      <c r="B5" s="425">
        <v>46266.0</v>
      </c>
      <c r="C5" s="216" t="s">
        <v>975</v>
      </c>
      <c r="D5" s="426" t="s">
        <v>976</v>
      </c>
    </row>
    <row r="6">
      <c r="A6" s="216" t="s">
        <v>283</v>
      </c>
      <c r="B6" s="425">
        <v>46266.0</v>
      </c>
      <c r="C6" s="216" t="s">
        <v>975</v>
      </c>
      <c r="D6" s="426" t="s">
        <v>976</v>
      </c>
    </row>
    <row r="7">
      <c r="A7" s="216" t="s">
        <v>159</v>
      </c>
      <c r="B7" s="425">
        <v>46266.0</v>
      </c>
      <c r="C7" s="216" t="s">
        <v>975</v>
      </c>
      <c r="D7" s="426" t="s">
        <v>976</v>
      </c>
    </row>
    <row r="8">
      <c r="A8" s="337" t="s">
        <v>263</v>
      </c>
      <c r="B8" s="425">
        <v>46266.0</v>
      </c>
      <c r="C8" s="216" t="s">
        <v>975</v>
      </c>
      <c r="D8" s="426" t="s">
        <v>976</v>
      </c>
    </row>
    <row r="9">
      <c r="A9" s="216" t="s">
        <v>251</v>
      </c>
      <c r="B9" s="425">
        <v>46296.0</v>
      </c>
      <c r="C9" s="216" t="s">
        <v>975</v>
      </c>
      <c r="D9" s="426" t="s">
        <v>976</v>
      </c>
    </row>
    <row r="10">
      <c r="A10" s="51"/>
      <c r="B10" s="427"/>
      <c r="D10" s="428"/>
    </row>
    <row r="11">
      <c r="A11" s="51"/>
      <c r="B11" s="427"/>
      <c r="D11" s="428"/>
    </row>
    <row r="12">
      <c r="A12" s="51"/>
      <c r="B12" s="427"/>
      <c r="D12" s="428"/>
    </row>
    <row r="13">
      <c r="A13" s="51"/>
      <c r="B13" s="427"/>
      <c r="D13" s="428"/>
    </row>
    <row r="14">
      <c r="A14" s="51"/>
      <c r="B14" s="427"/>
      <c r="D14" s="428"/>
    </row>
    <row r="15">
      <c r="A15" s="51"/>
      <c r="B15" s="427"/>
      <c r="D15" s="428"/>
    </row>
    <row r="16">
      <c r="A16" s="51"/>
      <c r="B16" s="427"/>
      <c r="D16" s="428"/>
    </row>
    <row r="17">
      <c r="A17" s="51"/>
      <c r="B17" s="427"/>
      <c r="D17" s="428"/>
    </row>
    <row r="18">
      <c r="A18" s="51"/>
      <c r="B18" s="427"/>
      <c r="D18" s="428"/>
    </row>
    <row r="19">
      <c r="A19" s="51"/>
      <c r="B19" s="427"/>
      <c r="D19" s="428"/>
    </row>
    <row r="20">
      <c r="A20" s="51"/>
      <c r="B20" s="427"/>
      <c r="D20" s="428"/>
    </row>
    <row r="21">
      <c r="A21" s="51"/>
      <c r="B21" s="427"/>
      <c r="D21" s="428"/>
    </row>
    <row r="22">
      <c r="A22" s="51"/>
      <c r="B22" s="427"/>
      <c r="D22" s="428"/>
    </row>
    <row r="23">
      <c r="A23" s="51"/>
      <c r="B23" s="427"/>
      <c r="D23" s="428"/>
    </row>
    <row r="24">
      <c r="A24" s="51"/>
      <c r="B24" s="427"/>
      <c r="D24" s="428"/>
    </row>
    <row r="25">
      <c r="A25" s="51"/>
      <c r="B25" s="427"/>
      <c r="D25" s="428"/>
    </row>
    <row r="26">
      <c r="A26" s="51"/>
      <c r="B26" s="427"/>
      <c r="D26" s="428"/>
    </row>
    <row r="27">
      <c r="A27" s="51"/>
      <c r="B27" s="427"/>
      <c r="D27" s="428"/>
    </row>
    <row r="28">
      <c r="A28" s="51"/>
      <c r="B28" s="427"/>
      <c r="D28" s="428"/>
    </row>
    <row r="29">
      <c r="A29" s="51"/>
      <c r="B29" s="427"/>
      <c r="D29" s="428"/>
    </row>
    <row r="30">
      <c r="A30" s="51"/>
      <c r="B30" s="427"/>
      <c r="D30" s="428"/>
    </row>
    <row r="31">
      <c r="A31" s="51"/>
      <c r="B31" s="427"/>
      <c r="D31" s="428"/>
    </row>
    <row r="32">
      <c r="A32" s="51"/>
      <c r="B32" s="427"/>
      <c r="D32" s="428"/>
    </row>
    <row r="33">
      <c r="A33" s="51"/>
      <c r="B33" s="427"/>
      <c r="D33" s="428"/>
    </row>
    <row r="34">
      <c r="A34" s="51"/>
      <c r="B34" s="427"/>
      <c r="D34" s="428"/>
    </row>
    <row r="35">
      <c r="A35" s="51"/>
      <c r="B35" s="427"/>
      <c r="D35" s="428"/>
    </row>
    <row r="36">
      <c r="A36" s="51"/>
      <c r="B36" s="427"/>
      <c r="D36" s="428"/>
    </row>
    <row r="37">
      <c r="A37" s="51"/>
      <c r="B37" s="427"/>
      <c r="D37" s="428"/>
    </row>
    <row r="38">
      <c r="A38" s="51"/>
      <c r="B38" s="427"/>
      <c r="D38" s="428"/>
    </row>
    <row r="39">
      <c r="A39" s="51"/>
      <c r="B39" s="427"/>
      <c r="D39" s="428"/>
    </row>
    <row r="40">
      <c r="A40" s="51"/>
      <c r="B40" s="427"/>
      <c r="D40" s="428"/>
    </row>
    <row r="41">
      <c r="A41" s="51"/>
      <c r="B41" s="427"/>
      <c r="D41" s="428"/>
    </row>
    <row r="42">
      <c r="A42" s="51"/>
      <c r="B42" s="427"/>
      <c r="D42" s="428"/>
    </row>
    <row r="43">
      <c r="A43" s="51"/>
      <c r="B43" s="427"/>
      <c r="D43" s="428"/>
    </row>
    <row r="44">
      <c r="A44" s="51"/>
      <c r="B44" s="427"/>
      <c r="D44" s="428"/>
    </row>
    <row r="45">
      <c r="A45" s="51"/>
      <c r="B45" s="427"/>
      <c r="D45" s="428"/>
    </row>
    <row r="46">
      <c r="A46" s="51"/>
      <c r="B46" s="427"/>
      <c r="D46" s="428"/>
    </row>
    <row r="47">
      <c r="A47" s="51"/>
      <c r="B47" s="427"/>
      <c r="D47" s="428"/>
    </row>
    <row r="48">
      <c r="A48" s="51"/>
      <c r="B48" s="427"/>
      <c r="D48" s="428"/>
    </row>
    <row r="49">
      <c r="A49" s="51"/>
      <c r="B49" s="427"/>
      <c r="D49" s="428"/>
    </row>
    <row r="50">
      <c r="A50" s="51"/>
      <c r="B50" s="427"/>
      <c r="D50" s="428"/>
    </row>
    <row r="51">
      <c r="A51" s="51"/>
      <c r="B51" s="427"/>
      <c r="D51" s="428"/>
    </row>
    <row r="52">
      <c r="A52" s="51"/>
      <c r="B52" s="427"/>
      <c r="D52" s="428"/>
    </row>
    <row r="53">
      <c r="A53" s="51"/>
      <c r="B53" s="427"/>
      <c r="D53" s="428"/>
    </row>
    <row r="54">
      <c r="A54" s="51"/>
      <c r="B54" s="427"/>
      <c r="D54" s="428"/>
    </row>
    <row r="55">
      <c r="A55" s="51"/>
      <c r="B55" s="427"/>
      <c r="D55" s="428"/>
    </row>
    <row r="56">
      <c r="A56" s="51"/>
      <c r="B56" s="427"/>
      <c r="D56" s="428"/>
    </row>
    <row r="57">
      <c r="A57" s="51"/>
      <c r="B57" s="427"/>
      <c r="D57" s="428"/>
    </row>
    <row r="58">
      <c r="A58" s="51"/>
      <c r="B58" s="427"/>
      <c r="D58" s="428"/>
    </row>
    <row r="59">
      <c r="A59" s="51"/>
      <c r="B59" s="427"/>
      <c r="D59" s="428"/>
    </row>
    <row r="60">
      <c r="A60" s="51"/>
      <c r="B60" s="427"/>
      <c r="D60" s="428"/>
    </row>
    <row r="61">
      <c r="A61" s="51"/>
      <c r="B61" s="427"/>
      <c r="D61" s="428"/>
    </row>
    <row r="62">
      <c r="A62" s="51"/>
      <c r="B62" s="427"/>
      <c r="D62" s="428"/>
    </row>
    <row r="63">
      <c r="A63" s="51"/>
      <c r="B63" s="427"/>
      <c r="D63" s="428"/>
    </row>
    <row r="64">
      <c r="A64" s="51"/>
      <c r="B64" s="427"/>
      <c r="D64" s="428"/>
    </row>
    <row r="65">
      <c r="A65" s="51"/>
      <c r="B65" s="427"/>
      <c r="D65" s="428"/>
    </row>
    <row r="66">
      <c r="A66" s="51"/>
      <c r="B66" s="427"/>
      <c r="D66" s="428"/>
    </row>
    <row r="67">
      <c r="A67" s="51"/>
      <c r="B67" s="427"/>
      <c r="D67" s="428"/>
    </row>
    <row r="68">
      <c r="A68" s="51"/>
      <c r="B68" s="427"/>
      <c r="D68" s="428"/>
    </row>
    <row r="69">
      <c r="A69" s="51"/>
      <c r="B69" s="427"/>
      <c r="D69" s="428"/>
    </row>
    <row r="70">
      <c r="A70" s="51"/>
      <c r="B70" s="427"/>
      <c r="D70" s="428"/>
    </row>
    <row r="71">
      <c r="A71" s="51"/>
      <c r="B71" s="427"/>
      <c r="D71" s="428"/>
    </row>
    <row r="72">
      <c r="A72" s="51"/>
      <c r="B72" s="427"/>
      <c r="D72" s="428"/>
    </row>
    <row r="73">
      <c r="A73" s="51"/>
      <c r="B73" s="427"/>
      <c r="D73" s="428"/>
    </row>
    <row r="74">
      <c r="A74" s="51"/>
      <c r="B74" s="427"/>
      <c r="D74" s="428"/>
    </row>
    <row r="75">
      <c r="A75" s="51"/>
      <c r="B75" s="427"/>
      <c r="D75" s="428"/>
    </row>
    <row r="76">
      <c r="A76" s="51"/>
      <c r="B76" s="427"/>
      <c r="D76" s="428"/>
    </row>
    <row r="77">
      <c r="A77" s="51"/>
      <c r="B77" s="427"/>
      <c r="D77" s="428"/>
    </row>
    <row r="78">
      <c r="A78" s="51"/>
      <c r="B78" s="427"/>
      <c r="D78" s="428"/>
    </row>
    <row r="79">
      <c r="A79" s="51"/>
      <c r="B79" s="427"/>
      <c r="D79" s="428"/>
    </row>
    <row r="80">
      <c r="A80" s="51"/>
      <c r="B80" s="427"/>
      <c r="D80" s="428"/>
    </row>
    <row r="81">
      <c r="A81" s="51"/>
      <c r="B81" s="427"/>
      <c r="D81" s="428"/>
    </row>
    <row r="82">
      <c r="A82" s="51"/>
      <c r="B82" s="427"/>
      <c r="D82" s="428"/>
    </row>
    <row r="83">
      <c r="A83" s="51"/>
      <c r="B83" s="427"/>
      <c r="D83" s="428"/>
    </row>
    <row r="84">
      <c r="A84" s="51"/>
      <c r="B84" s="427"/>
      <c r="D84" s="428"/>
    </row>
    <row r="85">
      <c r="A85" s="51"/>
      <c r="B85" s="427"/>
      <c r="D85" s="428"/>
    </row>
    <row r="86">
      <c r="A86" s="51"/>
      <c r="B86" s="427"/>
      <c r="D86" s="428"/>
    </row>
    <row r="87">
      <c r="A87" s="51"/>
      <c r="B87" s="427"/>
      <c r="D87" s="428"/>
    </row>
    <row r="88">
      <c r="A88" s="51"/>
      <c r="B88" s="427"/>
      <c r="D88" s="428"/>
    </row>
    <row r="89">
      <c r="A89" s="51"/>
      <c r="B89" s="427"/>
      <c r="D89" s="428"/>
    </row>
    <row r="90">
      <c r="A90" s="51"/>
      <c r="B90" s="427"/>
      <c r="D90" s="428"/>
    </row>
    <row r="91">
      <c r="A91" s="51"/>
      <c r="B91" s="427"/>
      <c r="D91" s="428"/>
    </row>
    <row r="92">
      <c r="A92" s="51"/>
      <c r="B92" s="427"/>
      <c r="D92" s="428"/>
    </row>
    <row r="93">
      <c r="A93" s="51"/>
      <c r="B93" s="427"/>
      <c r="D93" s="428"/>
    </row>
    <row r="94">
      <c r="A94" s="51"/>
      <c r="B94" s="427"/>
      <c r="D94" s="428"/>
    </row>
    <row r="95">
      <c r="A95" s="51"/>
      <c r="B95" s="427"/>
      <c r="D95" s="428"/>
    </row>
    <row r="96">
      <c r="A96" s="51"/>
      <c r="B96" s="427"/>
      <c r="D96" s="428"/>
    </row>
    <row r="97">
      <c r="A97" s="51"/>
      <c r="B97" s="427"/>
      <c r="D97" s="428"/>
    </row>
    <row r="98">
      <c r="A98" s="51"/>
      <c r="B98" s="427"/>
      <c r="D98" s="428"/>
    </row>
    <row r="99">
      <c r="A99" s="51"/>
      <c r="B99" s="427"/>
      <c r="D99" s="428"/>
    </row>
    <row r="100">
      <c r="A100" s="51"/>
      <c r="B100" s="427"/>
      <c r="D100" s="428"/>
    </row>
    <row r="101">
      <c r="A101" s="51"/>
      <c r="B101" s="427"/>
      <c r="D101" s="428"/>
    </row>
    <row r="102">
      <c r="A102" s="51"/>
      <c r="B102" s="427"/>
      <c r="D102" s="428"/>
    </row>
    <row r="103">
      <c r="A103" s="51"/>
      <c r="B103" s="427"/>
      <c r="D103" s="428"/>
    </row>
    <row r="104">
      <c r="A104" s="51"/>
      <c r="B104" s="427"/>
      <c r="D104" s="428"/>
    </row>
    <row r="105">
      <c r="A105" s="51"/>
      <c r="B105" s="427"/>
      <c r="D105" s="428"/>
    </row>
    <row r="106">
      <c r="A106" s="51"/>
      <c r="B106" s="427"/>
      <c r="D106" s="428"/>
    </row>
    <row r="107">
      <c r="A107" s="51"/>
      <c r="B107" s="427"/>
      <c r="D107" s="428"/>
    </row>
    <row r="108">
      <c r="A108" s="51"/>
      <c r="B108" s="427"/>
      <c r="D108" s="428"/>
    </row>
    <row r="109">
      <c r="A109" s="51"/>
      <c r="B109" s="427"/>
      <c r="D109" s="428"/>
    </row>
    <row r="110">
      <c r="A110" s="51"/>
      <c r="B110" s="427"/>
      <c r="D110" s="428"/>
    </row>
    <row r="111">
      <c r="A111" s="51"/>
      <c r="B111" s="427"/>
      <c r="D111" s="428"/>
    </row>
    <row r="112">
      <c r="A112" s="51"/>
      <c r="B112" s="427"/>
      <c r="D112" s="428"/>
    </row>
    <row r="113">
      <c r="A113" s="51"/>
      <c r="B113" s="427"/>
      <c r="D113" s="428"/>
    </row>
    <row r="114">
      <c r="A114" s="51"/>
      <c r="B114" s="427"/>
      <c r="D114" s="428"/>
    </row>
    <row r="115">
      <c r="A115" s="51"/>
      <c r="B115" s="427"/>
      <c r="D115" s="428"/>
    </row>
    <row r="116">
      <c r="A116" s="51"/>
      <c r="B116" s="427"/>
      <c r="D116" s="428"/>
    </row>
    <row r="117">
      <c r="A117" s="51"/>
      <c r="B117" s="427"/>
      <c r="D117" s="428"/>
    </row>
    <row r="118">
      <c r="A118" s="51"/>
      <c r="B118" s="427"/>
      <c r="D118" s="428"/>
    </row>
    <row r="119">
      <c r="A119" s="51"/>
      <c r="B119" s="427"/>
      <c r="D119" s="428"/>
    </row>
    <row r="120">
      <c r="A120" s="51"/>
      <c r="B120" s="427"/>
      <c r="D120" s="428"/>
    </row>
    <row r="121">
      <c r="A121" s="51"/>
      <c r="B121" s="427"/>
      <c r="D121" s="428"/>
    </row>
    <row r="122">
      <c r="A122" s="51"/>
      <c r="B122" s="427"/>
      <c r="D122" s="428"/>
    </row>
    <row r="123">
      <c r="A123" s="51"/>
      <c r="B123" s="427"/>
      <c r="D123" s="428"/>
    </row>
    <row r="124">
      <c r="A124" s="51"/>
      <c r="B124" s="427"/>
      <c r="D124" s="428"/>
    </row>
    <row r="125">
      <c r="A125" s="51"/>
      <c r="B125" s="427"/>
      <c r="D125" s="428"/>
    </row>
    <row r="126">
      <c r="A126" s="51"/>
      <c r="B126" s="427"/>
      <c r="D126" s="428"/>
    </row>
    <row r="127">
      <c r="A127" s="51"/>
      <c r="B127" s="427"/>
      <c r="D127" s="428"/>
    </row>
    <row r="128">
      <c r="A128" s="51"/>
      <c r="B128" s="427"/>
      <c r="D128" s="428"/>
    </row>
    <row r="129">
      <c r="A129" s="51"/>
      <c r="B129" s="427"/>
      <c r="D129" s="428"/>
    </row>
    <row r="130">
      <c r="A130" s="51"/>
      <c r="B130" s="427"/>
      <c r="D130" s="428"/>
    </row>
    <row r="131">
      <c r="A131" s="51"/>
      <c r="B131" s="427"/>
      <c r="D131" s="428"/>
    </row>
    <row r="132">
      <c r="A132" s="51"/>
      <c r="B132" s="427"/>
      <c r="D132" s="428"/>
    </row>
    <row r="133">
      <c r="A133" s="51"/>
      <c r="B133" s="427"/>
      <c r="D133" s="428"/>
    </row>
    <row r="134">
      <c r="A134" s="51"/>
      <c r="B134" s="427"/>
      <c r="D134" s="428"/>
    </row>
    <row r="135">
      <c r="A135" s="51"/>
      <c r="B135" s="427"/>
      <c r="D135" s="428"/>
    </row>
    <row r="136">
      <c r="A136" s="51"/>
      <c r="B136" s="427"/>
      <c r="D136" s="428"/>
    </row>
    <row r="137">
      <c r="A137" s="51"/>
      <c r="B137" s="427"/>
      <c r="D137" s="428"/>
    </row>
    <row r="138">
      <c r="A138" s="51"/>
      <c r="B138" s="427"/>
      <c r="D138" s="428"/>
    </row>
    <row r="139">
      <c r="A139" s="51"/>
      <c r="B139" s="427"/>
      <c r="D139" s="428"/>
    </row>
    <row r="140">
      <c r="A140" s="51"/>
      <c r="B140" s="427"/>
      <c r="D140" s="428"/>
    </row>
    <row r="141">
      <c r="A141" s="51"/>
      <c r="B141" s="427"/>
      <c r="D141" s="428"/>
    </row>
    <row r="142">
      <c r="A142" s="51"/>
      <c r="B142" s="427"/>
      <c r="D142" s="428"/>
    </row>
    <row r="143">
      <c r="A143" s="51"/>
      <c r="B143" s="427"/>
      <c r="D143" s="428"/>
    </row>
    <row r="144">
      <c r="A144" s="51"/>
      <c r="B144" s="427"/>
      <c r="D144" s="428"/>
    </row>
    <row r="145">
      <c r="A145" s="51"/>
      <c r="B145" s="427"/>
      <c r="D145" s="428"/>
    </row>
    <row r="146">
      <c r="A146" s="51"/>
      <c r="B146" s="427"/>
      <c r="D146" s="428"/>
    </row>
    <row r="147">
      <c r="A147" s="51"/>
      <c r="B147" s="427"/>
      <c r="D147" s="428"/>
    </row>
    <row r="148">
      <c r="A148" s="51"/>
      <c r="B148" s="427"/>
      <c r="D148" s="428"/>
    </row>
    <row r="149">
      <c r="A149" s="51"/>
      <c r="B149" s="427"/>
      <c r="D149" s="428"/>
    </row>
    <row r="150">
      <c r="A150" s="51"/>
      <c r="B150" s="427"/>
      <c r="D150" s="428"/>
    </row>
    <row r="151">
      <c r="A151" s="51"/>
      <c r="B151" s="427"/>
      <c r="D151" s="428"/>
    </row>
    <row r="152">
      <c r="A152" s="51"/>
      <c r="B152" s="427"/>
      <c r="D152" s="428"/>
    </row>
    <row r="153">
      <c r="A153" s="51"/>
      <c r="B153" s="427"/>
      <c r="D153" s="428"/>
    </row>
    <row r="154">
      <c r="A154" s="51"/>
      <c r="B154" s="427"/>
      <c r="D154" s="428"/>
    </row>
    <row r="155">
      <c r="A155" s="51"/>
      <c r="B155" s="427"/>
      <c r="D155" s="428"/>
    </row>
    <row r="156">
      <c r="A156" s="51"/>
      <c r="B156" s="427"/>
      <c r="D156" s="428"/>
    </row>
    <row r="157">
      <c r="A157" s="51"/>
      <c r="B157" s="427"/>
      <c r="D157" s="428"/>
    </row>
    <row r="158">
      <c r="A158" s="51"/>
      <c r="B158" s="427"/>
      <c r="D158" s="428"/>
    </row>
    <row r="159">
      <c r="A159" s="51"/>
      <c r="B159" s="427"/>
      <c r="D159" s="428"/>
    </row>
    <row r="160">
      <c r="A160" s="51"/>
      <c r="B160" s="427"/>
      <c r="D160" s="428"/>
    </row>
    <row r="161">
      <c r="A161" s="51"/>
      <c r="B161" s="427"/>
      <c r="D161" s="428"/>
    </row>
    <row r="162">
      <c r="A162" s="51"/>
      <c r="B162" s="427"/>
      <c r="D162" s="428"/>
    </row>
    <row r="163">
      <c r="A163" s="51"/>
      <c r="B163" s="427"/>
      <c r="D163" s="428"/>
    </row>
    <row r="164">
      <c r="A164" s="51"/>
      <c r="B164" s="427"/>
      <c r="D164" s="428"/>
    </row>
    <row r="165">
      <c r="A165" s="51"/>
      <c r="B165" s="427"/>
      <c r="D165" s="428"/>
    </row>
    <row r="166">
      <c r="A166" s="51"/>
      <c r="B166" s="427"/>
      <c r="D166" s="428"/>
    </row>
    <row r="167">
      <c r="A167" s="51"/>
      <c r="B167" s="427"/>
      <c r="D167" s="428"/>
    </row>
    <row r="168">
      <c r="A168" s="51"/>
      <c r="B168" s="427"/>
      <c r="D168" s="428"/>
    </row>
    <row r="169">
      <c r="A169" s="51"/>
      <c r="B169" s="427"/>
      <c r="D169" s="428"/>
    </row>
    <row r="170">
      <c r="A170" s="51"/>
      <c r="B170" s="427"/>
      <c r="D170" s="428"/>
    </row>
    <row r="171">
      <c r="A171" s="51"/>
      <c r="B171" s="427"/>
      <c r="D171" s="428"/>
    </row>
    <row r="172">
      <c r="A172" s="51"/>
      <c r="B172" s="427"/>
      <c r="D172" s="428"/>
    </row>
    <row r="173">
      <c r="A173" s="51"/>
      <c r="B173" s="427"/>
      <c r="D173" s="428"/>
    </row>
    <row r="174">
      <c r="A174" s="51"/>
      <c r="B174" s="427"/>
      <c r="D174" s="428"/>
    </row>
    <row r="175">
      <c r="A175" s="51"/>
      <c r="B175" s="427"/>
      <c r="D175" s="428"/>
    </row>
    <row r="176">
      <c r="A176" s="51"/>
      <c r="B176" s="427"/>
      <c r="D176" s="428"/>
    </row>
    <row r="177">
      <c r="A177" s="51"/>
      <c r="B177" s="427"/>
      <c r="D177" s="428"/>
    </row>
    <row r="178">
      <c r="A178" s="51"/>
      <c r="B178" s="427"/>
      <c r="D178" s="428"/>
    </row>
    <row r="179">
      <c r="A179" s="51"/>
      <c r="B179" s="427"/>
      <c r="D179" s="428"/>
    </row>
    <row r="180">
      <c r="A180" s="51"/>
      <c r="B180" s="427"/>
      <c r="D180" s="428"/>
    </row>
    <row r="181">
      <c r="A181" s="51"/>
      <c r="B181" s="427"/>
      <c r="D181" s="428"/>
    </row>
    <row r="182">
      <c r="A182" s="51"/>
      <c r="B182" s="427"/>
      <c r="D182" s="428"/>
    </row>
    <row r="183">
      <c r="A183" s="51"/>
      <c r="B183" s="427"/>
      <c r="D183" s="428"/>
    </row>
    <row r="184">
      <c r="A184" s="51"/>
      <c r="B184" s="427"/>
      <c r="D184" s="428"/>
    </row>
    <row r="185">
      <c r="A185" s="51"/>
      <c r="B185" s="427"/>
      <c r="D185" s="428"/>
    </row>
    <row r="186">
      <c r="A186" s="51"/>
      <c r="B186" s="427"/>
      <c r="D186" s="428"/>
    </row>
    <row r="187">
      <c r="A187" s="51"/>
      <c r="B187" s="427"/>
      <c r="D187" s="428"/>
    </row>
    <row r="188">
      <c r="A188" s="51"/>
      <c r="B188" s="427"/>
      <c r="D188" s="428"/>
    </row>
    <row r="189">
      <c r="A189" s="51"/>
      <c r="B189" s="427"/>
      <c r="D189" s="428"/>
    </row>
    <row r="190">
      <c r="A190" s="51"/>
      <c r="B190" s="427"/>
      <c r="D190" s="428"/>
    </row>
    <row r="191">
      <c r="A191" s="51"/>
      <c r="B191" s="427"/>
      <c r="D191" s="428"/>
    </row>
    <row r="192">
      <c r="A192" s="51"/>
      <c r="B192" s="427"/>
      <c r="D192" s="428"/>
    </row>
    <row r="193">
      <c r="A193" s="51"/>
      <c r="B193" s="427"/>
      <c r="D193" s="428"/>
    </row>
    <row r="194">
      <c r="A194" s="51"/>
      <c r="B194" s="427"/>
      <c r="D194" s="428"/>
    </row>
    <row r="195">
      <c r="A195" s="51"/>
      <c r="B195" s="427"/>
      <c r="D195" s="428"/>
    </row>
    <row r="196">
      <c r="A196" s="51"/>
      <c r="B196" s="427"/>
      <c r="D196" s="428"/>
    </row>
    <row r="197">
      <c r="A197" s="51"/>
      <c r="B197" s="427"/>
      <c r="D197" s="428"/>
    </row>
    <row r="198">
      <c r="A198" s="51"/>
      <c r="B198" s="427"/>
      <c r="D198" s="428"/>
    </row>
    <row r="199">
      <c r="A199" s="51"/>
      <c r="B199" s="427"/>
      <c r="D199" s="428"/>
    </row>
    <row r="200">
      <c r="A200" s="51"/>
      <c r="B200" s="427"/>
      <c r="D200" s="428"/>
    </row>
    <row r="201">
      <c r="A201" s="51"/>
      <c r="B201" s="427"/>
      <c r="D201" s="428"/>
    </row>
    <row r="202">
      <c r="A202" s="51"/>
      <c r="B202" s="427"/>
      <c r="D202" s="428"/>
    </row>
    <row r="203">
      <c r="A203" s="51"/>
      <c r="B203" s="427"/>
      <c r="D203" s="428"/>
    </row>
    <row r="204">
      <c r="A204" s="51"/>
      <c r="B204" s="427"/>
      <c r="D204" s="428"/>
    </row>
    <row r="205">
      <c r="A205" s="51"/>
      <c r="B205" s="427"/>
      <c r="D205" s="428"/>
    </row>
    <row r="206">
      <c r="A206" s="51"/>
      <c r="B206" s="427"/>
      <c r="D206" s="428"/>
    </row>
    <row r="207">
      <c r="A207" s="51"/>
      <c r="B207" s="427"/>
      <c r="D207" s="428"/>
    </row>
    <row r="208">
      <c r="A208" s="51"/>
      <c r="B208" s="427"/>
      <c r="D208" s="428"/>
    </row>
    <row r="209">
      <c r="A209" s="51"/>
      <c r="B209" s="427"/>
      <c r="D209" s="428"/>
    </row>
    <row r="210">
      <c r="A210" s="51"/>
      <c r="B210" s="427"/>
      <c r="D210" s="428"/>
    </row>
    <row r="211">
      <c r="A211" s="51"/>
      <c r="B211" s="427"/>
      <c r="D211" s="428"/>
    </row>
    <row r="212">
      <c r="A212" s="51"/>
      <c r="B212" s="427"/>
      <c r="D212" s="428"/>
    </row>
    <row r="213">
      <c r="A213" s="51"/>
      <c r="B213" s="427"/>
      <c r="D213" s="428"/>
    </row>
    <row r="214">
      <c r="A214" s="51"/>
      <c r="B214" s="427"/>
      <c r="D214" s="428"/>
    </row>
    <row r="215">
      <c r="A215" s="51"/>
      <c r="B215" s="427"/>
      <c r="D215" s="428"/>
    </row>
    <row r="216">
      <c r="A216" s="51"/>
      <c r="B216" s="427"/>
      <c r="D216" s="428"/>
    </row>
    <row r="217">
      <c r="A217" s="51"/>
      <c r="B217" s="427"/>
      <c r="D217" s="428"/>
    </row>
    <row r="218">
      <c r="A218" s="51"/>
      <c r="B218" s="427"/>
      <c r="D218" s="428"/>
    </row>
    <row r="219">
      <c r="A219" s="51"/>
      <c r="B219" s="427"/>
      <c r="D219" s="428"/>
    </row>
    <row r="220">
      <c r="A220" s="51"/>
      <c r="B220" s="427"/>
      <c r="D220" s="428"/>
    </row>
    <row r="221">
      <c r="A221" s="51"/>
      <c r="B221" s="427"/>
      <c r="D221" s="428"/>
    </row>
    <row r="222">
      <c r="A222" s="51"/>
      <c r="B222" s="427"/>
      <c r="D222" s="428"/>
    </row>
    <row r="223">
      <c r="A223" s="51"/>
      <c r="B223" s="427"/>
      <c r="D223" s="428"/>
    </row>
    <row r="224">
      <c r="A224" s="51"/>
      <c r="B224" s="427"/>
      <c r="D224" s="428"/>
    </row>
    <row r="225">
      <c r="A225" s="51"/>
      <c r="B225" s="427"/>
      <c r="D225" s="428"/>
    </row>
    <row r="226">
      <c r="A226" s="51"/>
      <c r="B226" s="427"/>
      <c r="D226" s="428"/>
    </row>
    <row r="227">
      <c r="A227" s="51"/>
      <c r="B227" s="427"/>
      <c r="D227" s="428"/>
    </row>
    <row r="228">
      <c r="A228" s="51"/>
      <c r="B228" s="427"/>
      <c r="D228" s="428"/>
    </row>
    <row r="229">
      <c r="A229" s="51"/>
      <c r="B229" s="427"/>
      <c r="D229" s="428"/>
    </row>
    <row r="230">
      <c r="A230" s="51"/>
      <c r="B230" s="427"/>
      <c r="D230" s="428"/>
    </row>
    <row r="231">
      <c r="A231" s="51"/>
      <c r="B231" s="427"/>
      <c r="D231" s="428"/>
    </row>
    <row r="232">
      <c r="A232" s="51"/>
      <c r="B232" s="427"/>
      <c r="D232" s="428"/>
    </row>
    <row r="233">
      <c r="A233" s="51"/>
      <c r="B233" s="427"/>
      <c r="D233" s="428"/>
    </row>
    <row r="234">
      <c r="A234" s="51"/>
      <c r="B234" s="427"/>
      <c r="D234" s="428"/>
    </row>
    <row r="235">
      <c r="A235" s="51"/>
      <c r="B235" s="427"/>
      <c r="D235" s="428"/>
    </row>
    <row r="236">
      <c r="A236" s="51"/>
      <c r="B236" s="427"/>
      <c r="D236" s="428"/>
    </row>
    <row r="237">
      <c r="A237" s="51"/>
      <c r="B237" s="427"/>
      <c r="D237" s="428"/>
    </row>
    <row r="238">
      <c r="A238" s="51"/>
      <c r="B238" s="427"/>
      <c r="D238" s="428"/>
    </row>
    <row r="239">
      <c r="A239" s="51"/>
      <c r="B239" s="427"/>
      <c r="D239" s="428"/>
    </row>
    <row r="240">
      <c r="A240" s="51"/>
      <c r="B240" s="427"/>
      <c r="D240" s="428"/>
    </row>
    <row r="241">
      <c r="A241" s="51"/>
      <c r="B241" s="427"/>
      <c r="D241" s="428"/>
    </row>
    <row r="242">
      <c r="A242" s="51"/>
      <c r="B242" s="427"/>
      <c r="D242" s="428"/>
    </row>
    <row r="243">
      <c r="A243" s="51"/>
      <c r="B243" s="427"/>
      <c r="D243" s="428"/>
    </row>
    <row r="244">
      <c r="A244" s="51"/>
      <c r="B244" s="427"/>
      <c r="D244" s="428"/>
    </row>
    <row r="245">
      <c r="A245" s="51"/>
      <c r="B245" s="427"/>
      <c r="D245" s="428"/>
    </row>
    <row r="246">
      <c r="A246" s="51"/>
      <c r="B246" s="427"/>
      <c r="D246" s="428"/>
    </row>
    <row r="247">
      <c r="A247" s="51"/>
      <c r="B247" s="427"/>
      <c r="D247" s="428"/>
    </row>
    <row r="248">
      <c r="A248" s="51"/>
      <c r="B248" s="427"/>
      <c r="D248" s="428"/>
    </row>
    <row r="249">
      <c r="A249" s="51"/>
      <c r="B249" s="427"/>
      <c r="D249" s="428"/>
    </row>
    <row r="250">
      <c r="A250" s="51"/>
      <c r="B250" s="427"/>
      <c r="D250" s="428"/>
    </row>
    <row r="251">
      <c r="A251" s="51"/>
      <c r="B251" s="427"/>
      <c r="D251" s="428"/>
    </row>
    <row r="252">
      <c r="A252" s="51"/>
      <c r="B252" s="427"/>
      <c r="D252" s="428"/>
    </row>
    <row r="253">
      <c r="A253" s="51"/>
      <c r="B253" s="427"/>
      <c r="D253" s="428"/>
    </row>
    <row r="254">
      <c r="A254" s="51"/>
      <c r="B254" s="427"/>
      <c r="D254" s="428"/>
    </row>
    <row r="255">
      <c r="A255" s="51"/>
      <c r="B255" s="427"/>
      <c r="D255" s="428"/>
    </row>
    <row r="256">
      <c r="A256" s="51"/>
      <c r="B256" s="427"/>
      <c r="D256" s="428"/>
    </row>
    <row r="257">
      <c r="A257" s="51"/>
      <c r="B257" s="427"/>
      <c r="D257" s="428"/>
    </row>
    <row r="258">
      <c r="A258" s="51"/>
      <c r="B258" s="427"/>
      <c r="D258" s="428"/>
    </row>
    <row r="259">
      <c r="A259" s="51"/>
      <c r="B259" s="427"/>
      <c r="D259" s="428"/>
    </row>
    <row r="260">
      <c r="A260" s="51"/>
      <c r="B260" s="427"/>
      <c r="D260" s="428"/>
    </row>
    <row r="261">
      <c r="A261" s="51"/>
      <c r="B261" s="427"/>
      <c r="D261" s="428"/>
    </row>
    <row r="262">
      <c r="A262" s="51"/>
      <c r="B262" s="427"/>
      <c r="D262" s="428"/>
    </row>
    <row r="263">
      <c r="A263" s="51"/>
      <c r="B263" s="427"/>
      <c r="D263" s="428"/>
    </row>
    <row r="264">
      <c r="A264" s="51"/>
      <c r="B264" s="427"/>
      <c r="D264" s="428"/>
    </row>
    <row r="265">
      <c r="A265" s="51"/>
      <c r="B265" s="427"/>
      <c r="D265" s="428"/>
    </row>
    <row r="266">
      <c r="A266" s="51"/>
      <c r="B266" s="427"/>
      <c r="D266" s="428"/>
    </row>
    <row r="267">
      <c r="A267" s="51"/>
      <c r="B267" s="427"/>
      <c r="D267" s="428"/>
    </row>
    <row r="268">
      <c r="A268" s="51"/>
      <c r="B268" s="427"/>
      <c r="D268" s="428"/>
    </row>
    <row r="269">
      <c r="A269" s="51"/>
      <c r="B269" s="427"/>
      <c r="D269" s="428"/>
    </row>
    <row r="270">
      <c r="A270" s="51"/>
      <c r="B270" s="427"/>
      <c r="D270" s="428"/>
    </row>
    <row r="271">
      <c r="A271" s="51"/>
      <c r="B271" s="427"/>
      <c r="D271" s="428"/>
    </row>
    <row r="272">
      <c r="A272" s="51"/>
      <c r="B272" s="427"/>
      <c r="D272" s="428"/>
    </row>
    <row r="273">
      <c r="A273" s="51"/>
      <c r="B273" s="427"/>
      <c r="D273" s="428"/>
    </row>
    <row r="274">
      <c r="A274" s="51"/>
      <c r="B274" s="427"/>
      <c r="D274" s="428"/>
    </row>
    <row r="275">
      <c r="A275" s="51"/>
      <c r="B275" s="427"/>
      <c r="D275" s="428"/>
    </row>
    <row r="276">
      <c r="A276" s="51"/>
      <c r="B276" s="427"/>
      <c r="D276" s="428"/>
    </row>
    <row r="277">
      <c r="A277" s="51"/>
      <c r="B277" s="427"/>
      <c r="D277" s="428"/>
    </row>
    <row r="278">
      <c r="A278" s="51"/>
      <c r="B278" s="427"/>
      <c r="D278" s="428"/>
    </row>
    <row r="279">
      <c r="A279" s="51"/>
      <c r="B279" s="427"/>
      <c r="D279" s="428"/>
    </row>
    <row r="280">
      <c r="A280" s="51"/>
      <c r="B280" s="427"/>
      <c r="D280" s="428"/>
    </row>
    <row r="281">
      <c r="A281" s="51"/>
      <c r="B281" s="427"/>
      <c r="D281" s="428"/>
    </row>
    <row r="282">
      <c r="A282" s="51"/>
      <c r="B282" s="427"/>
      <c r="D282" s="428"/>
    </row>
    <row r="283">
      <c r="A283" s="51"/>
      <c r="B283" s="427"/>
      <c r="D283" s="428"/>
    </row>
    <row r="284">
      <c r="A284" s="51"/>
      <c r="B284" s="427"/>
      <c r="D284" s="428"/>
    </row>
    <row r="285">
      <c r="A285" s="51"/>
      <c r="B285" s="427"/>
      <c r="D285" s="428"/>
    </row>
    <row r="286">
      <c r="A286" s="51"/>
      <c r="B286" s="427"/>
      <c r="D286" s="428"/>
    </row>
    <row r="287">
      <c r="A287" s="51"/>
      <c r="B287" s="427"/>
      <c r="D287" s="428"/>
    </row>
    <row r="288">
      <c r="A288" s="51"/>
      <c r="B288" s="427"/>
      <c r="D288" s="428"/>
    </row>
    <row r="289">
      <c r="A289" s="51"/>
      <c r="B289" s="427"/>
      <c r="D289" s="428"/>
    </row>
    <row r="290">
      <c r="A290" s="51"/>
      <c r="B290" s="427"/>
      <c r="D290" s="428"/>
    </row>
    <row r="291">
      <c r="A291" s="51"/>
      <c r="B291" s="427"/>
      <c r="D291" s="428"/>
    </row>
    <row r="292">
      <c r="A292" s="51"/>
      <c r="B292" s="427"/>
      <c r="D292" s="428"/>
    </row>
    <row r="293">
      <c r="A293" s="51"/>
      <c r="B293" s="427"/>
      <c r="D293" s="428"/>
    </row>
    <row r="294">
      <c r="A294" s="51"/>
      <c r="B294" s="427"/>
      <c r="D294" s="428"/>
    </row>
    <row r="295">
      <c r="A295" s="51"/>
      <c r="B295" s="427"/>
      <c r="D295" s="428"/>
    </row>
    <row r="296">
      <c r="A296" s="51"/>
      <c r="B296" s="427"/>
      <c r="D296" s="428"/>
    </row>
    <row r="297">
      <c r="A297" s="51"/>
      <c r="B297" s="427"/>
      <c r="D297" s="428"/>
    </row>
    <row r="298">
      <c r="A298" s="51"/>
      <c r="B298" s="427"/>
      <c r="D298" s="428"/>
    </row>
    <row r="299">
      <c r="A299" s="51"/>
      <c r="B299" s="427"/>
      <c r="D299" s="428"/>
    </row>
    <row r="300">
      <c r="A300" s="51"/>
      <c r="B300" s="427"/>
      <c r="D300" s="428"/>
    </row>
    <row r="301">
      <c r="A301" s="51"/>
      <c r="B301" s="427"/>
      <c r="D301" s="428"/>
    </row>
    <row r="302">
      <c r="A302" s="51"/>
      <c r="B302" s="427"/>
      <c r="D302" s="428"/>
    </row>
    <row r="303">
      <c r="A303" s="51"/>
      <c r="B303" s="427"/>
      <c r="D303" s="428"/>
    </row>
    <row r="304">
      <c r="A304" s="51"/>
      <c r="B304" s="427"/>
      <c r="D304" s="428"/>
    </row>
    <row r="305">
      <c r="A305" s="51"/>
      <c r="B305" s="427"/>
      <c r="D305" s="428"/>
    </row>
    <row r="306">
      <c r="A306" s="51"/>
      <c r="B306" s="427"/>
      <c r="D306" s="428"/>
    </row>
    <row r="307">
      <c r="A307" s="51"/>
      <c r="B307" s="427"/>
      <c r="D307" s="428"/>
    </row>
    <row r="308">
      <c r="A308" s="51"/>
      <c r="B308" s="427"/>
      <c r="D308" s="428"/>
    </row>
    <row r="309">
      <c r="A309" s="51"/>
      <c r="B309" s="427"/>
      <c r="D309" s="428"/>
    </row>
    <row r="310">
      <c r="A310" s="51"/>
      <c r="B310" s="427"/>
      <c r="D310" s="428"/>
    </row>
    <row r="311">
      <c r="A311" s="51"/>
      <c r="B311" s="427"/>
      <c r="D311" s="428"/>
    </row>
    <row r="312">
      <c r="A312" s="51"/>
      <c r="B312" s="427"/>
      <c r="D312" s="428"/>
    </row>
    <row r="313">
      <c r="A313" s="51"/>
      <c r="B313" s="427"/>
      <c r="D313" s="428"/>
    </row>
    <row r="314">
      <c r="A314" s="51"/>
      <c r="B314" s="427"/>
      <c r="D314" s="428"/>
    </row>
    <row r="315">
      <c r="A315" s="51"/>
      <c r="B315" s="427"/>
      <c r="D315" s="428"/>
    </row>
    <row r="316">
      <c r="A316" s="51"/>
      <c r="B316" s="427"/>
      <c r="D316" s="428"/>
    </row>
    <row r="317">
      <c r="A317" s="51"/>
      <c r="B317" s="427"/>
      <c r="D317" s="428"/>
    </row>
    <row r="318">
      <c r="A318" s="51"/>
      <c r="B318" s="427"/>
      <c r="D318" s="428"/>
    </row>
    <row r="319">
      <c r="A319" s="51"/>
      <c r="B319" s="427"/>
      <c r="D319" s="428"/>
    </row>
    <row r="320">
      <c r="A320" s="51"/>
      <c r="B320" s="427"/>
      <c r="D320" s="428"/>
    </row>
    <row r="321">
      <c r="A321" s="51"/>
      <c r="B321" s="427"/>
      <c r="D321" s="428"/>
    </row>
    <row r="322">
      <c r="A322" s="51"/>
      <c r="B322" s="427"/>
      <c r="D322" s="428"/>
    </row>
    <row r="323">
      <c r="A323" s="51"/>
      <c r="B323" s="427"/>
      <c r="D323" s="428"/>
    </row>
    <row r="324">
      <c r="A324" s="51"/>
      <c r="B324" s="427"/>
      <c r="D324" s="428"/>
    </row>
    <row r="325">
      <c r="A325" s="51"/>
      <c r="B325" s="427"/>
      <c r="D325" s="428"/>
    </row>
    <row r="326">
      <c r="A326" s="51"/>
      <c r="B326" s="427"/>
      <c r="D326" s="428"/>
    </row>
    <row r="327">
      <c r="A327" s="51"/>
      <c r="B327" s="427"/>
      <c r="D327" s="428"/>
    </row>
    <row r="328">
      <c r="A328" s="51"/>
      <c r="B328" s="427"/>
      <c r="D328" s="428"/>
    </row>
    <row r="329">
      <c r="A329" s="51"/>
      <c r="B329" s="427"/>
      <c r="D329" s="428"/>
    </row>
    <row r="330">
      <c r="A330" s="51"/>
      <c r="B330" s="427"/>
      <c r="D330" s="428"/>
    </row>
    <row r="331">
      <c r="A331" s="51"/>
      <c r="B331" s="427"/>
      <c r="D331" s="428"/>
    </row>
    <row r="332">
      <c r="A332" s="51"/>
      <c r="B332" s="427"/>
      <c r="D332" s="428"/>
    </row>
    <row r="333">
      <c r="A333" s="51"/>
      <c r="B333" s="427"/>
      <c r="D333" s="428"/>
    </row>
    <row r="334">
      <c r="A334" s="51"/>
      <c r="B334" s="427"/>
      <c r="D334" s="428"/>
    </row>
    <row r="335">
      <c r="A335" s="51"/>
      <c r="B335" s="427"/>
      <c r="D335" s="428"/>
    </row>
    <row r="336">
      <c r="A336" s="51"/>
      <c r="B336" s="427"/>
      <c r="D336" s="428"/>
    </row>
    <row r="337">
      <c r="A337" s="51"/>
      <c r="B337" s="427"/>
      <c r="D337" s="428"/>
    </row>
    <row r="338">
      <c r="A338" s="51"/>
      <c r="B338" s="427"/>
      <c r="D338" s="428"/>
    </row>
    <row r="339">
      <c r="A339" s="51"/>
      <c r="B339" s="427"/>
      <c r="D339" s="428"/>
    </row>
    <row r="340">
      <c r="A340" s="51"/>
      <c r="B340" s="427"/>
      <c r="D340" s="428"/>
    </row>
    <row r="341">
      <c r="A341" s="51"/>
      <c r="B341" s="427"/>
      <c r="D341" s="428"/>
    </row>
    <row r="342">
      <c r="A342" s="51"/>
      <c r="B342" s="427"/>
      <c r="D342" s="428"/>
    </row>
    <row r="343">
      <c r="A343" s="51"/>
      <c r="B343" s="427"/>
      <c r="D343" s="428"/>
    </row>
    <row r="344">
      <c r="A344" s="51"/>
      <c r="B344" s="427"/>
      <c r="D344" s="428"/>
    </row>
    <row r="345">
      <c r="A345" s="51"/>
      <c r="B345" s="427"/>
      <c r="D345" s="428"/>
    </row>
    <row r="346">
      <c r="A346" s="51"/>
      <c r="B346" s="427"/>
      <c r="D346" s="428"/>
    </row>
    <row r="347">
      <c r="A347" s="51"/>
      <c r="B347" s="427"/>
      <c r="D347" s="428"/>
    </row>
    <row r="348">
      <c r="A348" s="51"/>
      <c r="B348" s="427"/>
      <c r="D348" s="428"/>
    </row>
    <row r="349">
      <c r="A349" s="51"/>
      <c r="B349" s="427"/>
      <c r="D349" s="428"/>
    </row>
    <row r="350">
      <c r="A350" s="51"/>
      <c r="B350" s="427"/>
      <c r="D350" s="428"/>
    </row>
    <row r="351">
      <c r="A351" s="51"/>
      <c r="B351" s="427"/>
      <c r="D351" s="428"/>
    </row>
    <row r="352">
      <c r="A352" s="51"/>
      <c r="B352" s="427"/>
      <c r="D352" s="428"/>
    </row>
    <row r="353">
      <c r="A353" s="51"/>
      <c r="B353" s="427"/>
      <c r="D353" s="428"/>
    </row>
    <row r="354">
      <c r="A354" s="51"/>
      <c r="B354" s="427"/>
      <c r="D354" s="428"/>
    </row>
    <row r="355">
      <c r="A355" s="51"/>
      <c r="B355" s="427"/>
      <c r="D355" s="428"/>
    </row>
    <row r="356">
      <c r="A356" s="51"/>
      <c r="B356" s="427"/>
      <c r="D356" s="428"/>
    </row>
    <row r="357">
      <c r="A357" s="51"/>
      <c r="B357" s="427"/>
      <c r="D357" s="428"/>
    </row>
    <row r="358">
      <c r="A358" s="51"/>
      <c r="B358" s="427"/>
      <c r="D358" s="428"/>
    </row>
    <row r="359">
      <c r="A359" s="51"/>
      <c r="B359" s="427"/>
      <c r="D359" s="428"/>
    </row>
    <row r="360">
      <c r="A360" s="51"/>
      <c r="B360" s="427"/>
      <c r="D360" s="428"/>
    </row>
    <row r="361">
      <c r="A361" s="51"/>
      <c r="B361" s="427"/>
      <c r="D361" s="428"/>
    </row>
    <row r="362">
      <c r="A362" s="51"/>
      <c r="B362" s="427"/>
      <c r="D362" s="428"/>
    </row>
    <row r="363">
      <c r="A363" s="51"/>
      <c r="B363" s="427"/>
      <c r="D363" s="428"/>
    </row>
    <row r="364">
      <c r="A364" s="51"/>
      <c r="B364" s="427"/>
      <c r="D364" s="428"/>
    </row>
    <row r="365">
      <c r="A365" s="51"/>
      <c r="B365" s="427"/>
      <c r="D365" s="428"/>
    </row>
    <row r="366">
      <c r="A366" s="51"/>
      <c r="B366" s="427"/>
      <c r="D366" s="428"/>
    </row>
    <row r="367">
      <c r="A367" s="51"/>
      <c r="B367" s="427"/>
      <c r="D367" s="428"/>
    </row>
    <row r="368">
      <c r="A368" s="51"/>
      <c r="B368" s="427"/>
      <c r="D368" s="428"/>
    </row>
    <row r="369">
      <c r="A369" s="51"/>
      <c r="B369" s="427"/>
      <c r="D369" s="428"/>
    </row>
    <row r="370">
      <c r="A370" s="51"/>
      <c r="B370" s="427"/>
      <c r="D370" s="428"/>
    </row>
    <row r="371">
      <c r="A371" s="51"/>
      <c r="B371" s="427"/>
      <c r="D371" s="428"/>
    </row>
    <row r="372">
      <c r="A372" s="51"/>
      <c r="B372" s="427"/>
      <c r="D372" s="428"/>
    </row>
    <row r="373">
      <c r="A373" s="51"/>
      <c r="B373" s="427"/>
      <c r="D373" s="428"/>
    </row>
    <row r="374">
      <c r="A374" s="51"/>
      <c r="B374" s="427"/>
      <c r="D374" s="428"/>
    </row>
    <row r="375">
      <c r="A375" s="51"/>
      <c r="B375" s="427"/>
      <c r="D375" s="428"/>
    </row>
    <row r="376">
      <c r="A376" s="51"/>
      <c r="B376" s="427"/>
      <c r="D376" s="428"/>
    </row>
    <row r="377">
      <c r="A377" s="51"/>
      <c r="B377" s="427"/>
      <c r="D377" s="428"/>
    </row>
    <row r="378">
      <c r="A378" s="51"/>
      <c r="B378" s="427"/>
      <c r="D378" s="428"/>
    </row>
    <row r="379">
      <c r="A379" s="51"/>
      <c r="B379" s="427"/>
      <c r="D379" s="428"/>
    </row>
    <row r="380">
      <c r="A380" s="51"/>
      <c r="B380" s="427"/>
      <c r="D380" s="428"/>
    </row>
    <row r="381">
      <c r="A381" s="51"/>
      <c r="B381" s="427"/>
      <c r="D381" s="428"/>
    </row>
    <row r="382">
      <c r="A382" s="51"/>
      <c r="B382" s="427"/>
      <c r="D382" s="428"/>
    </row>
    <row r="383">
      <c r="A383" s="51"/>
      <c r="B383" s="427"/>
      <c r="D383" s="428"/>
    </row>
    <row r="384">
      <c r="A384" s="51"/>
      <c r="B384" s="427"/>
      <c r="D384" s="428"/>
    </row>
    <row r="385">
      <c r="A385" s="51"/>
      <c r="B385" s="427"/>
      <c r="D385" s="428"/>
    </row>
    <row r="386">
      <c r="A386" s="51"/>
      <c r="B386" s="427"/>
      <c r="D386" s="428"/>
    </row>
    <row r="387">
      <c r="A387" s="51"/>
      <c r="B387" s="427"/>
      <c r="D387" s="428"/>
    </row>
    <row r="388">
      <c r="A388" s="51"/>
      <c r="B388" s="427"/>
      <c r="D388" s="428"/>
    </row>
    <row r="389">
      <c r="A389" s="51"/>
      <c r="B389" s="427"/>
      <c r="D389" s="428"/>
    </row>
    <row r="390">
      <c r="A390" s="51"/>
      <c r="B390" s="427"/>
      <c r="D390" s="428"/>
    </row>
    <row r="391">
      <c r="A391" s="51"/>
      <c r="B391" s="427"/>
      <c r="D391" s="428"/>
    </row>
    <row r="392">
      <c r="A392" s="51"/>
      <c r="B392" s="427"/>
      <c r="D392" s="428"/>
    </row>
    <row r="393">
      <c r="A393" s="51"/>
      <c r="B393" s="427"/>
      <c r="D393" s="428"/>
    </row>
    <row r="394">
      <c r="A394" s="51"/>
      <c r="B394" s="427"/>
      <c r="D394" s="428"/>
    </row>
    <row r="395">
      <c r="A395" s="51"/>
      <c r="B395" s="427"/>
      <c r="D395" s="428"/>
    </row>
    <row r="396">
      <c r="A396" s="51"/>
      <c r="B396" s="427"/>
      <c r="D396" s="428"/>
    </row>
    <row r="397">
      <c r="A397" s="51"/>
      <c r="B397" s="427"/>
      <c r="D397" s="428"/>
    </row>
    <row r="398">
      <c r="A398" s="51"/>
      <c r="B398" s="427"/>
      <c r="D398" s="428"/>
    </row>
    <row r="399">
      <c r="A399" s="51"/>
      <c r="B399" s="427"/>
      <c r="D399" s="428"/>
    </row>
    <row r="400">
      <c r="A400" s="51"/>
      <c r="B400" s="427"/>
      <c r="D400" s="428"/>
    </row>
    <row r="401">
      <c r="A401" s="51"/>
      <c r="B401" s="427"/>
      <c r="D401" s="428"/>
    </row>
    <row r="402">
      <c r="A402" s="51"/>
      <c r="B402" s="427"/>
      <c r="D402" s="428"/>
    </row>
    <row r="403">
      <c r="A403" s="51"/>
      <c r="B403" s="427"/>
      <c r="D403" s="428"/>
    </row>
    <row r="404">
      <c r="A404" s="51"/>
      <c r="B404" s="427"/>
      <c r="D404" s="428"/>
    </row>
    <row r="405">
      <c r="A405" s="51"/>
      <c r="B405" s="427"/>
      <c r="D405" s="428"/>
    </row>
    <row r="406">
      <c r="A406" s="51"/>
      <c r="B406" s="427"/>
      <c r="D406" s="428"/>
    </row>
    <row r="407">
      <c r="A407" s="51"/>
      <c r="B407" s="427"/>
      <c r="D407" s="428"/>
    </row>
    <row r="408">
      <c r="A408" s="51"/>
      <c r="B408" s="427"/>
      <c r="D408" s="428"/>
    </row>
    <row r="409">
      <c r="A409" s="51"/>
      <c r="B409" s="427"/>
      <c r="D409" s="428"/>
    </row>
    <row r="410">
      <c r="A410" s="51"/>
      <c r="B410" s="427"/>
      <c r="D410" s="428"/>
    </row>
    <row r="411">
      <c r="A411" s="51"/>
      <c r="B411" s="427"/>
      <c r="D411" s="428"/>
    </row>
    <row r="412">
      <c r="A412" s="51"/>
      <c r="B412" s="427"/>
      <c r="D412" s="428"/>
    </row>
    <row r="413">
      <c r="A413" s="51"/>
      <c r="B413" s="427"/>
      <c r="D413" s="428"/>
    </row>
    <row r="414">
      <c r="A414" s="51"/>
      <c r="B414" s="427"/>
      <c r="D414" s="428"/>
    </row>
    <row r="415">
      <c r="A415" s="51"/>
      <c r="B415" s="427"/>
      <c r="D415" s="428"/>
    </row>
    <row r="416">
      <c r="A416" s="51"/>
      <c r="B416" s="427"/>
      <c r="D416" s="428"/>
    </row>
    <row r="417">
      <c r="A417" s="51"/>
      <c r="B417" s="427"/>
      <c r="D417" s="428"/>
    </row>
    <row r="418">
      <c r="A418" s="51"/>
      <c r="B418" s="427"/>
      <c r="D418" s="428"/>
    </row>
    <row r="419">
      <c r="A419" s="51"/>
      <c r="B419" s="427"/>
      <c r="D419" s="428"/>
    </row>
    <row r="420">
      <c r="A420" s="51"/>
      <c r="B420" s="427"/>
      <c r="D420" s="428"/>
    </row>
    <row r="421">
      <c r="A421" s="51"/>
      <c r="B421" s="427"/>
      <c r="D421" s="428"/>
    </row>
    <row r="422">
      <c r="A422" s="51"/>
      <c r="B422" s="427"/>
      <c r="D422" s="428"/>
    </row>
    <row r="423">
      <c r="A423" s="51"/>
      <c r="B423" s="427"/>
      <c r="D423" s="428"/>
    </row>
    <row r="424">
      <c r="A424" s="51"/>
      <c r="B424" s="427"/>
      <c r="D424" s="428"/>
    </row>
    <row r="425">
      <c r="A425" s="51"/>
      <c r="B425" s="427"/>
      <c r="D425" s="428"/>
    </row>
    <row r="426">
      <c r="A426" s="51"/>
      <c r="B426" s="427"/>
      <c r="D426" s="428"/>
    </row>
    <row r="427">
      <c r="A427" s="51"/>
      <c r="B427" s="427"/>
      <c r="D427" s="428"/>
    </row>
    <row r="428">
      <c r="A428" s="51"/>
      <c r="B428" s="427"/>
      <c r="D428" s="428"/>
    </row>
    <row r="429">
      <c r="A429" s="51"/>
      <c r="B429" s="427"/>
      <c r="D429" s="428"/>
    </row>
    <row r="430">
      <c r="A430" s="51"/>
      <c r="B430" s="427"/>
      <c r="D430" s="428"/>
    </row>
    <row r="431">
      <c r="A431" s="51"/>
      <c r="B431" s="427"/>
      <c r="D431" s="428"/>
    </row>
    <row r="432">
      <c r="A432" s="51"/>
      <c r="B432" s="427"/>
      <c r="D432" s="428"/>
    </row>
    <row r="433">
      <c r="A433" s="51"/>
      <c r="B433" s="427"/>
      <c r="D433" s="428"/>
    </row>
    <row r="434">
      <c r="A434" s="51"/>
      <c r="B434" s="427"/>
      <c r="D434" s="428"/>
    </row>
    <row r="435">
      <c r="A435" s="51"/>
      <c r="B435" s="427"/>
      <c r="D435" s="428"/>
    </row>
    <row r="436">
      <c r="A436" s="51"/>
      <c r="B436" s="427"/>
      <c r="D436" s="428"/>
    </row>
    <row r="437">
      <c r="A437" s="51"/>
      <c r="B437" s="427"/>
      <c r="D437" s="428"/>
    </row>
    <row r="438">
      <c r="A438" s="51"/>
      <c r="B438" s="427"/>
      <c r="D438" s="428"/>
    </row>
    <row r="439">
      <c r="A439" s="51"/>
      <c r="B439" s="427"/>
      <c r="D439" s="428"/>
    </row>
    <row r="440">
      <c r="A440" s="51"/>
      <c r="B440" s="427"/>
      <c r="D440" s="428"/>
    </row>
    <row r="441">
      <c r="A441" s="51"/>
      <c r="B441" s="427"/>
      <c r="D441" s="428"/>
    </row>
    <row r="442">
      <c r="A442" s="51"/>
      <c r="B442" s="427"/>
      <c r="D442" s="428"/>
    </row>
    <row r="443">
      <c r="A443" s="51"/>
      <c r="B443" s="427"/>
      <c r="D443" s="428"/>
    </row>
    <row r="444">
      <c r="A444" s="51"/>
      <c r="B444" s="427"/>
      <c r="D444" s="428"/>
    </row>
    <row r="445">
      <c r="A445" s="51"/>
      <c r="B445" s="427"/>
      <c r="D445" s="428"/>
    </row>
    <row r="446">
      <c r="A446" s="51"/>
      <c r="B446" s="427"/>
      <c r="D446" s="428"/>
    </row>
    <row r="447">
      <c r="A447" s="51"/>
      <c r="B447" s="427"/>
      <c r="D447" s="428"/>
    </row>
    <row r="448">
      <c r="A448" s="51"/>
      <c r="B448" s="427"/>
      <c r="D448" s="428"/>
    </row>
    <row r="449">
      <c r="A449" s="51"/>
      <c r="B449" s="427"/>
      <c r="D449" s="428"/>
    </row>
    <row r="450">
      <c r="A450" s="51"/>
      <c r="B450" s="427"/>
      <c r="D450" s="428"/>
    </row>
    <row r="451">
      <c r="A451" s="51"/>
      <c r="B451" s="427"/>
      <c r="D451" s="428"/>
    </row>
    <row r="452">
      <c r="A452" s="51"/>
      <c r="B452" s="427"/>
      <c r="D452" s="428"/>
    </row>
    <row r="453">
      <c r="A453" s="51"/>
      <c r="B453" s="427"/>
      <c r="D453" s="428"/>
    </row>
    <row r="454">
      <c r="A454" s="51"/>
      <c r="B454" s="427"/>
      <c r="D454" s="428"/>
    </row>
    <row r="455">
      <c r="A455" s="51"/>
      <c r="B455" s="427"/>
      <c r="D455" s="428"/>
    </row>
    <row r="456">
      <c r="A456" s="51"/>
      <c r="B456" s="427"/>
      <c r="D456" s="428"/>
    </row>
    <row r="457">
      <c r="A457" s="51"/>
      <c r="B457" s="427"/>
      <c r="D457" s="428"/>
    </row>
    <row r="458">
      <c r="A458" s="51"/>
      <c r="B458" s="427"/>
      <c r="D458" s="428"/>
    </row>
    <row r="459">
      <c r="A459" s="51"/>
      <c r="B459" s="427"/>
      <c r="D459" s="428"/>
    </row>
    <row r="460">
      <c r="A460" s="51"/>
      <c r="B460" s="427"/>
      <c r="D460" s="428"/>
    </row>
    <row r="461">
      <c r="A461" s="51"/>
      <c r="B461" s="427"/>
      <c r="D461" s="428"/>
    </row>
    <row r="462">
      <c r="A462" s="51"/>
      <c r="B462" s="427"/>
      <c r="D462" s="428"/>
    </row>
    <row r="463">
      <c r="A463" s="51"/>
      <c r="B463" s="427"/>
      <c r="D463" s="428"/>
    </row>
    <row r="464">
      <c r="A464" s="51"/>
      <c r="B464" s="427"/>
      <c r="D464" s="428"/>
    </row>
    <row r="465">
      <c r="A465" s="51"/>
      <c r="B465" s="427"/>
      <c r="D465" s="428"/>
    </row>
    <row r="466">
      <c r="A466" s="51"/>
      <c r="B466" s="427"/>
      <c r="D466" s="428"/>
    </row>
    <row r="467">
      <c r="A467" s="51"/>
      <c r="B467" s="427"/>
      <c r="D467" s="428"/>
    </row>
    <row r="468">
      <c r="A468" s="51"/>
      <c r="B468" s="427"/>
      <c r="D468" s="428"/>
    </row>
    <row r="469">
      <c r="A469" s="51"/>
      <c r="B469" s="427"/>
      <c r="D469" s="428"/>
    </row>
    <row r="470">
      <c r="A470" s="51"/>
      <c r="B470" s="427"/>
      <c r="D470" s="428"/>
    </row>
    <row r="471">
      <c r="A471" s="51"/>
      <c r="B471" s="427"/>
      <c r="D471" s="428"/>
    </row>
    <row r="472">
      <c r="A472" s="51"/>
      <c r="B472" s="427"/>
      <c r="D472" s="428"/>
    </row>
    <row r="473">
      <c r="A473" s="51"/>
      <c r="B473" s="427"/>
      <c r="D473" s="428"/>
    </row>
    <row r="474">
      <c r="A474" s="51"/>
      <c r="B474" s="427"/>
      <c r="D474" s="428"/>
    </row>
    <row r="475">
      <c r="A475" s="51"/>
      <c r="B475" s="427"/>
      <c r="D475" s="428"/>
    </row>
    <row r="476">
      <c r="A476" s="51"/>
      <c r="B476" s="427"/>
      <c r="D476" s="428"/>
    </row>
    <row r="477">
      <c r="A477" s="51"/>
      <c r="B477" s="427"/>
      <c r="D477" s="428"/>
    </row>
    <row r="478">
      <c r="A478" s="51"/>
      <c r="B478" s="427"/>
      <c r="D478" s="428"/>
    </row>
    <row r="479">
      <c r="A479" s="51"/>
      <c r="B479" s="427"/>
      <c r="D479" s="428"/>
    </row>
    <row r="480">
      <c r="A480" s="51"/>
      <c r="B480" s="427"/>
      <c r="D480" s="428"/>
    </row>
    <row r="481">
      <c r="A481" s="51"/>
      <c r="B481" s="427"/>
      <c r="D481" s="428"/>
    </row>
    <row r="482">
      <c r="A482" s="51"/>
      <c r="B482" s="427"/>
      <c r="D482" s="428"/>
    </row>
    <row r="483">
      <c r="A483" s="51"/>
      <c r="B483" s="427"/>
      <c r="D483" s="428"/>
    </row>
    <row r="484">
      <c r="A484" s="51"/>
      <c r="B484" s="427"/>
      <c r="D484" s="428"/>
    </row>
    <row r="485">
      <c r="A485" s="51"/>
      <c r="B485" s="427"/>
      <c r="D485" s="428"/>
    </row>
    <row r="486">
      <c r="A486" s="51"/>
      <c r="B486" s="427"/>
      <c r="D486" s="428"/>
    </row>
    <row r="487">
      <c r="A487" s="51"/>
      <c r="B487" s="427"/>
      <c r="D487" s="428"/>
    </row>
    <row r="488">
      <c r="A488" s="51"/>
      <c r="B488" s="427"/>
      <c r="D488" s="428"/>
    </row>
    <row r="489">
      <c r="A489" s="51"/>
      <c r="B489" s="427"/>
      <c r="D489" s="428"/>
    </row>
    <row r="490">
      <c r="A490" s="51"/>
      <c r="B490" s="427"/>
      <c r="D490" s="428"/>
    </row>
    <row r="491">
      <c r="A491" s="51"/>
      <c r="B491" s="427"/>
      <c r="D491" s="428"/>
    </row>
    <row r="492">
      <c r="A492" s="51"/>
      <c r="B492" s="427"/>
      <c r="D492" s="428"/>
    </row>
    <row r="493">
      <c r="A493" s="51"/>
      <c r="B493" s="427"/>
      <c r="D493" s="428"/>
    </row>
    <row r="494">
      <c r="A494" s="51"/>
      <c r="B494" s="427"/>
      <c r="D494" s="428"/>
    </row>
    <row r="495">
      <c r="A495" s="51"/>
      <c r="B495" s="427"/>
      <c r="D495" s="428"/>
    </row>
    <row r="496">
      <c r="A496" s="51"/>
      <c r="B496" s="427"/>
      <c r="D496" s="428"/>
    </row>
    <row r="497">
      <c r="A497" s="51"/>
      <c r="B497" s="427"/>
      <c r="D497" s="428"/>
    </row>
    <row r="498">
      <c r="A498" s="51"/>
      <c r="B498" s="427"/>
      <c r="D498" s="428"/>
    </row>
    <row r="499">
      <c r="A499" s="51"/>
      <c r="B499" s="427"/>
      <c r="D499" s="428"/>
    </row>
    <row r="500">
      <c r="A500" s="51"/>
      <c r="B500" s="427"/>
      <c r="D500" s="428"/>
    </row>
  </sheetData>
  <autoFilter ref="$A$4:$D$500"/>
  <mergeCells count="2">
    <mergeCell ref="A1:D1"/>
    <mergeCell ref="A2:D2"/>
  </mergeCells>
  <dataValidations>
    <dataValidation type="list" allowBlank="1" showErrorMessage="1" sqref="A5:A500">
      <formula1>'BASE DE DATOSS'!$A$2:$A$69</formula1>
    </dataValidation>
    <dataValidation type="list" allowBlank="1" showErrorMessage="1" sqref="D5:D500">
      <formula1>"APLICAR,CANCELADA"</formula1>
    </dataValidation>
    <dataValidation type="custom" allowBlank="1" showErrorMessage="1" sqref="B5:B500">
      <formula1>OR(NOT(ISERROR(DATEVALUE(B5))), AND(ISNUMBER(B5), LEFT(CELL("format", B5))="D"))</formula1>
    </dataValidation>
  </dataValidations>
  <drawing r:id="rId1"/>
</worksheet>
</file>